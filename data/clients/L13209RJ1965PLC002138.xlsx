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Content" sheetId="1" r:id="rId1"/>
    <sheet name="Overview" sheetId="2" r:id="rId2"/>
    <sheet name="Current Directors" sheetId="3" r:id="rId4"/>
    <sheet name="Cross Directorship Holding" sheetId="4" r:id="rId5"/>
    <sheet name="Disqualified Directors" sheetId="5" r:id="rId6"/>
    <sheet name="New Company" sheetId="6" r:id="rId7"/>
    <sheet name="Past Directors" sheetId="7" r:id="rId8"/>
    <sheet name="Past Directorship Holding" sheetId="8" r:id="rId9"/>
    <sheet name="Defaults" sheetId="9" r:id="rId10"/>
    <sheet name="Consolidated Summary" sheetId="10" r:id="rId11"/>
    <sheet name="Standalone Summary" sheetId="11" r:id="rId12"/>
    <sheet name="Profit and Loss Cons As Rep" sheetId="12" r:id="rId13"/>
    <sheet name="Balance Sheet Cons As Rep" sheetId="13" r:id="rId14"/>
    <sheet name="Ratios Cons As Rep" sheetId="14" r:id="rId15"/>
    <sheet name="Profit and Loss Stand As Rep" sheetId="15" r:id="rId16"/>
    <sheet name="Balance Sheet Stand As Rep" sheetId="16" r:id="rId17"/>
    <sheet name="Ratios Stand As Rep" sheetId="17" r:id="rId18"/>
    <sheet name="Pledge Share Data" sheetId="18" r:id="rId19"/>
    <sheet name="Related Entity Statistics" sheetId="19" r:id="rId20"/>
    <sheet name="Linkages" sheetId="20" r:id="rId21"/>
    <sheet name="Open Charge" sheetId="21" r:id="rId22"/>
    <sheet name="Index Of Charges" sheetId="22" r:id="rId23"/>
    <sheet name="Retired" sheetId="23" r:id="rId24"/>
    <sheet name="Credit Rating Likely" sheetId="24" r:id="rId25"/>
    <sheet name="Peers" sheetId="25" r:id="rId26"/>
    <sheet name="Peers Ranking" sheetId="26" r:id="rId27"/>
    <sheet name="Media" sheetId="27" r:id="rId28"/>
    <sheet name="Similar Companies" sheetId="28" r:id="rId29"/>
    <sheet name="Companies Funded" sheetId="29" r:id="rId30"/>
    <sheet name="Employees" sheetId="30" r:id="rId31"/>
    <sheet name="Capital Raised" sheetId="31" r:id="rId32"/>
    <sheet name="Rumours" sheetId="32" r:id="rId33"/>
    <sheet name="Outside India" sheetId="33" r:id="rId34"/>
    <sheet name="Received in India" sheetId="34" r:id="rId35"/>
    <sheet name="Triggers" sheetId="35" r:id="rId36"/>
    <sheet name="Appellant" sheetId="36" r:id="rId37"/>
    <sheet name="Respondent" sheetId="37" r:id="rId38"/>
    <sheet name="Cases" sheetId="38" r:id="rId39"/>
    <sheet name="Debt Overview" sheetId="39" r:id="rId40"/>
    <sheet name="External Commercial Borrowings" sheetId="40" r:id="rId41"/>
    <sheet name="Legal Overview" sheetId="41" r:id="rId42"/>
    <sheet name="Legal Cases" sheetId="42" r:id="rId43"/>
    <sheet name="Connected Lending" sheetId="43" r:id="rId44"/>
  </sheets>
  <calcPr fullCalcOnLoad="1"/>
</workbook>
</file>

<file path=xl/sharedStrings.xml><?xml version="1.0" encoding="utf-8"?>
<sst xmlns="http://schemas.openxmlformats.org/spreadsheetml/2006/main" count="10585" uniqueCount="10585">
  <si>
    <t>VEDANTA LIMITED</t>
  </si>
  <si>
    <t>Sheets</t>
  </si>
  <si>
    <t>Particulars</t>
  </si>
  <si>
    <t>Description</t>
  </si>
  <si>
    <t>Lei Expiry</t>
  </si>
  <si>
    <t>Old Name</t>
  </si>
  <si>
    <t xml:space="preserve"> Sesa Goa Limited, Sesa Sterlite Limited</t>
  </si>
  <si>
    <t>Pan</t>
  </si>
  <si>
    <t>Aaccs7101b</t>
  </si>
  <si>
    <t>Company Name</t>
  </si>
  <si>
    <t>Vedanta Limited</t>
  </si>
  <si>
    <t>Date Of Incorporation</t>
  </si>
  <si>
    <t>Email Id</t>
  </si>
  <si>
    <t>Comp.sect@vedanta.co.in</t>
  </si>
  <si>
    <t>Company Category</t>
  </si>
  <si>
    <t>Company Limited By Shares</t>
  </si>
  <si>
    <t>Company Sub-category</t>
  </si>
  <si>
    <t>Non-government Company</t>
  </si>
  <si>
    <t>Industry</t>
  </si>
  <si>
    <t>Manufacturing</t>
  </si>
  <si>
    <t>Sector</t>
  </si>
  <si>
    <t>Metals</t>
  </si>
  <si>
    <t>Authorised Capital(in Rs. Lacs)</t>
  </si>
  <si>
    <t>Paid-up Capital(in Rs. Lacs)</t>
  </si>
  <si>
    <t>Date Of Balance Sheet</t>
  </si>
  <si>
    <t>Date Of Last Agm</t>
  </si>
  <si>
    <t>Company Status (for Efiling)</t>
  </si>
  <si>
    <t>Active</t>
  </si>
  <si>
    <t>Whether Listed Or Not</t>
  </si>
  <si>
    <t>Listed</t>
  </si>
  <si>
    <t>Roc Code</t>
  </si>
  <si>
    <t>Roc Mumbai I</t>
  </si>
  <si>
    <t>Number Of Members</t>
  </si>
  <si>
    <t>Address</t>
  </si>
  <si>
    <t xml:space="preserve">1st Floor, C Wing, Unit 103, Corporate Avenue   Atul Projects, Chakala, Andheri (east)   Mumbai Mumbai City Maharashtra 400093 India</t>
  </si>
  <si>
    <t>State</t>
  </si>
  <si>
    <t>Maharashtra</t>
  </si>
  <si>
    <t>Active Compliance</t>
  </si>
  <si>
    <t>Active Compliant</t>
  </si>
  <si>
    <t>Status Under Cirp(if Applicable)</t>
  </si>
  <si>
    <t>Suspended At Stock Exchange</t>
  </si>
  <si>
    <t>Lei Number</t>
  </si>
  <si>
    <t>335800xdkx9kb5emco07</t>
  </si>
  <si>
    <t>Auditors</t>
  </si>
  <si>
    <t>S.r. Batliboi &amp; Co. Llp</t>
  </si>
  <si>
    <t>S.no.</t>
  </si>
  <si>
    <t>Name</t>
  </si>
  <si>
    <t>Designation</t>
  </si>
  <si>
    <t xml:space="preserve">Stake(%) </t>
  </si>
  <si>
    <t>Date of appointment</t>
  </si>
  <si>
    <t>No Of Directorships</t>
  </si>
  <si>
    <t>Whether Dsc Registered</t>
  </si>
  <si>
    <t>Expiry date of dsc</t>
  </si>
  <si>
    <t>Disqualified U/s-164 (pdf)</t>
  </si>
  <si>
    <t>Disqualified U/s-164 (din)</t>
  </si>
  <si>
    <t>Singamsetty Venkata Murali Dhar Rao</t>
  </si>
  <si>
    <t>Additional Director (independent)</t>
  </si>
  <si>
    <t>No</t>
  </si>
  <si>
    <t>Priya Agarwal</t>
  </si>
  <si>
    <t>Director (professional)</t>
  </si>
  <si>
    <t>Arun Misra</t>
  </si>
  <si>
    <t>Whole-time Director (professional)</t>
  </si>
  <si>
    <t>Rajarangamani Gopalan</t>
  </si>
  <si>
    <t>Director (independent)</t>
  </si>
  <si>
    <t>Pallavi Joshi Bakhru</t>
  </si>
  <si>
    <t>Prasun Kumar Mukherjee</t>
  </si>
  <si>
    <t>Anil Kumar Agarwal</t>
  </si>
  <si>
    <t>Director (promoter)</t>
  </si>
  <si>
    <t>Navin Agarwal</t>
  </si>
  <si>
    <t>Whole-time Director (promoter)</t>
  </si>
  <si>
    <t>Ajay Goel Kumar</t>
  </si>
  <si>
    <t>Cfo</t>
  </si>
  <si>
    <t>Prerna Halwasiya</t>
  </si>
  <si>
    <t>Company Secretary</t>
  </si>
  <si>
    <t>Sr. No.</t>
  </si>
  <si>
    <t>Company</t>
  </si>
  <si>
    <t>% Common Directors</t>
  </si>
  <si>
    <t>Date Of Incop.</t>
  </si>
  <si>
    <t>Paid Up Cap (rs Lacs)</t>
  </si>
  <si>
    <t>Open Charges (rs Cr.)</t>
  </si>
  <si>
    <t>Jun 1965</t>
  </si>
  <si>
    <t xml:space="preserve"> D</t>
  </si>
  <si>
    <t xml:space="preserve"> Wtd</t>
  </si>
  <si>
    <t xml:space="preserve"> Ad</t>
  </si>
  <si>
    <t>Anil Agarwal Foundation</t>
  </si>
  <si>
    <t>May 2004</t>
  </si>
  <si>
    <t>Hare Krishna Packaging Private Limited</t>
  </si>
  <si>
    <t>Sep 1999</t>
  </si>
  <si>
    <t>Navelim Iron Private Limited</t>
  </si>
  <si>
    <t>Apr 1994</t>
  </si>
  <si>
    <t>Goa</t>
  </si>
  <si>
    <t>Optiwell Investments Private Limited</t>
  </si>
  <si>
    <t>Nov 2018</t>
  </si>
  <si>
    <t>Delhi</t>
  </si>
  <si>
    <t>Hindustan Zinc Limited</t>
  </si>
  <si>
    <t>Jan 1966</t>
  </si>
  <si>
    <t>Rajasthan</t>
  </si>
  <si>
    <t>Ferro Alloys Corporation Limited</t>
  </si>
  <si>
    <t>Sep 1955</t>
  </si>
  <si>
    <t>Orissa</t>
  </si>
  <si>
    <t>Hindustan Zinc Fertilisers Private Limited</t>
  </si>
  <si>
    <t>Sep 2022</t>
  </si>
  <si>
    <t>Hindustan Zinc Alloys Private Limited</t>
  </si>
  <si>
    <t>Nov 2021</t>
  </si>
  <si>
    <t>Sesa Community Development Foundation</t>
  </si>
  <si>
    <t>May 1994</t>
  </si>
  <si>
    <t>Zinc India Foundation</t>
  </si>
  <si>
    <t>Aug 2022</t>
  </si>
  <si>
    <t>Grant Thornton Advisory Private Limited</t>
  </si>
  <si>
    <t>Jun 2001</t>
  </si>
  <si>
    <t>Grant Thornton Bharat Llp</t>
  </si>
  <si>
    <t>Jan 2012</t>
  </si>
  <si>
    <t xml:space="preserve"> Dp</t>
  </si>
  <si>
    <t>Hindmetal Exploration Services Private Limited</t>
  </si>
  <si>
    <t>Feb 2024</t>
  </si>
  <si>
    <t>Vedanta Zinc Football &amp; Sports Foundation</t>
  </si>
  <si>
    <t>Dec 2021</t>
  </si>
  <si>
    <t>Sterlite Industries (india) Limited</t>
  </si>
  <si>
    <t>Sep 1975</t>
  </si>
  <si>
    <t>Tamil Nadu</t>
  </si>
  <si>
    <t>Cairn India Limited</t>
  </si>
  <si>
    <t>Aug 2006</t>
  </si>
  <si>
    <t>Sterlite Telecom Limited</t>
  </si>
  <si>
    <t>Apr 1995</t>
  </si>
  <si>
    <t>The Madras Aluminium Company Limited</t>
  </si>
  <si>
    <t>Aug 1960</t>
  </si>
  <si>
    <t>Sesa Industries Limited</t>
  </si>
  <si>
    <t>May 1993</t>
  </si>
  <si>
    <t xml:space="preserve"> Md</t>
  </si>
  <si>
    <t>Sterlite Telelink Limited</t>
  </si>
  <si>
    <t>Jun 1998</t>
  </si>
  <si>
    <t>Facor Power Limited</t>
  </si>
  <si>
    <t>Aug 2005</t>
  </si>
  <si>
    <t>Ana Arc Private Limited</t>
  </si>
  <si>
    <t>Jan 2017</t>
  </si>
  <si>
    <t>Karnataka</t>
  </si>
  <si>
    <t>Esl Steel Limited</t>
  </si>
  <si>
    <t>Dec 2006</t>
  </si>
  <si>
    <t>Jharkhand</t>
  </si>
  <si>
    <t>Gabriel India Limited</t>
  </si>
  <si>
    <t>Feb 1961</t>
  </si>
  <si>
    <t>Invesco Trustee Private Limited</t>
  </si>
  <si>
    <t>May 2005</t>
  </si>
  <si>
    <t>Tenon Facility Management India Private Limited</t>
  </si>
  <si>
    <t>Nov 2007</t>
  </si>
  <si>
    <t>Haryana</t>
  </si>
  <si>
    <t>Mb Power (madhya Pradesh) Limited</t>
  </si>
  <si>
    <t>Jun 2008</t>
  </si>
  <si>
    <t>Madhya Pradesh</t>
  </si>
  <si>
    <t>Play Games24x7 Private Limited</t>
  </si>
  <si>
    <t>Jun 2006</t>
  </si>
  <si>
    <t>U Games Private Limited</t>
  </si>
  <si>
    <t>Jan 2021</t>
  </si>
  <si>
    <t>Zee Entertainment Enterprises Limited</t>
  </si>
  <si>
    <t>Nov 1982</t>
  </si>
  <si>
    <t>Tvs Credit Services Limited</t>
  </si>
  <si>
    <t>Nov 2008</t>
  </si>
  <si>
    <t>New Delhi Centre For Sight Limited</t>
  </si>
  <si>
    <t>Jun 2002</t>
  </si>
  <si>
    <t>Sundaram-clayton Limited</t>
  </si>
  <si>
    <t>Aug 2017</t>
  </si>
  <si>
    <t>Tvs Holdings Limited</t>
  </si>
  <si>
    <t>May 1962</t>
  </si>
  <si>
    <t>Sterlite Technologies Limited</t>
  </si>
  <si>
    <t>Mar 2000</t>
  </si>
  <si>
    <t>Neuland Laboratories Ltd.</t>
  </si>
  <si>
    <t>Jan 1984</t>
  </si>
  <si>
    <t>Telangana</t>
  </si>
  <si>
    <t>Bharat Aluminium Co Ltd</t>
  </si>
  <si>
    <t>Nov 1965</t>
  </si>
  <si>
    <t>Federation Of India Mineral Industries</t>
  </si>
  <si>
    <t>Jun 1969</t>
  </si>
  <si>
    <t>Din</t>
  </si>
  <si>
    <t>Director</t>
  </si>
  <si>
    <t>Source Company</t>
  </si>
  <si>
    <t>Roc</t>
  </si>
  <si>
    <t>Period From</t>
  </si>
  <si>
    <t>Period Till</t>
  </si>
  <si>
    <t>Directorship Status</t>
  </si>
  <si>
    <t>Ravi Kant</t>
  </si>
  <si>
    <t xml:space="preserve">  Association Of Indian Automobiles Manufacturers (section-25 Company)</t>
  </si>
  <si>
    <t xml:space="preserve"> Roc Delhi</t>
  </si>
  <si>
    <t>Past</t>
  </si>
  <si>
    <t>Data</t>
  </si>
  <si>
    <t>No Data Found</t>
  </si>
  <si>
    <t>Date Of Cessation</t>
  </si>
  <si>
    <t>No Of Past Directorships</t>
  </si>
  <si>
    <t>Krishnamurti Venkataramanan</t>
  </si>
  <si>
    <t>Additional Director</t>
  </si>
  <si>
    <t>Kugalur Ramsesha Venkata Subrahmanian</t>
  </si>
  <si>
    <t>Kuldipkumar Dayaram Kaura</t>
  </si>
  <si>
    <t>Ceo(kmp)</t>
  </si>
  <si>
    <t>Tarun Jain</t>
  </si>
  <si>
    <t>Whole-time Director</t>
  </si>
  <si>
    <t>Dindayal Jalan</t>
  </si>
  <si>
    <t>Aman Mehta</t>
  </si>
  <si>
    <t>Upendra Kumar Sinha</t>
  </si>
  <si>
    <t>Naresh Chandra</t>
  </si>
  <si>
    <t>Director Appointed In Casual Vacancy</t>
  </si>
  <si>
    <t>Gurudas Kamat</t>
  </si>
  <si>
    <t>Arun Kumar Rai</t>
  </si>
  <si>
    <t>Yes</t>
  </si>
  <si>
    <t>Hari Prasad Unni Krishnan Nair</t>
  </si>
  <si>
    <t>Mahendra Singh Mehta</t>
  </si>
  <si>
    <t>Pandurnag Ghanasham Kakodkar</t>
  </si>
  <si>
    <t>Lalita Dileep Gupte</t>
  </si>
  <si>
    <t>Padmini Sekhsaria</t>
  </si>
  <si>
    <t>Amit Pradhan</t>
  </si>
  <si>
    <t>Anuradha Dutt</t>
  </si>
  <si>
    <t>Mahendrakumar Sharma</t>
  </si>
  <si>
    <t>Ashok Kasaragod Kini</t>
  </si>
  <si>
    <t>Guggilam Rajagopalan Arun Kumar</t>
  </si>
  <si>
    <t>Akhilesh Joshi</t>
  </si>
  <si>
    <t>Sonal Shrivastava</t>
  </si>
  <si>
    <t>Thomas Albanese</t>
  </si>
  <si>
    <t>Sunil Duggal</t>
  </si>
  <si>
    <t>Ceo</t>
  </si>
  <si>
    <t>Rajiv Kumar Choubey</t>
  </si>
  <si>
    <t xml:space="preserve">Srinivasan  Venkatakrishnan</t>
  </si>
  <si>
    <t>Wholetime Director</t>
  </si>
  <si>
    <t xml:space="preserve">Akhilesh Joshi </t>
  </si>
  <si>
    <t xml:space="preserve">Aman Mehta </t>
  </si>
  <si>
    <t xml:space="preserve">Amit Pradhan </t>
  </si>
  <si>
    <t xml:space="preserve">Anuradha Dutt </t>
  </si>
  <si>
    <t xml:space="preserve">Arun Kumar Rai </t>
  </si>
  <si>
    <t xml:space="preserve">Ashok Kasaragod Kini </t>
  </si>
  <si>
    <t xml:space="preserve">Guggilam Rajagopalan Arun Kumar </t>
  </si>
  <si>
    <t xml:space="preserve">Gurudas Kamat </t>
  </si>
  <si>
    <t xml:space="preserve">Hari Prasad Unni Krishnan Nair </t>
  </si>
  <si>
    <t xml:space="preserve">Krishnamurti Venkataramanan </t>
  </si>
  <si>
    <t xml:space="preserve">Kugalur Ramsesha Venkata Subrahmanian </t>
  </si>
  <si>
    <t xml:space="preserve">Kuldipkumar Dayaram Kaura </t>
  </si>
  <si>
    <t xml:space="preserve">Lalita Dileep Gupte </t>
  </si>
  <si>
    <t xml:space="preserve">Mahendra Singh Mehta </t>
  </si>
  <si>
    <t xml:space="preserve">Mahendrakumar Sharma </t>
  </si>
  <si>
    <t xml:space="preserve">Naresh Chandra </t>
  </si>
  <si>
    <t xml:space="preserve">Padmini Sekhsaria </t>
  </si>
  <si>
    <t xml:space="preserve">Pandurnag Ghanasham Kakodkar </t>
  </si>
  <si>
    <t xml:space="preserve">Rajiv Kumar Choubey </t>
  </si>
  <si>
    <t xml:space="preserve">Ravi Kant </t>
  </si>
  <si>
    <t xml:space="preserve">Sonal Shrivastava </t>
  </si>
  <si>
    <t xml:space="preserve">Srinivasan  Venkatakrishnan </t>
  </si>
  <si>
    <t xml:space="preserve">Sunil Duggal </t>
  </si>
  <si>
    <t xml:space="preserve">Tarun Jain </t>
  </si>
  <si>
    <t xml:space="preserve">Thomas Albanese </t>
  </si>
  <si>
    <t xml:space="preserve">Upendra Kumar Sinha </t>
  </si>
  <si>
    <t xml:space="preserve"> Ad, D</t>
  </si>
  <si>
    <t xml:space="preserve"> D, Wtd</t>
  </si>
  <si>
    <t xml:space="preserve"> D, Dacv</t>
  </si>
  <si>
    <t xml:space="preserve"> Ad, Cfo, Wtd</t>
  </si>
  <si>
    <t xml:space="preserve"> Ad, Ceo(kmp), D</t>
  </si>
  <si>
    <t xml:space="preserve"> Company Secretary</t>
  </si>
  <si>
    <t xml:space="preserve"> Cfo</t>
  </si>
  <si>
    <t xml:space="preserve"> Wholetime Director</t>
  </si>
  <si>
    <t xml:space="preserve"> Ad, Ceo, Wtd</t>
  </si>
  <si>
    <t xml:space="preserve"> Ad, D, Wtd</t>
  </si>
  <si>
    <t xml:space="preserve"> Ad, Wtd</t>
  </si>
  <si>
    <t xml:space="preserve"> Dacv</t>
  </si>
  <si>
    <t>Thinkpost Advisory Llp</t>
  </si>
  <si>
    <t>Oct 2014</t>
  </si>
  <si>
    <t>Dunmorr Sett Law Llp</t>
  </si>
  <si>
    <t>D &amp; M Corporate Consultants Private Limited</t>
  </si>
  <si>
    <t>Mar 2010</t>
  </si>
  <si>
    <t>Morrisett Litigators Pvt Ltd</t>
  </si>
  <si>
    <t>Jan 2006</t>
  </si>
  <si>
    <t>Satvik Karma Foundation</t>
  </si>
  <si>
    <t>May 2025</t>
  </si>
  <si>
    <t>Vedanta Star Limited</t>
  </si>
  <si>
    <t>Apr 2018</t>
  </si>
  <si>
    <t>Nsfo Ventures Llp</t>
  </si>
  <si>
    <t>Jan 2018</t>
  </si>
  <si>
    <t>Advent Corporate Services Private Limited</t>
  </si>
  <si>
    <t>Jan 2005</t>
  </si>
  <si>
    <t>Saumitra Research &amp; Consulting Private Limited</t>
  </si>
  <si>
    <t>Everest Finvest (india) Private Limited</t>
  </si>
  <si>
    <t>Jun 1992</t>
  </si>
  <si>
    <t>Lexnovum Consultaire Private Limited</t>
  </si>
  <si>
    <t>Tmi Engineering Private Limited</t>
  </si>
  <si>
    <t>Jul 2024</t>
  </si>
  <si>
    <t>Shree Khandelwal Digamber Jain Samaj Foundation</t>
  </si>
  <si>
    <t>Rajtaru Charity Foundation</t>
  </si>
  <si>
    <t>Mar 2011</t>
  </si>
  <si>
    <t>Narotam Sekhsaria Foundation</t>
  </si>
  <si>
    <t>Oct 2002</t>
  </si>
  <si>
    <t>Rushabhnath Digamber Jain Foundation</t>
  </si>
  <si>
    <t>Jan 2019</t>
  </si>
  <si>
    <t xml:space="preserve"> D, Individual Promoter</t>
  </si>
  <si>
    <t>Aart Corporate Advisors Private Limited</t>
  </si>
  <si>
    <t>Mar 2021</t>
  </si>
  <si>
    <t>Runarus Private Limited</t>
  </si>
  <si>
    <t>Oct 2017</t>
  </si>
  <si>
    <t>Aart Ventures Private Limited</t>
  </si>
  <si>
    <t>Nov 2019</t>
  </si>
  <si>
    <t xml:space="preserve"> Individual Promoter</t>
  </si>
  <si>
    <t>Vis Legis Consult Private Limited.</t>
  </si>
  <si>
    <t>May 2006</t>
  </si>
  <si>
    <t>Pasha Ventures Private Limited</t>
  </si>
  <si>
    <t>Apr 2010</t>
  </si>
  <si>
    <t>Antar India Private Limited</t>
  </si>
  <si>
    <t>Jul 1995</t>
  </si>
  <si>
    <t>Barkha Dutt Media Private Limited</t>
  </si>
  <si>
    <t>Apr 2015</t>
  </si>
  <si>
    <t>Taru Estado Llp</t>
  </si>
  <si>
    <t>Jul 2021</t>
  </si>
  <si>
    <t>Mawana Sugars Limited</t>
  </si>
  <si>
    <t>Dec 2002</t>
  </si>
  <si>
    <t>Morrisett Agro Forestry Ventures Private Limited</t>
  </si>
  <si>
    <t>Morrisett One Harvests Private Limited</t>
  </si>
  <si>
    <t>Morrisett Agro Plantations Private Limited</t>
  </si>
  <si>
    <t>Jul 2022</t>
  </si>
  <si>
    <t>Durvalife Jammi Herbals Private Limited</t>
  </si>
  <si>
    <t>Aug 2019</t>
  </si>
  <si>
    <t>Pi Ventures Llp</t>
  </si>
  <si>
    <t>Dec 2015</t>
  </si>
  <si>
    <t>Bayer Polychem (india) Limited</t>
  </si>
  <si>
    <t>Sep 2003</t>
  </si>
  <si>
    <t>Sterlite Opportunities And Ventures Limited</t>
  </si>
  <si>
    <t>Jan 2002</t>
  </si>
  <si>
    <t>Arasmeta Coal Mining Company Private Limited</t>
  </si>
  <si>
    <t>Feb 2005</t>
  </si>
  <si>
    <t>Li Cement Private Limited.</t>
  </si>
  <si>
    <t>Supreme Advisors Private Limited</t>
  </si>
  <si>
    <t>Jul 2007</t>
  </si>
  <si>
    <t>Ke India Securities Private Limited</t>
  </si>
  <si>
    <t>Mar 2008</t>
  </si>
  <si>
    <t>Lakecity Ventures Private Limited</t>
  </si>
  <si>
    <t>Oct 2003</t>
  </si>
  <si>
    <t>Rima Eastern Cement Limited</t>
  </si>
  <si>
    <t>Mar 2015</t>
  </si>
  <si>
    <t>Sterlite Infra Limited</t>
  </si>
  <si>
    <t>Jun 1999</t>
  </si>
  <si>
    <t>Runaya Refining Llp</t>
  </si>
  <si>
    <t>Feb 2017</t>
  </si>
  <si>
    <t>Li Eastern Private Limited</t>
  </si>
  <si>
    <t>Eros Energy Private Limited</t>
  </si>
  <si>
    <t>Jan 2010</t>
  </si>
  <si>
    <t>White Knight Constructions (india) Private Limited</t>
  </si>
  <si>
    <t>Mar 2002</t>
  </si>
  <si>
    <t>Krish Mark Infotech (india) Private Limited</t>
  </si>
  <si>
    <t>Aug 2010</t>
  </si>
  <si>
    <t>Institute Of Project Management Certification</t>
  </si>
  <si>
    <t>Jul 2008</t>
  </si>
  <si>
    <t>Auditime Information Systems (india) Limited</t>
  </si>
  <si>
    <t>Sep 2000</t>
  </si>
  <si>
    <t>Everest Foundation</t>
  </si>
  <si>
    <t>Sep 2021</t>
  </si>
  <si>
    <t>Reliance Aerostructure Limited</t>
  </si>
  <si>
    <t>Shamnagar Estates Private Limited</t>
  </si>
  <si>
    <t>Oct 2006</t>
  </si>
  <si>
    <t>West Bengal</t>
  </si>
  <si>
    <t>Ican Investments Limited</t>
  </si>
  <si>
    <t>Nov 1991</t>
  </si>
  <si>
    <t>Cef Clean Energy Focus Private Limited</t>
  </si>
  <si>
    <t>Nov 2022</t>
  </si>
  <si>
    <t>Goa Energy Limited</t>
  </si>
  <si>
    <t>Apr 1996</t>
  </si>
  <si>
    <t>Transindia Aviation Private Limited</t>
  </si>
  <si>
    <t>Feb 2007</t>
  </si>
  <si>
    <t>Printcare India Private Limited</t>
  </si>
  <si>
    <t>Dec 2007</t>
  </si>
  <si>
    <t>Runaya Eckart Aluminium Powders Private Limited</t>
  </si>
  <si>
    <t>Jun 2022</t>
  </si>
  <si>
    <t>Trapu Investments Pvt Ltd</t>
  </si>
  <si>
    <t>Jun 1983</t>
  </si>
  <si>
    <t>Reliance Unmanned Systems Limited</t>
  </si>
  <si>
    <t>Healis Sekhsaria Institute For Public Health</t>
  </si>
  <si>
    <t>Apr 2005</t>
  </si>
  <si>
    <t>Reliance Sed Limited</t>
  </si>
  <si>
    <t>Aiam Private Limited</t>
  </si>
  <si>
    <t>Feb 1960</t>
  </si>
  <si>
    <t>Edelgive Foundation</t>
  </si>
  <si>
    <t>May 2008</t>
  </si>
  <si>
    <t>L&amp;t Powergen Limited</t>
  </si>
  <si>
    <t>Oct 2010</t>
  </si>
  <si>
    <t>Aplos Ventures Private Limited</t>
  </si>
  <si>
    <t>East India Investment Co Pvt Ltd</t>
  </si>
  <si>
    <t>May 1951</t>
  </si>
  <si>
    <t>Lafarge Aggregates &amp; Concrete India Private Limited</t>
  </si>
  <si>
    <t>Oct 2007</t>
  </si>
  <si>
    <t>Hpl Cogeneration Limited</t>
  </si>
  <si>
    <t>Mar 1997</t>
  </si>
  <si>
    <t>Sesa Resources Limited</t>
  </si>
  <si>
    <t>Apr 1965</t>
  </si>
  <si>
    <t>Madanpur South Coal Company Limited</t>
  </si>
  <si>
    <t>Chattisgarh</t>
  </si>
  <si>
    <t>Skill Council For Mining Sector</t>
  </si>
  <si>
    <t>Dec 2013</t>
  </si>
  <si>
    <t>Radiance Renewables Private Limited</t>
  </si>
  <si>
    <t>Carafewerk Private Limited</t>
  </si>
  <si>
    <t>Salaam Bombay Foundation</t>
  </si>
  <si>
    <t>Jul 2002</t>
  </si>
  <si>
    <t>Minova Runaya Private Limited</t>
  </si>
  <si>
    <t>Mar 2019</t>
  </si>
  <si>
    <t>Reliance Defence Infrastructure Limited</t>
  </si>
  <si>
    <t>Reliance Naval Systems Limited</t>
  </si>
  <si>
    <t>Virtual Sense Global Technologies Private Limited</t>
  </si>
  <si>
    <t>Dec 2018</t>
  </si>
  <si>
    <t>Gaja Alternative Asset Management Limited</t>
  </si>
  <si>
    <t>Apr 1999</t>
  </si>
  <si>
    <t>Etl Secure Space Limited</t>
  </si>
  <si>
    <t>Oct 2009</t>
  </si>
  <si>
    <t>Acc Concrete Limited</t>
  </si>
  <si>
    <t>May 2007</t>
  </si>
  <si>
    <t>Goa Sea Port Private Limited</t>
  </si>
  <si>
    <t>Jul 2016</t>
  </si>
  <si>
    <t>Trapu Cans Pvt Ltd</t>
  </si>
  <si>
    <t>Mar 1974</t>
  </si>
  <si>
    <t>Ola Capital Services Private Limited</t>
  </si>
  <si>
    <t>Apr 2019</t>
  </si>
  <si>
    <t>Tecso Charge Zone Limited</t>
  </si>
  <si>
    <t>Jul 2018</t>
  </si>
  <si>
    <t>Gujarat</t>
  </si>
  <si>
    <t>Cello Pens Private Limited</t>
  </si>
  <si>
    <t>Nov 1999</t>
  </si>
  <si>
    <t>Daman And Diu</t>
  </si>
  <si>
    <t>Ola Cell Technologies Private Limited</t>
  </si>
  <si>
    <t>Radha Madhav Investments Private Limited</t>
  </si>
  <si>
    <t>Jul 1979</t>
  </si>
  <si>
    <t>Dsp Pension Fund Managers Private Limited</t>
  </si>
  <si>
    <t>Nov 2012</t>
  </si>
  <si>
    <t>Software Data (india) Ltd</t>
  </si>
  <si>
    <t>Aug 2001</t>
  </si>
  <si>
    <t>Ascent Capital Advisors India Private Limited</t>
  </si>
  <si>
    <t>Aug 2008</t>
  </si>
  <si>
    <t xml:space="preserve"> Nd</t>
  </si>
  <si>
    <t>Reliance Helicopters Limited</t>
  </si>
  <si>
    <t>Sesa Mining Corporation Limited</t>
  </si>
  <si>
    <t xml:space="preserve"> Ad, Ceo(kmp), Wtd</t>
  </si>
  <si>
    <t>Aavishkaar Foundation</t>
  </si>
  <si>
    <t>The Punjab Produce &amp; Trading Co. Pvt. Ltd.</t>
  </si>
  <si>
    <t>Jan 1937</t>
  </si>
  <si>
    <t>Reliance Propulsion Systems Limited</t>
  </si>
  <si>
    <t>Ambuja Educational Institute</t>
  </si>
  <si>
    <t>Aug 1991</t>
  </si>
  <si>
    <t>Reliance Defence Systems &amp; Tech Limited</t>
  </si>
  <si>
    <t>Swadhaar Finaccess</t>
  </si>
  <si>
    <t>Mar 2005</t>
  </si>
  <si>
    <t>Hv Transmissions Limited</t>
  </si>
  <si>
    <t>Wolkem India Limited</t>
  </si>
  <si>
    <t>Oct 1971</t>
  </si>
  <si>
    <t>Gwalior Webbing Co. Pvt. Ltd.</t>
  </si>
  <si>
    <t>Mar 1942</t>
  </si>
  <si>
    <t>Sterlite Iron And Steel Company Limited</t>
  </si>
  <si>
    <t>Sep 2004</t>
  </si>
  <si>
    <t>Cube Highways Fund Advisors Private Limited</t>
  </si>
  <si>
    <t>Apr 2021</t>
  </si>
  <si>
    <t>Landt-valdel Engineering Limited</t>
  </si>
  <si>
    <t>Nov 2004</t>
  </si>
  <si>
    <t>Falak Investment Private Limited</t>
  </si>
  <si>
    <t>Jan 1996</t>
  </si>
  <si>
    <t>Ola Electric Technologies Private Limited</t>
  </si>
  <si>
    <t>Bic-cello Exports Private Limited</t>
  </si>
  <si>
    <t>India Infradebt Limited</t>
  </si>
  <si>
    <t>Oct 2012</t>
  </si>
  <si>
    <t>Maritime Ventures Private Limited</t>
  </si>
  <si>
    <t>Jun 2013</t>
  </si>
  <si>
    <t>Linde Engineering India Private Limited</t>
  </si>
  <si>
    <t>Nov 1987</t>
  </si>
  <si>
    <t>Gacl Finance Private Limited</t>
  </si>
  <si>
    <t>Sep 1980</t>
  </si>
  <si>
    <t>Apian Finance And Investment Ltd</t>
  </si>
  <si>
    <t>Mar 1993</t>
  </si>
  <si>
    <t>Malco Energy Limited</t>
  </si>
  <si>
    <t>Jan 2001</t>
  </si>
  <si>
    <t>Ibs Forex Limited</t>
  </si>
  <si>
    <t>Feb 2001</t>
  </si>
  <si>
    <t>Punjab Produce Holdings Limited</t>
  </si>
  <si>
    <t>Sep 1995</t>
  </si>
  <si>
    <t>Emergent Ventures India Private Limited</t>
  </si>
  <si>
    <t>Aug 1999</t>
  </si>
  <si>
    <t>Lh Global Hub Services Private Limited</t>
  </si>
  <si>
    <t>May 2017</t>
  </si>
  <si>
    <t>Reliance Land Systems Limited</t>
  </si>
  <si>
    <t>Trade Marks, Patents, Designs And Copyri Ght Owners Association Of India</t>
  </si>
  <si>
    <t>Apr 1953</t>
  </si>
  <si>
    <t>L&amp;t Employees Welfare Foundation Private Limited</t>
  </si>
  <si>
    <t>Nihilent Analytics Limited</t>
  </si>
  <si>
    <t>Jul 1992</t>
  </si>
  <si>
    <t>Wolkem Industries Limited</t>
  </si>
  <si>
    <t>Feb 2000</t>
  </si>
  <si>
    <t>Welspun Home Solutions Limited</t>
  </si>
  <si>
    <t>Dec 2019</t>
  </si>
  <si>
    <t>Covestro (india) Private Limited</t>
  </si>
  <si>
    <t>National Lime Stone Company Private Limited</t>
  </si>
  <si>
    <t>Apr 1981</t>
  </si>
  <si>
    <t>Kesun Iron And Steel Company Private Limited</t>
  </si>
  <si>
    <t>Jan 2009</t>
  </si>
  <si>
    <t>Gulf Oil Lubricants India Limited</t>
  </si>
  <si>
    <t>Interarch Building Solutions Limited</t>
  </si>
  <si>
    <t>Nov 1983</t>
  </si>
  <si>
    <t>Landt Welfare Company Limited</t>
  </si>
  <si>
    <t>Uti Hart Financial And Investment Services Limited</t>
  </si>
  <si>
    <t>Mar 2001</t>
  </si>
  <si>
    <t>The Anglo Scottish Education Society</t>
  </si>
  <si>
    <t>Feb 1926</t>
  </si>
  <si>
    <t>Vedanta Medical Research Foundation</t>
  </si>
  <si>
    <t>Apr 2008</t>
  </si>
  <si>
    <t>Eros International Films Private Limited</t>
  </si>
  <si>
    <t>Aug 1994</t>
  </si>
  <si>
    <t>Hawkins Cookers Limited</t>
  </si>
  <si>
    <t>Feb 1959</t>
  </si>
  <si>
    <t>Avro India Limited</t>
  </si>
  <si>
    <t>Jul 1996</t>
  </si>
  <si>
    <t>Uttar Pradesh</t>
  </si>
  <si>
    <t>Goa Carbon Limited</t>
  </si>
  <si>
    <t>Jun 1967</t>
  </si>
  <si>
    <t>Lanxess India Private Limited</t>
  </si>
  <si>
    <t>Feb 2004</t>
  </si>
  <si>
    <t>Lucky Minmat Ltd</t>
  </si>
  <si>
    <t>Sep 1976</t>
  </si>
  <si>
    <t>Lum Mawshun Minerals Pvt Ltd</t>
  </si>
  <si>
    <t>Nov 1994</t>
  </si>
  <si>
    <t>Meghalaya</t>
  </si>
  <si>
    <t>Singhania Minerals Pvt Ltd</t>
  </si>
  <si>
    <t>Aug 1992</t>
  </si>
  <si>
    <t>Ing Vysya Bank Limited</t>
  </si>
  <si>
    <t>Mar 1930</t>
  </si>
  <si>
    <t>Alkyl Amines Chemicals Limited</t>
  </si>
  <si>
    <t>Oct 1979</t>
  </si>
  <si>
    <t>Accounts Receivables Management Services (india) Private Limited</t>
  </si>
  <si>
    <t>Atria Convergence Technologies Limited</t>
  </si>
  <si>
    <t>Jun 2000</t>
  </si>
  <si>
    <t>Ani Technologies Private Limited</t>
  </si>
  <si>
    <t>Dec 2010</t>
  </si>
  <si>
    <t>Fino Trusteeship Services Limited</t>
  </si>
  <si>
    <t>May 2009</t>
  </si>
  <si>
    <t>Anand Rathi Financial Services Limited</t>
  </si>
  <si>
    <t>Jun 1996</t>
  </si>
  <si>
    <t>Everenviro Resource Management Private Limited</t>
  </si>
  <si>
    <t>Sep 2019</t>
  </si>
  <si>
    <t>Uti Trustee Company Private Limited</t>
  </si>
  <si>
    <t>Nov 2002</t>
  </si>
  <si>
    <t>L&amp;t Fincorp Limited</t>
  </si>
  <si>
    <t>May 1997</t>
  </si>
  <si>
    <t>Fomento Resorts And Hotels Private Limited</t>
  </si>
  <si>
    <t>Mar 1971</t>
  </si>
  <si>
    <t>Sterlite Ports Limited</t>
  </si>
  <si>
    <t>Bic Cello (india) Private Limited</t>
  </si>
  <si>
    <t>Travel Corporation (india) Limited</t>
  </si>
  <si>
    <t>Jul 1961</t>
  </si>
  <si>
    <t>Ndtv Convergence Limited</t>
  </si>
  <si>
    <t>Paradip Multi Cargo Berth Private Limited</t>
  </si>
  <si>
    <t>Feb 2011</t>
  </si>
  <si>
    <t>Madhurima International Private Limited</t>
  </si>
  <si>
    <t>Sep 2007</t>
  </si>
  <si>
    <t>Sterlite Energy Limited</t>
  </si>
  <si>
    <t>Feb 1995</t>
  </si>
  <si>
    <t>Jamnagar Properties Private Limited</t>
  </si>
  <si>
    <t>Ndtv Labs Limited</t>
  </si>
  <si>
    <t>Nihilent Limited</t>
  </si>
  <si>
    <t>May 2000</t>
  </si>
  <si>
    <t>Bhilai Power Supply Company Limited</t>
  </si>
  <si>
    <t>Ola Stores Technologies Private Limited</t>
  </si>
  <si>
    <t>Oneindia Bsc Private Limited</t>
  </si>
  <si>
    <t>Aug 2015</t>
  </si>
  <si>
    <t>L&amp;t-sargent &amp; Lundy Limited</t>
  </si>
  <si>
    <t>May 1995</t>
  </si>
  <si>
    <t>Sterling Holiday Resorts (india) Limited</t>
  </si>
  <si>
    <t>May 1986</t>
  </si>
  <si>
    <t>Lafarge Umiam Mining Private Limited</t>
  </si>
  <si>
    <t>Mar 1999</t>
  </si>
  <si>
    <t>Raykal Aluminium Company Private Limited</t>
  </si>
  <si>
    <t>Feb 1999</t>
  </si>
  <si>
    <t>L&amp;t Offshore Private Limited</t>
  </si>
  <si>
    <t>Sep 2010</t>
  </si>
  <si>
    <t>Rcl Cements Limited</t>
  </si>
  <si>
    <t>Dec 1997</t>
  </si>
  <si>
    <t>Assam</t>
  </si>
  <si>
    <t>Scl Cements Limited</t>
  </si>
  <si>
    <t>Oct 1999</t>
  </si>
  <si>
    <t>Jammu Pigments Limited</t>
  </si>
  <si>
    <t>Tata Consultancy Services Limited</t>
  </si>
  <si>
    <t>Jan 1995</t>
  </si>
  <si>
    <t>Nilkamal Limited</t>
  </si>
  <si>
    <t>Dec 1985</t>
  </si>
  <si>
    <t>Dadra &amp; Nagar Haveli</t>
  </si>
  <si>
    <t>Wockhardt Limited</t>
  </si>
  <si>
    <t>Jul 1999</t>
  </si>
  <si>
    <t>Acc Limited</t>
  </si>
  <si>
    <t>Aug 1936</t>
  </si>
  <si>
    <t xml:space="preserve"> D, Dacv, Md, Wtd</t>
  </si>
  <si>
    <t>Ambuja Cements Limited</t>
  </si>
  <si>
    <t>Oct 1981</t>
  </si>
  <si>
    <t xml:space="preserve"> Cfo(kmp)</t>
  </si>
  <si>
    <t>Lloyds Metals And Energy Limited</t>
  </si>
  <si>
    <t>Apr 1977</t>
  </si>
  <si>
    <t>Duncan Engineering Limited</t>
  </si>
  <si>
    <t>Mar 1961</t>
  </si>
  <si>
    <t>Singer India Limited</t>
  </si>
  <si>
    <t>Oct 1977</t>
  </si>
  <si>
    <t>Bajaj Finserv Limited</t>
  </si>
  <si>
    <t>Apr 2007</t>
  </si>
  <si>
    <t>Icici Lombard General Insurance Company Limited</t>
  </si>
  <si>
    <t>Oct 2000</t>
  </si>
  <si>
    <t>Housing Development Finance Corporation Limited</t>
  </si>
  <si>
    <t>Karkinos Healthcare Private Limited</t>
  </si>
  <si>
    <t>Jul 2020</t>
  </si>
  <si>
    <t>Ambuja Foundation</t>
  </si>
  <si>
    <t>Jun 1993</t>
  </si>
  <si>
    <t>Afs Intercultural Programs India</t>
  </si>
  <si>
    <t>Nov 2005</t>
  </si>
  <si>
    <t>Aga Khan Health Services India</t>
  </si>
  <si>
    <t>Mar 1986</t>
  </si>
  <si>
    <t>Tata Advanced Materials Limited</t>
  </si>
  <si>
    <t>Nov 1989</t>
  </si>
  <si>
    <t>Max Healthcare Institute Limited</t>
  </si>
  <si>
    <t>Everest Industries Limited</t>
  </si>
  <si>
    <t>Apr 1934</t>
  </si>
  <si>
    <t>Godrej Properties Limited</t>
  </si>
  <si>
    <t>Feb 1985</t>
  </si>
  <si>
    <t>Mastek Limited</t>
  </si>
  <si>
    <t>May 1982</t>
  </si>
  <si>
    <t>Fsn E-commerce Ventures Limited</t>
  </si>
  <si>
    <t>Apr 2012</t>
  </si>
  <si>
    <t>Kec International Limited</t>
  </si>
  <si>
    <t>Kirloskar Pneumatic Company Limited</t>
  </si>
  <si>
    <t>Nov 1974</t>
  </si>
  <si>
    <t>Havells India Limited</t>
  </si>
  <si>
    <t>Aug 1983</t>
  </si>
  <si>
    <t>Hindustan Motors Ltd</t>
  </si>
  <si>
    <t>Feb 1942</t>
  </si>
  <si>
    <t>Tvs Motor Company Limited</t>
  </si>
  <si>
    <t>Honda India Power Products Limited</t>
  </si>
  <si>
    <t>Sep 1985</t>
  </si>
  <si>
    <t>Electrosteel Castings Ltd</t>
  </si>
  <si>
    <t>Nov 1955</t>
  </si>
  <si>
    <t>Godawari Power And Ispat Limited</t>
  </si>
  <si>
    <t>Blue Star Limited</t>
  </si>
  <si>
    <t>Jan 1949</t>
  </si>
  <si>
    <t>Gol Offshore Limited</t>
  </si>
  <si>
    <t>Jul 2005</t>
  </si>
  <si>
    <t>Balrampur Chini Mills Ltd</t>
  </si>
  <si>
    <t>Jul 1975</t>
  </si>
  <si>
    <t>Birla Corporation Limited</t>
  </si>
  <si>
    <t>Aug 1919</t>
  </si>
  <si>
    <t>Ola Financial Services Private Limited</t>
  </si>
  <si>
    <t>Alcon Cement Company Private Limited</t>
  </si>
  <si>
    <t>Sep 1992</t>
  </si>
  <si>
    <t>Vinay Cement Limited</t>
  </si>
  <si>
    <t>Jul 1986</t>
  </si>
  <si>
    <t>Mylan Laboratories Limited</t>
  </si>
  <si>
    <t>Nov 1984</t>
  </si>
  <si>
    <t>Asian Concretes And Cements Private Limited</t>
  </si>
  <si>
    <t>Jun 2009</t>
  </si>
  <si>
    <t>Chandigarh</t>
  </si>
  <si>
    <t>Tal Manufacturing Solutions Limited</t>
  </si>
  <si>
    <t>L&amp;t Energy Hydrocarbon Engineering Limited</t>
  </si>
  <si>
    <t>Indigrid Investment Managers Limited</t>
  </si>
  <si>
    <t>Nippon Life India Asset Management Limited</t>
  </si>
  <si>
    <t>L&amp;t Hydrocarbon Engineering Limited</t>
  </si>
  <si>
    <t>Apr 2009</t>
  </si>
  <si>
    <t xml:space="preserve"> Ad, D, Md</t>
  </si>
  <si>
    <t>Modern Food Enterprises Private Limited</t>
  </si>
  <si>
    <t>Dec 2014</t>
  </si>
  <si>
    <t>New Delhi Television Limited</t>
  </si>
  <si>
    <t>Sep 1988</t>
  </si>
  <si>
    <t>Jet Airways (india) Limited</t>
  </si>
  <si>
    <t>Apr 1992</t>
  </si>
  <si>
    <t>Eros International Media Limited</t>
  </si>
  <si>
    <t>Edelweiss Financial Services Limited</t>
  </si>
  <si>
    <t>Nov 1995</t>
  </si>
  <si>
    <t>Aavishkaar Venture Management Services Private Limited</t>
  </si>
  <si>
    <t>Mar 2006</t>
  </si>
  <si>
    <t>Ndtv Networks Limited</t>
  </si>
  <si>
    <t>Jun 2010</t>
  </si>
  <si>
    <t>Counto Microfine Products Private Limited</t>
  </si>
  <si>
    <t>Dec 1996</t>
  </si>
  <si>
    <t>Rbl Finserve Limited</t>
  </si>
  <si>
    <t>Icici Venture Funds Management Company Limited</t>
  </si>
  <si>
    <t>Jan 1988</t>
  </si>
  <si>
    <t>Holcim Services (south Asia) Private Limited</t>
  </si>
  <si>
    <t>Apr 2006</t>
  </si>
  <si>
    <t>Pisces Eservices Private Limited</t>
  </si>
  <si>
    <t>Feb 2012</t>
  </si>
  <si>
    <t>L&amp;t Energy Green Tech Limited</t>
  </si>
  <si>
    <t>Avtec Limited</t>
  </si>
  <si>
    <t>Tata Industries Limited</t>
  </si>
  <si>
    <t>Apr 1945</t>
  </si>
  <si>
    <t>Regen Powertech Private Limited</t>
  </si>
  <si>
    <t>Indus Clean Energy (india) Private Limited</t>
  </si>
  <si>
    <t>Jul 2010</t>
  </si>
  <si>
    <t>Hindlever Trust Limited</t>
  </si>
  <si>
    <t>Apr 1958</t>
  </si>
  <si>
    <t>G4s Corporate Services (india) Private Limited</t>
  </si>
  <si>
    <t>Uti Pension Fund Limited</t>
  </si>
  <si>
    <t>Ffpl Finserv Private Limited</t>
  </si>
  <si>
    <t>Mar 1994</t>
  </si>
  <si>
    <t>Edelweiss Asset Reconstruction Company Limited</t>
  </si>
  <si>
    <t>Ola Fleet Technologies Private Limited</t>
  </si>
  <si>
    <t>Dsp Finance Private Limited</t>
  </si>
  <si>
    <t>May 1996</t>
  </si>
  <si>
    <t>L&amp;t Offshore Marine Private Limited</t>
  </si>
  <si>
    <t>Karaikal Port Private Limited</t>
  </si>
  <si>
    <t>Feb 2006</t>
  </si>
  <si>
    <t>Pondicherry</t>
  </si>
  <si>
    <t>Unilever India Exports Limited</t>
  </si>
  <si>
    <t>Jun 1963</t>
  </si>
  <si>
    <t>Metropolitan Stock Exchange Of India Limited</t>
  </si>
  <si>
    <t>Edelweiss Life Insurance Company Limited</t>
  </si>
  <si>
    <t>Nov 2009</t>
  </si>
  <si>
    <t>East Coast Energy Private Limited</t>
  </si>
  <si>
    <t>Jan 2007</t>
  </si>
  <si>
    <t>Emaar India Limited</t>
  </si>
  <si>
    <t>New Consolidated Construction Company Limited</t>
  </si>
  <si>
    <t>Oct 1946</t>
  </si>
  <si>
    <t>Vizag General Cargo Berth Private Limited</t>
  </si>
  <si>
    <t>Wipro Ge Healthcare Private Limited</t>
  </si>
  <si>
    <t>Mar 1990</t>
  </si>
  <si>
    <t xml:space="preserve"> Alt-d</t>
  </si>
  <si>
    <t>Tata Motors Body Solutions Limited</t>
  </si>
  <si>
    <t>Sep 2006</t>
  </si>
  <si>
    <t>Tata Cummins Private Limited</t>
  </si>
  <si>
    <t>Oct 1993</t>
  </si>
  <si>
    <t>Nabha Power Limited</t>
  </si>
  <si>
    <t>Punjab</t>
  </si>
  <si>
    <t>Talwandi Sabo Power Limited</t>
  </si>
  <si>
    <t>Fino Paytech Limited</t>
  </si>
  <si>
    <t>Levers Associated Trust Limited</t>
  </si>
  <si>
    <t>Dec 1946</t>
  </si>
  <si>
    <t>International Asset Reconstruction Company Private Limited</t>
  </si>
  <si>
    <t>Mp Amrl (morga) Coal Company Limited</t>
  </si>
  <si>
    <t>Mp Amrl (semaria) Coal Company Limited</t>
  </si>
  <si>
    <t>Mp Amrl (bicharpur) Coal Company Limited</t>
  </si>
  <si>
    <t>Mp Amrl (marki Barka) Coal Company Limited</t>
  </si>
  <si>
    <t>Acc Mineral Resources Limted</t>
  </si>
  <si>
    <t>Jul 1930</t>
  </si>
  <si>
    <t>Honda Cars India Limited</t>
  </si>
  <si>
    <t>Dec 1995</t>
  </si>
  <si>
    <t>Fiat India Automobiles Private Limited</t>
  </si>
  <si>
    <t>Jan 1997</t>
  </si>
  <si>
    <t>Amns Khopoli Limited</t>
  </si>
  <si>
    <t>Mar 1985</t>
  </si>
  <si>
    <t>L&amp;t - Mhi Power Boilers Private Limited</t>
  </si>
  <si>
    <t>Hpcl-mittal Energy Limited</t>
  </si>
  <si>
    <t>Dec 2000</t>
  </si>
  <si>
    <t>United Spirits Limited</t>
  </si>
  <si>
    <t>Bata India Ltd</t>
  </si>
  <si>
    <t>Dec 1931</t>
  </si>
  <si>
    <t>Hindustan Unilever Limited</t>
  </si>
  <si>
    <t>Oct 1933</t>
  </si>
  <si>
    <t xml:space="preserve"> Person Incharge, Wtd</t>
  </si>
  <si>
    <t>Tata Steel Limited</t>
  </si>
  <si>
    <t>Aug 1907</t>
  </si>
  <si>
    <t>Nuvoco Vistas Corporation Limited</t>
  </si>
  <si>
    <t>Godrej Consumer Products Limited</t>
  </si>
  <si>
    <t>Nov 2000</t>
  </si>
  <si>
    <t>Gocl Corporation Limited</t>
  </si>
  <si>
    <t>Apr 1961</t>
  </si>
  <si>
    <t>Styrenix Performance Materials Limited</t>
  </si>
  <si>
    <t>Dec 1973</t>
  </si>
  <si>
    <t>Bharat Forge Ltd</t>
  </si>
  <si>
    <t>Jun 1961</t>
  </si>
  <si>
    <t>Asian Paints Limited</t>
  </si>
  <si>
    <t>Oct 1945</t>
  </si>
  <si>
    <t>Max Financial Services Limited</t>
  </si>
  <si>
    <t>Feb 1988</t>
  </si>
  <si>
    <t>Wipro Limited</t>
  </si>
  <si>
    <t>Dec 1945</t>
  </si>
  <si>
    <t>63 Moons Technologies Limited</t>
  </si>
  <si>
    <t>Apr 1988</t>
  </si>
  <si>
    <t>Voltas Limited</t>
  </si>
  <si>
    <t>Sep 1954</t>
  </si>
  <si>
    <t>Kirloskar Brothers Limited</t>
  </si>
  <si>
    <t>Jan 1920</t>
  </si>
  <si>
    <t>Hindustan Construction Company Limited</t>
  </si>
  <si>
    <t>Jan 1926</t>
  </si>
  <si>
    <t>Thomas Cook (india) Limited</t>
  </si>
  <si>
    <t>Oct 1978</t>
  </si>
  <si>
    <t>Firstsource Solutions Limited</t>
  </si>
  <si>
    <t>Dec 2001</t>
  </si>
  <si>
    <t>Bajaj Holdings &amp; Investment Limited.</t>
  </si>
  <si>
    <t>Nov 1945</t>
  </si>
  <si>
    <t>Quess Corp Limited</t>
  </si>
  <si>
    <t>Reliance Infrastructure Limited</t>
  </si>
  <si>
    <t>Oct 1929</t>
  </si>
  <si>
    <t xml:space="preserve"> Ceo(kmp)</t>
  </si>
  <si>
    <t>Sis Limited</t>
  </si>
  <si>
    <t>Jan 1985</t>
  </si>
  <si>
    <t>Bihar</t>
  </si>
  <si>
    <t>Centrum Capital Limited</t>
  </si>
  <si>
    <t>Nov 1977</t>
  </si>
  <si>
    <t>Uti Asset Management Company Limited</t>
  </si>
  <si>
    <t>Bajaj Auto Limited.</t>
  </si>
  <si>
    <t>Ajr Infra And Tolling Limited</t>
  </si>
  <si>
    <t>Apr 2001</t>
  </si>
  <si>
    <t>Rbl Bank Limited</t>
  </si>
  <si>
    <t>Jun 1943</t>
  </si>
  <si>
    <t>Tata Hitachi Construction Machinery Company Private Limited</t>
  </si>
  <si>
    <t>Dec 1998</t>
  </si>
  <si>
    <t>Indian School Of Business</t>
  </si>
  <si>
    <t>Oct 1997</t>
  </si>
  <si>
    <t>Bulk Cement Corporation (india) Limited</t>
  </si>
  <si>
    <t>May 1992</t>
  </si>
  <si>
    <t>Fulford (india) Private Limited</t>
  </si>
  <si>
    <t>Mar 1948</t>
  </si>
  <si>
    <t>Indo Enviro Integrated Solutions Private Limited</t>
  </si>
  <si>
    <t>Aug 2007</t>
  </si>
  <si>
    <t>Sbi Capital Markets Limited</t>
  </si>
  <si>
    <t>Indusind Bank Ltd.</t>
  </si>
  <si>
    <t>Jan 1994</t>
  </si>
  <si>
    <t>Multi Commodity Exchange Of India Limited</t>
  </si>
  <si>
    <t>Apr 2002</t>
  </si>
  <si>
    <t xml:space="preserve"> D, Nd</t>
  </si>
  <si>
    <t>Icici Bank Limited</t>
  </si>
  <si>
    <t>Tata Motors Passenger Vehicles Limited</t>
  </si>
  <si>
    <t>Sep 1945</t>
  </si>
  <si>
    <t>Andhra Paper Limited</t>
  </si>
  <si>
    <t>Jun 1964</t>
  </si>
  <si>
    <t>Andhra Pradesh</t>
  </si>
  <si>
    <t>Dalmia Cement (north East) Limited</t>
  </si>
  <si>
    <t>Sikkim Urja Limited</t>
  </si>
  <si>
    <t>Rajasthan State Mines And Minerals Ltd</t>
  </si>
  <si>
    <t>May 1949</t>
  </si>
  <si>
    <t>Larsen And Toubro Limited</t>
  </si>
  <si>
    <t>Feb 1946</t>
  </si>
  <si>
    <t xml:space="preserve"> Md, Wtd</t>
  </si>
  <si>
    <t>Hassan Mangalore Rail Development Company Limited</t>
  </si>
  <si>
    <t>Jul 2003</t>
  </si>
  <si>
    <t>Bses Yamuna Power Limited</t>
  </si>
  <si>
    <t>Jul 2001</t>
  </si>
  <si>
    <t>Bses Rajdhani Power Limited</t>
  </si>
  <si>
    <t>Sbi Funds Management Limited</t>
  </si>
  <si>
    <t>Feb 1992</t>
  </si>
  <si>
    <t>Source</t>
  </si>
  <si>
    <t>Category</t>
  </si>
  <si>
    <t>Remarks</t>
  </si>
  <si>
    <t>Type</t>
  </si>
  <si>
    <t>Likely/not Sure</t>
  </si>
  <si>
    <t>Nse</t>
  </si>
  <si>
    <t>Redressal Of Complaints Lodged By Investors Against Listed Companies</t>
  </si>
  <si>
    <t>Redressal Of 49 Complaint Lodged By Investor Against Vedanta Limited During 2025-26 As On 31-mar-26.</t>
  </si>
  <si>
    <t>Routine</t>
  </si>
  <si>
    <t>Likely</t>
  </si>
  <si>
    <t>Complaints Received From Clients Against Trading Members</t>
  </si>
  <si>
    <t>Hemang Shah Filed Complaint Against Vedanta Limited On 06-mar-26 During The Fy 2025-26.</t>
  </si>
  <si>
    <t>Kavita Gulati Filed Complaint Against Vedanta Limited On 01-mar-26 During The Fy 2025-26.</t>
  </si>
  <si>
    <t>Redressal Of 46 Complaint Lodged By Investor Against Vedanta Limited During 2025-26 As On 28-feb-26.</t>
  </si>
  <si>
    <t>Kiran Kantilal Shah Filed Complaint Against Vedanta Limited On 26-feb-26 During The Fy 2025-26.</t>
  </si>
  <si>
    <t>P Sapta Rishi Filed Complaint Against Vedanta Limited On 26-feb-26 During The Fy 2025-26.</t>
  </si>
  <si>
    <t>Rajesh Kumar Filed Complaint Against Vedanta Limited On 19-feb-26 During The Fy 2025-26.</t>
  </si>
  <si>
    <t>Abhishek Kashyap Filed Complaint Against Vedanta Limited On 17-feb-26 During The Fy 2025-26.</t>
  </si>
  <si>
    <t>Hemang Shah Filed Complaint Against Vedanta Limited On 17-feb-26 During The Fy 2025-26.</t>
  </si>
  <si>
    <t>Ganesh Shankar Shetye Filed Complaint Against Vedanta Limited On 06-feb-26 During The Fy 2025-26.</t>
  </si>
  <si>
    <t>Redressal Of 41 Complaint Lodged By Investor Against Vedanta Limited During 2025-26 As On 31-jan-26.</t>
  </si>
  <si>
    <t>Maria Santana Monteiro Filed Complaint Against Vedanta Limited On 23-jan-26 During The Fy 2025-26.</t>
  </si>
  <si>
    <t>Naresh Kumar Singhania Filed Complaint Against Vedanta Limited On 21-jan-26 During The Fy 2025-26.</t>
  </si>
  <si>
    <t>Redressal Of 37 Complaint Lodged By Investor Against Vedanta Limited During 2025-26 As On 31-dec-25.</t>
  </si>
  <si>
    <t>Prem Prakash Poddar Filed Complaint Against Vedanta Limited On 09-dec-25 During The Fy 2025-26.</t>
  </si>
  <si>
    <t>Prem Prakash Poddar Filed Complaint Against Vedanta Limited On 02-dec-25 During The Fy 2025-26.</t>
  </si>
  <si>
    <t>Redressal Of 68 Complaint Lodged By Investor Against Vedanta Limited During 2025-26 As On 30-nov-25.</t>
  </si>
  <si>
    <t>Prem Prakash Poddar Filed Complaint Against Vedanta Limited On 12-nov-25 During The Fy 2025-26.</t>
  </si>
  <si>
    <t>Rekha Mohan Chandiramani Filed Complaint Against Vedanta Limited On 28-oct-25 During The Fy 2025-26.</t>
  </si>
  <si>
    <t>Ravi Barot Filed Complaint Against Vedanta Limited On 26-oct-25 During The Fy 2025-26.</t>
  </si>
  <si>
    <t>Rekha Mohan Chandiramani Filed Complaint Against Vedanta Limited On 25-oct-25 During The Fy 2025-26.</t>
  </si>
  <si>
    <t>Yash Sanjay Agrawal Filed Complaint Against Vedanta Limited On 13-oct-25 During The Fy 2025-26.</t>
  </si>
  <si>
    <t>Prem Prakash Poddar Filed Complaint Against Vedanta Limited On 10-oct-25 During The Fy 2025-26.</t>
  </si>
  <si>
    <t>Ramesh Shroff Filed Complaint Against Vedanta Limited On 07-oct-25 During The Fy 2025-26.</t>
  </si>
  <si>
    <t>Abdulkadir Rustum Filed Complaint Against Vedanta Limited On 07-oct-25 During The Fy 2025-26.</t>
  </si>
  <si>
    <t>Redressal Of 68 Complaint Lodged By Investor Against Vedanta Limited During 2025-26 As On 30-sep-25.</t>
  </si>
  <si>
    <t>Hemamalini . Filed Complaint Against Vedanta Limited On 26-sep-25 During The Fy 2025-26.</t>
  </si>
  <si>
    <t>Dinesh Jasvantray Thar Filed Complaint Against Vedanta Limited On 19-sep-25 During The Fy 2025-26.</t>
  </si>
  <si>
    <t>H N Rajasekhar Filed Complaint Against Vedanta Limited On 18-sep-25 During The Fy 2025-26.</t>
  </si>
  <si>
    <t>Reena Birla Filed Complaint Against Vedanta Limited On 13-sep-25 During The Fy 2025-26.</t>
  </si>
  <si>
    <t>Naveen Sachdev Filed Complaint Against Vedanta Limited On 8-sep-25 During The Fy 2025-26.</t>
  </si>
  <si>
    <t>Redressal Of 20 Complaint Lodged By Investor Against Vedanta Limited During 2025-26 As On 31-aug-25.</t>
  </si>
  <si>
    <t>Jhunjhunwala Pravinkumar H Filed Complaint Against Vedanta Limited On 23-aug-25 During The Fy 2025-26.</t>
  </si>
  <si>
    <t>Patel Akil Filed Complaint Against Vedanta Limited On 13-aug-25 During The Fy 2025-26.</t>
  </si>
  <si>
    <t>Sachin Jain Filed Complaint Against Vedanta Limited On 11-aug-25 During The Fy 2025-26.</t>
  </si>
  <si>
    <t>Krithika Arun Mehta Filed Complaint Against Vedanta Limited On 08-aug-25 During The Fy 2025-26.</t>
  </si>
  <si>
    <t>Redressal Of 16 Complaint Lodged By Investor Against Vedanta Limited During 2025-26 As On 31-jul-25.</t>
  </si>
  <si>
    <t xml:space="preserve">Redressal Of 6 Complaint Lodged By Investor Against Vedanta  Limited During 2025-26 As On 31-jul-25.</t>
  </si>
  <si>
    <t>Complaints Received From Investors Against Listed Companies</t>
  </si>
  <si>
    <t>Anandu Vithal Nayak Filed Complaint Against Vedanta Limited On 12-jul-25 During The Fy 2025-26.</t>
  </si>
  <si>
    <t xml:space="preserve">Malita  Dsouza Filed Complaint Against Vedanta Limited On 02-jul-25 During The Fy 2025-26.</t>
  </si>
  <si>
    <t>Priyakant Ramanlal Parikh Filed Complaint Against Vedanta Limited On 01-jul-25 During The Fy 2025-26.</t>
  </si>
  <si>
    <t>Vaibhav Chopra Filed Complaint Against Vedanta Limited On 01-jul-25 During The Fy 2025-26.</t>
  </si>
  <si>
    <t>Redressal Of 13 Complaint Lodged By Investor Against Vedanta Limited During 2025-26 As On 30-jun-25.</t>
  </si>
  <si>
    <t xml:space="preserve">Redressal Of 3 Complaint Lodged By Investor Against Vedanta  Limited During 2025-26 As On 30-jun-25.</t>
  </si>
  <si>
    <t>Gopi Ram Singhania Filed Complaint Against Vedanta Limited On 25-jun-25 During The Fy 2025-26.</t>
  </si>
  <si>
    <t>Sangeeta Joshi Filed Complaint Against Vedanta Limited On 16-jun-25 During The Fy 2025-26.</t>
  </si>
  <si>
    <t>Sangeeta Joshi Filed Complaint Against Vedanta Limited On 14-may-25 During The Fy 2025-26.</t>
  </si>
  <si>
    <t>K Vijayalakshmi . Filed Complaint Against Vedanta Limited On 6-jun-25 During The Fy 2025-26.</t>
  </si>
  <si>
    <t>Pankaj Agarwal Filed Complaint Against Vedanta Limited On 1-jun-25 During The Fy 2025-26.</t>
  </si>
  <si>
    <t>Redressal Of 2 Complaint Lodged By Investor Against Vedanta Limited During 2025-26 As On 31-may-25.</t>
  </si>
  <si>
    <t>Redressal Of 8 Complaint Lodged By Investor Against Vedanta Limited During 2025-26 As On 31-may-25.</t>
  </si>
  <si>
    <t>Arvind Laxman Gurav Filed Complaint Against Vedanta Limited On 7-may-25 During The Fy 2025-26.</t>
  </si>
  <si>
    <t>Buddhi Prakash Sharma Filed Complaint Against Vedanta Limited On 7-may-25 During The Fy 2025-26.</t>
  </si>
  <si>
    <t>Sachin Kumar Filed Complaint Against Vedanta Limited On 5-may-25 During The Fy 2025-26.</t>
  </si>
  <si>
    <t>Redressal Of 68 Complaint Lodged By Investor Against Vedanta Limited During 2024-25 As On 30-apr-25.</t>
  </si>
  <si>
    <t xml:space="preserve">Redressal Of 29 Complaint Lodged By Investor Against Vedanta  Limited During 2024-25 As On 30-apr-25.</t>
  </si>
  <si>
    <t>Redressal Of 3 Complaint Lodged By Investor Against Vedanta Limited During 2025-26 As On 30-apr-25.</t>
  </si>
  <si>
    <t xml:space="preserve">Redressal Of 1 Complaint Lodged By Investor Against Vedanta  Limited During 2025-26 As On 30-apr-25.</t>
  </si>
  <si>
    <t>Pares Trikamlal Shah Filed Complaint Against Vedanta Limited On 9-apr-25 During The Fy 2025-26.</t>
  </si>
  <si>
    <t>Palak Dave Filed Complaint Against Vedanta Limited On 5-apr-25 During The Fy 2025-26.</t>
  </si>
  <si>
    <t>Jaykumar Pushyamitrabhai Jani Filed Complaint Against Vedanta Limited On 2-apr-25 During The Fy 2025-26.</t>
  </si>
  <si>
    <t>Gauri Tiwary Filed Complaint Against Vedanta Limited On 1-mar-25 During The Fy 2024-25.</t>
  </si>
  <si>
    <t>Priya Bhura Filed Complaint Against Vedanta Limited On 22-feb-25 During The Fy 2024-25.</t>
  </si>
  <si>
    <t>Deepak Kumar Filed Complaint Against Vedanta Limited On 5-feb-25 During The Fy 2024-25.</t>
  </si>
  <si>
    <t>Sudha Sharma Filed Complaint Against Vedanta Limited On 1-feb-25 During The Fy 2024-25.</t>
  </si>
  <si>
    <t>Jaykumar Pushyamitrabhai Jani Filed Complaint Against Vedanta Limited On 30-jan-25 During The Fy 2024-25.</t>
  </si>
  <si>
    <t>Sourav Biswas Filed Complaint Against Vedanta Limited On 23-jan-25 During The Fy 2024-25.</t>
  </si>
  <si>
    <t>Alluri Kaushik Filed Complaint Against Vedanta Limited On 22-jan-25 During The Fy 2024-25.</t>
  </si>
  <si>
    <t>Santhosh . Filed Complaint Against Vedanta Limited On 21-jan-25 During The Fy 2024-25.</t>
  </si>
  <si>
    <t>Najoo Edul Adajania / Shirin Rusi Batliwala Filed Complaint Against Vedanta Limited On 15-jan-25 During The Fy 2024-25.</t>
  </si>
  <si>
    <t>Aaryan Agarwal Filed Complaint Against Vedanta Limited On 15-jan-25 During The Fy 2024-25.</t>
  </si>
  <si>
    <t>Iftekhar Ahmed Filed Complaint Against Vedanta Limited On 12-jan-25 During The Fy 2024-25.</t>
  </si>
  <si>
    <t>Nikulkumar Dalpatbhai Barot Filed Complaint Against Vedanta Limited On 8-jan-25 During The Fy 2024-25.</t>
  </si>
  <si>
    <t>Rubin Tolaram Malkani / Sunita R Malkani Filed Complaint Against Vedanta Limited On 6-jan-25 During The Fy 2024-25.</t>
  </si>
  <si>
    <t>Leenaben Ajaykumar Bavisi Filed Complaint Against Vedanta Limited On 15-dec-24 During The Fy 2024-25.</t>
  </si>
  <si>
    <t>Redressal Of 51 Complaint Lodged By Investor Against Vedanta Limited During 2024-25 As On 30-nov-2024.</t>
  </si>
  <si>
    <t>Redressal Of 16 Complaint Lodged By Investor Against Vedanta Limited During 2024-25 As On 30-nov-2024.</t>
  </si>
  <si>
    <t>Pramod Kumar Jha Filed Complaint Against Vedanta Limited On 24-nov-24 During The Fy 2024-25.</t>
  </si>
  <si>
    <t>Rekha Mohan Chandiramani Filed Complaint Against Vedanta Limited On 21-nov-24 During The Fy 2024-25.</t>
  </si>
  <si>
    <t>Sahil Sehgal Filed Complaint Against Vedanta Limited On 17-nov-24 During The Fy 2024-25.</t>
  </si>
  <si>
    <t>Sahil Sehgal Filed Complaint Against Vedanta Limited On 12-nov-24 During The Fy 2024-25.</t>
  </si>
  <si>
    <t>Redressal Of 47 Complaint Lodged By Investor Against Vedanta Limited During 2024-25 As On 31-oct-2024.</t>
  </si>
  <si>
    <t xml:space="preserve">Redressal Of 15 Complaint Lodged By Investor Against Vedanta  Limited During 2024-25 As On 31-oct-2024.</t>
  </si>
  <si>
    <t>K Vijayalakshmi . Filed Complaint Against Vedanta Limited On 28-oct-24 During The Fy 2024-25.</t>
  </si>
  <si>
    <t>Rubin Tolaram Malkani / Sunita R Malkani Filed Complaint Against Vedanta Limited On 22-oct-24 During The Fy 2024-25.</t>
  </si>
  <si>
    <t>Sanket Singh Filed Complaint Against Vedanta Limited On 20-oct-24 During The Fy 2024-25.</t>
  </si>
  <si>
    <t>Prasanjeet Kabi Filed Complaint Against Vedanta Limited On 10-oct-24 During The Fy 2024-25.</t>
  </si>
  <si>
    <t>Naresh Kumar Singhania Filed Complaint Against Vedanta Limited On 9-oct-24 During The Fy 2024-25.</t>
  </si>
  <si>
    <t>Rubin Tolaram Malkani / Sunita R Malkani Filed Complaint Against Vedanta Limited On 8-oct-24 During The Fy 2024-25.</t>
  </si>
  <si>
    <t>Vandna Purohit Filed Complaint Against Vedanta Limited On 5-oct-24 During The Fy 2024-25.</t>
  </si>
  <si>
    <t>Redressal Of 38 Complaint Lodged By Investor Against Vedanta Limited During 2024-25 As On 30-sep-2024.</t>
  </si>
  <si>
    <t xml:space="preserve">Redressal Of 15 Complaint Lodged By Investor Against Vedanta  Limited During 2024-25 As On 30-sep-2024.</t>
  </si>
  <si>
    <t>Rajat . Filed Complaint Against Vedanta Limited On 27-sep-24 During The Fy 2024-25.</t>
  </si>
  <si>
    <t>Najoo Edul Adajania / Shirin Rusi Batliwala Filed Complaint Against Vedanta Limited On 26-sep-24 During The Fy 2024-25.</t>
  </si>
  <si>
    <t>Chakradhar Jha Filed Complaint Against Vedanta Limited On 22-sep-24 During The Fy 2024-25.</t>
  </si>
  <si>
    <t>Rubin Tolaram Malkani / Sunita R Malkani Filed Complaint Against Vedanta Limited On 9-sep-24 During The Fy 2024-25.</t>
  </si>
  <si>
    <t>Asset Retrieval Advisors Filed Complaint Against Vedanta Limited On 3-sep-24 During The Fy 2024-25.</t>
  </si>
  <si>
    <t>Sourav Biswas Filed Complaint Against Vedanta Limited On 2-sep-24 During The Fy 2024-25.</t>
  </si>
  <si>
    <t>Redressal Of 63 Complaint Lodged By Investor Against Vedanta Limited During 2022-23 As On 31-aug-2024.</t>
  </si>
  <si>
    <t>Redressal Of 66 Complaint Lodged By Investor Against Vedanta Limited During 2023-24 As On 31-aug-2024.</t>
  </si>
  <si>
    <t xml:space="preserve">Redressal Of 15 Complaint Lodged By Investor Against Vedanta  Limited During 2024-25 As On 31-aug-2024.</t>
  </si>
  <si>
    <t>Redressal Of 32 Complaint Lodged By Investor Against Vedanta Limited During 2024-25 As On 31-aug-2024.</t>
  </si>
  <si>
    <t>Rajat . Filed Complaint Against Vedanta Limited On 30-aug-24 During The Fy 2024-25.</t>
  </si>
  <si>
    <t>V. Dhanalakshmi Filed Complaint Against Vedanta Limited On 29-aug-24 During The Fy 2024-25.</t>
  </si>
  <si>
    <t>Kapil Mohan Filed Complaint Against Vedanta Limited On 29-aug-24 During The Fy 2024-25.</t>
  </si>
  <si>
    <t>Naresh Kumar Singhania Filed Complaint Against Vedanta Limited On 27-aug-24 During The Fy 2024-25.</t>
  </si>
  <si>
    <t>Rubin Tolaram Malkani / Sunita R Malkani Filed Complaint Against Vedanta Limited On 27-aug-24 During The Fy 2024-25.</t>
  </si>
  <si>
    <t>Kaliki Padma Filed Complaint Against Vedanta Limited On 17-aug-24 During The Fy 2024-25.</t>
  </si>
  <si>
    <t>Jaramu Ram Thakur Filed Complaint Against Vedanta Limited On 17-aug-24 During The Fy 2024-25.</t>
  </si>
  <si>
    <t>Romanch . Filed Complaint Against Vedanta Limited On 16-aug-24 During The Fy 2024-25.</t>
  </si>
  <si>
    <t>Pramila Devi Filed Complaint Against Vedanta Limited On 15-aug-24 During The Fy 2024-25.</t>
  </si>
  <si>
    <t>Abhishek Agarwal Filed Complaint Against Vedanta Limited On 22-jul-24 During The Fy 2024-25.</t>
  </si>
  <si>
    <t>Tiruvallur Thattai Krishnan Filed Complaint Against Vedanta Limited On 10-jul-24 During The Fy 2024-25.</t>
  </si>
  <si>
    <t>Jaramu Ram Thakur Filed Complaint Against Vedanta Limited On 3-jul-24 During The Fy 2024-25.</t>
  </si>
  <si>
    <t>Bse</t>
  </si>
  <si>
    <t>Redressal Of 1 Complaints Lodged By Investor Against Vedanta Limited During Fy 2023-24 As Last Updated On 08-jul-2024.</t>
  </si>
  <si>
    <t>Ashis Jain Filed Complaint Against Vedanta Limited On 28-jun-24 During The Fy 2024-25.</t>
  </si>
  <si>
    <t>Amar Raj Singh Filed Complaint Against Vedanta Limited On 27-jun-24 During The Fy 2024-25.</t>
  </si>
  <si>
    <t>Pankaj Agarwal Filed Complaint Against Vedanta Limited On 20-jun-24 During The Fy 2024-25.</t>
  </si>
  <si>
    <t>Sourav Biswas Filed Complaint Against Vedanta Limited On 18-jun-24 During The Fy 2024-25.</t>
  </si>
  <si>
    <t>Pankaj Agarwal Filed Complaint Against Vedanta Limited On 17-jun-24 During The Fy 2024-25.</t>
  </si>
  <si>
    <t>Rajat Bindlish Filed Complaint Against Vedanta Limited On 15-jun-24 During The Fy 2024-25.</t>
  </si>
  <si>
    <t>Prasanjeet Kabi Filed Complaint Against Vedanta Limited On 10-jun-24 During The Fy 2024-25.</t>
  </si>
  <si>
    <t>Anita Sahu Filed Complaint Against Vedanta Limited On 2-jun-24 During The Fy 2024-25.</t>
  </si>
  <si>
    <t>Gopi Ram Singhania Filed Complaint Against Vedanta Limited On 31-may-24 During The Fy 2024-25.</t>
  </si>
  <si>
    <t>Rishabh Sharma Filed Complaint Against Vedanta Limited On 24-may-24 During The Fy 2024-25.</t>
  </si>
  <si>
    <t>Bravindran Nayar Filed Complaint Against Vedanta Limited On 24-apr-24 During The Fy 2024-25.</t>
  </si>
  <si>
    <t>Sushma Sharma Filed Complaint Against Vedanta Limited On 1-apr-24 During The Fy 2023-24.</t>
  </si>
  <si>
    <t>Pcg Finest Privated Limited . Filed Complaint Against Vedanta Limited On 14-mar-24 During The Fy 2023-24.</t>
  </si>
  <si>
    <t>Sanjay Singh Filed Complaint Against Vedanta Limited On 13-mar-24 During The Fy 2023-24.</t>
  </si>
  <si>
    <t>K V Chaithra Filed Complaint Against Vedanta Limited On 19-feb-24 During The Fy 2023-24.</t>
  </si>
  <si>
    <t>Naresh Singhania Filed Complaint Against Vedanta Limited On 15-feb-24 During The Fy 2023-24.</t>
  </si>
  <si>
    <t>Bhupendra Singh Filed Complaint Against Vedanta Limited On 9-feb-24 During The Fy 2023-24.</t>
  </si>
  <si>
    <t>Jitendrabhai Vaghela Filed Complaint Against Vedanta Limited On 5-feb-24 During The Fy 2023-24.</t>
  </si>
  <si>
    <t>Naresh Singhania Filed Complaint Against Vedanta Limited On 17-jan-24 During The Fy 2023-24.</t>
  </si>
  <si>
    <t>Komal Karva Filed Complaint Against Vedanta Limited On 17-jan-24 During The Fy 2023-24.</t>
  </si>
  <si>
    <t>Nirmal Anand Filed Complaint Against Vedanta Limited On 17-jan-24 During The Fy 2023-24.</t>
  </si>
  <si>
    <t>Syamala Nair Filed Complaint Against Vedanta Limited On 5-jan-24 During The Fy 2023-24.</t>
  </si>
  <si>
    <t>Naresh Singhania Filed Complaint Against Vedanta Limited On 4-jan-24 During The Fy 2023-24.</t>
  </si>
  <si>
    <t>Rajendra Sharma Filed Complaint Against Vedanta Limited On 22-dec-23 During The Fy 2023-24.</t>
  </si>
  <si>
    <t>Sameer Shingala Filed Complaint Against Vedanta Limited On 18-dec-23 During The Fy 2023-24.</t>
  </si>
  <si>
    <t>Vinod Ranasaria Filed Complaint Against Vedanta Limited On 7-dec-23 During The Fy 2023-24.</t>
  </si>
  <si>
    <t>Kamaruddin Khan Filed Complaint Against Vedanta Limited On 24-nov-23 During The Fy 2023-24.</t>
  </si>
  <si>
    <t>Naresh Singhania Filed Complaint Against Vedanta Limited On 21-nov-23 During The Fy 2023-24.</t>
  </si>
  <si>
    <t>Syamala Nair Filed Complaint Against Vedanta Limited On 21-nov-23 During The Fy 2023-24.</t>
  </si>
  <si>
    <t>Anuradha Agrawal Filed Complaint Against Vedanta Limited On 20-oct-23 During The Fy 2023-24.</t>
  </si>
  <si>
    <t>Yogendra Kapoor Filed Complaint Against Vedanta Limited On 6-oct-23 During The Fy 2023-24.</t>
  </si>
  <si>
    <t>Ruchita Harish Shah Filed Complaint Against Vedanta Limited On 27-sep-23 During The Fy 2023-24.</t>
  </si>
  <si>
    <t>Yeshwant Mehta Filed Complaint Against Vedanta Limited On 5-sep-23 During The Fy 2023-24.</t>
  </si>
  <si>
    <t>Shashi Singh Filed Complaint Against Vedanta Limited On 31-aug-2023 In Fy 2023-2024.</t>
  </si>
  <si>
    <t>Yeshwant Mehta Filed Complaint Against Vedanta Limited On 30-aug-23 During The Fy 2023-24.</t>
  </si>
  <si>
    <t>Nakulsingh . Filed Complaint Against Vedanta Limited On 29-aug-23 During The Fy 2023-24.</t>
  </si>
  <si>
    <t>Eshan Garg Filed Complaint Against Vedanta Limited On 28-aug-23 During The Fy 2023-24.</t>
  </si>
  <si>
    <t>Yogendra Kapoor Filed Complaint Against Vedanta Limited On 24-aug-23 During The Fy 2023-24.</t>
  </si>
  <si>
    <t>S Atre Filed Complaint Against Vedanta Limited On 11-aug-23 During The Fy 2023-24.</t>
  </si>
  <si>
    <t>Yeshwant Mehta Filed Complaint Against Vedanta Limited On 31-jul-23 During The Fy 2023-24.</t>
  </si>
  <si>
    <t>Dhanesh Logani Filed Complaint Against Vedanta Limited On 26-jul-23 During The Fy 2023-24.</t>
  </si>
  <si>
    <t>Aakash Contractor Filed Complaint Against Vedanta Limited On 26-jul-23 During The Fy 2023-24.</t>
  </si>
  <si>
    <t>Mayank Raj Filed Complaint Against Vedanta Limited On 24-jul-23 During The Fy 2023-24.</t>
  </si>
  <si>
    <t>Jawaharlal Nehru Custom House</t>
  </si>
  <si>
    <t>One Time Default Intimation</t>
  </si>
  <si>
    <t>Vedanta Limited Was In The One Time Default Intimation List Of Jawahharlal Nehru Custom House Submitted On 11-07-2023.</t>
  </si>
  <si>
    <t>Prabhakar Shetty Filed Complaint Against Vedanta Limited On 7-jul-23 During The Fy 2023-24.</t>
  </si>
  <si>
    <t>Vaibhav Govil Filed Complaint Against Vedanta Limited On 6-jul-23 During The Fy 2023-24.</t>
  </si>
  <si>
    <t>Redressal Of 7 Complaints Lodged By Investor Against Vedanta Limited During Fy 2022-23 As Last Updated On 05-jul-2023.</t>
  </si>
  <si>
    <t>Prem Khanna Filed Complaint Against Vedanta Limited On 3-jul-23 During The Fy 2023-24.</t>
  </si>
  <si>
    <t>Sarish Anand Filed Complaint Against Vedanta Limited On 30-jun-23 During The Fy 2023-24.</t>
  </si>
  <si>
    <t>Sebi</t>
  </si>
  <si>
    <t>Orders Of Ao</t>
  </si>
  <si>
    <t>Adjudication Order Was Passed By Sebi In Respect Of Vedanta Limited On 30-jun-2023.</t>
  </si>
  <si>
    <t>Nakulsingh . Filed Complaint Against Vedanta Limited On 23-jun-23 During The Fy 2023-24.</t>
  </si>
  <si>
    <t>Naresh Singhania Filed Complaint Against Vedanta Limited On 23-jun-23 During The Fy 2023-24.</t>
  </si>
  <si>
    <t>Sachin Goyal Filed Complaint Against Vedanta Limited On 20-jun-23 During The Fy 2023-24.</t>
  </si>
  <si>
    <t>Rohit Kumar Filed Complaint Against Vedanta Limited On 15-jun-23 During The Fy 2023-24.</t>
  </si>
  <si>
    <t>Sohel Pathan Filed Complaint Against Vedanta Limited On 14-jun-23 During The Fy 2023-24.</t>
  </si>
  <si>
    <t>Ajay Saha Filed Complaint Against Vedanta Limited On 14-jun-23 During The Fy 2023-24.</t>
  </si>
  <si>
    <t>Amita Kapur Filed Complaint Against Vedanta Limited On 14-jun-23 During The Fy 2023-24.</t>
  </si>
  <si>
    <t>Vishal Upadhyay Filed Complaint Against Vedanta Limited On 13-jun-23 During The Fy 2023-24.</t>
  </si>
  <si>
    <t>S Raj Filed Complaint Against Vedanta Limited On 13-jun-23 During The Fy 2023-24.</t>
  </si>
  <si>
    <t>Amit Nath Filed Complaint Against Vedanta Limited On 13-jun-23 During The Fy 2023-24.</t>
  </si>
  <si>
    <t>Bv Kumar Filed Complaint Against Vedanta Limited On 9-jun-23 During The Fy 2023-24.</t>
  </si>
  <si>
    <t>Prabhakar Shetty Filed Complaint Against Vedanta Limited On 6-jun-23 During The Fy 2023-24.</t>
  </si>
  <si>
    <t>Kersi Dhondy Filed Complaint Against Vedanta Limited On 6-jun-23 During The Fy 2023-24.</t>
  </si>
  <si>
    <t>Siddharth Patidar Filed Complaint Against Vedanta Limited On 6-jun-23 During The Fy 2023-24.</t>
  </si>
  <si>
    <t>Prabhakar Shetty Filed Complaint Against Vedanta Limited On 2-jun-23 During The Fy 2023-24.</t>
  </si>
  <si>
    <t>Jashwant Pandya Filed Complaint Against Vedanta Limited On 2-jun-23 During The Fy 2023-24.</t>
  </si>
  <si>
    <t>Priyanka . Filed Complaint Against Vedanta Limited On 2-jun-23 During The Fy 2023-24.</t>
  </si>
  <si>
    <t>Sumit . Filed Complaint Against Vedanta Limited On 22-may-23 During The Fy 2023-24.</t>
  </si>
  <si>
    <t>Jesna Joy Filed Complaint Against Vedanta Limited On 22-may-23 During The Fy 2023-24.</t>
  </si>
  <si>
    <t>Shital Shah Filed Complaint Against Vedanta Limited On 17-may-23 During The Fy 2023-24.</t>
  </si>
  <si>
    <t>Prem Khanna Filed Complaint Against Vedanta Limited On 17-may-23 During The Fy 2023-24.</t>
  </si>
  <si>
    <t>Ajay Bavishi Filed Complaint Against Vedanta Limited On 16-may-23 During The Fy 2023-24.</t>
  </si>
  <si>
    <t>Suresh Agarwal Filed Complaint Against Vedanta Limited On 12-may-23 During The Fy 2023-24.</t>
  </si>
  <si>
    <t>Naresh Singhania Filed Complaint Against Vedanta Limited On 12-may-23 During The Fy 2023-24.</t>
  </si>
  <si>
    <t>Binod Binod Filed Complaint Against Vedanta Limited On 8-may-23 During The Fy 2023-24.</t>
  </si>
  <si>
    <t>Subhash Chandra Filed Complaint Against Vedanta Limited On 27-apr-23 During The Fy 2023-24.</t>
  </si>
  <si>
    <t>Shital Shah Filed Complaint Against Vedanta Limited On 25-apr-23 During The Fy 2023-24.</t>
  </si>
  <si>
    <t>Champa Biswas Filed Complaint Against Vedanta Limited On 19-apr-23 During The Fy 2023-24.</t>
  </si>
  <si>
    <t>Hiren Vasani Filed Complaint Against Vedanta Limited On 18-apr-23 During The Fy 2023-24.</t>
  </si>
  <si>
    <t>Bv Kumar Filed Complaint Against Vedanta Limited On 17-apr-23 During The Fy 2023-24.</t>
  </si>
  <si>
    <t>Ramesh Chandra Jain Filed Complaint Against Vedanta Limited On 12-apr-23 During The Fy 2023-24.</t>
  </si>
  <si>
    <t>Syamala Nair Filed Complaint Against Vedanta Limited On 6-apr-23 During The Fy 2023-24.</t>
  </si>
  <si>
    <t>Shital Shah Filed Complaint Against Vedanta Limited On 31-mar-23 During The Fy 2022-23.</t>
  </si>
  <si>
    <t>Murugappan V Filed Complaint Against Vedanta Limited On 22-mar-23 During The Fy 2022-23.</t>
  </si>
  <si>
    <t>Syamala Nair Filed Complaint Against Vedanta Limited On 16-mar-23 During The Fy 2022-23.</t>
  </si>
  <si>
    <t>Summary</t>
  </si>
  <si>
    <t>FY25</t>
  </si>
  <si>
    <t>FY24</t>
  </si>
  <si>
    <t>FY23</t>
  </si>
  <si>
    <t>FY22</t>
  </si>
  <si>
    <t>FY21</t>
  </si>
  <si>
    <t>FY20</t>
  </si>
  <si>
    <t>FY19</t>
  </si>
  <si>
    <t>Rupees In</t>
  </si>
  <si>
    <t>Revenue</t>
  </si>
  <si>
    <t>Rs. Crores</t>
  </si>
  <si>
    <t>Ebitda</t>
  </si>
  <si>
    <t>%ebitda Margin</t>
  </si>
  <si>
    <t>Profit After Tax</t>
  </si>
  <si>
    <t>%pat Margin</t>
  </si>
  <si>
    <t>Total Assets</t>
  </si>
  <si>
    <t>Total Revenue</t>
  </si>
  <si>
    <t>Other Income</t>
  </si>
  <si>
    <t>Other Operating Revenues</t>
  </si>
  <si>
    <t>Revenue From Sale Of Products - Domestic</t>
  </si>
  <si>
    <t>Revenue From Sale Of Services - Domestic</t>
  </si>
  <si>
    <t>Revenue From Operations</t>
  </si>
  <si>
    <t>Total Expenses Excluding Depreciation And Finance Cost</t>
  </si>
  <si>
    <t>Changes In Inventories Of Finished Goods, Work-in-progress And Stock-in-trade</t>
  </si>
  <si>
    <t>Cost Of Materials Consumed</t>
  </si>
  <si>
    <t>Employee Benefit Expense</t>
  </si>
  <si>
    <t>General And Administration Expenses</t>
  </si>
  <si>
    <t>Other Expenses</t>
  </si>
  <si>
    <t>Other Operating Expenses</t>
  </si>
  <si>
    <t>Power And Fuel</t>
  </si>
  <si>
    <t>Purchases Of Stock In Trade</t>
  </si>
  <si>
    <t>Finance Costs</t>
  </si>
  <si>
    <t xml:space="preserve">Depreciation And Amortisation Expense </t>
  </si>
  <si>
    <t>Extraordinary Items</t>
  </si>
  <si>
    <t>Profit Before Tax</t>
  </si>
  <si>
    <t>Total Tax Expense</t>
  </si>
  <si>
    <t>Current Tax</t>
  </si>
  <si>
    <t>Deferred Tax</t>
  </si>
  <si>
    <t>Share Of Profit (loss) Of Associates And Joint Ventures Accounted For Using Equity Method</t>
  </si>
  <si>
    <t>Total Profit (loss) For Period</t>
  </si>
  <si>
    <t>Total Shareholder's Funds</t>
  </si>
  <si>
    <t>Minority Interest</t>
  </si>
  <si>
    <t>Reserves And Surplus</t>
  </si>
  <si>
    <t>Share Capital</t>
  </si>
  <si>
    <t>Total Non Current Liabilities</t>
  </si>
  <si>
    <t>Deferred Tax Liabilities</t>
  </si>
  <si>
    <t>Long Term Borrowings</t>
  </si>
  <si>
    <t>Long Term Provisions</t>
  </si>
  <si>
    <t>Non Current Trade Payables</t>
  </si>
  <si>
    <t>Other Long Term Liabilities</t>
  </si>
  <si>
    <t>Total Current Liabilities</t>
  </si>
  <si>
    <t>Other Current Liabilities</t>
  </si>
  <si>
    <t>Short Term Borrowings</t>
  </si>
  <si>
    <t>Short Term Provisions</t>
  </si>
  <si>
    <t>Trade Payables</t>
  </si>
  <si>
    <t>Total Equity And Liabilities</t>
  </si>
  <si>
    <t>Total Non Current Assets</t>
  </si>
  <si>
    <t>Capital Work In Progress</t>
  </si>
  <si>
    <t>Deferred Tax Assets (net)</t>
  </si>
  <si>
    <t>Intangible Assets</t>
  </si>
  <si>
    <t>Intangible Assets Under Development Or Work In Progress</t>
  </si>
  <si>
    <t>Long Term Loans And Advances</t>
  </si>
  <si>
    <t xml:space="preserve">Non Current  Investments</t>
  </si>
  <si>
    <t>Non Current Trade Receivables</t>
  </si>
  <si>
    <t>Other Non Current Assets</t>
  </si>
  <si>
    <t>Tangible Assets</t>
  </si>
  <si>
    <t>Total Current Assets</t>
  </si>
  <si>
    <t>Cash And Bank Balances</t>
  </si>
  <si>
    <t>Current Investments</t>
  </si>
  <si>
    <t>Inventories</t>
  </si>
  <si>
    <t>Other Current Assets</t>
  </si>
  <si>
    <t>Short Term Loans And Advances</t>
  </si>
  <si>
    <t>Trade Receivables</t>
  </si>
  <si>
    <t>Leverage Ratios</t>
  </si>
  <si>
    <t>Current Liabilities / Net Worth</t>
  </si>
  <si>
    <t>Fixed Assets / Net Worth</t>
  </si>
  <si>
    <t>Gross Debt / Book Equity</t>
  </si>
  <si>
    <t>Debt/equity (shareholder's Funds Basis)</t>
  </si>
  <si>
    <t>Debt Service Coverage Ratio</t>
  </si>
  <si>
    <t>Equity Ratio</t>
  </si>
  <si>
    <t>Long-term Debt / Equity</t>
  </si>
  <si>
    <t>Short-term Debt / Equity</t>
  </si>
  <si>
    <t>Gross Debt / Ebitda</t>
  </si>
  <si>
    <t>Net Debt / Book Equity</t>
  </si>
  <si>
    <t>Net Debt / Ebitda</t>
  </si>
  <si>
    <t>Interest Coverage Ratio</t>
  </si>
  <si>
    <t>Average Interest % On Debt(%)</t>
  </si>
  <si>
    <t>13.4%</t>
  </si>
  <si>
    <t>13.2%</t>
  </si>
  <si>
    <t>9.4%</t>
  </si>
  <si>
    <t>9%</t>
  </si>
  <si>
    <t>9.2%</t>
  </si>
  <si>
    <t>Net Worth (rs. Crore)</t>
  </si>
  <si>
    <t>Liquidity Ratios</t>
  </si>
  <si>
    <t>Current Ratio</t>
  </si>
  <si>
    <t>Working Capital (rs. Crore)</t>
  </si>
  <si>
    <t>Cash Balance (rs. Crore)</t>
  </si>
  <si>
    <t>Cash To Sales (%)</t>
  </si>
  <si>
    <t>2.1%</t>
  </si>
  <si>
    <t>2%</t>
  </si>
  <si>
    <t>5.1%</t>
  </si>
  <si>
    <t>4.4%</t>
  </si>
  <si>
    <t>3.1%</t>
  </si>
  <si>
    <t>Days Of Sales Outstanding</t>
  </si>
  <si>
    <t>Inventory Days</t>
  </si>
  <si>
    <t>Days Inventory Outstanding (cogs Basis)</t>
  </si>
  <si>
    <t>Trade Payables (creditors) (rs. Crore)</t>
  </si>
  <si>
    <t>Payable Days</t>
  </si>
  <si>
    <t>Days Payable Outstanding (cogs Basis)</t>
  </si>
  <si>
    <t>Cash Conversion Cycle</t>
  </si>
  <si>
    <t>Cash Days</t>
  </si>
  <si>
    <t>Gross Current Asset Days</t>
  </si>
  <si>
    <t>Net Working Capital As A % Of Sales(%)</t>
  </si>
  <si>
    <t>-15.2%</t>
  </si>
  <si>
    <t>-19.4%</t>
  </si>
  <si>
    <t>-18.1%</t>
  </si>
  <si>
    <t>1.7%</t>
  </si>
  <si>
    <t>-3.7%</t>
  </si>
  <si>
    <t>Cash Flow From Operations (rs. Crore)</t>
  </si>
  <si>
    <t>Cogs (rs. Crore)</t>
  </si>
  <si>
    <t>Operating Expense Ratio</t>
  </si>
  <si>
    <t>Profitability Ratios</t>
  </si>
  <si>
    <t>Ebitda To Sales(%)</t>
  </si>
  <si>
    <t>30.1%</t>
  </si>
  <si>
    <t>26.3%</t>
  </si>
  <si>
    <t>25.3%</t>
  </si>
  <si>
    <t>35.7%</t>
  </si>
  <si>
    <t>34.9%</t>
  </si>
  <si>
    <t xml:space="preserve">Total Cost (exc. Depn And Fc) To Sales </t>
  </si>
  <si>
    <t>Sales \ Net Fixed Assets</t>
  </si>
  <si>
    <t xml:space="preserve"> Operating Profit Margin</t>
  </si>
  <si>
    <t>Net Profit Margin</t>
  </si>
  <si>
    <t>Gross Profit (rs. Crore)</t>
  </si>
  <si>
    <t>Gross Profit (%)</t>
  </si>
  <si>
    <t>49.2%</t>
  </si>
  <si>
    <t>48.6%</t>
  </si>
  <si>
    <t>44.5%</t>
  </si>
  <si>
    <t>52.8%</t>
  </si>
  <si>
    <t>53%</t>
  </si>
  <si>
    <t>Return On Assets(%)</t>
  </si>
  <si>
    <t>7.4%</t>
  </si>
  <si>
    <t>2.2%</t>
  </si>
  <si>
    <t>5.4%</t>
  </si>
  <si>
    <t>12%</t>
  </si>
  <si>
    <t>8.1%</t>
  </si>
  <si>
    <t>Return On Equity(%)</t>
  </si>
  <si>
    <t>27.9%</t>
  </si>
  <si>
    <t>10.1%</t>
  </si>
  <si>
    <t>21.4%</t>
  </si>
  <si>
    <t>28.7%</t>
  </si>
  <si>
    <t>19.4%</t>
  </si>
  <si>
    <t>Return On Capital Employed(%)</t>
  </si>
  <si>
    <t>25.2%</t>
  </si>
  <si>
    <t>18.7%</t>
  </si>
  <si>
    <t>21.8%</t>
  </si>
  <si>
    <t>26.5%</t>
  </si>
  <si>
    <t>15%</t>
  </si>
  <si>
    <t>Return On Investment (%)</t>
  </si>
  <si>
    <t>81.6%</t>
  </si>
  <si>
    <t>32.4%</t>
  </si>
  <si>
    <t>10%</t>
  </si>
  <si>
    <t>49.4%</t>
  </si>
  <si>
    <t>Growth Ratio</t>
  </si>
  <si>
    <t>Revenue Growth (%)</t>
  </si>
  <si>
    <t>6.4%</t>
  </si>
  <si>
    <t>-2.4%</t>
  </si>
  <si>
    <t>11%</t>
  </si>
  <si>
    <t>50.8%</t>
  </si>
  <si>
    <t>4.2%</t>
  </si>
  <si>
    <t>Profitability Growth (%)</t>
  </si>
  <si>
    <t>254%</t>
  </si>
  <si>
    <t>-59.9%</t>
  </si>
  <si>
    <t>-55.4%</t>
  </si>
  <si>
    <t>57.7%</t>
  </si>
  <si>
    <t>417%</t>
  </si>
  <si>
    <t>Section 186 Of Companies Act</t>
  </si>
  <si>
    <t>60% Of Share Capital + Free Reserves + Securities Premium Account (rs. Crore)</t>
  </si>
  <si>
    <t>100% Of Free Reserve + Security Premium (rs. Crore)</t>
  </si>
  <si>
    <t>14.8%</t>
  </si>
  <si>
    <t>13.5%</t>
  </si>
  <si>
    <t>10.4%</t>
  </si>
  <si>
    <t>8.6%</t>
  </si>
  <si>
    <t>2.8%</t>
  </si>
  <si>
    <t>7.6%</t>
  </si>
  <si>
    <t>6.7%</t>
  </si>
  <si>
    <t>3.8%</t>
  </si>
  <si>
    <t>-27.8%</t>
  </si>
  <si>
    <t>-36.1%</t>
  </si>
  <si>
    <t>-30.4%</t>
  </si>
  <si>
    <t>-22.5%</t>
  </si>
  <si>
    <t>-43.5%</t>
  </si>
  <si>
    <t>37%</t>
  </si>
  <si>
    <t>25.6%</t>
  </si>
  <si>
    <t>45.1%</t>
  </si>
  <si>
    <t>41.1%</t>
  </si>
  <si>
    <t>52.4%</t>
  </si>
  <si>
    <t>35.4%</t>
  </si>
  <si>
    <t>33.6%</t>
  </si>
  <si>
    <t>27.1%</t>
  </si>
  <si>
    <t>41.6%</t>
  </si>
  <si>
    <t>40.5%</t>
  </si>
  <si>
    <t>11.2%</t>
  </si>
  <si>
    <t>13.3%</t>
  </si>
  <si>
    <t>11.6%</t>
  </si>
  <si>
    <t>23.8%</t>
  </si>
  <si>
    <t>30.4%</t>
  </si>
  <si>
    <t>22.2%</t>
  </si>
  <si>
    <t>13.7%</t>
  </si>
  <si>
    <t>15.8%</t>
  </si>
  <si>
    <t>1.9%</t>
  </si>
  <si>
    <t>5.8%</t>
  </si>
  <si>
    <t>-83.9%</t>
  </si>
  <si>
    <t>-91.7%</t>
  </si>
  <si>
    <t>-79.6%</t>
  </si>
  <si>
    <t>-92.2%</t>
  </si>
  <si>
    <t>5%</t>
  </si>
  <si>
    <t>3.9%</t>
  </si>
  <si>
    <t>69%</t>
  </si>
  <si>
    <t>171%</t>
  </si>
  <si>
    <t>-68.9%</t>
  </si>
  <si>
    <t>23.3%</t>
  </si>
  <si>
    <t>64.2%</t>
  </si>
  <si>
    <t>256%</t>
  </si>
  <si>
    <t>Total Number Of Issued Shares</t>
  </si>
  <si>
    <t>Promoter Holding - Number Of Shares</t>
  </si>
  <si>
    <t>Public Holding - Number Of Shares</t>
  </si>
  <si>
    <t>Promoter Holding %</t>
  </si>
  <si>
    <t>Promoter Pledge %</t>
  </si>
  <si>
    <t>Risk</t>
  </si>
  <si>
    <t>Updated On</t>
  </si>
  <si>
    <t>Updated On Bse</t>
  </si>
  <si>
    <t>-</t>
  </si>
  <si>
    <t>High Risk</t>
  </si>
  <si>
    <t>Linkages</t>
  </si>
  <si>
    <t>Credit Rating</t>
  </si>
  <si>
    <t>Agency</t>
  </si>
  <si>
    <t>Open Charges</t>
  </si>
  <si>
    <t>FY</t>
  </si>
  <si>
    <t>Revenue(rs.cr.)</t>
  </si>
  <si>
    <t>Gross Debt(rs.cr.)</t>
  </si>
  <si>
    <t>Net Debt/ebidta(rs.cr.)</t>
  </si>
  <si>
    <t>Flags</t>
  </si>
  <si>
    <t>Desai Cement Company Private Limited</t>
  </si>
  <si>
    <t xml:space="preserve"> Subsidiary</t>
  </si>
  <si>
    <t>Fy25</t>
  </si>
  <si>
    <t>Fy22</t>
  </si>
  <si>
    <t>Meenakshi Energy Limited</t>
  </si>
  <si>
    <t>Aa(ce)</t>
  </si>
  <si>
    <t>Crisil</t>
  </si>
  <si>
    <t>Watch</t>
  </si>
  <si>
    <t>Sesa Iron And Steel Limited</t>
  </si>
  <si>
    <t>Vedanta Displays Limited</t>
  </si>
  <si>
    <t>Vedanta Semiconductors Private Limited</t>
  </si>
  <si>
    <t>Fy24</t>
  </si>
  <si>
    <t xml:space="preserve"> Subsidiary, Transactions</t>
  </si>
  <si>
    <t>A+</t>
  </si>
  <si>
    <t>Aa-</t>
  </si>
  <si>
    <t>A1+</t>
  </si>
  <si>
    <t>A+/a1</t>
  </si>
  <si>
    <t>Icra</t>
  </si>
  <si>
    <t>Gaurav Overseas Private Limited</t>
  </si>
  <si>
    <t xml:space="preserve"> Associate Companies, Transactions</t>
  </si>
  <si>
    <t xml:space="preserve"> By Directors, Subsidiary</t>
  </si>
  <si>
    <t>Aa</t>
  </si>
  <si>
    <t>Flag</t>
  </si>
  <si>
    <t>Aaa</t>
  </si>
  <si>
    <t xml:space="preserve"> By Directors, Subsidiary, Transactions</t>
  </si>
  <si>
    <t xml:space="preserve"> By Directors, Major Investor, Subsidiary, Transactions</t>
  </si>
  <si>
    <t xml:space="preserve"> By Directors, Major Investor, Transactions</t>
  </si>
  <si>
    <t>Withdrawn</t>
  </si>
  <si>
    <t>Care</t>
  </si>
  <si>
    <t xml:space="preserve"> By Directors, Shareholder</t>
  </si>
  <si>
    <t>Fy19</t>
  </si>
  <si>
    <t xml:space="preserve"> By Directors, Transactions</t>
  </si>
  <si>
    <t>Vedanta Aluminium Metal Limited</t>
  </si>
  <si>
    <t xml:space="preserve"> Email, Subsidiary</t>
  </si>
  <si>
    <t>Vedanta Base Metals Limited</t>
  </si>
  <si>
    <t>Vedanta Iron And Steel Limited</t>
  </si>
  <si>
    <t>Life Insurance Corporation Of India</t>
  </si>
  <si>
    <t xml:space="preserve"> Shareholder</t>
  </si>
  <si>
    <t>Ptc Cables Pvt Ltd</t>
  </si>
  <si>
    <t>Sterlite Metal Rolling Mills Private Limited</t>
  </si>
  <si>
    <t xml:space="preserve"> Transactions</t>
  </si>
  <si>
    <t>Indigrid Limited</t>
  </si>
  <si>
    <t>Bbb-</t>
  </si>
  <si>
    <t>Rampia Coal Mine And Energy Private Limited</t>
  </si>
  <si>
    <t>Sterlite Electric Limited</t>
  </si>
  <si>
    <t xml:space="preserve"> By Directors</t>
  </si>
  <si>
    <t>Fy21</t>
  </si>
  <si>
    <t>India Ratings</t>
  </si>
  <si>
    <t>Bbb+/a2+</t>
  </si>
  <si>
    <t>Aa+</t>
  </si>
  <si>
    <t>Fy23</t>
  </si>
  <si>
    <t>Brickwork</t>
  </si>
  <si>
    <t xml:space="preserve"> By Directors, Email</t>
  </si>
  <si>
    <t xml:space="preserve"> Email</t>
  </si>
  <si>
    <t>Goa Maritime Private Limited</t>
  </si>
  <si>
    <t xml:space="preserve"> Joint Venture</t>
  </si>
  <si>
    <t>Key Shareholders</t>
  </si>
  <si>
    <t>Major Investments In</t>
  </si>
  <si>
    <t>Companies Invested In</t>
  </si>
  <si>
    <t>Transactions</t>
  </si>
  <si>
    <t>Subsidiaries</t>
  </si>
  <si>
    <t>Key Investments By</t>
  </si>
  <si>
    <t>% Stake</t>
  </si>
  <si>
    <t>Detail</t>
  </si>
  <si>
    <t>Relation</t>
  </si>
  <si>
    <t>Hindustan Zinc</t>
  </si>
  <si>
    <t>Bharat Aluminium Company Ltd.</t>
  </si>
  <si>
    <t>Equity Shares</t>
  </si>
  <si>
    <t>Bharat Aluminium Co</t>
  </si>
  <si>
    <t>Amica Guesthouse (proprietary)</t>
  </si>
  <si>
    <t>Alfred Herbert (india)</t>
  </si>
  <si>
    <t>Ana Arc</t>
  </si>
  <si>
    <t>By Directors</t>
  </si>
  <si>
    <t>Ptc Cables</t>
  </si>
  <si>
    <t>Cairn India</t>
  </si>
  <si>
    <t>Bloom Fountain Ltd.</t>
  </si>
  <si>
    <t>Preference Shares</t>
  </si>
  <si>
    <t>Bloom Fountain</t>
  </si>
  <si>
    <t>Ashirwad Capital</t>
  </si>
  <si>
    <t>Hare Krishna Packaging</t>
  </si>
  <si>
    <t/>
  </si>
  <si>
    <t>Sterlite Technologies</t>
  </si>
  <si>
    <t>Cairn India Holdings Ltd.</t>
  </si>
  <si>
    <t>Gaurav Overseas</t>
  </si>
  <si>
    <t>Cairn Energy Hydrocarbons</t>
  </si>
  <si>
    <t>Bhageria Industries</t>
  </si>
  <si>
    <t>Sterlite Metal Rolling Mills</t>
  </si>
  <si>
    <t>Gaurav Overseas Pvt Ltd.</t>
  </si>
  <si>
    <t>Cairn India Holdings</t>
  </si>
  <si>
    <t>Bharat Bhushan Finance &amp; Commodity Brokers</t>
  </si>
  <si>
    <t>Twin Star Holdings Ltd</t>
  </si>
  <si>
    <t>Goa Shipyard Ltd.</t>
  </si>
  <si>
    <t>Indigrid</t>
  </si>
  <si>
    <t>Cairn Lanka</t>
  </si>
  <si>
    <t>Bsel Algo</t>
  </si>
  <si>
    <t>Esl Steel</t>
  </si>
  <si>
    <t>Vedanta Holdings Mauritius Ii Limited</t>
  </si>
  <si>
    <t>Hindustan Zinc Ltd.</t>
  </si>
  <si>
    <t>Indigrid Investment Managers</t>
  </si>
  <si>
    <t>Desai Cement Company</t>
  </si>
  <si>
    <t>Coral India Finance And Housing</t>
  </si>
  <si>
    <t>Facor Power</t>
  </si>
  <si>
    <t>Vedanta Holdings Mauritius Limited</t>
  </si>
  <si>
    <t>Investment In Bonds</t>
  </si>
  <si>
    <t>Bonds</t>
  </si>
  <si>
    <t>Malco Energy</t>
  </si>
  <si>
    <t>Ferro Alloys Corporation</t>
  </si>
  <si>
    <t>Daulat Securities</t>
  </si>
  <si>
    <t>Icici Prudential Mutual Fund</t>
  </si>
  <si>
    <t>Investment In Commercial Paper</t>
  </si>
  <si>
    <t>Others</t>
  </si>
  <si>
    <t>Maritime Ventures</t>
  </si>
  <si>
    <t>Fujairah Gold Fzc</t>
  </si>
  <si>
    <t>Dhanlaxmi Cotex</t>
  </si>
  <si>
    <t>Mirae Asset Large Cap Fund</t>
  </si>
  <si>
    <t>Investment In Mutual Funds</t>
  </si>
  <si>
    <t>Mutual Funds</t>
  </si>
  <si>
    <t>Paradip Multi Cargo Berth</t>
  </si>
  <si>
    <t>Goa Sea Port</t>
  </si>
  <si>
    <t>Diamines And Chemicals</t>
  </si>
  <si>
    <t>Gabriel India</t>
  </si>
  <si>
    <t>Welter Trading Limited</t>
  </si>
  <si>
    <t>Less : Provision For Diminution</t>
  </si>
  <si>
    <t>Rampia Coal Mine And Energy</t>
  </si>
  <si>
    <t>Hindmetal Exploration Services</t>
  </si>
  <si>
    <t>Elcid Investments</t>
  </si>
  <si>
    <t>Gergarub Exploration And Mining (pty)</t>
  </si>
  <si>
    <t>Joint Venture</t>
  </si>
  <si>
    <t xml:space="preserve">Investor Education And Protection Fund (iepf)	</t>
  </si>
  <si>
    <t>Less : Reduction</t>
  </si>
  <si>
    <t>Raykal Aluminium Company</t>
  </si>
  <si>
    <t>Hindustan Zinc Alloys</t>
  </si>
  <si>
    <t>Elpro International</t>
  </si>
  <si>
    <t>Goa Maritime</t>
  </si>
  <si>
    <t>Vedanta Netherlands Investments B.v.</t>
  </si>
  <si>
    <t>Malco Energy Ltd.</t>
  </si>
  <si>
    <t>Killoran Lisheen Mining</t>
  </si>
  <si>
    <t>Associate Companies</t>
  </si>
  <si>
    <t>Grant Thornton Advisory</t>
  </si>
  <si>
    <t>Agnivesh Agarwal</t>
  </si>
  <si>
    <t>Monte Cello Corporation Bv</t>
  </si>
  <si>
    <t>Sesa Mining Corporation</t>
  </si>
  <si>
    <t>Lisheen Milling</t>
  </si>
  <si>
    <t>Gujarat Ambuja Exports</t>
  </si>
  <si>
    <t>Anil Agarwal</t>
  </si>
  <si>
    <t>Paradip Multi Cargo Berth Pvt Ltd.</t>
  </si>
  <si>
    <t>Sesa Resources</t>
  </si>
  <si>
    <t>Lisheen Mine Partnership</t>
  </si>
  <si>
    <t>Hb Portfolio</t>
  </si>
  <si>
    <t>Anil Agarwal Discretionary Trust</t>
  </si>
  <si>
    <t>Rampia Coal Mines &amp; Energy Pvt Ltd.</t>
  </si>
  <si>
    <t>Sterlite Electric</t>
  </si>
  <si>
    <t>Interstate Oil Carrier</t>
  </si>
  <si>
    <t>Ankit Agarwal</t>
  </si>
  <si>
    <t>Sesa Ghor Premises Holders Maintenance Society Ltd.</t>
  </si>
  <si>
    <t>Sterlite Iron And Steel Company</t>
  </si>
  <si>
    <t>Meenakshi Energy</t>
  </si>
  <si>
    <t>K Z Leasing And Finance</t>
  </si>
  <si>
    <t>Conclave Ptc Limited</t>
  </si>
  <si>
    <t>Sesa Goa Codli Employees Consumers Co-operative Society Ltd.</t>
  </si>
  <si>
    <t>Sterlite Ports</t>
  </si>
  <si>
    <t>Monte Cello B.v.</t>
  </si>
  <si>
    <t>K2 Infragen</t>
  </si>
  <si>
    <t>Finsider International Company Limited</t>
  </si>
  <si>
    <t>Sesa Goa Sanquelim Employees Consumers Co-operative Society Ltd.</t>
  </si>
  <si>
    <t>Namzinc (proprietary)</t>
  </si>
  <si>
    <t>Kabra Commercial</t>
  </si>
  <si>
    <t>Hindustan Zinc Fertilisers</t>
  </si>
  <si>
    <t>Kiran Agarwal</t>
  </si>
  <si>
    <t>Sesa Goa Shipyard Employees Consumers Co-operative Society Ltd.</t>
  </si>
  <si>
    <t>Talwandi Sabo Power</t>
  </si>
  <si>
    <t>Keynote Financial Services</t>
  </si>
  <si>
    <t>Invesco Trustee</t>
  </si>
  <si>
    <t>Sesa Goa Sirsaim Employees Consumers Co-operative Society Ltd.</t>
  </si>
  <si>
    <t>Vizag General Cargo Berth</t>
  </si>
  <si>
    <t>Sesa Iron And Steel</t>
  </si>
  <si>
    <t>Lovable Lingerie</t>
  </si>
  <si>
    <t>Madanpur South Coal Company</t>
  </si>
  <si>
    <t>Pratik Agarwal</t>
  </si>
  <si>
    <t>Sesa Goa Sonshi Employees Consumers Co-operative Society Ltd.</t>
  </si>
  <si>
    <t>Black Mountain Mining (pty) Ltd</t>
  </si>
  <si>
    <t>Maithan Alloys</t>
  </si>
  <si>
    <t>Mb Power (madhya Pradesh)</t>
  </si>
  <si>
    <t>Pravin Agarwal</t>
  </si>
  <si>
    <t>Sesa Resources Ltd.</t>
  </si>
  <si>
    <t>Bloom Fountain Limited</t>
  </si>
  <si>
    <t>Master Trust</t>
  </si>
  <si>
    <t>Navelim Iron</t>
  </si>
  <si>
    <t>Sterlite (usa) Inc</t>
  </si>
  <si>
    <t>Copper Mines Of Tasmania Pty Limited</t>
  </si>
  <si>
    <t>Skorpion Mining Company (proprietary)</t>
  </si>
  <si>
    <t>Motilal Oswal Financial Services</t>
  </si>
  <si>
    <t>Neuland Laboratories</t>
  </si>
  <si>
    <t>Richter Holding Limited, Cyprus</t>
  </si>
  <si>
    <t>Sterlite Ports Ltd.</t>
  </si>
  <si>
    <t>Skorpion Zinc (proprietary)</t>
  </si>
  <si>
    <t>N R Agarwal Industries</t>
  </si>
  <si>
    <t>New Delhi Centre For Sight</t>
  </si>
  <si>
    <t>Sakshi Mody</t>
  </si>
  <si>
    <t>Sterlite Power Transmission Ltd.</t>
  </si>
  <si>
    <t>N.c.l.research And Financial Services</t>
  </si>
  <si>
    <t>Optiwell Investments</t>
  </si>
  <si>
    <t>Suman Didwania</t>
  </si>
  <si>
    <t>Sterlite Technologies Ltd.</t>
  </si>
  <si>
    <t>Nagreeka Exports</t>
  </si>
  <si>
    <t>Play Games24x7</t>
  </si>
  <si>
    <t>Vedanta Finance Uk Limited (vful)</t>
  </si>
  <si>
    <t>Talwandi Sabo Power Ltd.</t>
  </si>
  <si>
    <t>Konkola Copper Mines</t>
  </si>
  <si>
    <t>Thalanga Copper Mines Pty</t>
  </si>
  <si>
    <t>Richfield Financial Services</t>
  </si>
  <si>
    <t>Rosh Pinah Health Care (proprietary)</t>
  </si>
  <si>
    <t>Vedanta Holdings Jersey Limited</t>
  </si>
  <si>
    <t>The Mapusa Urban Cooperative Bank Ltd.</t>
  </si>
  <si>
    <t>Thl Zinc</t>
  </si>
  <si>
    <t>Roshskor Township (pty)</t>
  </si>
  <si>
    <t>Vedanta Incorporated (erstwhile Volcan Investments Limited)</t>
  </si>
  <si>
    <t>Thl Zinc Holding Bv</t>
  </si>
  <si>
    <t>Naivaidya Agarwal</t>
  </si>
  <si>
    <t>Thl Zinc Holding B.v.</t>
  </si>
  <si>
    <t>Samrat Pharmachem</t>
  </si>
  <si>
    <t>Sesa Industries</t>
  </si>
  <si>
    <t>Vedanta Netherlands Investments Ii B.v.</t>
  </si>
  <si>
    <t>Thl Zinc Ventures Ltd.</t>
  </si>
  <si>
    <t>Namzinc (pty) Limited</t>
  </si>
  <si>
    <t>Thl Zinc Namibia Holdings (proprietary)</t>
  </si>
  <si>
    <t>Sarvottam Finvest</t>
  </si>
  <si>
    <t>Sona Blw Precision Forgings</t>
  </si>
  <si>
    <t>Vedanta Resources Cyprus Limited (vrcl, Cyprus)</t>
  </si>
  <si>
    <t>Uti Master</t>
  </si>
  <si>
    <t>Govt Securities</t>
  </si>
  <si>
    <t>Thl Zinc Ventures</t>
  </si>
  <si>
    <t>Speedage Commercials</t>
  </si>
  <si>
    <t>Sterlite Industries (india)</t>
  </si>
  <si>
    <t>Vedanta Resources Finance Ii Plc</t>
  </si>
  <si>
    <t>Vedanta Ltd. Esos Trust</t>
  </si>
  <si>
    <t>Not Applicable</t>
  </si>
  <si>
    <t>Vedanta Aluminium Metal</t>
  </si>
  <si>
    <t>Sugal &amp; Damani Share Brokers</t>
  </si>
  <si>
    <t>Sterlite Infra</t>
  </si>
  <si>
    <t>By Email</t>
  </si>
  <si>
    <t>Vedanta Resources Finance Limited</t>
  </si>
  <si>
    <t>Vizag General Cargo Berth Pvt Ltd.</t>
  </si>
  <si>
    <t>Vedanta Base Metals</t>
  </si>
  <si>
    <t>Sunrise Industrial Traders</t>
  </si>
  <si>
    <t>Sterlite Opportunities And Ventures</t>
  </si>
  <si>
    <t>Vedanta Resources Holdings Limited (vrhl, Uk)</t>
  </si>
  <si>
    <t>Thalanga Copper Mines Pty Limited</t>
  </si>
  <si>
    <t>Vedanta Copper International Vci Company</t>
  </si>
  <si>
    <t>Union Bank Of India</t>
  </si>
  <si>
    <t>8000 (rs. Cr.)</t>
  </si>
  <si>
    <t>Vedanta Resources Limited, Uk</t>
  </si>
  <si>
    <t>Vedanta Displays</t>
  </si>
  <si>
    <t>Utique Enterprises</t>
  </si>
  <si>
    <t>Vedanta Resources Mauritius Limited</t>
  </si>
  <si>
    <t>Thl Zinc Ventures Ltd</t>
  </si>
  <si>
    <t>Vedanta Iron And Steel</t>
  </si>
  <si>
    <t>Winro Commercial (india)</t>
  </si>
  <si>
    <t>Sterlite Telecom</t>
  </si>
  <si>
    <t>Vedanta Uk Investments Limited</t>
  </si>
  <si>
    <t>Vedanta Lisheen Holdings</t>
  </si>
  <si>
    <t>Citicorp International Ltd.(m)</t>
  </si>
  <si>
    <t>7500 (rs. Cr.)</t>
  </si>
  <si>
    <t>Sterlite Telelink</t>
  </si>
  <si>
    <t>Vedvati Agarwal(1)</t>
  </si>
  <si>
    <t>Twin Star Holdings Limited</t>
  </si>
  <si>
    <t>Vedanta Lisheen Mining</t>
  </si>
  <si>
    <t>Sundaram-clayton</t>
  </si>
  <si>
    <t>Volcan Investments Cyprus Limited</t>
  </si>
  <si>
    <t>Vedanta Foundation</t>
  </si>
  <si>
    <t>Vedanta Semiconductors</t>
  </si>
  <si>
    <t>Tenon Facility Management India</t>
  </si>
  <si>
    <t>Westglobe Limited</t>
  </si>
  <si>
    <t>Vedanta Lisheen Holdings Limited</t>
  </si>
  <si>
    <t>The Madras Aluminium Company</t>
  </si>
  <si>
    <t>Vedanta Lisheen Mining Limited</t>
  </si>
  <si>
    <t>Western Cluster</t>
  </si>
  <si>
    <t>Tvs Credit Services</t>
  </si>
  <si>
    <t>Vedanta Resources Plc</t>
  </si>
  <si>
    <t>Tvs Holdings</t>
  </si>
  <si>
    <t>Volacan Investments Limited</t>
  </si>
  <si>
    <t>Black Mountain Mining (proprietary)</t>
  </si>
  <si>
    <t>U Games</t>
  </si>
  <si>
    <t>Vedanta</t>
  </si>
  <si>
    <t>Western Cluster Limited</t>
  </si>
  <si>
    <t>Avanstrate Inc</t>
  </si>
  <si>
    <t>Avanstrate Korea Inc</t>
  </si>
  <si>
    <t>Zee Entertainment Enterprises</t>
  </si>
  <si>
    <t>Avanstrate Taiwan Inc</t>
  </si>
  <si>
    <t>Amica Guesthouse (proprietary) Ltd.</t>
  </si>
  <si>
    <t>Cairn Energy Hydrocarbons Ltd.</t>
  </si>
  <si>
    <t>Cairn Lanka (pvt) Ltd.</t>
  </si>
  <si>
    <t>Hindustan Zinc Fertilizers Pvt Ltd.</t>
  </si>
  <si>
    <t>Killoran Lisheen Mining Ltd.</t>
  </si>
  <si>
    <t>Lisheen Milling Ltd.</t>
  </si>
  <si>
    <t>Monte Cello Bv</t>
  </si>
  <si>
    <t>Namzinc (proprietary) Ltd.</t>
  </si>
  <si>
    <t>Skorpion Mining Company (proprietary) Ltd.</t>
  </si>
  <si>
    <t>Skorpion Zinc (proprietary) Ltd.</t>
  </si>
  <si>
    <t>Thalanga Copper Mines (proprietary) Ltd.</t>
  </si>
  <si>
    <t>Thl Zinc Ltd.</t>
  </si>
  <si>
    <t>Thl Zinc Namibia Holdings (proprietary) Ltd.</t>
  </si>
  <si>
    <t>Vedanta Copper International Vci Company Ltd.</t>
  </si>
  <si>
    <t>Vedanta Lisheen Holdings Ltd.</t>
  </si>
  <si>
    <t>Vedanta Lisheen Mining Ltd.</t>
  </si>
  <si>
    <t>Western Cluster Ltd.</t>
  </si>
  <si>
    <t>Black Mountain Mining (proprietary) Ltd.</t>
  </si>
  <si>
    <t>Copper Mines Of Tasmania (proprietary) Ltd.</t>
  </si>
  <si>
    <t>Charge Holder</t>
  </si>
  <si>
    <t>Charge Amount(rs Cr)</t>
  </si>
  <si>
    <t>Date Of Creation</t>
  </si>
  <si>
    <t>Date Of Modification</t>
  </si>
  <si>
    <t>Assets Under Charge</t>
  </si>
  <si>
    <t>Charge Id</t>
  </si>
  <si>
    <t>Axis Trustee Services Limited</t>
  </si>
  <si>
    <t>Axis House, P B Marg, Worli Mumbai Mumbai 400025 India</t>
  </si>
  <si>
    <t>Aditya Birla Finance Limited</t>
  </si>
  <si>
    <t>Indian Rayon Compound, Veraval Junagadh 362266 India</t>
  </si>
  <si>
    <t xml:space="preserve">Axis House, Bombay Dyeing Mills   Compound, Pandhurang Budhkar Marg, Worli Mumbai Mumbai 400025 India</t>
  </si>
  <si>
    <t>Power Finance Corporation Limited</t>
  </si>
  <si>
    <t xml:space="preserve">Urjanidhi, 1,barakhamba Lane,   Connaught Place, New Delhi Central Delhi 110001 India</t>
  </si>
  <si>
    <t xml:space="preserve">Axis House, Bombay Dyeing Millscompound, Pandhurang Budhkar Marg, Worli Mumbai  400025 India</t>
  </si>
  <si>
    <t xml:space="preserve">Axis House, Bombay Dyeing Millscompound, Pandhurang Budhkar Marg, Worli   400025 India</t>
  </si>
  <si>
    <t>Sbicap Trustee Company Limited</t>
  </si>
  <si>
    <t>4th Floor, Mistry Bhavan, 122 Dinshaw Vachha Roadchurchgate, Mumbai Mumbai Mumbai 400020 India</t>
  </si>
  <si>
    <t xml:space="preserve">Axis House, Bombay Dyeing Millscompound, Pandhurang Budhkar Marg, Worli Mumbai  766027 India</t>
  </si>
  <si>
    <t>Dbs Bank Ltd</t>
  </si>
  <si>
    <t xml:space="preserve">Dlf Capitol Point, Ground Floor &amp; First Floorbaba Kharak Singh Marg, Connaught Place New Delhi  110001 India</t>
  </si>
  <si>
    <t>State Bank Of India</t>
  </si>
  <si>
    <t xml:space="preserve">C.a.g. Mumbai, Neville House, J.n.heredia Marg,ballard Estate Mumbai  400001 India</t>
  </si>
  <si>
    <t>Idbi Bank Limited</t>
  </si>
  <si>
    <t xml:space="preserve">Idbi Towerwtc Complexcuffe Parade Mumbai  400005 India</t>
  </si>
  <si>
    <t xml:space="preserve">Panjim Goa Panjim   India</t>
  </si>
  <si>
    <t xml:space="preserve">Panjim Panjim   India</t>
  </si>
  <si>
    <t>Canara Bank</t>
  </si>
  <si>
    <t xml:space="preserve">Panjim Goa Panjim Oa   India</t>
  </si>
  <si>
    <t xml:space="preserve">Panjim Goa Panjim  403001 India</t>
  </si>
  <si>
    <t>Charge Amount</t>
  </si>
  <si>
    <t>Date Of Satisfaction</t>
  </si>
  <si>
    <t>Status</t>
  </si>
  <si>
    <t>Open</t>
  </si>
  <si>
    <t>Closed</t>
  </si>
  <si>
    <t>Catalyst Trusteeship Limited</t>
  </si>
  <si>
    <t xml:space="preserve">Gda House, First Floor, Plot No. 85   S. No. 94 &amp; 95, Bhusari Colony (right),kothrud Pune City Pune 411038 India</t>
  </si>
  <si>
    <t>Axis House, Bombay Dyeing Mills Compound, Pandhurang Budhkar Marg, Worli Mumbai Mumbai 400025 India</t>
  </si>
  <si>
    <t xml:space="preserve">Urjanidhi, 1,barakhamba Lane,connaught Place, New Delhi  110001 India</t>
  </si>
  <si>
    <t xml:space="preserve">202, Maker Tower, E, Cuffe Parade,colaba, Mumbai  396230 India</t>
  </si>
  <si>
    <t>Bank Of India</t>
  </si>
  <si>
    <t xml:space="preserve">Andheri Large Corporate Branch, M.d.i. Building,first Floor, 28, S. V. Road, Andheri (west) Mumbai  400058 India</t>
  </si>
  <si>
    <t xml:space="preserve">Icici Bank Tower, Near Chakli Circle,old Padra Road Vadodara  390007 India</t>
  </si>
  <si>
    <t>Idbi Trusteeship Services Limited</t>
  </si>
  <si>
    <t xml:space="preserve">Asian Building, Ground Floor,17, R. Kamani Marg, Ballard Estate, Mumbai  400001 India</t>
  </si>
  <si>
    <t xml:space="preserve">Asian Bldg., Ground Floor, 17, R.kamani Marg,ballard Estate, Mumbai  400001 India</t>
  </si>
  <si>
    <t xml:space="preserve">Axis House, 2nd Flr, Bombay Dyeing Mills Compound,pandurang Budhkar Marg, Worli, Mumbai  400025 India</t>
  </si>
  <si>
    <t xml:space="preserve">202, Maker Tower, E, Cuffe Parade,colaba Mumbai  400005 India</t>
  </si>
  <si>
    <t xml:space="preserve">202, Maker Tower, E, Cuffe Parade,colaba, Mumbai  400005 India</t>
  </si>
  <si>
    <t xml:space="preserve">202 Maker Tower, E Cuffe Paradecolaba Mumbai  400005 India</t>
  </si>
  <si>
    <t>State Bank Of Bikaner &amp; Jaipur</t>
  </si>
  <si>
    <t xml:space="preserve">Commercial Network Branch, 239, P De Mello Roadnear G.p.o. Mumbai  400001 India</t>
  </si>
  <si>
    <t>Credit Agricole Corporate And Investment Bank</t>
  </si>
  <si>
    <t xml:space="preserve">11th, 12th &amp; 14th Floorhoechst House, Nariman Point Mumbai  400021 India</t>
  </si>
  <si>
    <t>Bank Of Baroda</t>
  </si>
  <si>
    <t xml:space="preserve">1st Floor, 3, Walchand, Hirachand Marg, Ballard Pi Mumbai  400001 India</t>
  </si>
  <si>
    <t xml:space="preserve">Commercial Branchpatto Plaza Panaji  403001 India</t>
  </si>
  <si>
    <t>Yes Bank Limited</t>
  </si>
  <si>
    <t xml:space="preserve">9th Floor, Nehru Centre, Discovery Of India,dr. Annie Besant Road, Worli, Mumbai  400018 India</t>
  </si>
  <si>
    <t xml:space="preserve">Landmarkrace Cource Circlealkapuri Baroda  390015 India</t>
  </si>
  <si>
    <t xml:space="preserve">Commercial Branchstate Bank Staff Training Centre Bldg., Panaji  403001 India</t>
  </si>
  <si>
    <t xml:space="preserve">Commercial Branch,state Bank Learning Centre Bldg., Panaji  403001 India</t>
  </si>
  <si>
    <t>Axis Bank Limited</t>
  </si>
  <si>
    <t xml:space="preserve">Trishul 3rd Floor Opp Samartheshwar Templelaw Garden Ellisbridge Ahmedabad  380006 India</t>
  </si>
  <si>
    <t>The Hongkong And Shanghai Banking Corporation Limited</t>
  </si>
  <si>
    <t xml:space="preserve">52/60 M. G. Road Mumbai  400001 India</t>
  </si>
  <si>
    <t>Credit Agricole Cib Services Private Limited</t>
  </si>
  <si>
    <t xml:space="preserve">Hoechst House11th Floor, Nariman Point Mumbai  400021 India</t>
  </si>
  <si>
    <t>Citi Bank N.a.,</t>
  </si>
  <si>
    <t xml:space="preserve">Citibank Centerbandra Kurla Complex, Bandra (east) Mumbai  400051 India</t>
  </si>
  <si>
    <t>Bank Of Maharashtra</t>
  </si>
  <si>
    <t xml:space="preserve">Industrial Finance Branchsadashiv Vilas, F. C. Road Pune  411005 India</t>
  </si>
  <si>
    <t>Oriental Bank Of Commerce</t>
  </si>
  <si>
    <t xml:space="preserve">181a, Maker Tower Ecuffe Parade Mumbai  400005 India</t>
  </si>
  <si>
    <t>Hdfc Bank Limited</t>
  </si>
  <si>
    <t xml:space="preserve">Hdfc Bank Housesenapati Bapat Marglower Parel W Mumbai  400013 India</t>
  </si>
  <si>
    <t>Syndicate Bank</t>
  </si>
  <si>
    <t xml:space="preserve">26a, Sir P M Roadfort Mumbai  400001 India</t>
  </si>
  <si>
    <t xml:space="preserve">3rd Floor, Fort House221, D.n. Road, Fort Mumbai  400001 India</t>
  </si>
  <si>
    <t>Standard Chartered Bank Limited</t>
  </si>
  <si>
    <t xml:space="preserve">19, Rajaji Selai Chennai  600001 India</t>
  </si>
  <si>
    <t xml:space="preserve">Corporate Accounts Group Branchneville House, J.n. Heredia Marg Mumbai  400001 India</t>
  </si>
  <si>
    <t xml:space="preserve">22, M G Road,bangalore Bangalore  560001 India</t>
  </si>
  <si>
    <t>The Royal Bank Of Scotland N.v.</t>
  </si>
  <si>
    <t xml:space="preserve">4 North Avenue, Maker Maxitybandra Kurla Complex, Bandra (east) Mumbai  400051 India</t>
  </si>
  <si>
    <t>Deutsche Bank A.g.</t>
  </si>
  <si>
    <t xml:space="preserve">Hazariman Somani Marg Mumbai  400001 India</t>
  </si>
  <si>
    <t>Corporation Bank</t>
  </si>
  <si>
    <t xml:space="preserve">Bharat House, 104, Bombay Samachar Margfort Mumbai  400023 India</t>
  </si>
  <si>
    <t xml:space="preserve">Industrial Finance Branch, 1st Floor,union Bank Bhavan, Nariman Point Mumbai  400021 India</t>
  </si>
  <si>
    <t>Central Bank Of India</t>
  </si>
  <si>
    <t xml:space="preserve">Central Bank Building, 1st Floorm.g. Road, Fort Mumbai  400023 India</t>
  </si>
  <si>
    <t xml:space="preserve">Air India Buildingbackbay Reclamation,nariman Point Mumbai  400021 India</t>
  </si>
  <si>
    <t>Idfc Limited</t>
  </si>
  <si>
    <t xml:space="preserve">Krm Tower, 8th Floor,no. 1, Harrington Road, Chetpet Chennai  600031 India</t>
  </si>
  <si>
    <t xml:space="preserve">9; Raffles Place50-01; Republica Plaza Singapore  048619 Singapore</t>
  </si>
  <si>
    <t>Indian Bank</t>
  </si>
  <si>
    <t xml:space="preserve">Mettur Dam R.s.salem Salem  636402 India</t>
  </si>
  <si>
    <t xml:space="preserve">Icici Bank Towers,bandra Kurla Complex,bandra (east) Mumbai  400051 India</t>
  </si>
  <si>
    <t xml:space="preserve">9 Raffles Place# 50-01 Republic Plaza Singapore  048619 Singapore</t>
  </si>
  <si>
    <t xml:space="preserve">Sakar - 1, Ground Flooroff- Ashram Road Ahmedabad  380009 India</t>
  </si>
  <si>
    <t xml:space="preserve">Landmarkrace Course Circle Vadodara  390007 India</t>
  </si>
  <si>
    <t>Uti Bank Limited</t>
  </si>
  <si>
    <t xml:space="preserve">Maker Towers F13th Floor; Cuffe Parade; Colaba Mumbai  400005 India</t>
  </si>
  <si>
    <t>The Western India Trustee And Executor C Ompany Limited</t>
  </si>
  <si>
    <t xml:space="preserve">161/c Mittal Courtnariman Point Mumbai  400021 India</t>
  </si>
  <si>
    <t xml:space="preserve">19; Rajaji Salai Chennai  600001 India</t>
  </si>
  <si>
    <t xml:space="preserve">19rajaji Salai Chennai  600001 India</t>
  </si>
  <si>
    <t xml:space="preserve">Race Course Circle Vadodara  390007 India</t>
  </si>
  <si>
    <t xml:space="preserve">Icici Towersbandra Kurla Complex; Bandra (e) Mumbai  400051 India</t>
  </si>
  <si>
    <t xml:space="preserve">Campal Branch Panjim  403008 India</t>
  </si>
  <si>
    <t>United Bank Of India</t>
  </si>
  <si>
    <t xml:space="preserve">16 Old Court House Street Calcutta  700001 India</t>
  </si>
  <si>
    <t xml:space="preserve">169-a; Anna Salai Chennai  600002 India</t>
  </si>
  <si>
    <t xml:space="preserve">Mettur Dam R. S. 636402 Salem   India</t>
  </si>
  <si>
    <t xml:space="preserve">110; Mahatma Gandhi Salainungambakkam Madras  600034 India</t>
  </si>
  <si>
    <t xml:space="preserve">Icici Towers; Bandra Kurla Complexbandra Mumbai  400051 India</t>
  </si>
  <si>
    <t xml:space="preserve">19/1; Haddows Road Chennai  600006 India</t>
  </si>
  <si>
    <t xml:space="preserve">Icici Towersbandra Kur Mumbai  400051 India</t>
  </si>
  <si>
    <t xml:space="preserve">Mathias Plaza Mathias Plaza  403001 India</t>
  </si>
  <si>
    <t xml:space="preserve">169 A; Anna Salai Chennai  600002 India</t>
  </si>
  <si>
    <t xml:space="preserve">Itc Centre; 759 Anna Salai Chennai  600002 India</t>
  </si>
  <si>
    <t xml:space="preserve">169 A. Anna Salai Chennai  600002 India</t>
  </si>
  <si>
    <t xml:space="preserve">Foppingadreef 22amsterdam The Netherlands   Netherlands</t>
  </si>
  <si>
    <t>Banque Nationale Deparis</t>
  </si>
  <si>
    <t xml:space="preserve">62 Homji Street Mumbai  400001 India</t>
  </si>
  <si>
    <t xml:space="preserve">Fort Branch Mumbai  400001 India</t>
  </si>
  <si>
    <t xml:space="preserve">Vasco Da Gamam Goa  403001 India</t>
  </si>
  <si>
    <t xml:space="preserve">Vasco Da Gama Goa   India</t>
  </si>
  <si>
    <t xml:space="preserve">Maker Chamber 4; Arimon Point Bombay  400021 India</t>
  </si>
  <si>
    <t xml:space="preserve">Bombay Bombay  400020 India</t>
  </si>
  <si>
    <t xml:space="preserve">Panjim Goa  403206 India</t>
  </si>
  <si>
    <t xml:space="preserve">Panaji Panaji   India</t>
  </si>
  <si>
    <t>Exim Bank (export Import Bank Of India)</t>
  </si>
  <si>
    <t xml:space="preserve">Center One ;21 Floorworld Trade Center Bombay  400005 India</t>
  </si>
  <si>
    <t xml:space="preserve">"141; Maker Towers ""f"" ; Cuffe Parade" Bombay   India</t>
  </si>
  <si>
    <t>The Oriental Insurance Company Limited</t>
  </si>
  <si>
    <t xml:space="preserve">Bcdo No. 4; Gresham Assurace House;sir Pm Road Mumbai  400001 India</t>
  </si>
  <si>
    <t xml:space="preserve">Vasco Da Gama Vasco Da Gama   India</t>
  </si>
  <si>
    <t xml:space="preserve">Vasco Da Gama Goa  400301 India</t>
  </si>
  <si>
    <t xml:space="preserve">163; Backbay ;reclamtion Bombay  400020 India</t>
  </si>
  <si>
    <t xml:space="preserve">Nariman Bhavan; 227; Vinay K. Shah Margnariman Point Bombay  400021 India</t>
  </si>
  <si>
    <t>Ifci Limited</t>
  </si>
  <si>
    <t xml:space="preserve">Bank Of Baroda Building16;sansad New Delhi  110001 India</t>
  </si>
  <si>
    <t xml:space="preserve">Bombay Bombay   India</t>
  </si>
  <si>
    <t xml:space="preserve">Patullos Road Branch Madras   India</t>
  </si>
  <si>
    <t xml:space="preserve">163 Backbay Reclamation Bombay  400020 India</t>
  </si>
  <si>
    <t xml:space="preserve">163 Backbay Reclamation Mumbai  400020 India</t>
  </si>
  <si>
    <t xml:space="preserve">Mathisa Plaza, Ground Floor18th June Road Panaji  403001 India</t>
  </si>
  <si>
    <t>Industrial Reconstruction Bank Of India</t>
  </si>
  <si>
    <t xml:space="preserve">19; Netaji Subhas Road Calcutta  700001 India</t>
  </si>
  <si>
    <t xml:space="preserve">Narimon Point Branch; Mittal Tower; C Wing Bombay  400021 India</t>
  </si>
  <si>
    <t xml:space="preserve">Mittal Tower; Narimon Point Bombay  400021 India</t>
  </si>
  <si>
    <t xml:space="preserve">Regant Chamber; Narimon Point Bombay  400021 India</t>
  </si>
  <si>
    <t xml:space="preserve">Mettur Dam Mettur Dam  636402 India</t>
  </si>
  <si>
    <t xml:space="preserve">Nariman Bhavan227; Vinay K. Shah Marg; Nariman Point Bombay  400021 India</t>
  </si>
  <si>
    <t>Charge Amount(rs Cr.)</t>
  </si>
  <si>
    <t>Rating Date</t>
  </si>
  <si>
    <t>Agency Noformat</t>
  </si>
  <si>
    <t>Instrument Category</t>
  </si>
  <si>
    <t>Instrument Detail</t>
  </si>
  <si>
    <t>Amount (inr)</t>
  </si>
  <si>
    <t>Rating Noformat</t>
  </si>
  <si>
    <t>Development</t>
  </si>
  <si>
    <t>Outlook</t>
  </si>
  <si>
    <t>Link Noformat</t>
  </si>
  <si>
    <t>Long Term</t>
  </si>
  <si>
    <t>Fund Based – Term Loan</t>
  </si>
  <si>
    <t>2,158 Crore</t>
  </si>
  <si>
    <t>Reaffirm</t>
  </si>
  <si>
    <t>Developing Implications</t>
  </si>
  <si>
    <t>Rating Rationale</t>
  </si>
  <si>
    <t>Non-convertible Debentures</t>
  </si>
  <si>
    <t>3,000 Crore</t>
  </si>
  <si>
    <t>Long Term / Short Term</t>
  </si>
  <si>
    <t>Unallocated Limits</t>
  </si>
  <si>
    <t>1,342 Crore</t>
  </si>
  <si>
    <t>Aa/a1+</t>
  </si>
  <si>
    <t>Assign</t>
  </si>
  <si>
    <t>Short Term</t>
  </si>
  <si>
    <t>Commercial Paper</t>
  </si>
  <si>
    <t>2,500 Crore</t>
  </si>
  <si>
    <t>Bank Loan</t>
  </si>
  <si>
    <t>33,382 Crore</t>
  </si>
  <si>
    <t>Non Convertible Debentures</t>
  </si>
  <si>
    <t>4,500 Crore</t>
  </si>
  <si>
    <t>23,960 Crore</t>
  </si>
  <si>
    <t>Non-convertible Debenture</t>
  </si>
  <si>
    <t>Fund Based - Term Loan</t>
  </si>
  <si>
    <t>3,453 Crore</t>
  </si>
  <si>
    <t>47 Crore</t>
  </si>
  <si>
    <t>Non Convertible Debenture</t>
  </si>
  <si>
    <t>40.89 Billion</t>
  </si>
  <si>
    <t>36,327 Crore</t>
  </si>
  <si>
    <t>1,000 Crore</t>
  </si>
  <si>
    <t>21,015 Crore</t>
  </si>
  <si>
    <t>35,827 Crore</t>
  </si>
  <si>
    <t>21,515 Crore</t>
  </si>
  <si>
    <t>34,048.5 Crore</t>
  </si>
  <si>
    <t>5,444 Crore</t>
  </si>
  <si>
    <t>17,793.5 Crore</t>
  </si>
  <si>
    <t>35,298.5 Crore</t>
  </si>
  <si>
    <t>20,965 Crore</t>
  </si>
  <si>
    <t xml:space="preserve">Fund Based – Term  Loan</t>
  </si>
  <si>
    <t>2,000 Crore</t>
  </si>
  <si>
    <t>Upgrade</t>
  </si>
  <si>
    <t>5 Billion</t>
  </si>
  <si>
    <t>6,444 Crore</t>
  </si>
  <si>
    <t>Positive Implications</t>
  </si>
  <si>
    <t>32,798.5 Crore</t>
  </si>
  <si>
    <t>23,465 Crore</t>
  </si>
  <si>
    <t>Term Loan</t>
  </si>
  <si>
    <t>1,653 Crore</t>
  </si>
  <si>
    <t>1,847 Crore</t>
  </si>
  <si>
    <t>Proposed Non-convertible Debentures</t>
  </si>
  <si>
    <t>20 Billion</t>
  </si>
  <si>
    <t>Project Finance Facility</t>
  </si>
  <si>
    <t>Term Loans</t>
  </si>
  <si>
    <t>16.53 Billion</t>
  </si>
  <si>
    <t>Fund Based-term Loan</t>
  </si>
  <si>
    <t>Aa-/a1+</t>
  </si>
  <si>
    <t>34,953.5 Crore</t>
  </si>
  <si>
    <t>21,310 Crore</t>
  </si>
  <si>
    <t>10,000 Crore</t>
  </si>
  <si>
    <t>Fund Based-term</t>
  </si>
  <si>
    <t>Fitch</t>
  </si>
  <si>
    <t>Downgrade</t>
  </si>
  <si>
    <t>Ncds</t>
  </si>
  <si>
    <t>100 Billion</t>
  </si>
  <si>
    <t>A1</t>
  </si>
  <si>
    <t>25,453.5 Crore</t>
  </si>
  <si>
    <t>30,810 Crore</t>
  </si>
  <si>
    <t>Negative Implications</t>
  </si>
  <si>
    <t>100 Million</t>
  </si>
  <si>
    <t>22,608.5 Crore</t>
  </si>
  <si>
    <t>33,655 Crore</t>
  </si>
  <si>
    <t>Issuer Rating</t>
  </si>
  <si>
    <t>32,108.5 Crore</t>
  </si>
  <si>
    <t>Negative</t>
  </si>
  <si>
    <t>24,155 Crore</t>
  </si>
  <si>
    <t>31,972.5 Crore</t>
  </si>
  <si>
    <t>24,113 Crore</t>
  </si>
  <si>
    <t>24,350.5 Crore</t>
  </si>
  <si>
    <t>Stable</t>
  </si>
  <si>
    <t>6,926 Crore</t>
  </si>
  <si>
    <t>750 Crore</t>
  </si>
  <si>
    <t>29,405 Crore</t>
  </si>
  <si>
    <t>25,821.5 Crore</t>
  </si>
  <si>
    <t>7,000 Crore</t>
  </si>
  <si>
    <t>27,110 Crore</t>
  </si>
  <si>
    <t>34,821.5 Crore</t>
  </si>
  <si>
    <t>13,610 Crore</t>
  </si>
  <si>
    <t>900 Crore</t>
  </si>
  <si>
    <t>29.82 Billion</t>
  </si>
  <si>
    <t>25 Billion</t>
  </si>
  <si>
    <t>45 Billion</t>
  </si>
  <si>
    <t>22,321.5 Crore</t>
  </si>
  <si>
    <t>23,610 Crore</t>
  </si>
  <si>
    <t>31,821.5 Crore</t>
  </si>
  <si>
    <t>14,110 Crore</t>
  </si>
  <si>
    <t>30 Billion</t>
  </si>
  <si>
    <t>75 Billion</t>
  </si>
  <si>
    <t>30.69 Billion</t>
  </si>
  <si>
    <t>70 Billion</t>
  </si>
  <si>
    <t>25,321.5 Crore</t>
  </si>
  <si>
    <t>20,610 Crore</t>
  </si>
  <si>
    <t>26,821.5 Crore</t>
  </si>
  <si>
    <t>Positive</t>
  </si>
  <si>
    <t>12,920 Crore</t>
  </si>
  <si>
    <t>19,110 Crore</t>
  </si>
  <si>
    <t>50 Billion</t>
  </si>
  <si>
    <t>10,420 Crore</t>
  </si>
  <si>
    <t>28,821.5 Crore</t>
  </si>
  <si>
    <t>2,900 Crore</t>
  </si>
  <si>
    <t>5,000 Crore</t>
  </si>
  <si>
    <t>17,110 Crore</t>
  </si>
  <si>
    <t xml:space="preserve">Reaffirm </t>
  </si>
  <si>
    <t>22 Billion</t>
  </si>
  <si>
    <t>25.28 Billion</t>
  </si>
  <si>
    <t>29,751.4 Crore</t>
  </si>
  <si>
    <t>5,500 Crore</t>
  </si>
  <si>
    <t>17,330 Crore</t>
  </si>
  <si>
    <t>30,472.6 Crore</t>
  </si>
  <si>
    <t>4,580 Crore</t>
  </si>
  <si>
    <t>18,230 Crore</t>
  </si>
  <si>
    <t>20,682.6 Crore</t>
  </si>
  <si>
    <t>500 Crore</t>
  </si>
  <si>
    <t>19,620 Crore</t>
  </si>
  <si>
    <t>15,000 Crore</t>
  </si>
  <si>
    <t>46.2 Billion</t>
  </si>
  <si>
    <t>150 Billion</t>
  </si>
  <si>
    <t>21,182.6 Crore</t>
  </si>
  <si>
    <t>19,120 Crore</t>
  </si>
  <si>
    <t>Commercial Paper (cp)</t>
  </si>
  <si>
    <t>57 Billion</t>
  </si>
  <si>
    <t>20,514.7 Crore</t>
  </si>
  <si>
    <t>3,010 Crore</t>
  </si>
  <si>
    <t>19,787.9 Crore</t>
  </si>
  <si>
    <t>3,600 Crore</t>
  </si>
  <si>
    <t>1,200 Crore</t>
  </si>
  <si>
    <t xml:space="preserve">Commercial Paper </t>
  </si>
  <si>
    <t>1,500 Crore</t>
  </si>
  <si>
    <t>14,514.7 Crore</t>
  </si>
  <si>
    <t>13,579.7 Crore</t>
  </si>
  <si>
    <t>18,575 Crore</t>
  </si>
  <si>
    <t>3,500 Crore</t>
  </si>
  <si>
    <t>562.5 Crore</t>
  </si>
  <si>
    <t>Project Finance Facilities</t>
  </si>
  <si>
    <t>Debt (including Commercial Paper Programme)</t>
  </si>
  <si>
    <t>Non-convertible Debentures </t>
  </si>
  <si>
    <t>Proposed Cash Credit Limit</t>
  </si>
  <si>
    <t>Proposed Bank Facilities</t>
  </si>
  <si>
    <t>Proposed Bill Discounting Facility (lt)</t>
  </si>
  <si>
    <t>Cash Credit Limit</t>
  </si>
  <si>
    <t>Company Name (rs.cr)</t>
  </si>
  <si>
    <t>City</t>
  </si>
  <si>
    <t>Year</t>
  </si>
  <si>
    <t>Age</t>
  </si>
  <si>
    <t>Total Debt</t>
  </si>
  <si>
    <t>Rating</t>
  </si>
  <si>
    <t>Mumbai</t>
  </si>
  <si>
    <t>Udaipur</t>
  </si>
  <si>
    <t>Shakambhari Ispat &amp; Power Limited</t>
  </si>
  <si>
    <t>Park Circus</t>
  </si>
  <si>
    <t>Ram Ratna Wires Limited</t>
  </si>
  <si>
    <t>A-/a2+</t>
  </si>
  <si>
    <t>Agrawal Metal Works Private Limited</t>
  </si>
  <si>
    <t>New Delhi</t>
  </si>
  <si>
    <t>A</t>
  </si>
  <si>
    <t>Hindustan Copper Ltd</t>
  </si>
  <si>
    <t>Kolkata</t>
  </si>
  <si>
    <t>Pondy Oxides And Chemicals Limited</t>
  </si>
  <si>
    <t>Chennai</t>
  </si>
  <si>
    <t>Bhagyanagar India Limited</t>
  </si>
  <si>
    <t>Hyderabad</t>
  </si>
  <si>
    <t>Sunalco Alloys Private Limited</t>
  </si>
  <si>
    <t>Bb-/a4</t>
  </si>
  <si>
    <t>Bangalore Refinery Private Limited</t>
  </si>
  <si>
    <t>Bangalore</t>
  </si>
  <si>
    <t>Sme 1</t>
  </si>
  <si>
    <t>Pocl Enterprises Limited</t>
  </si>
  <si>
    <t>Bbb+/a2</t>
  </si>
  <si>
    <t>Debt/ebitda</t>
  </si>
  <si>
    <t>Pat Margin</t>
  </si>
  <si>
    <t>Leverage</t>
  </si>
  <si>
    <t xml:space="preserve"> Rank </t>
  </si>
  <si>
    <t>News Title</t>
  </si>
  <si>
    <t>Date</t>
  </si>
  <si>
    <t>Url</t>
  </si>
  <si>
    <t>United Drilling Tools Ltd Secures Order From Vedanta Limited - Equitybulls</t>
  </si>
  <si>
    <t>Uitybulls</t>
  </si>
  <si>
    <t>Https://news.google.com/rss/articles/cbmix0fvx3lxte9nnwgydupdykl4rxlut2vem180dxnesklmmexzdm01d2vhunrruktmnwyywe1jnmtpt0q5wgcxvgnmmek5zhy4t3hjlvvmzgfmtxjrd09frjftqm4wcthj?oc=5</t>
  </si>
  <si>
    <t>United Drilling Tools Secures ?3.17 Crore Order From Vedanta Limited For Oil Drilling Equipment - Scanx.trade</t>
  </si>
  <si>
    <t>Anx.trade</t>
  </si>
  <si>
    <t>Https://news.google.com/rss/articles/cbmi5gfbvv95cuxoaexvefczcv9gwe5abxitoulfdjmyz2lzedfgmew3qnhrwvplb0dlthi2qvfywe9haznudgfjuc1qynqwr2ltng5rt2vydtnyvgl5cfg2wgtnnxjfnelyynfoumtznkzodfpfampwmfjwekrrunnia0sxceqtqmvhwxdmuvr3x0zpnmhzmhnptnlrq2didzjmzxzky3jot3u0uutgvwjkejhzv3hnbtq3b0g3emrar1a3amlsdkw0vjl6c3zpawrrbnhuvnblqvvdyk5iekdra19kenblv1v2m0nudzj1zw?oc=5</t>
  </si>
  <si>
    <t>United Drilling Tools Secures ?31.66 Million Vedanta Order For Oilfield Equipment Supply - Free Press Journal</t>
  </si>
  <si>
    <t>Ee Press Journal</t>
  </si>
  <si>
    <t>Https://news.google.com/rss/articles/cbmixgfbvv95cuxqtuxbnjqyz3rrne5qntaxeuczrfpiy0zmytjjwuzua2p0q1v3awj4ag5zs0vwn1bbemzfdezrbvftrwhdnhf1ddjpmnu0anjicli1mevmz2s3qjlznzy2ckjdehg0q2vacm4xy1nbbzvqzw1evxfmv0rsrxjtn05dovb5di1tv0h4vw5fcupqqmtvr1v2mklzbzewmnppahppykz0nvpscwq1atizwdrxrw1os1bmwme3z3lkwndfb2j0y2x0dkhsacsbqvvfexfmudvltjcwbwe4ujf1v2ltyjjzdhvhbuz1ejhpmhzos29zz0i3ede2dm9obe9ln0c4mwvrodjxlu15awffwkdpvkvsy3niu181sdg3nfkym0tnuvi5ss1fthbcszc2aky3wtz5tupcclb1nmfvwfmwvkxuz3pvd2fpwjrhbm1ey2q5avk1v2frchy2a3rxvgjgmez1ynlqnu5bngrtek9fr3kzaexkwgfwv082elpqwffyukpiwf9nq2jsb0hly0l1ukrrthc?oc=5</t>
  </si>
  <si>
    <t>Vedanta Accelerates Green Transition With Higher Renewable Energy Use - Chemical Industry Digest</t>
  </si>
  <si>
    <t>Emical Industry Digest</t>
  </si>
  <si>
    <t>Https://news.google.com/rss/articles/cbmimwfbvv95cuxqvdnselhvzxrvcglfwkytlxz0z2nmoxatcjzyrmduc0tzwnpzowxnmgxtx0ljmloxdwzitk5vug9yaeo5c09nbmtwwln5nehwrxnsvfyzqud2lw45tdrtdno4ak93a2ttejhcwkfywhyxyxjxaznyuu8wady0zwxyaf9goc1cvc1iogtxa2fpynbby3rmele5qkzyqq?oc=5</t>
  </si>
  <si>
    <t>Vedanta Aluminium Deploysheat Relief Efforts Across Jharsuguda - Orissadiary.com</t>
  </si>
  <si>
    <t>Issadiary.com</t>
  </si>
  <si>
    <t>Https://news.google.com/rss/articles/cbmikafbvv95cuxqskpbczzatutwwtfudglkv2g2cee1ovdlq2npbjdzznnqttvmy29qazjnz2hymlfprldrrgzfnvbhvmxbv2nay2voy3z1umxyotlhntv4snfnsthmx2tkdm15ltn6ahvvx3jynmmxsxfhunvfvkhkrut6bxnuee9cnwtqls1mq0j0rdu3aflastm?oc=5</t>
  </si>
  <si>
    <t>Vedanta Aluminium Named Tnfd Early Adopter - Construction World</t>
  </si>
  <si>
    <t>Nstruction World</t>
  </si>
  <si>
    <t>Https://news.google.com/rss/articles/cbmitafbvv95cuxnuvdicefxu0vfsujlzddrckl5uuhxvkktejnuvzkyawutzkh1dufqb0jfntvza3f1s09kymvqnzuxetdkqkxzdzvyttl2d3jmoutinvpuuwxkzktmv3fkr21nchftcjiwx1r0wnvmbnpmrtv4yxjsnm9uc09ntkdwtlhjmtn1c2zor3y0yww2u3ywa1jxzxrvvgj5z0hmrjd3vhjlnkxwnhrpqlq3cvv3ekrqewk?oc=5</t>
  </si>
  <si>
    <t>Vedanta Arm Hindustan Zinc Q4 Results, Dividend Amount Announcement Date, Time | Stock Up 21% In 1 Month - Msn</t>
  </si>
  <si>
    <t>N</t>
  </si>
  <si>
    <t>Https://news.google.com/rss/articles/cbmijajbvv95cuxqm1l0dmnkzejfnhlkc1nnu3bpwufysxloaklgu096vg9is1fezzhzdwtwcjv4zwthdv9xm0d1wedkdjnmnwq0ouxvy0sxuxhwd1kzqnhoue1srvexqju4ngs5r0ngzlq5mdjrburbznpgemxbd1ladmfabddfalqxvg80euw3oxjfrwnnzmjiylriwxvtvzjlbvzqdvp5suvswthnb3n6svqtcxj6mkxpmxdgrl9syzdwzlf5rfpstxrmy1jxrjl5v1vqovvldtlnz1rvumm2uhbyehbyak84tuwyvgu0sxpisjvcu3vyng9ibgz6n3piwuhermjauk9ud0xrsfjhbzbebwxi?oc=5</t>
  </si>
  <si>
    <t>Vedanta Sets May 1 As Record Date For Landmark Demerger - The Sentinel - Of This Land, For Its People</t>
  </si>
  <si>
    <t>E Sentinel - Of This Land, For Its People</t>
  </si>
  <si>
    <t>Https://news.google.com/rss/articles/cbmiqgfbvv95cuxpyvk2cnpjqktnr2ixreoyalzivny2vdv0ymuzazvhc2jnovznq1zkrflozudkumnmmgvvmgvjv1d4q0hnyk5sz3jfmmjzbnjovgdqugxoshvibmx4z2nkeelnnuo4enj4zdl4z0nhbznuvy1umdq0owjatwtkoevnvkjgb1jqndu2cgm1yxlrbxp2ze5xsfpiuha0wjlsqlk0cmdqbxrsdjv4d9ibtwfbvv95cuxnqkrim2f6vuq2mjzzmnd2ltfoaghseufibgnldnutt3dntudusezdmjhxcvnhcnnpd3fquf9ru1jjrmvybe9jemramextu3bpbdu4r3bymgd2clfjndn6slg5wlo4z2fzcxh3aexkazlwlueyn0pwotu3rjzsmvzoulhntvpuvvdky1vftgdfbxfqwwpcmtbwzvpyqth4n01mtfdzr0djb0v1n0xycktkyuvzmxz2euk?oc=5</t>
  </si>
  <si>
    <t>Vedanta's Demerger Is Finally Happening: What The Numbers Say Before You Decide - Dalal Street Investment Journal</t>
  </si>
  <si>
    <t>Lal Street Investment Journal</t>
  </si>
  <si>
    <t>Https://news.google.com/rss/articles/cbmizafbvv95cuxnrvnjwmvhckt6rvc0bw5vtfdmdxmzoc0wqtfanukyyxfirg96zgfxchjoawuyrgprwg1lyvbvv1fyvzfvohnfuhu1mty4ujjqyzv6wenabnpishatqkh0tmrivlvgvmjzntbtve1smnbfsxlwyjvzthfwn1ntsl9qqvpqwjzjy2jdd21sxzlltluydgx3efoxym53uufyc05trwo4wlbouf9tm1lrcnlfrxriewddd1f1bfjawdd6vjflewlyvws5butimuc?oc=5</t>
  </si>
  <si>
    <t>Nclat Reserves Verdict On Vedanta Plea Against Adani Enterprises Bid For Jaypee Group Insolvency | India News - Hindustan Times</t>
  </si>
  <si>
    <t>Ndustan Timesvedanta Questions Commercial Wisdom, Evaluation Matrix In Jal Insolvency; Nclat Reserves Order&amp;nbsp;&amp;nbsp;moneycontrol.comadani Challenges Vedanta's Plea In Jal Insolvency Case&amp;nbsp;&amp;nbsp;rediff Moneywiz</t>
  </si>
  <si>
    <t>Https://news.google.com/rss/articles/cbmi8afbvv95cuxnwe1vuxvruw1gs2xswxbfuzdfu2fca284zuvid2j3b2vzrwwzb3phskdneddwvtfvnld0qm1wcgfgef9oudzgtgppoef5ak1hz1vyymfjee1mr21xa2tgee42emprzwjzm3jjoxjmbxpoznvntvgtt1zobnnhq3vxr01om2jjr1jdwfmyb0pazm8zburwwxzwvtlpzgxpvkdpy0thnxljre1htwjolwtha01rblv6tkhtce82q0dac2qxnvrkruh1ru51lth6mhzydk9om1pyqmfrelpuuuhsqvjpqnjkstfcmnixtww5r0fsafybqvvfexfmuec0ymuyqkpxum9trxhouxzuawrmr3pudle5ehpiwk1vu2vbt0k0clzxdengcdeyu0xsy2hkn053bnnsnnzon3dntgfrbjjwuvnooflxsez1x19sv2u0wjv4amdhd0jlltjhagy4nmjmywzinli5mdngckexrm1hsu9kouzbdhpsq05meedxtex5mursa2pidxfnaelkwg9qdwjtoxfmswhtee10x3zmzthnutf4xzhhc1hine5vuenfdgvbx2jbumnvx3oxy3jzofd6q0iyrkzbyznzdmpccdrqqtzhqnd2n0tnvk9fzutnadk2muxr?oc=5</t>
  </si>
  <si>
    <t>Nclat Reserves Verdict On Vedanta’s Challenge To Adani Plan For Jaiprakash Associates - Bw Legal World</t>
  </si>
  <si>
    <t xml:space="preserve"> Legal World</t>
  </si>
  <si>
    <t>Https://news.google.com/rss/articles/cbmiyafbvv95cuxowlk0aja5zg9qsf9ryurubumxbwnvnla0vduzrvdvnzbmz3ryx092z0p6df9ru2u2ovryoelqmnlryu10vwvjb0zpa2r2uunxukvmqkhfvfzvsefmtglrmw84a3peovi3shnglte3y0fntmvdrnpszu11enlxeg01dkfpszfxterzddrgb3rdmmx0swhjanzqze00bfnir05bvdfit0hiuec3uuhitxbid2kzz0dnzldla1ldslrpd2xnqjhkszh5sq?oc=5</t>
  </si>
  <si>
    <t>United Drilling Tools Bags Vedanta Order; Shares Up 1.49% - Hdfc Sky</t>
  </si>
  <si>
    <t>Fc Sky</t>
  </si>
  <si>
    <t>Https://news.google.com/rss/articles/cbmikgfbvv95cuxnmjd2czz4m1y1rzg4anjkwhb0bmrbwhb5lunxqnpgmmfla2u0nxz4slzfu2v1nexfnvfwcxjvluposgnqderxq0s2qmlpavdzz0hrd3yyrjjcamjyclndt0drz1r2bgk4euxbuhdaexdjawpaazeyskxwuwo3cedlvjnkn1zkc0lvt3jftlv3r1lizw?oc=5</t>
  </si>
  <si>
    <t>Vedanta Aluminium Recognized As Tnfd Early Adopter - Machine Maker</t>
  </si>
  <si>
    <t>Chine Maker</t>
  </si>
  <si>
    <t>Https://news.google.com/rss/articles/cbmijafbvv95cuxpzgtbvtr4evjdzdfftkwyc0pwdmttyunynwnvawznajy0wwl0emhmnxdqmfu2dc1lcje2cxh6n1fhclhvvjjisgxkruk3oey5ofhgeva4mdnlmgcwmwqxv1atcgvjag5mvuz1rllkbenjqzzbrhizx0t6x2nttwf2dvnvdtnplupitedoxw?oc=5</t>
  </si>
  <si>
    <t>Vedanta Aluminium Recognized As Tnfd Early Adopter, Puts Nature At Core Of Business Strategy - Psu Connect</t>
  </si>
  <si>
    <t>U Connect</t>
  </si>
  <si>
    <t>Https://news.google.com/rss/articles/cbmizafbvv95cuxnvu9hshpnnzbwluhmmvhuvdfprhhxm090mghlvli5a3bac3vkou9ss3lwwdbhemjqajhkn04yv3dpr2loquzbavhxa0zybvp3ewrymk0tck9mexjkr3jyywrwvc0tvdhabk84auxosxz2qtfvmlnsvuxlmtzkevptredxqmlzov9ryvpxbgs0xzh4rg5izko4s3qzruh6dm9haffovhrhallnzm5rbdrlzkdxamhhdjlnaxrjb3linjfvywz1zhldotfwzdc?oc=5</t>
  </si>
  <si>
    <t>Vedanta Boiler Blast Death Count Rises To 25 As Another Worker Dies - Ndtv</t>
  </si>
  <si>
    <t>Tv</t>
  </si>
  <si>
    <t>Https://news.google.com/rss/articles/cbmirafbvv95cuxosgnqcvduewpvmznrbuz5vwnzlth3duhxvnnms0r4n004a2nremp1cldlq3rvauuxotrdnxowmmftdxu1c1pgn0zrvkewejf6r0pusnfubmzvmvzvwwjpzenmagyylvvmddvwv2rlvnu4vnawa0trd0m2tzhjs083nddjm3pxzmfkdvzxcznnekhnrvbec3jya2s4ul9hczbxcerxbe8ymglfoe5t0gg0aufvx3lxte9ytfnsdenjekrpc2o4n2e1bnfwbk9qrffkls00cvqtwnlzv2pmamhkz3i2nhvvslazsvi4bvjmvhpwzzhjzl9rwgnqovlkawews3dcyusttgflowk4twnlexdiuujxbezkzk5mc0poovvmcvbwb0k3ae5uatvuwddrovpuwk1dmtnjvtcwqjvjmwthzndsnujjotqyzlrhqzzmbnr2mxjfoevplw1kt0vba09xyq?oc=5</t>
  </si>
  <si>
    <t>Vedanta Boiler Blast Toll Rises To 25 After Worker Dies - Madhyamamonline.com</t>
  </si>
  <si>
    <t>Dhyamamonline.com</t>
  </si>
  <si>
    <t>Https://news.google.com/rss/articles/cbmingfbvv95cuxqc3jpexh5twrhm2x5dgtuveoxmw10mlbcrzlcvk1vbfgtrkdpd3dqwvdyyxbztmhqyuhxc3zwx2nrskvfs183vgnfofv5swnlswrcbjlostnpvlhytldmbgjnzefrvkk3v0u4ck1ddi1krzhzd19ycultdkpwrznurthkbkuwvwfdchvwthflvex6tfzhq0xmrxu0mi05z9ibowfbvv95cuxnnlzbrtjwwgvymnjrmhbtaufezxvin2veuevgzjhsu0tenhrjcdatafm2zv9scxvhunrreutpcugxshnzmhq3d04tdzzuc1gwbzjnafvbvg9ga2hjrzreu0jbowlzqtjvzkfdoezhwtm2uexistdirkhhsuracy0wbxp0rufxrjnpq1zfamj1oefwz0tulwnlltz3zxkycjhfqxh3?oc=5</t>
  </si>
  <si>
    <t>Vedanta Demerger: Check Record Date, Listing Timeline, Eligibility &amp; More - Outlookbusiness.com</t>
  </si>
  <si>
    <t>Tlookbusiness.com</t>
  </si>
  <si>
    <t>Https://news.google.com/rss/articles/cbmivgfbvv95cuxqsc11d0tfderluvdsow5dd09najduzzl1rg5cemxhc1lwvetta2nsmxliculkr2tszjjlckc1zfizzjljug43enbma19lshzcluozs2hmelnragnfrks4rkf4ve5vczb3dfa2vg9urkg3bdjusut1bde0zunhngdnoufrqs1rdhvon05umvbssnhuc3hoyjfqwjncounmtunktjlzenhbww9hm3bmdxfrm1lryu9qt3e2agpin3fb0gg-aufvx3lxtfbilxv3s190rgvrv1i5bkn3t01qn25noxvebkj6bedzwxbus21ry1ixeuhxswrha2xmmmvyrzvkujnmoulqbjd6cexrx2vidkitsjnlagz6u1foy0vgszhgqxhutm9zmhd0udzub25gsddsmlrjs3vsmtrlq0c0z2c5qvfblvf0du43tm4xugxkeg5zeghimwpam0i5q2znq0pooxn6eefzb2ezcex1cwszwvfht1bpctzoakg3cue?oc=5</t>
  </si>
  <si>
    <t>Vedanta Demerger: Unlocking Value Through Strategic Pure-plays - Smartkarma</t>
  </si>
  <si>
    <t>Artkarma</t>
  </si>
  <si>
    <t>Https://news.google.com/rss/articles/cbmingfbvv95cuxqbex0dk5hs2jsewg1evc3znjlvuvybw1zskncquzeytrmuedmafjpu3nnrdvmognhn2h0m19fx0dnaepzmkzqc3gttnh1thvbru1nmuncrtncqkxrmjj6tmxmqnv6dnjdakiwchfpvmtlrwyxtjnod2y1tlvvwjhoddhuv19ueehyuvpwbfnjy3uzv2psejdhv01yswz0zw?oc=5</t>
  </si>
  <si>
    <t>Vedanta Demerger: What Lies Ahead For Vedanta’s Aluminium Growth? - Trade Brains</t>
  </si>
  <si>
    <t>Ade Brains</t>
  </si>
  <si>
    <t>Https://news.google.com/rss/articles/cbmijwfbvv95cuxoz2e2wfv3azb4qwj3eeh4mutuukfxdgrdugpus2zqmgrhytjsa3lete1jtxblvtjkshpiwg9xmwmtuk43n2xiz3pusxmtrvvpcuzptwvtmjhfvzetzgtncxqwuurfukvpmkxmdw9mwgtvqmfgm1u5au5nenpsvf85ewtaujjganj3ug0tuzzysq?oc=5</t>
  </si>
  <si>
    <t>Vedanta Ltd. Sees High-value Trading Amid Mixed Market Sentiment - Markets Mojo</t>
  </si>
  <si>
    <t>Rkets Mojo</t>
  </si>
  <si>
    <t>Https://news.google.com/rss/articles/cbmivgfbvv95cuxpz1znakxqthk0vektmxvulxlfdepzdurta3hfdmhcquj6cmitrwvpxzdprk9jckzwnzu0b2hvzxa4vnpmcugtwewwdvpiqwd2dnpvulfouup0aghrndjiu3dpszfwwxvxyxa2wtutwufhsei5x3nyrg56uktkmes0my1rote2sxvjr3pualdozjrsntvmwuzzvuf4aljbmxnjeexwlxnnr1byywdxbwxirwpltgo2q3ntlwl1otdn?oc=5</t>
  </si>
  <si>
    <t>Vedanta Sets May 1 As Demerger Effective Date, To List Four Verticals In 1:1 Share Swap - Prop News Time</t>
  </si>
  <si>
    <t>Op News Time</t>
  </si>
  <si>
    <t>Https://news.google.com/rss/articles/cbmi2gfbvv95cuxqvm5qquo5c2locg5jr3kwoxnhqzz1vtnnchv5df9bz1zxmk5yd0i5bewtlxettk5dmnftcujuaurqa2fpzm4wck1lujzectjuyzvyuw8wtxhvznrfmf8tuvdgcepqsms1mzjfbtrwb3pux2f6wm40rne2der3ywdqsklseunlmkrzntrjng9oce5ucmnxmwtoqwjeqkdqbwjsajhadkdqz3z2qlnyetbcqmjwuhd0tg9zbdhfy0lhevnmavy4qs1ianm1rhjqswx2m1hpdujzb01mqq?oc=5</t>
  </si>
  <si>
    <t>Vedanta Slashes Emissions By 3m Tonnes Via Green Push - Manufacturing Today India</t>
  </si>
  <si>
    <t>Nufacturing Today India</t>
  </si>
  <si>
    <t>Https://news.google.com/rss/articles/cbmifefvx3lxte04turoee9lehj0v05mvuzzyut4ou4tnja1rfuwohjnbhmwvwqyt1rqwjv4yvjabtqtnk9kv2fjt2jkr0c2x3f4nxnpdzets0lymmxxmkttu1hyc2stuurtzzvru2jmn2vir05sswrjcdlobhu2a2zxrtdvqnq?oc=5</t>
  </si>
  <si>
    <t>Vedanta To Implement Demerger From 01 May; Sets Stage For 5 Separate Entities - Bw Businessworld</t>
  </si>
  <si>
    <t xml:space="preserve"> Businessworld</t>
  </si>
  <si>
    <t>Https://news.google.com/rss/articles/cbmivafbvv95cuxnblbym0syzgfadgk2qwpda1gwdu1frngwogdtls13qnlrnepwallhcufpckvisf9onmn0b2vwywttzet3tdg3dnleb3vptuz0uzzfd3dqqmpmuxd4vlp5tklasmnjvhn3d3dvv2jcvwnerfrlr1zhnlvnv0zjynvvu2u3m1rkd3u3etm1tvnymjhgn2xtqljzmdjdstqzrkhontc0ald5b0rnujnjrdnfdvlxx3v3ogy1qmrnoq?oc=5</t>
  </si>
  <si>
    <t>Vedanta With Demerger In Motion, Aluminium May Unlock Next Phase Of Value - Alcircle</t>
  </si>
  <si>
    <t>Circle</t>
  </si>
  <si>
    <t>Https://news.google.com/rss/articles/cbmitwfbvv95cuxonkprs29uchn6sfdnv3drqxp5vtrcqmn2dfdyzwq1mxjlwg9ozfhgr0n6q0hnwvq5cnppbxyzzg5newnvy25lze5mtkrswnn3znlmmujmn1fpvjlnbuzinwpyn25vx0c2cvvzmek1qtjlqmhmx3dln2lstfrcrtbowhb2nfvnedg4bu80q0jpyw4zr3zua0ozd0eyoddcqvzrnklplujya3nkswznufpyaed4x25nz00?oc=5</t>
  </si>
  <si>
    <t>Buy, Sell Or Hold: Vedanta, Suzlon, Dixon Tech, Polycab, Swan Defence, Havells, Jio Financials — Ask Profit - Msn</t>
  </si>
  <si>
    <t>Https://news.google.com/rss/articles/cbmihgjbvv95cuxpmdzvadi4nuu0ak1mmhhebjbptwdzehvbbe11stllr2r2uxdlynvnn0pcexhizg5xmmlsthfycmlkoujsqldqtu1fb2hvogq5nwy5sxzez2trx3fkylfztujyqudnbdlqr0c1b2fpajjeejlsewxcltczqnfvwthadw1erzjpsvnsam1uee9lvs1psvj2szjqwxu4rlvbwtf4um5sckzhyutzmty3x2tvyujoq2xft1ldvdroav8zbedibvhptwzqx1jkzgjxzfjlu2rpetjzykm2tml5zlkwrdnondbqqs13ou5ldhzqdk9lmemtb3jxek4zqw1ytfpbt0c4t0hn?oc=5</t>
  </si>
  <si>
    <t>How A “standalone Road” Became The Flashpoint In Odisha’s Mining Conflict - Frontline Magazine</t>
  </si>
  <si>
    <t>Ontline Magazine</t>
  </si>
  <si>
    <t>Https://news.google.com/rss/articles/cbmizafbvv95cuxqy2dcs3jlq3pwsm9hvfryaex0evq4mdjfotj4zud1teleqthaveu1rjdfzkftn3vhdvdnvhl0sju1akpfaeduzhprnnjzni1wafr6mwu1nkntwwloq3ntrkyzy0l2s3zpadhsbvjrcnoyrjzyckdnchdzlwfiek5zwhbpuvfptwhqm25ad24xym9osc1qowk4ytlyy1h0nzg5buhpbdfkblbrwjbrqjvxnzv2tmnwelduou92tgmxmgv6ugy4zlzumf9pwtbsadmbqvvfexfmtvnvs1z0mgxonvvwvkkwbdjfqwz3em0ywkzxskmzqmlrrlnid08taeuxoxo3djdwyxjdoepfu3lrqufyexu0ekprtw82uvlpulbaq0jxnvvtthzyuc1nq3vhmfppn05bbun1cnfoac1lwhhys3dumwftrvrvzwjgntz3shjqwjltzv8yr3rhyvdymel6t0rjtgj2oxfox3vktm1ztjnnuwjxblvvazm3emzbnwlknhbssmlmrvzdngtxbknrrzvjrjfibmh5cxf6cthraw?oc=5</t>
  </si>
  <si>
    <t>How To Trade Vedanta Stock Ahead Of Demerger Record Date? Analyst Decodes - Business Standard</t>
  </si>
  <si>
    <t>Siness Standard</t>
  </si>
  <si>
    <t>Https://news.google.com/rss/articles/cbmi1gfbvv95cuxqb1fwrhz5dznsclfvow5mz1fnrwdwqxh0unzqntlhcepqrgfiqvrzwkzptxrlwla1slhhqi16sjjucug1rudisvjzywvsodm1mkj4bmrrdunsn2ytx3j2yxdtbhrkmg5qvmp4mug4sflnetjhoe55qjjfvfl5zlzhwtfhbnj5c3puztntdne4qljwmw0zx0tpt0jyrujfzwxca2wywuzzug5jqmhbsjz4ejbrmjvntwtkqlrjwfnoluntzw04bupralpfv1m4q3pttmzvvm930ghbaufvx3lxte1vyvbhzk92mwfqelr5b1hyrlu4df82rvjvznpubvrqaw40vjjylvzrn3bzsk9kuvbyr0ffmnixalhnbtbwrwrbrg1rd3lfykpfrjvtu0zdwfdudkcxslppt1r5t2i5q3poaxvfuegzvhnxtzk2vnvka1yxnedtedzhedjjd3n4duvrq3vjlxjsbzf0vwiwtlczzfpfd2lfrufkag1ktxhpzwlksu11ym5rzhpjajizze1mc1bbyk42nhr0df9zelezzhzkmthqb1fwujhgehpov2k3dw?oc=5</t>
  </si>
  <si>
    <t>Jaypee Insolvency: Nclat Reserves Order, Vedanta Alleges Flawed Process - Asianet Newsable</t>
  </si>
  <si>
    <t>Ianet Newsable</t>
  </si>
  <si>
    <t>Https://news.google.com/rss/articles/cbmiywfbvv95cuxqvtzfew0xnxrayjdruhg3x2zbtnvwx1vfrtq1zwnhz3vztnotmm1nevqwwuznswheahe0n3lodhlwzezycgn4lulinuk3mek5eerqmu1tqndqvxfztwdptdbgnuhwuxhywvhwbmqtuzqyceroztktedjrbmnfamdmz0uyahvec1nidfc0qk9pltlhwnfrx2dselhvuvnfufdtt2jvaffjrxhltmnowe5ywm5wmwxptdzamli0tk9ovdgtbglka0vlsmfid9ib0afbvv95cuxqt2juytdycxezy19hzmnbofjputdortqxdldxzzu4u0pytwtvz0x3shvcqvdudnbeu2k5c0utmlbicw85alrpczjywlpucefhrufqqnrpshnxc1lmtvjrym5frmd2dkxunll1azitrveynmdqchfpcut4ntczwxjtcgt5vm9paddxt0uzetiysk9idwc5verreu9uden0zvl5mtfmnndly0nueky4muprmlpabkpcwljqz2o2c01stuturljrddjxogvpqutsvhzy?oc=5</t>
  </si>
  <si>
    <t>Jp Power Gains 6% After As Adani Backs Coc, Opposes Vedanta's Revised Bid - Business Standard</t>
  </si>
  <si>
    <t>Https://news.google.com/rss/articles/cbmi3wfbvv95cuxnogc0btnumdrpm1pmukvku2pgvzjscxdvtlb5chfin1hmzwf0zknaq2jbblbla0gxtvnbmlr5azv0vepfclfnlulothftt0tfztdrrkw2vgjlugzom3vsn29edwpwueduakvtvxdtakzomlpts3dmzu5rzzvjs2dhm0fwngr0s1rynjvbrhp2lvlmc1eynvm5amjuzdj5vmvubg11rxu1tgrnzxvnqlz4rmton0laa2heykm2c2lbdgzultvlmejobzd4tva0d256s2hocfz0ckq3wkxvtw9v0ghkaufvx3lxte1invppwensqzlnmhvinlfwelltrdu2cmhkwnixb2luxzf2cedoy09pnlfzm1rzbedudkhlnmppwxlowkqzvjhayznfagxpuejsc2xstfbkvmzltu9kb1rubthfdwtjrmxpzeluy19xelnnnnv0mdfjrtvbulg2aufkcenmv1u1nurznwfnow1azlruztziwvbarvpysxvxwtdatzrhajc2af9yntzfdw9jykz5y1h5c1c5cem3r2hxogszbkxunwtsqkvwdtn3dta5r1c3ri0yvlnra2e2smpwazjplq?oc=5</t>
  </si>
  <si>
    <t>Nalco, Vedanta, Hindustan Zinc: How To Trade These Stocks During Q4 Earnings Season - Business Today</t>
  </si>
  <si>
    <t>Siness Today</t>
  </si>
  <si>
    <t>Https://news.google.com/rss/articles/cbmi4gfbvv95cuxpexpsx01mzgd1tdfhz0s1vgo2u3b0wkrednu4c2jydujzrgvgzvz1umplqkzvbe5ybunmnlpqb1o1btbptgo1cvrxz0p3v2r6sglzaxnevmzmzxi1ylrqnmpiz2fanlyxc2hpdxdkzgzut2njc3ctngvqakleudzqm0fdu1bwrkrtwfmwdlzmrzhvoujvyllhzxpzz0tmuu9sce5idvzscmztrdetuviyt3y5uggzzwvzeehsc0fgdc1mmhh3wwddbljtbflxunfha3nzzljougfhudzdqnfzdnlr0ghnaufvx3lxte1inmewzi1ubwpyshfor25rbkg1v3hzsvbmt2dqnug1nglsbvmysdbgmfvjtmr4rnfmwlbkmfbgzhdzz3rxqu1lbvl6rmz3rnvvsernagdyevveunzfmnlua1zev05pmhjpbwxrnutpq252rxpcbmdzzexdz0jielb6mnz4wthuehpgtmf4nm95wu9wztvmd2nhvmdimkdilvuzymnxbhpqcml3sehzanbytnjfcdfev1fom1nxy0pkrhc0wlmxykxaeghozeoxohdzznbkztg5swjxqxiwyk56ahdxckrpvq?oc=5</t>
  </si>
  <si>
    <t>Nclat Reserves Order In Jaypee Insolvency Case; Vedanta Alleges Flawed Evaluation, Adani Defends Bidding P - The Economic Times</t>
  </si>
  <si>
    <t>E Economic Times</t>
  </si>
  <si>
    <t>Https://news.google.com/rss/articles/cbminwjbvv95cuxnxzvjtlrza2pocl95udlanth6twlidmrou1plywliodexz0fnzvpdumrou2ngngtobwvhbgzuntdhskrwqv9kbxnyuwxjzc1rogljdzvinhr1cvdvsfhsae9jsfplaelpmwitehfvqmo2vetss0q3oewtd0thvjzmdniwt0g4wnb2mjizvezfaws3uzdmauxnru1vuuxbegxznlfmyuxky19lekdhbdbtthziutbxqmluahzrx19qwe1dovfgcfhfem5xoxvxzy1vvtv0rknfu0veqtuyd1rnn3vjzvozx0phynj0bzhvcthvtg1zq0nqs1botjc4d2xbry1wmesyyw5fdhljwwpzn2s0ohmtmzryv3zsr0fva9ibpajbvv95cuxoavhhwvbpmxm3mfpyx1nxexjxwnh1nhh6akg0wvpwc1hmzxpotjrtu0docwjfdzzqx05woxrktzkzd2zwr0rmvurrlxa5b0p5z190rkc3mnhkzu5mewxpqxjps044avjowutmegvsdwrom3pfslnkzdkzzvdhtwvwzdu0nxp5mlvqngpxr21yvxrmqvuxzheyx3phqvgtv01wb1luwvgxml9naxribmutblfzulvgxzaxzenmrjrhr1btzdz5muu4zzrsr1raskjqn083whnoekhiajgxt3ptuflhemo2shp2r2jtcxjneg80mxlvltbfq3axmdrsr0zrtjjqmuf2q0o3yuxjtzj0y2ljwwy5dxzldm42d2vivgzmtvjf?oc=5</t>
  </si>
  <si>
    <t>Nclat Reserves Order On Vedanta's Pleas Against Selection Of Adani's Bid For Jal - Businessline</t>
  </si>
  <si>
    <t>Sinessline</t>
  </si>
  <si>
    <t>Https://news.google.com/rss/articles/cbmi3gfbvv95cuxpy0per1yzeudyywzxrgvomdu2wdnztm4xv3dbse4zq25aznvdbnzdx1e0d0jcmzfkx3vfyupoejfysg1nrkpjuvg4vlpwcfrnutniwtlqmtlxce8yqur3mkzvrdm5dzbsvursumtmbgxlue5vrvzozs05b2lvekk0bwp2t0mtqvfad0xtywn0mew4zwktcjdttvlfavjjqs1kc3a5dwz6t19gngjxqjbscxnznwlis3v4mfvtuuhinvntael3oxe3nvm3ofrpzjg4rndbaujtrxjwotb6n1hsaeqbqvvfexfmtvzesjbqtlbtogtudzq0rvbwrunoohlidtzzauhwdkzktfr0zkdsytbqrkp3ten5emhim2vpbvpgyv9knefjdhpnaxj1wc1tz05ynmo4njvdbg5pau9rzxhsretnuk9zmnvctxnxy2zqz3hvs1b2nw9tvhowslv2swhnrkfgnmkwyk11a0p4znotc3nummhdrwhxluhht3lqmeg2nffdqi1mu19hthp0sfvqqzlzoxn0akzwdvpfmvjtntbvmm1tzfvdwkpzelvtzkq1a3nosuzbvlf6cfgzunntq0nl?oc=5</t>
  </si>
  <si>
    <t>Nclat Reserves Order On Vedanta's Pleas Of Adani's Bid For Jal - Business Standard</t>
  </si>
  <si>
    <t>Https://news.google.com/rss/articles/cbmiywfbvv95cuxpsg5kbwrsmxvwrld3nhoybghftlu4qjetmm1snwyznmndrmtjzepmym1xel81cmdmbzvlowpznjfiv0prcgfhs29yaudqytvmvmvsynm1vtm0shpzrha2m001tjdwmk9acgxprwfuwllsrg05cxf0nec4amd2dzu3uzbknfhoqzrwyu01eknpy1zpndlfszdqzknszhhxnjvdudnbquxkdfnsog5kvmzuc1rvzvm2utfktuy3nfbfufy0b3uzn3llv1jga9ib0afbvv95cuxqeloydmswbgzpqnrjzndbu3k3clbirlnoqwmtowp2teridhz6cgp1d210v3hfqwtjwf94qtf6nuhrn0lyeelabg91vgywdkxcrwn5awnatvdbumcyb1rwmmzkwwvjdmpzvxfwmhatrw5tnnnwsuzuyu5cnnbbqugxyxpcmuphss1uv3i5ngxnvzfzmtizbmfkemhirdfizes0yu5rrgjivwxtcexxbvqzqufjefbkzdhkagp0udhoyy1szdviwfffmg5irdy1nux6?oc=5</t>
  </si>
  <si>
    <t>Nclat Reserves Order On Vedanta-adani Jal Bid - Rediff Moneywiz</t>
  </si>
  <si>
    <t>Diff Moneywizadani Backs Lenders, Opposes Vedanta's Late Bid In Jaypee Insolvency Case&amp;nbsp;&amp;nbsp;business Standardvedanta's Plea Indirectly Challenges Commercial Wisdom Of Coc: Adani To Nclat&amp;nbsp;&amp;nbsp;etlegalworld.com</t>
  </si>
  <si>
    <t>Https://news.google.com/rss/articles/cbmingfbvv95cuxnmmjoznfidtdlm0rqvmhkuhdfqje5wkn6mklhwjvgqmzws0djsje1lwxmeefvmxrlm0vvzm1bc3bozzh5zkrlbzbiv0jeqtzosm4xblbwefrnmxdrotzun3rizdvwc2ppvnnsctm2dmozsc05wtbrwdjowtrfzw1uejk2lwlwcwtvbu80bwjtqzbqsgw1nlzkx3lbz1p5udibowfbvv95cuxqmklxnlh5mxhfuddmoc1xxzrxuxhkt1gyumridk0xudjvq1p3y2jotl9jlxfosktjdy1sd2lmmhbqz2dptxdhwkjgbxviddnpa1zmukljc3k2tnpptzvhr3jfse1syxlxos12mdrjm19kagx3utgtoxfxcgldq2zxtju3mkxqweuxavjmvwdhu3riutdxzvjnvgt6qxf6uvdbznzj?oc=5</t>
  </si>
  <si>
    <t>United Drilling Tools Bags ?3.16 Cr Order From Vedanta’s Cairn Oil &amp; Gas - Trade Brains</t>
  </si>
  <si>
    <t>Https://news.google.com/rss/articles/cbmilwfbvv95cuxnwjv3ztv6dffvehvisghzu0liouv3ahhcyvrivlzdznq3zxnzeu1toupwt1uyvw1kvvl2a3k3s1azz1hicff0auprykdrbw9yegxzu2znsfvfnge0uzvqumvvqzfct3ljbu1tz1dszkxpnjbmx09rv0h4qu9xcvhzrzf6emtirg02mvetx1nlwgzqbwtowjkw?oc=5</t>
  </si>
  <si>
    <t>United Drilling Tools Bags Rs 3-crore Order From Vedanta - Business Standard</t>
  </si>
  <si>
    <t>Https://news.google.com/rss/articles/cbmi1afbvv95cuxqaw9pn1nuskf6ujuxtwzktzdymi04rfnvvnj6sfdemmo0zljgbu8wc3hbsvpjukpsy2c5s3bbcdr0r2wtvziza0vlveljsxbumjdezllisjjtqwvsswi2oekydxdkamhyszz1bzbedthax01vv1jwqzrzeey0bv9othv3vdl3zxhomjjkauhur1nhzeowv3nnavjvb0r3ovfacwtud2rfwlp0b24xu2u3cjhpdghxqwfnx0vsstzzn3nxwxzyejjrt3vtotnqrmltzfd4mnib2gfbvv95cuxnmvrddwtnvxp4ajftlvh5zvdxsuhvbmtlmxezutetvvhps0piruu0ywvldu4xavoztm9fu3vjvudzcjzhdzbnu0fix2riqnz0a2zbn05sexy5slflm2pbazrhnudpcu9lxzdqsdc3v3qzwu5utfnpsegwevnweeu1mwjpbjr0qvbuvuwzogpxem9ktlkxynr4mevayjltwk5ozujlwxvuq3lvymvpv2fvvtjwqjlzy1jqrhzmz2jotgytdgtwv0nfnu5qu1znrdflazdoqlf1rf9zdw?oc=5</t>
  </si>
  <si>
    <t>United Drilling Tools Receives Order From Vedanta Limited For Tubing, Pup Joints &amp; Crossovers - Tradingview</t>
  </si>
  <si>
    <t>Adingview</t>
  </si>
  <si>
    <t>Https://news.google.com/rss/articles/cbmi8gfbvv95cuxnvgzize5zcxmwz0radc1oqm9kyjqyaenjqmp3wwxdwdrpz2nxbvi3vtngegjuswhwqmnvdkvrtzq5m1vnbnc5mlu5vlrhteffduw3ykpmslbrvug5d3ktqtf1b3furzrwmvbwuhrnngvycufva2uzus1tbdffmfpsswfmcvfxa1hicnnjterks0pfyxfqltjyynnirjvnm25fajjiy0jkvdj0nzrmum5mc0szymmwb012wg4ysjflwfdbsza0wi1psvdxd1dwwwjwqkjywdhkowzvstjzehnuru0zwdnnntdituxzuvlvouhsuq?oc=5</t>
  </si>
  <si>
    <t>Vedanta Aluminium Installs 325 Solar Streetlights Across Jharsuguda And Sundargarh; Help Cut Co2 Emission - The New Indian Express</t>
  </si>
  <si>
    <t>E New Indian Express</t>
  </si>
  <si>
    <t>Https://news.google.com/rss/articles/cbmi9gfbvv95cuxqdfhdqtfkmzu1ehpkqlbzsvjful9tvvptxzniuw5argjsyudduwroz3bcexhnsmc0ewtlvwfioupmckx5tdznumhtnguwympfq2tsueznnwxdethga09lmknxwmpszfrjadcxuerumxr5z0thanrfyjjnn3zuyulqsem0cmf5sgg1tm1nmjlwdzz3btktelrjvuzjmux5y1fwnjl2znlmcg1ztwdlyvpnwek0q2g1cei2sugtngk4z3k3u09ibkz5cgnkc3pxee1wnhdlblz3dgfxuuvolu51buhzmwtmqmsyswlhcnfqtuzzmuxtoxfsaymcqvvfexfmufnms0k3djbpwdzftzdrr2rqv3nlmm8ttmhwadlxbtjwaefqwljzwutqa2wtbgfsq29fzfnlt01asurjntb0tk1eutlrmlluslu0zhdqzxjvs2g1txnxujhouhpya2nkzhpssezwmy1vzmdhzk83b3z4rdvxts1sdzbiy3y1ogvqnezlsehcyzjcm1zqclf1bg9fz2sxtkhmwlbxbjlrqzjbyxk3dxlbvzfhngc3d1bwmwh0lvflmgdcqvy3dgnhrzbochvzt1itm21ralnlzg9omjg0d2fqcux0dular0jus29jdmkyn3lytm1qsgexswtpttbkbwxouwl6rq?oc=5</t>
  </si>
  <si>
    <t>Vedanta Aluminium Observes World Art Dayin Jharsuguda, Celebrating Odisha’s Cultural Heritage - Orissadiary.com</t>
  </si>
  <si>
    <t>Https://news.google.com/rss/articles/cbmitwfbvv95cuxqyxfzazl0rwn4s3i1wghnyzlitldnrkpcnwhoyk9cls00euwywvz3yldmsvvkdw84unvpswr3nuniwm1aclryvtk1yljhutrjodj0oddsa2xwsmtimhvayjdybs1kykdtrzzrqtdoajjnehdclvdvzguywex6ynljee9ru3rjmu5snk5zrzfxcljsamnsq01hmhfituxoze4tx0phehk4mw9mctliahjiyvbunxg5m2m?oc=5</t>
  </si>
  <si>
    <t>Vedanta Board Clears Demerger Plan, Four Independent Businesses To Emerge - Ne Now</t>
  </si>
  <si>
    <t xml:space="preserve"> Now</t>
  </si>
  <si>
    <t>Https://news.google.com/rss/articles/cbmipgfbvv95cuxqc3humgstdjvpatgxdtvhrm5evkrkzvawx2g3djlxdnvwnje4nktnznl6amlur002chjfofhnvg80mdhjellptxhjawrbz05runzxmktwsnjywmjpyljkq1znc1hkvthtx3dix0jey0jyegtxzur6m2pfs25ha2x6eunbx3llnwszr0fyetl4t0dzdtizbllpqjhld0zxnuvsedbprlfr0gg7aufvx3lxte02bmgtb3o0s3c0mtzeywz4duhjruj3azjyc2jjqjjruklfqnmybkfhugpvmedlnutgbfljcgzmr1k1svhutwuwelhbuxfewkhpy1jtndu1ufv5nlphz1j1ci1zyw1usl9uqk01b0otowdhy3zyvmpad0zwdljhswxfwmtud0tqy1jtthh2efdnqjl2dm5uytvta3etsmyyywllv0rnc0nsuu5tslo4qvjsumzksflknuhinda?oc=5</t>
  </si>
  <si>
    <t>Vedanta Demerger Explained: From Listing Timeline, Price Discovery To Passive Flows - All You Need To Know - Mint</t>
  </si>
  <si>
    <t>Nt</t>
  </si>
  <si>
    <t>Https://news.google.com/rss/articles/cbmiggjbvv95cuxqcg9fa2lztlrjvzhncwr5yvrfsjrgbezhug9lvxvwrkhirdhxv2fxnnltbnjkrha5mutwoxotwmjjqjb2cvdymmlyvlbimfr3aevbvjrudhjytxrlrjf5vuhizvplywnplvdndfhlzk5ptzldrmlkeu10t21uoehznnzhamhps19oq2rhemp3x3b6djlwd0rmd3vzck1qyvvgt2dyvxz4tetnohlus0dzs0eybvcxulflqznjd2liohjvwu9htwgtz3drawg0b2p2nkvrtvzhlupiwgzjq1jpovbemi02t0lruxfyvfduwhroru1vmgzwtmrmdfm3zhp2dkhsayccqvvfexfmt25hmxp5nvhpqtj6uznhrtvjohblmu42aejznjbrzez4slfld0vxyjlilxvpn2jvsjiyznfuutv2lwvbyth4d0vkmvnhy3rtbfp3zxdlmgxhmhnqr3lhdjrjcgdssdladhv3tmzubwjxu3pju21heg41ekxhlxbanthbv0h0sv9ezfnezgn3zflsvzq1vuf0zevwrl9wzkhcckfcwdrhd3hkudzfrdbllxzhbnbhr3hlt1votjforvdstf9lc1czbtrjqwzhbwjvdvpzdl9wclpwwerlmdhbnwotakpknghfrjlac3f1ng12bwxkmhnrsgzsufjaunhndgf2q3bbbgc?oc=5</t>
  </si>
  <si>
    <t>Vedanta Demerger Explained: Listing Timeline, Valuation, Passive Flows—all You Need To Know - News18</t>
  </si>
  <si>
    <t>Ws18</t>
  </si>
  <si>
    <t>Https://news.google.com/rss/articles/cbmi4afbvv95cuxqy1hxzunmvdfyvzzdahfwekzzukn4q0mywg01dnfrnkjlow1juxixuwp3ngyynuxvtnngbhowaktxuer1mkzwsws1x2fnqnrazujwt1qtogxpvwvltlfcdjfhtwfhaf9feuflmuhxcjnqaxjlevhprmm5lwfzotzlntrzvmvwlvk4renzvgcxrwhbtfrld3vzzxbmdkmzburyajhiz2s5n2ldemftmxdxtktctzh1sv9bwfjvofm3n2mzovdwwllqn2htzxjpzktgohlmr1zmzxv2cwy0rfcyanib5gfbvv95cuxqdnvutddqvmnucgz0mtr4nffdq0v6zkgzqxowtwlbylnqdkvwqlr3z2zsrkv4ykk3zljqtuxux3zmoeixrvpjtwxoodrdswj6mepmamm4r0v1swnmltbnuddgzglbajhvzulkduljr1fes3y5zw56lur0rhpyaknwa3l2mffyz3ytrmlmsmxyuzd5shk3wgvxvdi0nm1odnnld1pmtvfxrgxntmpvz1hks2znv1otx1i4bjvfz3rkmmllswpvdgjqmmvvawz5svrpalnorwg4vgjoz0ywzkpvvgpps3djzw?oc=5</t>
  </si>
  <si>
    <t>Vedanta Demerger Explained: What Investors Need To Know Before The April 29 Deadline - The Logical Indian</t>
  </si>
  <si>
    <t>E Logical Indianvedanta Demerger — Here's What Is In Store For Nearly 21 Lakh Retail Shareholders&amp;nbsp;&amp;nbsp;cnbc Tv18vedanta Demerger: Value Creation Or Value Erosion?&amp;nbsp;&amp;nbsp;equitymaster</t>
  </si>
  <si>
    <t>Https://news.google.com/rss/articles/cbmiekfvx3lxte1ezgtwsdk4vmfroxrhwthmtvjivvvythvxellgzfpddc0yewxvcdnztljiemdnbkfwvdl6cu1youzkugo5bmfbvlrrogfynvutcwdhu0tzv2f4wkizou5qdxrwmwlqac0tbjnbnkdqnwvpzjuzytrrrglr?oc=5</t>
  </si>
  <si>
    <t>Vedanta Demerger Record Date Falls On A Stock Market Holiday — When Should You Buy To Be Eligible For Spin-off Benefit? - Mint</t>
  </si>
  <si>
    <t>Https://news.google.com/rss/articles/cbmilajbvv95cuxorvg3mxe0wwpey3a3ahbvnkdamtb1n21qt3hyamjrmwq5vxj4muf3qnzgodk2r3jxekh4sm9pm2zpu09ndzhiovnyd2lpakz4yjjnmevjof9rehutnwhhzuhnaxpynmxsrl9ryjlnzwtivdjtsxviu1lgnwrcnketoeu1cdrby0riodbtdf9fnkv1zgrsumvmdzvywflerdhsq21suk5oodraq193u042akl3vjl1nutaohpgnezxmhjkn3hud1mydvv5m1jqcxnsrhronmthvwn0lwpmr3hfcvvztthmykfymuxltfdhnkldwkhvwkzgbxmzudj4yk8tzffsqnbvnwu2mlf1wkxonxk3bg_sazocqvvfexfmt1n1rhg3rzhqenu4d3zzn1e4qxnla2xpbflpvwpjvnizrxniwhzhegrucdbcbhm1wnpgm193rmx0oevfywxosmtia2lxdjllcf9nszrrwvlwsdjgvdb4wkrjdkl4ovbisxr6dvz1cwp5nhvloddidtzkyznzq2jrew52ay1omw5qm0hzymzxu09zmw00ckphtedsmgpkdfnwbjqxtk1qwhfeyufrqlktnuzftu9wqm1tcvzmynfiylrustqyagpyverezfjsudriakzyynrwz0jwsutyenvszejrszf6udbwavftykozdut6mehiwvdyck02c0ryntvxmflfajvvuez1qupoa0i2ngpxu0ljn0ftt1zr?oc=5</t>
  </si>
  <si>
    <t>Vedanta Demerger: 1 Share Becomes 5; Nuvama Predicts Listing Within 4-8 Weeks - Financialexpress.com</t>
  </si>
  <si>
    <t>Nancialexpress.com</t>
  </si>
  <si>
    <t>Https://news.google.com/rss/articles/cbmiwgfbvv95cuxotkzrumrzovhgx3jktgniuklrq1lpctzqb2lpuklmtlpvnjayvlj2slktrzjywhhcve5pr045djatovnxs1j3dexwbw5jdddpshfhoew2qwxhlv9rcnzzz3pmcdz6m3zhwtnieefrctm3ctrurjixckc3vkticmvqqklqufjyq3vtbhroblrqndk5mdrcwwtzaghuawjjne1lrvpftvlvzv9uz1ctc2thckdbuulpde84nxpusxhbatbcqdibyafbvv95cuxnrxdmtwhtbxhxnzvxexnddwq3a0vfuk5tzfcwmlvrbmfmuvdzmgr3mxzjouphn1piugpza2qyb3fddegywmpbumhocddwznjib1y3yy1vt2itdgfjdvrzoxbwtkdqx05vvfj1dm9ide9luxe3ewvzqudfbvlylu5msunrbfheekpnavdmogdfzdj5qxyxa29flxzsskdwnvhgctlsywpus3itnwj1mgxmu1rry0ptbxv5nncxzm9vwff6vfn4svfoua?oc=5</t>
  </si>
  <si>
    <t>Vedanta Demerger: How The Price Discovery Will Happen? Explained - Zee Business</t>
  </si>
  <si>
    <t>E Business</t>
  </si>
  <si>
    <t>Https://news.google.com/rss/articles/cbmisgfbvv95cuxqwmfjthfmvc1mtvbtcudyylriu3bhmty2c2ffclu5wxdbmmxibs1xulluq3fjaxpaohm4mjhum3zly0n4qlnqdju0tdh3ytjptnvgnmnhckfqx2swb2zjdlhebhnizf9tt0ryn0zywhdsdvl5vwfes1j5wuk0t3vreufxtnzuzkxrekf4cmg5tthsdzn4oxlvbnlkwmuzd3g0dna5nfqzy1ffz1venfngczfb?oc=5</t>
  </si>
  <si>
    <t>Vedanta Demerger: Listing Timeline, Cues From Tata Motors, Itc Hotels, Jio Financial - Business Today</t>
  </si>
  <si>
    <t>Https://news.google.com/rss/articles/cbmi4gfbvv95cuxouwyxltnrdhl6avplqxb3tljxevoxdzu0s2fxx2zwmli5zw01q25pzkg4ahg2yjlsbkdlcfm4zklnmjvsywxha3powwvxtk9ilw1pmkf0dhzqnky5nc01u0vhz1f2twm3ymxzew5lwjblmkozmldgwg9fytrrmej0uvvwzmntrxlvcnb5vjrwqwjwqkpkb1d1dmfmmhdrztrmrknqblzfwunmzun2d25gvjfkqwrpediwqjffzdnlnnexnjjqahbwa0p5d1horlfurghwtxldymg3mdewneduvmd30ghnaufvx3lxte9rr0jqdxdlotniovpkuhhlqkewttdxtdbiaknwum9qwuplvmtvwuhcrdzhdgt6bun1zfjldhnlchd5dug2cl9kswxzoul0zg9yavdzdgk0mnfdtgrlnklfmhzksuw0c3zfy2hxvdz3enhqrgzucxh6txnfz0hxn0t6zvl2whp5ru9zb3lwaxr2zndhm01qtenlzzfybvn0etdpu0fnqmzzq2i5djnmmnbuqmrrntflsmzdr2nzzmfru2ewlwzvywzmunjpnhr1cdbxmnl5mc0yvl9nejbda3jybflzdeu1rq?oc=5</t>
  </si>
  <si>
    <t>Vedanta Demerger: Record Date, Ratio Out - Check Who Is Eligible To Receive Shares Of New Listed Companies - Msn</t>
  </si>
  <si>
    <t>Https://news.google.com/rss/articles/cbmi7gfbvv95cuxovxzwm20tawr5zmu4d3rlcg5venjbrwvznjjynw5etfrzmvfmtndschrtc0cxqv9ndxi4vxltcm9mckvvu0lmcuvzwvnkwkrhzwzdrmrscwlzmtvlvmi3vm9gmwdpyxvucdnbvmtbekk0njvtwurkoex4qvjdy01nn3zzs2k0bnjwodbwzgfwr1j5tljizkrlcjbvnmlgeujieepzbkzzz3m5rzz1cgs4rjdxlvdzy0xanhp1u3zjdxzjatzkatgttezoqlvfmfzbv25xr2xfquj0ae5noxruy3nydmnammxyoc0zckfn?oc=5</t>
  </si>
  <si>
    <t>Vedanta Expands Renewable Energy Adoption By Over 50%, Reducing 3 Mt Co2 Emissions In Fy26 - Alcircle</t>
  </si>
  <si>
    <t>Https://news.google.com/rss/articles/cbmizafbvv95cuxqugvimknutmtknddfcnpfr1vwrm1mswh5vuqxzedfq3vioef5nxlqywrmq212ekjuoglvrhz1dzlhoedpdnrnagpoyud6telscgjtdmyzqzfvm0pwal90q3rrvvvazju0b3duvtqytfzyogfvnvzpve40mepub3fvafjrau9bytntujrwefhsq3qwvfpwb2xebjbgbhpqetdzsvp1du1kys1hn0fhvw02axnkzmv0vvd3exlkuzryn05onvm3wm1fsvfnuku?oc=5</t>
  </si>
  <si>
    <t>Https://news.google.com/rss/articles/cbmizgfbvv95cuxnyzdayzrgsl95rk9ev1jcchr4skdft21qujzqsmszendjwnbyctr5uwdyeglutzncthiwukvdbmxgs19kc3p4nwu4nv9qcuktsus1tvndzndlnmhynulsofnuu2f4tevyrglrddrylwvjc2pzqjr4akxwvuj5qkuzzxdlogxncxqxajznwjvjtzjaby15rwvmv0k0zklxs241redyszjscndbae1bltrhmmrqzjdfnny4q3pkenhuejroejk0ck1mvg9zsertuq?oc=5</t>
  </si>
  <si>
    <t>Cin</t>
  </si>
  <si>
    <t>Company Status</t>
  </si>
  <si>
    <t>L13209ga1965plc000044</t>
  </si>
  <si>
    <t>Invalid Cin</t>
  </si>
  <si>
    <t>Open Charge</t>
  </si>
  <si>
    <t>Satisfied Charge</t>
  </si>
  <si>
    <t>Last Charge Date</t>
  </si>
  <si>
    <t>Megha Engineering &amp; Infrastructures Limited</t>
  </si>
  <si>
    <t>Location Number</t>
  </si>
  <si>
    <t>Location</t>
  </si>
  <si>
    <t>Data Type</t>
  </si>
  <si>
    <t>Mar 2026</t>
  </si>
  <si>
    <t>Feb 2026</t>
  </si>
  <si>
    <t>Jan 2026</t>
  </si>
  <si>
    <t>Dec 2025</t>
  </si>
  <si>
    <t>Nov 2025</t>
  </si>
  <si>
    <t>Oct 2025</t>
  </si>
  <si>
    <t>Sep 2025</t>
  </si>
  <si>
    <t>Aug 2025</t>
  </si>
  <si>
    <t>Jul 2025</t>
  </si>
  <si>
    <t>Jun 2025</t>
  </si>
  <si>
    <t>Apr 2025</t>
  </si>
  <si>
    <t>Total Contribution</t>
  </si>
  <si>
    <t>Total Employees</t>
  </si>
  <si>
    <t>Location 1</t>
  </si>
  <si>
    <t>At: Lanjigarh, Via: Viswanathpurpo-lanjigarh</t>
  </si>
  <si>
    <t>No. Of Employees</t>
  </si>
  <si>
    <t>Location 2</t>
  </si>
  <si>
    <t>Dlf Atria Building, Jacaranda Marg,phase-2,n Block, Dlf City, Gurugram</t>
  </si>
  <si>
    <t>Location 3</t>
  </si>
  <si>
    <t>P B No. 19,sipcot Indusrial Complexmadurai Bye Pass Road, T V Puram</t>
  </si>
  <si>
    <t>Location 4</t>
  </si>
  <si>
    <t>Pb 43,megalahalli Office Complexnear Bheemasamudra</t>
  </si>
  <si>
    <t>Location 5</t>
  </si>
  <si>
    <t>Pmo Building,hr-departmentbhurkhamunda</t>
  </si>
  <si>
    <t>Location 6</t>
  </si>
  <si>
    <t>Sesa Gharpatto Complex Panaji</t>
  </si>
  <si>
    <t>Location 7</t>
  </si>
  <si>
    <t>Sipcot Industrial Complex,madurai Byepass Road,p B No.19,</t>
  </si>
  <si>
    <t>Location 8</t>
  </si>
  <si>
    <t>Village Singhitarai Tehsil Dabharadistrict Sakti</t>
  </si>
  <si>
    <t>Month</t>
  </si>
  <si>
    <t>Investors</t>
  </si>
  <si>
    <t>Capital Raised (inr Crore)</t>
  </si>
  <si>
    <t>2022-01-26</t>
  </si>
  <si>
    <t xml:space="preserve"> Union Bank Of India</t>
  </si>
  <si>
    <t>2020-12-29</t>
  </si>
  <si>
    <t xml:space="preserve"> Citicorp International Ltd.</t>
  </si>
  <si>
    <t>Rumour Date</t>
  </si>
  <si>
    <t>Expected Deal Size(inr Crore)</t>
  </si>
  <si>
    <t>Target Name</t>
  </si>
  <si>
    <t>Investor Name</t>
  </si>
  <si>
    <t>Short Description</t>
  </si>
  <si>
    <t>Deal Type</t>
  </si>
  <si>
    <t>Cerberus Capital Services Private Limited, Davidson Kempner Investment Advisors India Private Limited, Varde India Investment Adviser Private Limited, Ares Management Asia (india) Private Limited</t>
  </si>
  <si>
    <t>Vedanta Nears Deal To Raise $1.25 Billion Via Private Loan</t>
  </si>
  <si>
    <t>Fund Raising</t>
  </si>
  <si>
    <t>Undisclosed</t>
  </si>
  <si>
    <t>Nclt Approves Vedanta's Bid To Acquire Meenakshi Energy</t>
  </si>
  <si>
    <t>Acquisition</t>
  </si>
  <si>
    <t>Vedanta Pledges 5.77% Stake In Hindustan Zinc For Rs 8,000 Crore Term Loan</t>
  </si>
  <si>
    <t>Vedanta To Raise Up To Rs 4,089 Cr Via Ncds</t>
  </si>
  <si>
    <t>Athena Chhattisgarh Power Limited</t>
  </si>
  <si>
    <t>Vedanta Outbids Jspl For Athena</t>
  </si>
  <si>
    <t>Strategic Banks</t>
  </si>
  <si>
    <t>India’s Vedanta In Talks To Raise Up To $3b Debt In Semiconductors Push</t>
  </si>
  <si>
    <t>Hon Hai Technology Group (foxconn)</t>
  </si>
  <si>
    <t>Vedanta Group To Invest $7.4 Billion In Chip Manufacturing Unit</t>
  </si>
  <si>
    <t>Global Investors</t>
  </si>
  <si>
    <t>Vedanta Resources Plans To Raise Up To $1 Billion</t>
  </si>
  <si>
    <t>Vedanta Says Directors' Panel Approves Raising Up To Rs 1,000 Cr Via Ncds</t>
  </si>
  <si>
    <t>Korba Power Limited</t>
  </si>
  <si>
    <t>Lenders To Vote On Vedanta's ?2,800 Crore Offer For Lanco Unit</t>
  </si>
  <si>
    <t>Vedanta Plans To Raise Up To Rs 1,000 Cr Via Ncds</t>
  </si>
  <si>
    <t>Vovl Limited</t>
  </si>
  <si>
    <t>Vedanta Entity, Ovl Among Companies In Race For Videocon Oil &amp; Gas Co</t>
  </si>
  <si>
    <t>Oaktree Capital Llp, Nomura Capital (india) Private Limited</t>
  </si>
  <si>
    <t>Vedanta Promoters To Fund Stake Buy In Holding Company Via Loans</t>
  </si>
  <si>
    <t>Vedanta Ltd Arm To Acquire Desai Cement Company Pvt Ltd</t>
  </si>
  <si>
    <t>Vedanta Eyes Buying Govt Stake In Hindustan Copper</t>
  </si>
  <si>
    <t>Videocon Industries Limited</t>
  </si>
  <si>
    <t>Vedanta Group Gets Bankers' Nod To Buy 13 Videocon Companies</t>
  </si>
  <si>
    <t>Various Banks</t>
  </si>
  <si>
    <t>Indian Miner Vedanta In Talks With Banks To Raise $8b For Bpcl Bid</t>
  </si>
  <si>
    <t>Bharat Petroleum Corporation Limited</t>
  </si>
  <si>
    <t>Vedanta Says Interested In Buying Govt’s Stake In Bpcl</t>
  </si>
  <si>
    <t>Anil Agarwal To Take Vedanta Private, Buyout Public Shareholding For Rs 16,200 Cr</t>
  </si>
  <si>
    <t>In A Bid To Accelerate Its Merger With Cairn India, Vedanta Has Decided To Sweeten Its Deal For Minority Shareholders Of Cairn India.the Parent Company Will Now Offer One Vedanta Share And Four Preference Shares To Minority Shareholders Of Cairn India</t>
  </si>
  <si>
    <t>Merger</t>
  </si>
  <si>
    <t>Period</t>
  </si>
  <si>
    <t>Entity Name</t>
  </si>
  <si>
    <t>Country</t>
  </si>
  <si>
    <t>Activity</t>
  </si>
  <si>
    <t>Equity</t>
  </si>
  <si>
    <t>Loan</t>
  </si>
  <si>
    <t>Guarantee Issued</t>
  </si>
  <si>
    <t>Total</t>
  </si>
  <si>
    <t xml:space="preserve"> Feb 2026</t>
  </si>
  <si>
    <t>Subsidiary</t>
  </si>
  <si>
    <t>Mauritius</t>
  </si>
  <si>
    <t>Financial,insurance And Business Services</t>
  </si>
  <si>
    <t xml:space="preserve"> Nov 2025</t>
  </si>
  <si>
    <t xml:space="preserve"> Jul 2025</t>
  </si>
  <si>
    <t>Vedanta Copper International Vci Limited</t>
  </si>
  <si>
    <t>Saudi Arabia</t>
  </si>
  <si>
    <t xml:space="preserve"> Jun 2025</t>
  </si>
  <si>
    <t xml:space="preserve"> Mar 2025</t>
  </si>
  <si>
    <t xml:space="preserve"> Feb 2025</t>
  </si>
  <si>
    <t xml:space="preserve"> Nov 2024</t>
  </si>
  <si>
    <t xml:space="preserve"> Oct 2024</t>
  </si>
  <si>
    <t xml:space="preserve"> Aug 2024</t>
  </si>
  <si>
    <t xml:space="preserve"> May 2024</t>
  </si>
  <si>
    <t xml:space="preserve"> Feb 2024</t>
  </si>
  <si>
    <t xml:space="preserve"> Apr 2023</t>
  </si>
  <si>
    <t>Cairn India Holdings Ltd</t>
  </si>
  <si>
    <t>Channel Island</t>
  </si>
  <si>
    <t xml:space="preserve"> Nov 2018</t>
  </si>
  <si>
    <t>Financial, Insurance And Business Services</t>
  </si>
  <si>
    <t xml:space="preserve"> Jan 2017</t>
  </si>
  <si>
    <t xml:space="preserve"> Dec 2016</t>
  </si>
  <si>
    <t xml:space="preserve"> Oct 2016</t>
  </si>
  <si>
    <t xml:space="preserve"> Jul 2016</t>
  </si>
  <si>
    <t xml:space="preserve"> Jun 2016</t>
  </si>
  <si>
    <t xml:space="preserve"> Apr 2016</t>
  </si>
  <si>
    <t xml:space="preserve"> Oct 2014</t>
  </si>
  <si>
    <t xml:space="preserve"> Sep 2014</t>
  </si>
  <si>
    <t>Sterlite Usa Inc</t>
  </si>
  <si>
    <t>United States Of America</t>
  </si>
  <si>
    <t xml:space="preserve"> Aug 2014</t>
  </si>
  <si>
    <t xml:space="preserve"> Jun 2014</t>
  </si>
  <si>
    <t xml:space="preserve"> Apr 2014</t>
  </si>
  <si>
    <t xml:space="preserve"> Mar 2014</t>
  </si>
  <si>
    <t xml:space="preserve"> Jan 2014</t>
  </si>
  <si>
    <t xml:space="preserve"> Nov 2013</t>
  </si>
  <si>
    <t xml:space="preserve"> Oct 2013</t>
  </si>
  <si>
    <t xml:space="preserve"> Aug 2013</t>
  </si>
  <si>
    <t xml:space="preserve"> Jul 2013</t>
  </si>
  <si>
    <t xml:space="preserve"> Jun 2013</t>
  </si>
  <si>
    <t xml:space="preserve"> May 2013</t>
  </si>
  <si>
    <t xml:space="preserve"> Apr 2013</t>
  </si>
  <si>
    <t xml:space="preserve"> Mar 2013</t>
  </si>
  <si>
    <t xml:space="preserve"> Feb 2013</t>
  </si>
  <si>
    <t xml:space="preserve"> Jan 2013</t>
  </si>
  <si>
    <t xml:space="preserve"> Dec 2012</t>
  </si>
  <si>
    <t>Financial, Insurance, Real Estate And Business Services</t>
  </si>
  <si>
    <t xml:space="preserve"> Nov 2012</t>
  </si>
  <si>
    <t xml:space="preserve"> Sep 2012</t>
  </si>
  <si>
    <t xml:space="preserve"> Aug 2012</t>
  </si>
  <si>
    <t xml:space="preserve"> Jul 2012</t>
  </si>
  <si>
    <t xml:space="preserve"> May 2012</t>
  </si>
  <si>
    <t xml:space="preserve"> Apr 2012</t>
  </si>
  <si>
    <t xml:space="preserve"> Dec 2011</t>
  </si>
  <si>
    <t xml:space="preserve"> Oct 2011</t>
  </si>
  <si>
    <t xml:space="preserve"> Sep 2011</t>
  </si>
  <si>
    <t xml:space="preserve"> Jul 2011</t>
  </si>
  <si>
    <t>Foreign Collaborator</t>
  </si>
  <si>
    <t>Route</t>
  </si>
  <si>
    <t>Item Of Manufacture</t>
  </si>
  <si>
    <t>Fdi Inflows (us$ Mn)</t>
  </si>
  <si>
    <t>Investment Type</t>
  </si>
  <si>
    <t xml:space="preserve">Mar 31 2022 </t>
  </si>
  <si>
    <t>Acquisition Of Existing Shares Route</t>
  </si>
  <si>
    <t xml:space="preserve">Manufacture Of Aluminium From Alumina And By Other Methods And Products Of Aluminium
and Alloys</t>
  </si>
  <si>
    <t>Received In The Company</t>
  </si>
  <si>
    <t>Vedanta Netherlands Investments B.v,</t>
  </si>
  <si>
    <t>Netherlands</t>
  </si>
  <si>
    <t xml:space="preserve">Manufacture Of Aluminium From Alumina And By Other Methods And
products Of Aluminium And Alloys</t>
  </si>
  <si>
    <t xml:space="preserve">Jun 30 2021 </t>
  </si>
  <si>
    <t xml:space="preserve">Manufacture Of Aluminium From Alumina
and By Other Methods And Products Of Aluminium And Alloys</t>
  </si>
  <si>
    <t>Manufacture Of Aluminium From Alumina And By Other Methods And Products Of Aluminium And Alloys</t>
  </si>
  <si>
    <t xml:space="preserve">Manufacture Of Aluminium From Alumina And By Other Methods And Products Of
aluminium And Alloys</t>
  </si>
  <si>
    <t xml:space="preserve">Mar 31 2021 </t>
  </si>
  <si>
    <t xml:space="preserve">Manufacture Of  Aluminium From Alumina And By Other Methods And
products Of Aluminium And Alloys</t>
  </si>
  <si>
    <t xml:space="preserve">Dec 31 2014 </t>
  </si>
  <si>
    <t>Twinstar Holdings</t>
  </si>
  <si>
    <t>Iron Ore Mining</t>
  </si>
  <si>
    <t xml:space="preserve">Oct 31 2014 </t>
  </si>
  <si>
    <t xml:space="preserve">Twinstar
holdings</t>
  </si>
  <si>
    <t xml:space="preserve">Aug 31 2014 </t>
  </si>
  <si>
    <t xml:space="preserve">Jun 30 2010 </t>
  </si>
  <si>
    <t xml:space="preserve">Copthall Mauritius
investment Ltd.</t>
  </si>
  <si>
    <t>Automatic Route</t>
  </si>
  <si>
    <t xml:space="preserve">Basic Metals &amp; Alloys
industries</t>
  </si>
  <si>
    <t xml:space="preserve">Goldman Sachs
investments Ltd.</t>
  </si>
  <si>
    <t xml:space="preserve">The Royal Bank Of
scotland</t>
  </si>
  <si>
    <t>United Kingdom</t>
  </si>
  <si>
    <t>Deutsche Bank</t>
  </si>
  <si>
    <t xml:space="preserve">Merrill Lynch
capital Markets
espana S.a</t>
  </si>
  <si>
    <t>Spain</t>
  </si>
  <si>
    <t xml:space="preserve">May 31 2010 </t>
  </si>
  <si>
    <t xml:space="preserve">Merrill Lynch
capital Market
espana Sa</t>
  </si>
  <si>
    <t>Basic Metals &amp; Alloys Industries</t>
  </si>
  <si>
    <t xml:space="preserve">Deutsche Bank Ag,
london</t>
  </si>
  <si>
    <t xml:space="preserve">The Royal Bank Of
scotland, London</t>
  </si>
  <si>
    <t xml:space="preserve">Abn Amro Bank N. V.
london</t>
  </si>
  <si>
    <t xml:space="preserve">Kbc Financial
products Uk Ltd.</t>
  </si>
  <si>
    <t>Asia Advantage Fund</t>
  </si>
  <si>
    <t>Ga Fund Ltd.</t>
  </si>
  <si>
    <t>Luxembourg</t>
  </si>
  <si>
    <t>Rmf Umbrella Sicav</t>
  </si>
  <si>
    <t>Fortis L. Fund</t>
  </si>
  <si>
    <t xml:space="preserve">Citgroup Global
markets Mauritius
p.ltd.</t>
  </si>
  <si>
    <t xml:space="preserve">Brookdale (i) Value
fund Ltd.</t>
  </si>
  <si>
    <t xml:space="preserve">Citigroup Global
markets Mauritius P.
lt</t>
  </si>
  <si>
    <t xml:space="preserve">Barclays Capital
mauritius Ltd.</t>
  </si>
  <si>
    <t xml:space="preserve">Goldmans Sachs
mauritius Ltd.</t>
  </si>
  <si>
    <t xml:space="preserve">Swiss Finance Corp
mauritius Ltd.</t>
  </si>
  <si>
    <t xml:space="preserve">Stiching
pensionfonds Abp</t>
  </si>
  <si>
    <t xml:space="preserve">Credit
suisee(singapore)
ltd.</t>
  </si>
  <si>
    <t>Singapore</t>
  </si>
  <si>
    <t>Westglobe Ltd.</t>
  </si>
  <si>
    <t>Finland</t>
  </si>
  <si>
    <t>Westglobe Ltd</t>
  </si>
  <si>
    <t>Westblobe Ltd</t>
  </si>
  <si>
    <t>Mfg</t>
  </si>
  <si>
    <t xml:space="preserve">Apr 30 2010 </t>
  </si>
  <si>
    <t xml:space="preserve">Deutsche Bank Ag
london</t>
  </si>
  <si>
    <t xml:space="preserve">Elara India
opportunities
fund Ltd.</t>
  </si>
  <si>
    <t xml:space="preserve">Goldmans Sach
international</t>
  </si>
  <si>
    <t xml:space="preserve">Barcalays
capital Mauritius
ltd.</t>
  </si>
  <si>
    <t xml:space="preserve">Asia Advantage
fund Fccb</t>
  </si>
  <si>
    <t xml:space="preserve">Swiss Finance
corporation
mauritius Ltd.</t>
  </si>
  <si>
    <t>Societe Generale</t>
  </si>
  <si>
    <t>France</t>
  </si>
  <si>
    <t xml:space="preserve">Abn Amro Bank
n.v.</t>
  </si>
  <si>
    <t xml:space="preserve">Mar 31 2010 </t>
  </si>
  <si>
    <t xml:space="preserve">Swiss Finance Corp.
ltd.</t>
  </si>
  <si>
    <t xml:space="preserve">Merill Lynch Capital
markets Espana</t>
  </si>
  <si>
    <t>Elara Capital Plc</t>
  </si>
  <si>
    <t xml:space="preserve">Feb 28 2010 </t>
  </si>
  <si>
    <t>Manufacturing Unit</t>
  </si>
  <si>
    <t xml:space="preserve">Jan 31 2010 </t>
  </si>
  <si>
    <t>Manufactulring Unit</t>
  </si>
  <si>
    <t>Manufcturing Unit</t>
  </si>
  <si>
    <t xml:space="preserve">Oct 31 2009 </t>
  </si>
  <si>
    <t xml:space="preserve">Aug 31 2009 </t>
  </si>
  <si>
    <t xml:space="preserve">Jul 31 2009 </t>
  </si>
  <si>
    <t xml:space="preserve">May 31 2009 </t>
  </si>
  <si>
    <t xml:space="preserve">Oct 31 2008 </t>
  </si>
  <si>
    <t>Mining Of Iron Ore</t>
  </si>
  <si>
    <t>Comment</t>
  </si>
  <si>
    <t>Source Url</t>
  </si>
  <si>
    <t>Commentary</t>
  </si>
  <si>
    <t>Centre Notifies Rail Link To Adani, Vedanta Mining Sites In State</t>
  </si>
  <si>
    <t>Https://timesofindia.indiatimes.com/city/bhubaneswar/centre-notifies-rail-link-to-adani-vedanta-mining-sites-in-state/articleshow/130449994.cms</t>
  </si>
  <si>
    <t>Jal Case: Nclat Reserves Ruling On Vedanta Plea</t>
  </si>
  <si>
    <t>Https://m.economictimes.com/markets/stocks/news/jal-case-nclat-reserves-ruling-on-vedanta-plea/articleshow/130454078.cms</t>
  </si>
  <si>
    <t>Vedanta Boiler Blast Death Count Rises To 25 As Another Worker Dies</t>
  </si>
  <si>
    <t>Https://www.ndtv.com/india-news/vedanta-boiler-blast-death-count-rises-to-25-as-another-worker-dies-11399934</t>
  </si>
  <si>
    <t>Decrease Share Price</t>
  </si>
  <si>
    <t>Vedanta Share Price Falls Over 3%. Should You Buy The Stock Ahead Of The Demerger Record Date?</t>
  </si>
  <si>
    <t>Https://www.livemint.com/market/stock-market-news/vedanta-share-price-falls-over-3-should-you-buy-the-stock-ahead-of-the-demerger-record-date-11776923072569.html</t>
  </si>
  <si>
    <t>Centre Notifies Dedicated Rail Corridor For Sijimali &amp; Kutrumali Bauxite Mines In Odisha</t>
  </si>
  <si>
    <t>Https://odishabytes.com/centre-notifies-dedicated-rail-corridor-for-sijimali-kutrumali-bauxite-mines-in-odisha/</t>
  </si>
  <si>
    <t>Nclat Reserves Order On Vedanta's Pleas Against Selection Of Adani's Bid For Jal</t>
  </si>
  <si>
    <t>Https://realty.economictimes.indiatimes.com/news/regulatory/nclat-reserves-order-on-vedantas-pleas-against-selection-of-adanis-bid-for-jal/130437952</t>
  </si>
  <si>
    <t>Opportunity</t>
  </si>
  <si>
    <t>Expansion</t>
  </si>
  <si>
    <t xml:space="preserve"> United Drilling Tools Secures Rs.3.16 Crore Order From Vedanta For Tubing Supply</t>
  </si>
  <si>
    <t>Https://www.freepressjournal.in/business/united-drilling-tools-secures-316-crore-order-from-vedanta-for-tubing-supply</t>
  </si>
  <si>
    <t>Operational Issue</t>
  </si>
  <si>
    <t>Vedanta Blast Toll Rises To 24, 11 Still Hospitalised</t>
  </si>
  <si>
    <t>Https://timesofindia.indiatimes.com/city/raipur/vedanta-blast-toll-rises-to-24-11-still-hospitalised/articleshow/130401907.cms</t>
  </si>
  <si>
    <t>Adani Backs Lenders, Opposes Vedanta's Late Bid In Jaypee Insolvency Case</t>
  </si>
  <si>
    <t>Https://www.business-standard.com/companies/news/adani-backs-lenders-opposes-vedanta-s-late-bid-in-jaypee-insolvency-case-126042101175_1.html</t>
  </si>
  <si>
    <t>Odisha Mps Urge Review Of Clearances Amid Sijimali Mining Unrest, Tribal Protests</t>
  </si>
  <si>
    <t>Https://odishabytes.com/odisha-mps-urge-review-of-clearances-amid-sijimali-mining-unrest-tribal-protests/</t>
  </si>
  <si>
    <t>Vedanta"s Plea Indirectly Challenges Commercial Wisdom Of Coc: Adani To Nclat</t>
  </si>
  <si>
    <t>Https://m.economictimes.com/news/company/corporate-trends/vedantas-plea-indirectly-challenges-commercial-wisdom-of-coc-adani-to-nclat/articleshow/130422249.cms</t>
  </si>
  <si>
    <t>Increase Share Price</t>
  </si>
  <si>
    <t>Vedanta Share Price Hits 52-week High On Announcement Of Demerger Record Date; Check Details</t>
  </si>
  <si>
    <t>Https://www.livemint.com/market/stock-market-news/vedanta-demerger-vedanta-share-price-jumps-3-on-announcement-of-demerger-record-date-check-allotment-details-11776743731476.html</t>
  </si>
  <si>
    <t>Jal Insolvency Case: Lenders Flag ‘leak’ That May Have Aided Vedanta Bid</t>
  </si>
  <si>
    <t>Https://www.livemint.com/companies/news/jaiprakash-associates-insolvency-case-vedanta-vs-adani-nclat-11776658682519.html</t>
  </si>
  <si>
    <t>Demerger</t>
  </si>
  <si>
    <t>Vedanta Fixes Record Date To Split Company Into Five Units. Check Details</t>
  </si>
  <si>
    <t>Https://www.ndtvprofit.com/business/vedanta-demerger-may-1-set-as-record-date-to-split-company-into-five-units-11383299</t>
  </si>
  <si>
    <t>Cranex Limited Receives Orders Worth Rs. 6.30 Crores</t>
  </si>
  <si>
    <t>Https://www.equitybulls.com/category.php?id=369225</t>
  </si>
  <si>
    <t>Vedanta Plant Blast: Key ‘fan Problem’, Maintenance Lapses Under Probe</t>
  </si>
  <si>
    <t>Https://indianexpress.com/article/india/vedanta-plant-blast-key-fan-problem-maintenance-lapses-under-probe-10642507/</t>
  </si>
  <si>
    <t>Vedanta Resources Seeks $200 Million Loan Top-up After $350 Million Deal Earlier This Year</t>
  </si>
  <si>
    <t>Https://economictimes.indiatimes.com/industry/indl-goods/svs/metals-mining/vedanta-resources-seeks-200-million-loan-top-up-after-350-million-deal-earlier-this-year/articleshow/130342279.cms</t>
  </si>
  <si>
    <t>Vedanta Was Never Declared Highest Bidder For Jaiprakash Associates: Rp To Nclat</t>
  </si>
  <si>
    <t>Https://energy.economictimes.indiatimes.com/news/coal/vedanta-was-never-declared-highest-bidder-for-jaiprakash-associates-rp-to-nclat/130346331</t>
  </si>
  <si>
    <t>Increased Production</t>
  </si>
  <si>
    <t xml:space="preserve"> Rajasthan's Mangala Oilfield Sees Rise In Production With Redevelopment Efforts</t>
  </si>
  <si>
    <t>Https://timesofindia.indiatimes.com/city/jaipur/rajasthans-mangala-oilfield-sees-rise-in-production-with-redevelopment-efforts/articleshow/130348455.cms</t>
  </si>
  <si>
    <t>Legal</t>
  </si>
  <si>
    <t>Sakti Power Plant Blast: Death Toll Increases To 23, 13 Remain Injured</t>
  </si>
  <si>
    <t>Http://news.webindia123.com/news/articles/india/20260418/4440862.html</t>
  </si>
  <si>
    <t>Complaint File</t>
  </si>
  <si>
    <t>Case Against Vedanta Group Chairman After Blast Kills 20 In Chhattisgarh</t>
  </si>
  <si>
    <t>Https://www.ndtv.com/india-news/case-against-vedanta-group-chairman-after-blast-kills-20-in-chhattisgarh-11369143</t>
  </si>
  <si>
    <t>Capital Raised</t>
  </si>
  <si>
    <t>Vedanta Ltd To Borrow $125 Million; Barred From Diluting Hindustan Zinc Ltd. Stake</t>
  </si>
  <si>
    <t>Https://www.thehansindia.com/business/vedanta-ltd-to-borrow-125-million-barred-from-diluting-hindustan-zinc-ltd-stake-1066655</t>
  </si>
  <si>
    <t>‘symptom Of Deeper Issues’: Viceroy Links Vedanta Blast To Wider Safety, Esg Concerns</t>
  </si>
  <si>
    <t>Https://www.moneylife.in/article/symptom-of-deeper-issues-viceroy-links-vedanta-blast-to-wider-safety-esg-concerns/80243.html</t>
  </si>
  <si>
    <t>Top Bidder For Jal Was Never Disclosed: Resolution Professional On Vedanta's Claim</t>
  </si>
  <si>
    <t>Https://www.livemint.com/companies/news/vedanta-jaiprakash-associates-adani-enterprises-insolvency-case-nclat-11776415601663.html</t>
  </si>
  <si>
    <t>Vedanta Shares Fall After Boiler Blast Probe Flags Lapses, 20 Dead; Fir Names Anil Agarwal</t>
  </si>
  <si>
    <t>Https://www.zeebiz.com/market-news/news-vedanta-shares-fall-after-boiler-blast-probe-flags-lapses-fir-names-anil-agarwal-20-dead-393817</t>
  </si>
  <si>
    <t>Chhattisgarh Vedanta Power Plant Blast: Death Toll Rises To 20; Sixteen Workers Undergoing Treatment</t>
  </si>
  <si>
    <t>Https://www.ndtvprofit.com/business/chhattisgarh-vedanta-power-plant-blast-death-toll-rises-to-20-sixteen-workers-undergoing-treatment-11363142</t>
  </si>
  <si>
    <t>Vedanta Challenges Adani's Jal Plan, Flags Flaws In Coc Scoring Process</t>
  </si>
  <si>
    <t>Https://www.business-standard.com/companies/news/vedanta-challenges-adani-s-jal-plan-flags-flaws-in-coc-scoring-process-126041600986_1.html</t>
  </si>
  <si>
    <t>Stocks Making Biggest Moves Midday: Rec, Pfc, Groww, Gmdc  And More</t>
  </si>
  <si>
    <t>Https://www.financialexpress.com/market/stocks-making-biggest-moves-midday-rec-pfc-groww-gmdcnbsp-and-more-4209040/</t>
  </si>
  <si>
    <t>Nclat Adjourns Hearing On Vedanta Plea Against Selection Of Adani"s Bid For Jal</t>
  </si>
  <si>
    <t>Https://energy.economictimes.indiatimes.com/news/coal/nclat-delays-decision-on-vedantas-challenge-to-adanis-bid-for-jal/130249885</t>
  </si>
  <si>
    <t>Vedanta Set For Strong March Quarter With Aluminium, Zinc Driving Growth</t>
  </si>
  <si>
    <t>Https://www.thehindubusinessline.com/companies/vedanta-set-for-strong-march-quarter-with-aluminium-zinc-driving-growth/article70865350.ece</t>
  </si>
  <si>
    <t>Financial Burden</t>
  </si>
  <si>
    <t>Vedanta Power Announces Rs 35 Lakh Compensation, Job Support For Families Of Deceased In Chhattisgarh Boiler Blast</t>
  </si>
  <si>
    <t>Http://news.webindia123.com/news/articles/india/20260415/4439400.html</t>
  </si>
  <si>
    <t>Nclat Adjourns Hearing On Vedanta Plea Against Selection Of Adani's Bid For Jal</t>
  </si>
  <si>
    <t>Https://realty.economictimes.indiatimes.com/news/regulatory/nclat-adjourns-hearing-on-vedanta-plea-against-selection-of-adanis-bid-for-jal/130249400</t>
  </si>
  <si>
    <t>Boiler Blast At Vedanta Plant In Chhattisgarh Kills 9, Injures 15</t>
  </si>
  <si>
    <t>Https://www.business-standard.com/india-news/nine-killed-15-injured-in-boiler-explosion-at-power-plant-in-chhattisgarh-126041400790_1.html</t>
  </si>
  <si>
    <t>Nclat To Resume Hearing On Adani-jal Deal</t>
  </si>
  <si>
    <t>Https://www.dailypioneer.com/news/nclat-to-resume-hearing-on-adani-jal-deal</t>
  </si>
  <si>
    <t>Seeking Regulatory Clearance</t>
  </si>
  <si>
    <t>Road To Odisha's Sijimali Yet To Get Stage-ii Forest Clearance</t>
  </si>
  <si>
    <t>Https://www.newindianexpress.com/states/odisha/2026/apr/11/road-to-odishas-sijimali-yet-to-get-stage-ii-forest-clearance</t>
  </si>
  <si>
    <t>Shareholding Change</t>
  </si>
  <si>
    <t>Sunil Singhania-backed Abakkus Flexi Cap Fund Raise Stake In Hdfc Bank, Ril And 28 Other Stocks In March</t>
  </si>
  <si>
    <t>Https://m.economictimes.com/mf/analysis/sunil-singhania-backed-abakkus-flexi-cap-fund-raise-stake-in-hdfc-bank-ril-and-28-other-stocks-in-march/articleshow/130188381.cms</t>
  </si>
  <si>
    <t>Jaypee Group Founder Backs Adani Takeover, Hails Transparent Process</t>
  </si>
  <si>
    <t>Https://www.ndtvprofit.com/business/jaypee-group-founder-backs-adani-takeover-hails-transparent-process-11338197</t>
  </si>
  <si>
    <t>Stocks In News: Torrent Power, Gail, J&amp;k Bank, Ola Electric, Vedanta, Infosys</t>
  </si>
  <si>
    <t>Https://m.economictimes.com/markets/stocks/news/stocks-in-news-torrent-power-gail-jk-bank-ola-electric-vedanta-infosys/articleshow/130099706.cms</t>
  </si>
  <si>
    <t>Signatory Left</t>
  </si>
  <si>
    <t xml:space="preserve">Dindayal Jalan (00006882) Has Left The Post Of Director From Company </t>
  </si>
  <si>
    <t>Vedanta Chairman Flags Investment Of Usd 25 Billion To Boost Iron Ore Production And Meet National Steel Target</t>
  </si>
  <si>
    <t>Http://news.webindia123.com/news/articles/business/20260408/4436658.html</t>
  </si>
  <si>
    <t>Vedanta, Hindustan Zinc Among Firms Eyeing Govt's Rs 7,280 Crore Rare Earth Magnet Scheme</t>
  </si>
  <si>
    <t>Https://www.ndtvprofit.com/business/vedanta-hindustan-zinc-among-firms-eyeing-govts-rs-7-280-crore-rare-earth-magnet-scheme-11319995</t>
  </si>
  <si>
    <t>30 Cops Injured In Clash As Villagers Oppose Road Connecting Odisha Mining Site</t>
  </si>
  <si>
    <t>Https://www.ndtv.com/india-news/30-cops-injured-in-clash-as-villagers-oppose-road-connecting-odisha-rayagada-mining-site-11325021</t>
  </si>
  <si>
    <t>Sc Does Not Interfere With Order Allowing Adani To Acquire Jal, Asks Nclat To Decide Expeditiously</t>
  </si>
  <si>
    <t>Https://www.dailypioneer.com/news/sc-does-not-interfere-with-order-allowing-adani-to-acquire-jal-asks-nclat-to-decide-expeditiously</t>
  </si>
  <si>
    <t>India Court Turns Down Request To Pause Adani’s Real Estate, F1 Track Deal</t>
  </si>
  <si>
    <t>Https://www.reuters.com/world/india/india-court-turns-down-request-pause-adanis-real-estate-f1-track-deal-2026-04-06/</t>
  </si>
  <si>
    <t>Supreme Court Refuses To Stay Adani's Resolution Plan For Jaiprakash Associates; Urges Nclat To Hear Vedanta's Appeal On Priority</t>
  </si>
  <si>
    <t>Https://www.livelaw.in/top-stories/supreme-court-refuses-to-stay-adanis-resolution-plan-for-jaiprakash-associates-urges-nclat-to-hear-vedantas-appeal-on-priority-529120</t>
  </si>
  <si>
    <t>Vedanta Aluminium, Zinc Output Rises; Iron Ore, Steel Production Falls</t>
  </si>
  <si>
    <t>Https://www.business-standard.com/companies/news/vedanta-aluminium-zinc-output-rises-iron-ore-steel-production-falls-126040300998_1.html</t>
  </si>
  <si>
    <t>Odisha's Chhendipada On The Boil Over Lack Of Dedicated Corridor For Coal Producers</t>
  </si>
  <si>
    <t>Https://www.newindianexpress.com/states/odisha/2026/apr/02/odishas-chhendipada-on-the-boil-over-lack-of-dedicated-corridor-for-coal-producers</t>
  </si>
  <si>
    <t>Vedanta Challenges Adani’s Win For Jaiprakash Associates In Supreme Court</t>
  </si>
  <si>
    <t>Https://www.telegraphindia.com/business/vedanta-challenges-adanis-win-for-jaiprakash-associates-in-supreme-court-prnt/cid/2154083</t>
  </si>
  <si>
    <t>Vedanta Extends Demerger Deadline To June 30; Shares Rise 5%</t>
  </si>
  <si>
    <t>Https://www.business-standard.com/markets/news/vedanta-extends-demerger-deadline-to-june-30-shares-rise-5-126040100348_1.html</t>
  </si>
  <si>
    <t>Signatory Appointed</t>
  </si>
  <si>
    <t>Singamsetty Venkata Murali Dhar Rao Is Appointed As Additional Director On 01-apr-2026</t>
  </si>
  <si>
    <t>Vedanta Tells Supreme Court Its Revised Jaypee Bid Tops Adani Offer</t>
  </si>
  <si>
    <t>Https://m.economictimes.com/industry/indl-goods/svs/metals-mining/vedanta-tells-supreme-court-its-revised-jaypee-bid-tops-adani-offer/articleshow/129926707.cms</t>
  </si>
  <si>
    <t>Corporate Action</t>
  </si>
  <si>
    <t>Vedanta Extends Demerger Deadline To June 30</t>
  </si>
  <si>
    <t>Https://m.economictimes.com/industry/indl-goods/svs/metals-mining/vedanta-extends-demerger-deadline-to-june-30/articleshow/129933320.cms</t>
  </si>
  <si>
    <t>Dividend / Bonus Issue</t>
  </si>
  <si>
    <t>April Dividend Calendar: From Vedanta To Crisil, Key Payout Dates You Need To Know</t>
  </si>
  <si>
    <t>Https://www.financialexpress.com/market/april-dividend-calendar-from-vedanta-to-crisil-key-payout-dates-you-need-to-know-4190124/</t>
  </si>
  <si>
    <t>Vedanta Denies $5 Billion Us Investment Reports, Says Discussions Are Preliminary</t>
  </si>
  <si>
    <t>Https://www.freepressjournal.in/business/vedanta-denies-5-billion-us-investment-reports-says-discussions-are-preliminary</t>
  </si>
  <si>
    <t>Winning Bid For Jaiprakash Associates Ltd Was Revoked: Vedanta Chief Anil Agarwal</t>
  </si>
  <si>
    <t>Https://www.telegraphindia.com/tt-print/winning-bid-for-jaiprakash-associates-ltd-was-revoked-vedanta-chief-anil-agarwal-prnt/cid/2153752</t>
  </si>
  <si>
    <t>Aluminium Stocks Rally: What’s Driving The Surge In Nalco, Hindalco, Vedanta?</t>
  </si>
  <si>
    <t>Https://www.zeebiz.com/market-news/news-aluminium-stocks-rally-what-s-driving-the-surge-in-nalco-hindalco-vedanta-392847</t>
  </si>
  <si>
    <t>Vedanta Chief Anil Agarwal Claims Jaypee Asset Bid Reversal After Written Confirmation</t>
  </si>
  <si>
    <t>Https://www.ndtvprofit.com/business/vedanta-chief-anil-agarwal-claims-jaypee-asset-bid-reversal-after-written-confirmation-11282279</t>
  </si>
  <si>
    <t>Vedanta Mega Demerger Begins, Company Set To Split Into 5 Units — What It Means For Investors &amp; Why It Could Unlock Big Value</t>
  </si>
  <si>
    <t>Https://www.freepressjournal.in/business/vedanta-mega-demerger-begins-company-set-to-split-into-5-units-what-it-means-for-investors-why-it-could-unlock-big-value</t>
  </si>
  <si>
    <t>Regulatory Issue</t>
  </si>
  <si>
    <t>Ngt Takes Cognizance Of Red Mud Pond Breach By Vedanta At Lanjigarh, Seeks Accountability</t>
  </si>
  <si>
    <t>Http://www.uniindia.com/ngt-takes-cognizance-of-red-mud-pond-breach-by-vedanta-at-lanjigarh-seeks-accountability/east/news/3790866.html</t>
  </si>
  <si>
    <t>Investment</t>
  </si>
  <si>
    <t>Vedanta Offers To Invest $5 Billion In Us, Seeks Global Partnerships</t>
  </si>
  <si>
    <t>Manufacturing.economictimes.indiatimes.com/news/energy/vedanta-offers-to-invest-5-billion-in-us-seeks-global-partnerships/articleshow/129846668.cms</t>
  </si>
  <si>
    <t>Vedanta's Cairn Targets 1 Million Barrels A Day, Looks To Us Shale To Cut Import Reliance</t>
  </si>
  <si>
    <t>Https://www.moneycontrol.com/news/business/vedanta-s-cairn-targets-1-million-barrels-a-day-looks-to-us-shale-to-cut-import-reliance-13870977.html</t>
  </si>
  <si>
    <t>External Factors</t>
  </si>
  <si>
    <t>Cairn Reduces Output By 10% Due To Shipping Complications From Iran War</t>
  </si>
  <si>
    <t>Https://www.business-standard.com/industry/news/cairn-reduces-output-by-10-due-to-shipping-complications-from-iran-war-126032600053_1.html</t>
  </si>
  <si>
    <t>Dividend, Bonus, Stock-split: Vedanta, Hudco, 5 Others To Remain In Focus</t>
  </si>
  <si>
    <t>Https://www.business-standard.com/markets/news/dividend-bonus-stock-split-vedanta-hudco-5-others-to-remain-in-focus-126032500118_1.html</t>
  </si>
  <si>
    <t>Vedanta Power Close To Fully Commissioning 4,780 Mw Capacity: Ceo Rajinder Singh Ahuja</t>
  </si>
  <si>
    <t>Https://energy.economictimes.indiatimes.com/news/power/vedanta-power-close-to-fully-commissioning-4780-mw-capacity-ceo-rajinder-singh-ahuja/129796813</t>
  </si>
  <si>
    <t xml:space="preserve"> Nclat Refuses To Stay Adani’s Rs.14,543 Crore Jal Resolution Plan, Seeks Lenders' Responses</t>
  </si>
  <si>
    <t>Https://www.livemint.com/companies/news/nclat-refuses-to-stay-adani-s-14-543-crore-jal-resolution-plan-seeks-lenders-responses-11774336892763.html</t>
  </si>
  <si>
    <t>Vedanta Chairman Sees 24 Public Sector Firms Fuelling ‘below-the-ground’ Growth</t>
  </si>
  <si>
    <t>Https://www.businessworld.in/article/vedanta-chairman-sees-24-public-sector-firms-fuelling-below-the-ground-growth-599069</t>
  </si>
  <si>
    <t>Vedanta Shares Jump 3% After Company Announces Rs 11 Interim Dividend</t>
  </si>
  <si>
    <t>Https://m.economictimes.com/markets/stocks/news/vedanta-shares-jump-3-after-company-announces-rs-11-interim-dividend/articleshow/129767787.cms</t>
  </si>
  <si>
    <t>Nclat Adjourns Hearing On Vedanta Petition To Tuesday, Asks To Implead Adani As Party</t>
  </si>
  <si>
    <t>Https://m.economictimes.com/industry/indl-goods/svs/metals-mining/nclat-adjourns-hearing-on-vedanta-petition-to-tuesday-asks-to-implead-adani-as-party/articleshow/129753355.cms</t>
  </si>
  <si>
    <t>Vedanta Shares Plunge 5% As Sc Rules Conglomerate Not Entitled To Concessional Rates For High-speed Diesel</t>
  </si>
  <si>
    <t>Https://m.economictimes.com/markets/stocks/news/vedanta-shares-plunge-5-as-sc-rules-conglomerate-not-entitled-to-concessional-rates-for-high-speed-diesel/articleshow/129743615.cms</t>
  </si>
  <si>
    <t xml:space="preserve"> Vedanta Board Announces Third Interim Dividend Of Rs.11 Per Share. Check Record Date And Other Details Here</t>
  </si>
  <si>
    <t>Https://www.livemint.com/market/stock-market-news/vedanta-board-announces-third-interim-dividend-of-rs-11-per-share-check-record-date-and-other-details-here-11774258592735.html</t>
  </si>
  <si>
    <t>Vedanta Moves Nclat, Challenges Nclt Nod To Adani's Bid For Acquiring Jaiprakash Associates</t>
  </si>
  <si>
    <t>Https://www.tribuneindia.com/news/business/vedanta-moves-nclat-challenges-nclt-nod-to-adanis-bid-for-acquiring-jaiprakash-associates/</t>
  </si>
  <si>
    <t>Vedanta Reuses 85 Million Cubic Metres Of Water Across Operations In Fy26</t>
  </si>
  <si>
    <t>Https://www.thehindubusinessline.com/companies/vedanta-reuses-85-million-cubic-metres-of-water-across-operations-in-fy26/article70768844.ece</t>
  </si>
  <si>
    <t>Vedanta Power Insulated From Global Tensions Due To Reliance On Domestic Coal, Says Ceo Ahuja</t>
  </si>
  <si>
    <t>Http://news.webindia123.com/news/articles/business/20260321/4429954.html</t>
  </si>
  <si>
    <t>Vedanta"s Anil Agarwal Pushes For Mining Policy Overhaul As 85% Blocks Lie Non-operational</t>
  </si>
  <si>
    <t>Https://energy.economictimes.indiatimes.com/news/coal/vedantas-anil-agarwal-pushes-for-mining-policy-overhaul-as-85-blocks-lie-non-operational/129699476</t>
  </si>
  <si>
    <t>Dividend, Bonus, Stock-split: Vedanta, Pfc, 10 Others Go Ex-date Next Week</t>
  </si>
  <si>
    <t>Https://www.business-standard.com/markets/news/dividend-bonus-stock-split-vedanta-pfc-10-others-go-ex-date-next-week-126032000113_1.html</t>
  </si>
  <si>
    <t>Nifty Metal Gains 3%; Tata Steel, Jsw, Lloydsme Jump Up To 7%: Here's Why</t>
  </si>
  <si>
    <t>Https://www.business-standard.com/markets/news/nifty-metal-gains-3-tata-steel-jsw-lloydsme-jump-up-to-7-here-s-why-126032000282_1.html</t>
  </si>
  <si>
    <t>Stocks To Watch Today: Hdfc Bank, Ultratech, Vedanta, Nazara Tech, Gr Infra</t>
  </si>
  <si>
    <t>Https://www.business-standard.com/markets/news/stocks-to-watch-today-hdfc-bank-ultratech-vedanta-nazara-technologies-gr-infra-126031900112_1.html</t>
  </si>
  <si>
    <t>Overseas Investment</t>
  </si>
  <si>
    <t>Vedanta Limited Made Overseas Investment Of Us$ 57.5 Mn In Mauritius During February 2026</t>
  </si>
  <si>
    <t>Https://www.rbi.org.in/scripts/bs_pressreleasedisplay.aspx?prid=62400</t>
  </si>
  <si>
    <t>Vedanta Clears Rs 2,575 Crore Ncd Fundraise To Refinance Debt, Strengthen Balance Sheet</t>
  </si>
  <si>
    <t>Https://timesofindia.indiatimes.com/business/india-business/vedanta-clears-rs-2575-crore-ncd-fundraise-to-refinance-debt-strengthen-balance-sheet/articleshow/129606249.cms</t>
  </si>
  <si>
    <t xml:space="preserve"> Vedanta Raises Rs.2,575 Cr To Refinance Existing Debt</t>
  </si>
  <si>
    <t>Https://m.economictimes.com/markets/bonds/vedanta-raises-2575-cr-to-refinance-existing-debt/articleshow/129568751.cms</t>
  </si>
  <si>
    <t>Regulatory Clearance</t>
  </si>
  <si>
    <t>Plan For Use Of Forest Land By Vedanta Coal Mine Approved</t>
  </si>
  <si>
    <t>Https://www.newindianexpress.com/states/odisha/2026/mar/11/plan-for-use-of-forest-land-by-vedanta-coal-mine-approved</t>
  </si>
  <si>
    <t>Aluminium Stocks Jump Up To 10% As Global Supply Disruptions Lift Prices</t>
  </si>
  <si>
    <t>Https://m.economictimes.com/markets/stocks/news/aluminium-stocks-jump-up-to-10-as-global-supply-disruptions-lift-prices/articleshow/129428059.cms</t>
  </si>
  <si>
    <t>Centre Invokes Essential Commodities Act To Regulate Natural Gas Supply Amid West Asia Conflict</t>
  </si>
  <si>
    <t>Https://www.livelaw.in/news-updates/centre-invokes-essential-commodities-act-to-regulate-natural-gas-supply-amid-west-asia-conflict-525793</t>
  </si>
  <si>
    <t>Vedanta Plans Rs 3,000 Crore Bond Sale Next Week</t>
  </si>
  <si>
    <t>Https://m.economictimes.com/markets/bonds/vedanta-plans-rs-3000-crore-bond-sale-next-week/articleshow/129190806.cms</t>
  </si>
  <si>
    <t>Vedanta Aims To Raise Women Workforce Share To 35%, Launches Hiring Drive</t>
  </si>
  <si>
    <t>Https://www.business-standard.com/companies/news/vedanta-aims-to-raise-women-workforce-share-to-35-launches-hiring-drive-126030700266_1.html</t>
  </si>
  <si>
    <t>Hindalco, Nalco, Vedanta Surge Up To 7% As Metal Stocks Rally—should You Buy Now?</t>
  </si>
  <si>
    <t>Https://www.zeebiz.com/market-news/news-hindalco-nalco-vedanta-surge-up-to-7-as-metal-stocks-rally-should-you-buy-now-391529</t>
  </si>
  <si>
    <t>Tata Steel, Vedanta, Hindustan Copper Fall Up To 8% As Iran-israel War Hits Metals" Prospects</t>
  </si>
  <si>
    <t>Https://m.economictimes.com/markets/stocks/news/tata-steel-vedanta-hindustan-copper-fall-up-to-8-as-iran-israel-war-hits-metals-prospects/articleshow/129018870.cms</t>
  </si>
  <si>
    <t>Vedanta Chairman Urges Overhaul Of India’s Natural Resources Policy</t>
  </si>
  <si>
    <t>Https://www.businessworld.in/article/vedanta-chairman-urges-overhaul-of-india-s-natural-resources-policy-595954</t>
  </si>
  <si>
    <t>Contract Won</t>
  </si>
  <si>
    <t>Vedanta Declared Preferred Bidder For Karnapodikonda Bauxite Block In Odisha</t>
  </si>
  <si>
    <t>Https://www.deccanchronicle.com/nation/vedanta-declared-preferred-bidder-for-karnapodikonda-bauxite-block-in-odisha-1940978</t>
  </si>
  <si>
    <t>Bpcl, Hpcl To Ioc : How Elevated Crude Prices May Cast Shadow On Omcs Margins Amid Iran Tensions</t>
  </si>
  <si>
    <t>Https://www.ndtvprofit.com/markets/iocl-bpcl-and-hpcl-see-negative-outlook-while-ongc-vedanta-benefit-how-higher-crude-prices-may-impact-india-inc-11150659</t>
  </si>
  <si>
    <t>Vedanta Ltd Declared Preferred Bidder Of Karnapodikonda Bauxite Block</t>
  </si>
  <si>
    <t>Https://www.equitybulls.com/category.php?id=367501</t>
  </si>
  <si>
    <t>Panic Grips Rajasthan's Kau Kheda Village As Crude Oil Seeps From Farmer's Field</t>
  </si>
  <si>
    <t>Https://timesofindia.indiatimes.com/city/jaipur/panic-grips-rajasthans-kau-kheda-village-as-crude-oil-seeps-from-farmers-field/articleshow/128807067.cms</t>
  </si>
  <si>
    <t>Icra(reaffirm)</t>
  </si>
  <si>
    <t>Icra Assigned Aa To Vedanta Limited</t>
  </si>
  <si>
    <t>Https://www.icra.in/rationale/showrationalereport/?id=141295</t>
  </si>
  <si>
    <t>Vedanta To Raise Rs 3,000 Crore Via Bonds</t>
  </si>
  <si>
    <t>Https://www.ndtvprofit.com/markets/vedanta-to-raise-rs-3-000-crore-via-bonds-11133923</t>
  </si>
  <si>
    <t>Crisil(reaffirm)</t>
  </si>
  <si>
    <t>Crisil Assigned Aa To Vedanta Limited</t>
  </si>
  <si>
    <t>Https://www.crisilratings.com/mnt/winshare/ratings/ratinglist/ratingdocs/vedantalimited_february 25_ 2026_rr_389928.html</t>
  </si>
  <si>
    <t>Vedanta Stock In Focus: Board To Consider Ncd Issue, Shares Rise 2%—key Things To Know</t>
  </si>
  <si>
    <t>Https://www.zeebiz.com/market-news/news-vedanta-stock-in-focus-board-to-consider-ncd-issue-shares-rise-2-key-things-to-know-390884</t>
  </si>
  <si>
    <t>Vedanta Lowers Aluminium Output Forecast</t>
  </si>
  <si>
    <t>Https://m.economictimes.com/industry/indl-goods/svs/metals-mining/vedanta-cuts-aluminium-production-outlook/articleshow/128622312.cms</t>
  </si>
  <si>
    <t>Vedanta Resources Raising $350 Mn From Uae And Other Lenders To Refinance Group Debt</t>
  </si>
  <si>
    <t>Https://www.moneycontrol.com/news/business/vedanta-resources-raising-350-mn-from-uae-and-other-lenders-to-refinance-group-debt-13837835.html</t>
  </si>
  <si>
    <t>Bidding</t>
  </si>
  <si>
    <t>Jindal Power, Vedanta And Havells Among 22 Bidders For Gupta Power</t>
  </si>
  <si>
    <t>Https://m.economictimes.com/industry/energy/power/jindal-power-vedanta-and-havells-among-22-bidders-for-gupta-power/articleshow/128435596.cms</t>
  </si>
  <si>
    <t>Vedanta Moves Nclt Against Adani’s Jal Plan, Calls Lenders Approval ‘unfair’ &amp; Seeks Fresh Review</t>
  </si>
  <si>
    <t>Https://www.freepressjournal.in/business/vedanta-moves-nclt-against-adanis-jal-plan-calls-lenders-approval-unfair-and-seeks-fresh-review</t>
  </si>
  <si>
    <t>Vedanta Urges Nclt To Review Adani's Resolution Plan For Jaiprakash Associates</t>
  </si>
  <si>
    <t>Https://www.livemint.com/companies/news/vedanta-nclt-adani-enterprises-jaiprakash-associates-resolution-plan-ibc-11770888090562.html</t>
  </si>
  <si>
    <t>Vedanta Moves Madras Hc As Tnpcb Rejects Its ‘green Copper’ Proposal At Thoothukudi Sterlite Plant</t>
  </si>
  <si>
    <t>Https://www.thehindubusinessline.com/companies/vedanta-moves-madras-hc-as-tnpcb-rejects-its-green-copper-proposal-at-thoothukudi-sterlite-plant/article70620329.ece</t>
  </si>
  <si>
    <t>Vedanta’s Anil Agarwal Pushes For Exploration Reforms In India’s Oil And Gas Sector, Says Industry Lacks Pli Support</t>
  </si>
  <si>
    <t>Https://economictimes.indiatimes.com/industry/energy/oil-gas/anil-agarwal-urges-energy-independence-reforms-in-indias-oil-and-gas-sector/articleshow/128102709.cms</t>
  </si>
  <si>
    <t>Oil, Gas Block Auction Deadline Extended For Fourth Time</t>
  </si>
  <si>
    <t>Https://www.thehindubusinessline.com/economy/oil-gas-block-auction-deadline-extended-for-fourth-time/article70599103.ece</t>
  </si>
  <si>
    <t>Vedanta, Hindustan Zinc Tank Up To 7%; Share Prices Down 17% In 1 Week</t>
  </si>
  <si>
    <t>Https://www.business-standard.com/markets/news/vedanta-hindustan-zinc-tank-up-to-7-share-prices-down-17-in-1-week-126020500525_1.html</t>
  </si>
  <si>
    <t>Promoter Pledge Decreased</t>
  </si>
  <si>
    <t>Promoter Pledge In Vedanta Limited Decreased By 100.0% From 100.0% To 0.0% Over Previous Reporting Period.</t>
  </si>
  <si>
    <t>Nifty Metal Extends Losses: Hind Copper, Vedanta, Others Plunge Over 10%</t>
  </si>
  <si>
    <t>Https://www.ndtvprofit.com/markets/metals-extend-decline-on-record-silver-sell-off-hindustan-copper-hindustan-zinc-vedanta-plunge-over-10-10922817</t>
  </si>
  <si>
    <t>Vedanta Cfo Targets Mid-may Listings Of Demerged Units</t>
  </si>
  <si>
    <t>Https://www.vccircle.com/vedantacfo-targets-mid-may-listings-of-demerged-units</t>
  </si>
  <si>
    <t>Result And Announcement</t>
  </si>
  <si>
    <t>Vedanta Q3fy26 Net Profit Jumps 60pc At Rs 7,807 Cr</t>
  </si>
  <si>
    <t>Http://www.uniindia.com/vedanta-q3fy26-net-profit-jumps-60pc-at-rs-7-807-cr/business-economy/news/3723985.html</t>
  </si>
  <si>
    <t>Five Baby Vedantas Will Step Into Stock Exchanges In May, Three To Bear Most Debt Load</t>
  </si>
  <si>
    <t>Https://www.livemint.com/companies/five-baby-vedantas-will-step-into-stock-exchanges-in-may-three-to-bear-most-debt-load-demerger-11769696763598.html</t>
  </si>
  <si>
    <t xml:space="preserve"> Vedanta Stock Zooms 28% In 1 Month; Market Cap Nears Rs.3 Trillion</t>
  </si>
  <si>
    <t>Https://www.business-standard.com/markets/news/vedanta-stock-zooms-28-in-1-month-market-cap-nears-3-trillion-126012900679_1.html</t>
  </si>
  <si>
    <t>Vedanta Q3 Fy26 Results: Profit Rises 61% To Rs 5,710 Crore, Revenue At Rs 23,369 Crore</t>
  </si>
  <si>
    <t>Https://www.financialexpress.com/business/industry-vedanta-q3-fy26-results-profit-rises-61-to-rs-5710-crore-revenue-at-rs-23369-crorenbsp-4123270/</t>
  </si>
  <si>
    <t>Why China’s 45 Mtpa Capacity Cap Is A Turning Point For Nalco Investors</t>
  </si>
  <si>
    <t>Https://indianexpress.com/article/smart-stocks/why-chinas-45-mtpa-capacity-cap-is-a-turning-point-for-nalco-investors-10497677/</t>
  </si>
  <si>
    <t>Cairn Oil &amp; Gas Announces Gas Discovery In Ambe</t>
  </si>
  <si>
    <t>Https://www.businessworld.in/article/cairn-oil-gas-announces-gas-discovery-in-ambe-591046</t>
  </si>
  <si>
    <t>Stake Sale</t>
  </si>
  <si>
    <t>Hindustan Zinc Ofs Opens: Vedanta To Sell 1.6% Stake; Check Floor Price, Dates, Eligibility Details</t>
  </si>
  <si>
    <t>Https://www.zeebiz.com/market-news/news-hindustan-zinc-ofs-opens-vedanta-to-sell-16-stake-check-floor-price-dates-eligibility-details-388798</t>
  </si>
  <si>
    <t>Vedanta  To Sell 6.7 Crore Hindustan Zinc Shares Worth Rs 4,872 Crore Via Offer For Sale</t>
  </si>
  <si>
    <t>Https://www.financialexpress.com/business/industry-vedantanbsp-to-sell-6-7-crore-hindustan-zinc-shares-worth-rs-4872-crore-via-offer-for-sale-4120869/</t>
  </si>
  <si>
    <t>Budget 2026: Vedanta Urges Policy Push For Low-grade Iron Ore Beneficiation</t>
  </si>
  <si>
    <t>Https://www.business-standard.com/companies/news/budget-2026-vedanta-urges-policy-push-for-low-grade-iron-ore-beneficiation-126012500143_1.html</t>
  </si>
  <si>
    <t>Cairn Oil &amp; Gas To Showcase Engineering Excellence In Upstream, To Enhance Domestic Production For An Aatmanirbhar Bharat</t>
  </si>
  <si>
    <t>Https://www.tribuneindia.com/news/business/cairn-oil-gas-to-showcase-engineering-excellence-in-upstream-to-enhance-domestic-production-for-an-aatmanirbhar-bharat/</t>
  </si>
  <si>
    <t>Nalco, Hindalco, Vedanta Rally Up To 5% On Heavy Volumes In Subdued Market</t>
  </si>
  <si>
    <t>Https://www.business-standard.com/markets/news/nalco-hindalco-vedanta-rally-up-to-5-on-heavy-volumes-in-subdued-market-126012300488_1.html</t>
  </si>
  <si>
    <t>Vedanta Hands Out Largest Esops Worth Rs 2,500 Crore</t>
  </si>
  <si>
    <t>Https://www.financialexpress.com/business/industry-vedanta-hands-out-largest-esops-worth-rs-2500-crore-4114886/</t>
  </si>
  <si>
    <t>Odisha Slaps Rs 1,255 Cr Demand Notice On Vedanta’s Esl Steel Over Mining Shortfall</t>
  </si>
  <si>
    <t>Https://odishabytes.com/odisha-slaps-rs-1255-crore-demand-notice-on-vedantas-esl-steel-over-mining-shortfall/</t>
  </si>
  <si>
    <t xml:space="preserve"> Vedanta Subsidiary Esl Steel Hit With Rs.1,255 Crore Demand From Odisha Mines Department</t>
  </si>
  <si>
    <t>Https://www.equitybulls.com/category.php?id=366547</t>
  </si>
  <si>
    <t>Gail’s Srikakulam–angul Gas Pipeline Connects India’s Energy Heartland With Eastern Coast</t>
  </si>
  <si>
    <t>Https://www.thehindubusinessline.com/companies/gails-srikakulamangul-pipeline-connects-indias-energy-heartland-with-eastern-coast/article70521443.ece</t>
  </si>
  <si>
    <t>Permitting ‘green Copper’ Plant In Thoothukudi Sterlite Site Will Serve National Interest, Vedanta Tells Madras High Court</t>
  </si>
  <si>
    <t>Https://www.thehindu.com/news/national/tamil-nadu/permitting-green-copper-plant-in-thoothukudi-sterlite-site-will-serve-national-interest-vedanta-tells-madras-high-court/article70517556.ece</t>
  </si>
  <si>
    <t>Industry Bodies In Tuticorin Welcome Madras Hc Order On Green Copper Plant</t>
  </si>
  <si>
    <t>Http://www.uniindia.com/industry-bodies-in-tuticorin-welcome-madras-hc-order-on-green-copper-plant/business-economy/news/3709839.html</t>
  </si>
  <si>
    <t>Stock Price Of Vedanta Ltd. Increased By 22.85% During Last 1 Month</t>
  </si>
  <si>
    <t>Vedanta Share Price Hit 52-week High: Wait Or Buy?</t>
  </si>
  <si>
    <t>Https://www.zeebiz.com/markets/stocks/news-vedanta-share-price-hit-52-week-high-wait-or-buy-387844</t>
  </si>
  <si>
    <t>Public Hearing For Vedanta’s Coal Mine Held Amid Gram Sabha Nod Demand</t>
  </si>
  <si>
    <t>Https://www.newindianexpress.com/states/odisha/2026/jan/10/public-hearing-for-vedantas-coal-mine-held-amid-gram-sabha-nod-demand</t>
  </si>
  <si>
    <t>Vedanta Wins Nclt Approval For Demerger Scheme</t>
  </si>
  <si>
    <t>Https://www.businessworld.in/article/vedanta-wins-nclt-approval-for-demerger-scheme-586769</t>
  </si>
  <si>
    <t>High Court Agrees To Examine Govt"s Refusal To Extend Vedanta"s Contract</t>
  </si>
  <si>
    <t>Https://energy.economictimes.indiatimes.com/news/oil-and-gas/high-court-agrees-to-examine-govts-refusal-to-extend-vedantas-contract/126405966</t>
  </si>
  <si>
    <t>Vedanta's Anil Agarwal Makes Big Move After His Son Agnivesh's Death, Pledges To Donate 75% Wealth To...</t>
  </si>
  <si>
    <t>Https://www.dnaindia.com/business/report-vedanta-s-anil-agarwal-makes-big-move-after-his-son-agnivesh-s-death-pledges-to-donate-75-wealth-to-society-3196357</t>
  </si>
  <si>
    <t>'darkest Day': Vedanta Chairman Anil Agarwal Mourns Death Of Son In Skiing Accident</t>
  </si>
  <si>
    <t>Https://www.newindianexpress.com/business/2026/jan/07/darkest-day-vedanta-chairman-anil-agarwal-mourns-death-of-son-in-skiing-accident</t>
  </si>
  <si>
    <t>Delhi Hc Orders Status Quo On Handover Of Vedanta's Suvali Block To Ongc</t>
  </si>
  <si>
    <t>Https://www.business-standard.com/industry/news/delhi-hc-orders-status-quo-on-handover-of-vedanta-s-suvali-block-to-ongc-126010701040_1.html</t>
  </si>
  <si>
    <t>Vedanta's Balco Receives Rs.17 Lakh Customs Penalty Order For Igst Rate Violation</t>
  </si>
  <si>
    <t>Https://scanx.trade/stock-market-news/stocks/vedanta-s-balco-receives-17-lakh-customs-penalty-order-for-igst-rate-violation/29241115</t>
  </si>
  <si>
    <t>Open To Vedanta To File Plea Before Authorities Over Green Copper Plant: Madras Hc</t>
  </si>
  <si>
    <t>Https://www.deccanchronicle.com/southern-states/tamil-nadu/open-to-vedanta-to-file-plea-before-authorities-over-green-copper-plant-madras-hc-1928224</t>
  </si>
  <si>
    <t>Production Decrease</t>
  </si>
  <si>
    <t>Vedanta’s Oil &amp; Gas Output Slumps 15% In Q3 Despite Metals Boost</t>
  </si>
  <si>
    <t>Https://energy.economictimes.indiatimes.com/news/oil-and-gas/vedanta-reports-increased-production-of-aluminium-zinc-and-iron-ore-despite-declines-in-steel-and-oil-gas/126331188</t>
  </si>
  <si>
    <t xml:space="preserve"> Vedanta Q3 Production: Aluminium, Zinc, Iron Ore Up </t>
  </si>
  <si>
    <t>Https://www.thehindubusinessline.com/companies/vedanta-q3-production-aluminium-zinc-iron-ore-up-steel-oil-gas-down/article70468546.ece</t>
  </si>
  <si>
    <t>Partnership</t>
  </si>
  <si>
    <t>Oil India Inks Pact To Explore Critical Minerals In Arunachal’s Yazali</t>
  </si>
  <si>
    <t>Https://assamtribune.com/north-east/oil-india-inks-pact-to-explore-critical-minerals-in-arunachals-yazali-1603322</t>
  </si>
  <si>
    <t>Https://www.icra.in/rationale/showrationalereport/?id=140124</t>
  </si>
  <si>
    <t>Vedanta Receives Gst Penalty Order Of Rs 54.61 Crore From Ranchi Tax Office</t>
  </si>
  <si>
    <t>Https://studycafe.in/vedanta-receives-gst-penalty-order-of-rs-54-61-crore-from-ranchi-tax-office-404677.html</t>
  </si>
  <si>
    <t>Odisha Launches Mobile App To Track Fly Ash Transportation In Real Time</t>
  </si>
  <si>
    <t>Http://www.uniindia.com/odisha-launches-mobile-app-to-track-fly-ash-transportation-in-real-time/east/news/3691759.html</t>
  </si>
  <si>
    <t>Oil, Gas Block Auction Bid Round Deadline Extended For Third Time</t>
  </si>
  <si>
    <t>Https://energy.economictimes.indiatimes.com/news/oil-and-gas/india-extends-oil-and-gas-auction-deadline-for-oalp-x-to-february-2026/126242411</t>
  </si>
  <si>
    <t>Vedanta Limited Receives Gst Penalty Order Of Rs.66.43 Lakhs From Jharsuguda Tax Authorities</t>
  </si>
  <si>
    <t>Https://scanx.trade/stock-market-news/stocks/vedanta-limited-receives-gst-penalty-order-of-66-43-lakhs-from-jharsuguda-tax-authorities/28636100</t>
  </si>
  <si>
    <t>Vedanta Gains 2% On Depo Graphite-vanadium Block Win; Up 20% In 14 Sessions</t>
  </si>
  <si>
    <t>Https://www.business-standard.com/markets/news/vedanta-gains-2pc-on-depo-graphite-vanadium-block-win-up-20pc-in-14-sessions-125122900191_1.html</t>
  </si>
  <si>
    <t>Hindustan Zinc Discloses Penalty On Promoter Vedanta Limited</t>
  </si>
  <si>
    <t>Https://scanx.trade/stock-market-news/stocks/hindustan-zinc-limited-discloses-penalty-levy-on-promoter-company-vedanta-limited/28447840</t>
  </si>
  <si>
    <t>Mining Returns To Goa’s Forest Heartland, Reigniting Old Fears And New Resistance</t>
  </si>
  <si>
    <t>Https://www.outlookindia.com/national/mining-returns-to-goas-forest-heartland-reigniting-old-fears-and-new-resistance</t>
  </si>
  <si>
    <t>Vedanta Shares Continue To Surge On Demerger Approval By Nclt</t>
  </si>
  <si>
    <t>Https://www.ndtvprofit.com/markets/vedanta-shares-continue-to-surge-on-demerger-approval-by-nclt</t>
  </si>
  <si>
    <t>Andhra Pradesh Issues Noc To Vedanta's Cairn For Onshore Oil, Gas Wells</t>
  </si>
  <si>
    <t>Https://www.ndtvprofit.com/business/andhra-pradesh-issues-noc-to-vedantas-cairn-for-onshore-oil-gas-wells</t>
  </si>
  <si>
    <t>Cdpm, Iim Udaipur Hosts Panel Discussion On Intergenerational Mobility And Pathways Out Of Poverty In India</t>
  </si>
  <si>
    <t>Https://www.tribuneindia.com/news/business/cdpm-iim-udaipur-hosts-panel-discussion-on-intergenerational-mobility-and-pathways-out-of-poverty-in-india/</t>
  </si>
  <si>
    <t>Bjd Receipts Dip Sharply Post-electoral Bond; Bjp Gets Donations From Odisha Cm Majhi &amp; Dharmendra</t>
  </si>
  <si>
    <t>Https://odishabytes.com/bjd-receipts-dip-sharply-post-electoral-bond-bjp-gets-donations-from-odisha-cm-majhi-dharmendra/</t>
  </si>
  <si>
    <t>Vedanta Moves Madras Hc, Seeks Nod For Copper Unit</t>
  </si>
  <si>
    <t>Https://www.newindianexpress.com/states/tamil-nadu/2025/dec/19/vedanta-moves-madras-hc-seeks-nod-for-copper-unit</t>
  </si>
  <si>
    <t>Cleanliness Drive Held At Koilighugar Waterfall</t>
  </si>
  <si>
    <t>Https://www.thehansindia.com/news/national/cleanliness-drive-held-at-koilighugar-waterfall-1031939</t>
  </si>
  <si>
    <t>Vedanta Moves To Revive Incab Jamshedpur, Officer Appointments Underway</t>
  </si>
  <si>
    <t>Http://www.uniindia.com/vedanta-moves-to-revive-incab-jamshedpur-officer-appointments-underway/east/news/3677848.html</t>
  </si>
  <si>
    <t xml:space="preserve"> Vedanta: Viceroy Flags Rs.1,308 Crore Gaar Tax Evasion Claim Even As Nclt Clears Demerger</t>
  </si>
  <si>
    <t>Https://www.moneylife.in/article/vedanta-viceroy-flags-1308-crore-gaar-tax-evasion-claim-even-as-nclt-clears-demerger/79148.html</t>
  </si>
  <si>
    <t>Vedanta Files Regulatory Disclosure On Hindustan Zinc's Rs.63.90 Lakh Penalt</t>
  </si>
  <si>
    <t>Https://scanx.trade/stock-market-news/stocks/hindustan-zinc-pays-63-90-lakh-compounding-fee-for-director-identification-number-disclosure-lapses/27528574</t>
  </si>
  <si>
    <t>Vedanta Limited Made Overseas Investment Of Us$ 25 Mn In Mauritius During November 2025</t>
  </si>
  <si>
    <t>Https://www.rbi.org.in/scripts/bs_pressreleasedisplay.aspx?prid=61827</t>
  </si>
  <si>
    <t>Vedanta Share Price Jumps 4% As Nclt Approves Demerger Plan</t>
  </si>
  <si>
    <t>Https://www.livemint.com/market/stock-market-news/vedanta-share-price-jumps-4-as-nclt-approves-demerger-plan-11765877084477.html</t>
  </si>
  <si>
    <t>India Ratings(reaffirm)</t>
  </si>
  <si>
    <t>India Ratings Assigned Aa- To Vedanta Limited</t>
  </si>
  <si>
    <t>Https://www.indiaratings.co.in/pressrelease/80416</t>
  </si>
  <si>
    <t>Odisha Forest Department Asked To Speed Up Diversion Of 32 Projects</t>
  </si>
  <si>
    <t>Https://www.newindianexpress.com/states/odisha/2025/dec/14/odisha-forest-department-asked-to-speed-up-diversion-of-32-projects</t>
  </si>
  <si>
    <t>'india Poised For America-style Oil Production Boom': Anil Agarwal After Regulatory Reforms</t>
  </si>
  <si>
    <t>Https://www.ndtvprofit.com/business/india-poised-for-america-style-oil-production-boom-anil-agarwal-after-regulatory-reforms</t>
  </si>
  <si>
    <t>Vedanta Shares Gain As It Wins Bid For Genjana Nickel, Chromium, Pge Block</t>
  </si>
  <si>
    <t>Https://www.business-standard.com/markets/news/vedanta-shares-gain-as-it-wins-bid-for-genjana-nickel-chromium-pge-block-125121200336_1.html</t>
  </si>
  <si>
    <t>Vedanta To Invest Rs 1 Lakh Crore In Rajasthan To Ramp Up Output</t>
  </si>
  <si>
    <t>Https://www.ndtvprofit.com/business/vedanta-to-invest-rs-1-lakh-crore-in-rajasthan-to-ramp-up-output</t>
  </si>
  <si>
    <t xml:space="preserve"> Adani Submits Rs.15,000-crore Plan For Jaiprakash Associates For Nclt's Approval</t>
  </si>
  <si>
    <t>Https://www.livemint.com/companies/adani-enterprises-resolution-plan-jaiprakash-associates-nclt-ibc-11765187261783.html</t>
  </si>
  <si>
    <t>Vedanta Group"s Cairn Oil &amp; Gas Seeks Global Partners For $5 Bn Expansion</t>
  </si>
  <si>
    <t>Https://economictimes.indiatimes.com/industry/energy/oil-gas/vedanta-groups-cairn-oil-gas-seeks-global-partners-for-5-bn-expansion-invites-bids-for-gujarat-gas-output/articleshow/125827515.cms</t>
  </si>
  <si>
    <t>Vedanta Says Biomass Facility Of Talwandi Sabo Power Helps In Reducing Stubble Burning In Punjab</t>
  </si>
  <si>
    <t>Https://www.ndtvprofit.com/business/vedanta-says-biomass-facility-of-talwandi-sabo-power-helps-in-reducing-stubble-burning-in-punjab</t>
  </si>
  <si>
    <t>Vedanta Share Price: Stock Rallies 10% In 8 Days, Why Top Brokerages Say It Could Still Climb Much Higher</t>
  </si>
  <si>
    <t>Https://www.zeebiz.com/markets/stocks/news-vedanta-share-price-stock-rallies-10-in-8-days-why-top-brokerages-say-the-stock-could-still-climb-much-higher-384798</t>
  </si>
  <si>
    <t>Vedanta's 20 Lakh+ Retail Shareholders To Benefit As Demerger Enters Final Phase</t>
  </si>
  <si>
    <t>Https://www.equitybulls.com/category.php?id=365098</t>
  </si>
  <si>
    <t>Parties Declare Sharp Rise In Funding After Electoral Bonds</t>
  </si>
  <si>
    <t>Https://www.hindustantimes.com/india-news/parties-declare-sharp-rise-in-funding-after-electoral-bonds-101764615591709.html</t>
  </si>
  <si>
    <t>Harmanpreet Joins Pink Marathon As Brand Ambassador</t>
  </si>
  <si>
    <t>Https://telanganatoday.com/harmanpreet-joins-pink-marathon-as-brand-ambassador</t>
  </si>
  <si>
    <t>Viceroy Flags Another Vedanta Cash Crunch; New Report Says Group Faces Massive Funding Shortfalls &amp; Misleading Disclosures</t>
  </si>
  <si>
    <t>Https://www.moneylife.in/article/viceroy-flags-another-vedanta-cash-crunch-new-report-says-group-faces-massive-funding-shortfalls-and-misleading-disclosures/78953.html</t>
  </si>
  <si>
    <t>Vedanta Poised For 16% Annual Growth In Pre-tax Earnings Through Fy28 On Volume Ramp-up</t>
  </si>
  <si>
    <t>Https://www.moneycontrol.com/news/business/stocks/vedanta-poised-for-16-annual-growth-in-pre-tax-earnings-through-fy28-on-volume-ramp-up-13697960.html</t>
  </si>
  <si>
    <t>Vedanta &amp; Cfi Successfully Conclude Tour-de-thar, Celebrating Endurance</t>
  </si>
  <si>
    <t>Https://www.tribuneindia.com/news/sports/vedanta-cfi-successfully-conclude-tour-de-thar-celebrating-endurance/</t>
  </si>
  <si>
    <t>Tn Discom Asks Centre To Give 1,500mw To Meet Election-time Power Demand</t>
  </si>
  <si>
    <t>Https://www.newindianexpress.com/states/tamil-nadu/2025/nov/20/tn-discom-asks-centre-to-give-1500mw-to-meet-election-time-power-demand</t>
  </si>
  <si>
    <t xml:space="preserve">Zoho-backed Ultraviolette Reports Rs 32 Cr Revenue And Rs 116 Cr Loss In Fy25
                        </t>
  </si>
  <si>
    <t>Https://www.saurenergy.com/solar-energy-news/zoho-backed-ultraviolette-reports-rs-32-cr-revenue-and-rs-116-cr-loss-in-fy25-10792131</t>
  </si>
  <si>
    <t xml:space="preserve"> Adani Enterprises Wins Creditor Nod For Rs.13,500-cr Takeover Plan For Jaiprakash Associates</t>
  </si>
  <si>
    <t>Https://www.thehindubusinessline.com/companies/adani-enterprises-wins-creditor-nod-for-13500-cr-takeover-plan-for-jaiprakash-associates/article70297617.ece</t>
  </si>
  <si>
    <t>Vedanta To Ramp Up Saudi Spending As Hunt For Copper, Gold Begins</t>
  </si>
  <si>
    <t>Https://www.bloomberg.com/news/articles/2025-11-19/vedanta-plans-saudi-spending-boost-in-push-for-copper-gold</t>
  </si>
  <si>
    <t>Vedanta Sets Up Financial Arm At The International Services Centre In Gujarat"s Gift City To Strengthen Capital Market Operation</t>
  </si>
  <si>
    <t>Https://www.freepressjournal.in/business/vedanta-sets-up-financial-arm-at-the-international-services-centre-in-gujarats-gift-city-to-strengthen-capital-market-operation</t>
  </si>
  <si>
    <t>Cycling Federation Of India, Vedanta Partner For 'tour De Thar' - India's First Desert Endurance Cycling Race</t>
  </si>
  <si>
    <t>Https://www.tribuneindia.com/news/sports/cycling-federation-of-india-vedanta-partner-for-tour-de-thar-indias-first-desert-endurance-cycling-race/</t>
  </si>
  <si>
    <t>Csr Initiatives</t>
  </si>
  <si>
    <t>Vedanta’s Nand Ghar Crosses 10,000 Mark Across 16 States</t>
  </si>
  <si>
    <t>Https://www.tribuneindia.com/news/business/vedantas-nand-ghar-crosses-10000-mark-across-16-states/</t>
  </si>
  <si>
    <t>Vedanta Soars 20% In 2 Months, Hits New High; Brokerages See More Upside</t>
  </si>
  <si>
    <t>Https://www.business-standard.com/markets/news/vedanta-stock-soars-20-in-2-months-hits-new-high-brokerages-see-more-upside-125111300644_1.html</t>
  </si>
  <si>
    <t>Vedanta Demerger: Nclt Wraps Up Hearing, Reserves Verdict After Govt Raises Rs 16,700 Crore Claims</t>
  </si>
  <si>
    <t>Https://www.ndtvprofit.com/business/vedanta-demerger-nclt-wraps-up-hearing-reserves-verdict-after-govt-raises-rs-16700-crore-claims</t>
  </si>
  <si>
    <t>Regulators Unlikely To Accept Vedanta’s Token Compliance To Justify Hundreds Of Millions In Overseas Payments: Viceroy Report</t>
  </si>
  <si>
    <t>Https://www.moneylife.in/article/regulators-unlikely-to-accept-vedantas-token-compliance-to-justify-hundreds-of-millions-in-overseas-payments-viceroy-report/78792.html</t>
  </si>
  <si>
    <t>Adani Likely To Win Jaiprakash Associates Insolvency Race, Beat Vedanta</t>
  </si>
  <si>
    <t>Https://www.thehindubusinessline.com/companies/adani-likely-to-win-jaiprakash-associates-insolvency-race-beat-vedanta/article70261297.ece</t>
  </si>
  <si>
    <t>Adani Enterprises Likely To Pip Vedanta To Emerge Highest Bidder For Jaiprakash Associates</t>
  </si>
  <si>
    <t>Https://www.moneycontrol.com/news/business/companies/adani-enterprises-likely-to-pip-vedanta-to-emerge-highest-bidder-for-jaiprakash-associates-13662171.html</t>
  </si>
  <si>
    <t>Blusmart Insolvency: Vedanta, Jindal, Refex Show Interest In Resolving Ev Firm's Debt — Profit Exclusive</t>
  </si>
  <si>
    <t>Https://www.ndtvprofit.com/business/blusmart-insolvency-vedanta-jindal-refex-show-interest-in-resolving-ev-firms-debt-profit-exclusive</t>
  </si>
  <si>
    <t>Tnpdcl Signs 11 Power Deals To Procure 1,580mw; Vedanta Bags Largest Share</t>
  </si>
  <si>
    <t>Https://www.newindianexpress.com/states/tamil-nadu/2025/nov/07/tnpdcl-signs-11-power-deals-to-procure-1580mw-vedanta-bags-largest-share</t>
  </si>
  <si>
    <t>Vedanta's Power Business Secures 500 Mw Power Purchase Deal From Tamil Nadu</t>
  </si>
  <si>
    <t>Https://www.business-standard.com/companies/news/vedanta-power-secures-500mw-ppa-with-tamil-nadu-discom-125110600750_1.html</t>
  </si>
  <si>
    <t>Vedanta Eyes Fy26 Growth With Debt Cut, Demerger, And New Capacities</t>
  </si>
  <si>
    <t>Https://www.business-standard.com/markets/news/vedanta-q2fy26-results-strong-aluminium-earnings-growth-outlook-125110301376_1.html</t>
  </si>
  <si>
    <t>'vedanta Poised To Gain From Commodity Cycle, Deleveraging Efforts'</t>
  </si>
  <si>
    <t>Https://www.business-standard.com/companies/news/vedanta-poised-to-gain-from-commodity-cycle-deleveraging-efforts-125110200245_1.html</t>
  </si>
  <si>
    <t xml:space="preserve"> Promoter Submits Fresh Rs.18000 Cr Plan For Jaiprakash Associates</t>
  </si>
  <si>
    <t>Https://energy.economictimes.indiatimes.com/news/power/jaiprakash-associates-promoter-unveils-18000-cr-rescue-plan-amidst-competitive-bidding-war/124980946</t>
  </si>
  <si>
    <t>Vedanta Q2fy26 Net Profit Drops 59% To Rs 1,798 Crore; Revenue Up 6% Year-on-year</t>
  </si>
  <si>
    <t>Https://www.zeebiz.com/companies/news-vedanta-q2fy26-net-profit-drops-59-to-rs-1798-crore-revenue-up-6-year-on-year-382178</t>
  </si>
  <si>
    <t>Nclt Mumbai Reshuffle Pushes Vedanta Demerger Hearing To Nov 12</t>
  </si>
  <si>
    <t>Https://energy.economictimes.indiatimes.com/news/coal/nclt-mumbai-reshuffle-pushes-vedanta-demerger-hearing-to-nov-12/124930279</t>
  </si>
  <si>
    <t>Vedanta Demerger Faces Fresh Delay As Nclt To Re-hear Case From November 12</t>
  </si>
  <si>
    <t>Https://www.zeebiz.com/companies/news-vedanta-demerger-faces-fresh-delay-as-nclt-to-re-hear-case-from-november-12-382006</t>
  </si>
  <si>
    <t>Govt Extends Oalp-x Oil, Gas Block Bid Round For Second Time</t>
  </si>
  <si>
    <t>Https://energy.economictimes.indiatimes.com/news/oil-and-gas/govt-extends-oalp-x-oil-gas-block-bid-round-for-second-time/124871866</t>
  </si>
  <si>
    <t>Vedanta To Invest Rs 1 Lakh Crore In Second Smelter In Dhenkanal, Set Up Ferro-alloys Plant In Keonjhar</t>
  </si>
  <si>
    <t>Https://www.newindianexpress.com/states/odisha/2025/oct/23/vedanta-to-invest-rs-1-lakh-crore-in-second-smelter-in-dhenkanal-set-up-ferro-alloys-plant-in-keonjhar</t>
  </si>
  <si>
    <t>Https://www.crisilratings.com/mnt/winshare/ratings/ratinglist/ratingdocs/vedantalimited_october 24_ 2025_rr_380330.html</t>
  </si>
  <si>
    <t>Hindalco, Nalco And Vedanta Jump Up To 5% As Aluminium Prices Top $2,850</t>
  </si>
  <si>
    <t>Https://www.livemint.com/market/stock-market-news/hindalco-nalco-and-vedanta-jump-up-to-5-as-aluminium-prices-top-2850-11761285739131.html</t>
  </si>
  <si>
    <t>Justice On Camera: How Openness Is Testing Judicial Conduct</t>
  </si>
  <si>
    <t>Https://www.moneylife.in/article/justice-on-camera-how-openness-is-testing-judicial-conduct/78636.html</t>
  </si>
  <si>
    <t>Vedanta Launches Fish Farming Programme In Lanjigarh Under Project Sangam To Boost Farmer Incomes</t>
  </si>
  <si>
    <t>Https://www.newindianexpress.com/states/odisha/2025/oct/18/vedanta-launches-fish-farming-programme-in-lanjigarh-under-project-sangam-to-boost-farmer-incomes</t>
  </si>
  <si>
    <t>New Charge Document Created</t>
  </si>
  <si>
    <t>Axis Trustee Services Limited Filed A Fresh Charge Of 993.37 Cr.</t>
  </si>
  <si>
    <t>Cci Okays Anil Agarwal's Vedanta Proposal To Acquire Jaiprakash Associates</t>
  </si>
  <si>
    <t>Https://www.moneycontrol.com/news/business/cci-okays-anil-agarwal-s-vedanta-proposal-to-acquire-jaiprakash-associates-13616319.html</t>
  </si>
  <si>
    <t>Kenya's Matata Wins Vedanta Delhi Half Marathon 2025; 40k Run For Cause</t>
  </si>
  <si>
    <t>Https://www.business-standard.com/news-ani/sports/vedanta-delhi-half-marathon-2025-witnesses-kenya-s-alex-matata-clinch-men-s-title-40k-plus-runners-supporting-runforzerohunger-125101200429_1.html</t>
  </si>
  <si>
    <t>Nclt Once Again Postpones Vedanta Demerger Hearing To 29 October</t>
  </si>
  <si>
    <t>Https://www.business-standard.com/companies/news/nclt-once-again-postpones-vedanta-demerger-hearing-to-29-october-125100801328_1.html</t>
  </si>
  <si>
    <t>Debt Repayment</t>
  </si>
  <si>
    <t>Vedanta Share Price In Focus As Union Bank Releases Pledge On 56.38% Stake</t>
  </si>
  <si>
    <t>Https://www.livemint.com/market/stock-market-news/vedanta-share-price-in-focus-as-union-bank-releases-pledge-on-56-38-stake-11759983619908.html</t>
  </si>
  <si>
    <t>Cairn Oil &amp; Gas Hits Hat-trick At Brandon Hall Group Hcm Excellence Award 2025 For Excellence In Learning And Development</t>
  </si>
  <si>
    <t>Http://news.webindia123.com/news/articles/business/20251008/4370286.html</t>
  </si>
  <si>
    <t>Vedanta’s Project Sakhi Empowers Over 4,000 Women In Kalahandi</t>
  </si>
  <si>
    <t>Https://www.newindianexpress.com/states/odisha/2025/oct/08/vedantas-project-sakhi-empowers-over-4000-women-in-kalahandi</t>
  </si>
  <si>
    <t>Vedanta Ltd Pushes Demerger Deadline To March 2026 As Nclt And Government Approvals Remain Pending</t>
  </si>
  <si>
    <t>Https://www.freepressjournal.in/business/vedanta-ltd-pushes-demerger-deadline-to-march-2026-as-nclt-and-government-approvals-remain-pending</t>
  </si>
  <si>
    <t xml:space="preserve"> Vedanta Plans To Invest Rs.13,226 Crore To Ramp Up Aluminium Capacity</t>
  </si>
  <si>
    <t>Https://www.business-standard.com/companies/news/vedanta-plans-to-invest-13-226-crore-to-ramp-up-aluminium-capacity-125100500127_1.html</t>
  </si>
  <si>
    <t>Copper Industry Raises Concerns Over Rising Uae Imports Under Cepa</t>
  </si>
  <si>
    <t>Https://www.business-standard.com/industry/news/copper-industry-raises-concerns-over-rising-uae-imports-under-cepa-125100200296_1.html</t>
  </si>
  <si>
    <t>Nine-time Olympic Gold Medalist Carl Lewis Joins Delhi Half Marathon As International Event Ambassador</t>
  </si>
  <si>
    <t>Https://www.tribuneindia.com/news/sports/nine-time-olympic-gold-medalist-carl-lewis-joins-delhi-half-marathon-as-international-event-ambassador/</t>
  </si>
  <si>
    <t>Silver Surge: How The Devil's Metal Is Shaping Outlook For Hindustan Zinc And Vedanta</t>
  </si>
  <si>
    <t>Https://www.ndtvprofit.com/business/silver-surge-how-the-devils-metal-is-shaping-outlook-for-hindustan-zinc-and-vedanta</t>
  </si>
  <si>
    <t>Taxman Or Sebi: Who Will Eventually Police Corporate Brand Royalty Payments?</t>
  </si>
  <si>
    <t>Https://www.moneylife.in/article/taxman-or-sebi-who-will-eventually-police-corporate-brand-royalty-payments/78439.html</t>
  </si>
  <si>
    <t>Vedanta Moves Delhi High Court Against Denial Of Extension For Cambay Basin Oil And Gas Block</t>
  </si>
  <si>
    <t>Https://www.moneylife.in/article/vedanta-moves-delhi-high-court-against-denial-of-extension-for-cambay-basin-oil-and-gas-block/78441.html</t>
  </si>
  <si>
    <t>Vedanta Plans Bond Sale To Repay Private Debt, Lower Costs</t>
  </si>
  <si>
    <t>Https://www.ndtvprofit.com/business/vedanta-plans-bond-sale-to-repay-private-debt-lower-costs</t>
  </si>
  <si>
    <t>Vedanta’s Bond Rating Draws Fire As Viceroy Alleges Rbi Referral To Ed</t>
  </si>
  <si>
    <t>Https://www.moneylife.in/article/vedantas-bond-rating-draws-fire-as-viceroy-alleges-rbi-referral-to-ed/78434.html</t>
  </si>
  <si>
    <t>Vedanta’s Esl Unit 'bleeding Cash, Heading Back To Insolvency': Viceroy Research Warns</t>
  </si>
  <si>
    <t>Https://www.moneylife.in/article/vedantas-esl-unit-bleeding-cash-heading-back-to-insolvency-viceroy-research-warns/78411.html</t>
  </si>
  <si>
    <t>Recognition/awards</t>
  </si>
  <si>
    <t>Vedanta Ltd Wins Golden Peacock Award For Excellence In Corporate Governance 2025</t>
  </si>
  <si>
    <t>Https://www.equitybulls.com/category.php?id=362124</t>
  </si>
  <si>
    <t>Cea"s 100 Gw Thermal Push Will Aid Adoption Of 500 Gw Renewables By 2030: Vedanta Ceo</t>
  </si>
  <si>
    <t>Https://energy.economictimes.indiatimes.com/news/renewable/ceas-100-gw-thermal-push-to-aid-adoption-of-500-gw-renewables-by-2030-vedanta-ceo/124103438</t>
  </si>
  <si>
    <t>Lenders Ask Vedanta, Adani To Revise Jaiprakash Bids, Detail Funding Plans</t>
  </si>
  <si>
    <t>Https://www.business-standard.com/industry/news/jaiprakash-associates-bidders-revise-offers-funding-plans-125092501088_1.html</t>
  </si>
  <si>
    <t>Women In Corporate Leadership Touch 20% For First Time In India: Avtar-seramount Study</t>
  </si>
  <si>
    <t>Https://www.thehindubusinessline.com/economy/women-in-corporate-leadership-touch-20-for-first-time-in-india-avtar-seramount-study/article70093582.ece</t>
  </si>
  <si>
    <t>Cea"s 100 Gw Thermal Push Will Aid Adoption Of 500 Gw Renewables By 2030: Vedanta</t>
  </si>
  <si>
    <t>Http://news.webindia123.com/news/articles/business/20250924/4364952.html</t>
  </si>
  <si>
    <t>Vedanta Asked To Respond To Sebi Till October 8</t>
  </si>
  <si>
    <t>Https://www.financialexpress.com/business/industry-vedanta-asked-to-respond-to-sebi-till-october-8-3988400/</t>
  </si>
  <si>
    <t>Vedanta Moves Delhi Hc After Govt Denies Cambay Basin Block Extension, Ongc Takes Charge</t>
  </si>
  <si>
    <t>Https://www.moneylife.in/article/vedanta-moves-delhi-hc-after-govt-denies-cambay-basin-block-extension-ongc-takes-charge/78372.html</t>
  </si>
  <si>
    <t>Vedanta's Jal Deal Puts Govt Stake In Hzl &amp; Balco At Risk: Us Short Seller</t>
  </si>
  <si>
    <t>Https://www.business-standard.com/companies/news/vedanta-jaiprakash-acquisition-risk-hzl-balco-viceroy-letter-125092300363_1.html</t>
  </si>
  <si>
    <t>Setback For Vedanta As Govt Denies Extension For Cambay Basin Oil, Gas Block</t>
  </si>
  <si>
    <t>Https://www.livemint.com/focus/setback-for-vedanta-as-govt-denies-extension-for-cambay-basin-oil-gas-block-11758538771361.html</t>
  </si>
  <si>
    <t>Vedanta First Mining Firm To Export Freshly Extracted Ore</t>
  </si>
  <si>
    <t>Https://timesofindia.indiatimes.com/city/goa/vedanta-first-mining-firm-to-export-freshly-extracted-ore/articleshow/123984431.cms</t>
  </si>
  <si>
    <t>Ecb Raised</t>
  </si>
  <si>
    <t>Vedanta Limited Raised Ecb Worth Us$ 160 Million In July 2025</t>
  </si>
  <si>
    <t>Https://www.rbi.org.in/scripts/bs_pressreleasedisplay.aspx?prid=61234</t>
  </si>
  <si>
    <t>Sc Judge Recuses From Vedanta Pil, Matter On Financial Lapses To New Bench</t>
  </si>
  <si>
    <t>Https://www.business-standard.com/industry/news/sc-judge-recuses-vedanta-pil-new-bench-125091901043_1.html</t>
  </si>
  <si>
    <t>Vedanta Bags Manganese Block In Andhra Pradesh</t>
  </si>
  <si>
    <t>Https://www.ndtvprofit.com/business/vedanta-bags-manganese-block-in-andhra-pradesh</t>
  </si>
  <si>
    <t>Vedanta Ltd Declared Preferred Bidder Of Punnam Manganese Block</t>
  </si>
  <si>
    <t>Https://www.equitybulls.com/category.php?id=361763</t>
  </si>
  <si>
    <t>Aluminium Prices Rise On Supply Curbs, Boosting Hindalco, Vedanta, Nalco</t>
  </si>
  <si>
    <t>Https://www.business-standard.com/markets/news/aluminium-majors-gain-tailwinds-prices-supply-demand-valuation-125091801193_1.html</t>
  </si>
  <si>
    <t>Vedanta Aligns 70% Of Revenue To Transition Metals As It Powers India’s Green Growth Journey</t>
  </si>
  <si>
    <t>Https://www.tribuneindia.com/news/business/vedanta-aligns-70-of-revenue-to-transition-metals-as-it-powers-indias-green-growth-journey/</t>
  </si>
  <si>
    <t>Vedanta Confident Of Completing Demerger Process By Year-end: Arun Misra</t>
  </si>
  <si>
    <t>Https://www.thehindubusinessline.com/companies/vedanta-confident-of-completing-demerger-process-by-year-end-arun-misra/article70065055.ece</t>
  </si>
  <si>
    <t>Vedanta Resources Demerger Likely In Fy’26</t>
  </si>
  <si>
    <t>Https://www.dailypioneer.com/2025/business/vedanta-resources-demerger-likely-in-fy---26.html</t>
  </si>
  <si>
    <t>Govt To Push Geothermal Pilots Under New Policy; Iceland, Norway Firms Eye Sites In Uttarakhand, Arunachal</t>
  </si>
  <si>
    <t>Https://indianexpress.com/article/business/govt-geothermal-pilots-iceland-norway-firms-eye-sites-uttarakhand-arunachal-10256080/</t>
  </si>
  <si>
    <t>Vedanta Shares Decline After Nclt Mumbai Defers Demerger Hearing</t>
  </si>
  <si>
    <t>Https://www.ndtvprofit.com/business/vedanta-shares-decline-after-nclt-mumbai-defers-demerger-hearing</t>
  </si>
  <si>
    <t>Vedanta To Retain Coal As Base Energy Source, Top Executive Says</t>
  </si>
  <si>
    <t>Https://www.thehindubusinessline.com/companies/vedanta-to-retain-coal-as-base-energy-source-top-executive-says/article70056588.ece</t>
  </si>
  <si>
    <t>Disputes</t>
  </si>
  <si>
    <t>Vedanta Shareholder Moves Supreme Court Over Us$500mn Brand Fee, Calls It Unjustifiable And Harmful To Investors</t>
  </si>
  <si>
    <t>Https://www.moneylife.in/article/vedanta-shareholder-moves-supreme-court-over-us500mn-brand-fee-calls-it-unjustifiable-and-harmful-to-investors/78288.html</t>
  </si>
  <si>
    <t>Vedanta Gets Nclat Nod For Talwandi Sabo's Demerger As Creditor Dispute Ends</t>
  </si>
  <si>
    <t>Https://www.livemint.com/companies/vedanta-tspl-demerger-nclat-vedanta-ruling-talwandi-sabo-power-demerger-news-sepco-vedanta-settlement-vedanta-debt-r-11757925502125.html</t>
  </si>
  <si>
    <t>After Beating Gautam Adani, Anil Agarwal Now Seeks Special Permission From Govt To…; What Is Vedanta’s Plan?</t>
  </si>
  <si>
    <t>Https://www.india.com/business/after-beating-gautam-adani-anil-agarwal-now-seeks-special-permission-from-cci-govt-to-buy-jaiprakash-associates-ltd-jal-jaypee-group-what-is-vedanta-plan-jp-associates-8074729/</t>
  </si>
  <si>
    <t>Case Settles</t>
  </si>
  <si>
    <t>Vedanta Settles Dispute With Chinese Firm Sepco Electric</t>
  </si>
  <si>
    <t>Https://economictimes.indiatimes.com/industry/indl-goods/svs/metals-mining/vedanta-and-sepco-electric-settle-dispute-paving-way-for-demerger/articleshow/123852402.cms</t>
  </si>
  <si>
    <t>Khalid Jamil’s Tenure Off To Promising Start At Cafa Nations Cup: Armando Colaco</t>
  </si>
  <si>
    <t>Https://www.thehansindia.com/sports/khalid-jamils-tenure-off-to-promising-start-at-cafa-nations-cup-armando-colaco-1005826</t>
  </si>
  <si>
    <t>Https://www.crisilratings.com/mnt/winshare/ratings/ratinglist/ratingdocs/vedantalimited_september 11_ 2025_rr_376867.html</t>
  </si>
  <si>
    <t xml:space="preserve"> Adani, Jindal, Jsw Among 21 Bidders Submitting Eoi For Gvk Energy</t>
  </si>
  <si>
    <t>Https://www.business-standard.com/companies/news/21-bidders-including-adani-jindal-jsw-submit-eoi-for-gvk-energy-125091101096_1.html</t>
  </si>
  <si>
    <t>Vedanta To Acquire Land For 3 Mtpa Aluminium Plant In Odisha</t>
  </si>
  <si>
    <t>Https://www.financialexpress.com/business/industry-vedanta-to-acquire-land-for-3-mtpa-aluminium-plant-in-odisha-3973117/</t>
  </si>
  <si>
    <t>Vedanta Reworking Bid For Jaiprakash Power Ventures</t>
  </si>
  <si>
    <t>Https://www.thehindubusinessline.com/companies/vedanta-reworking-bids-for-jaiprakash-power-ventures/article70034105.ece</t>
  </si>
  <si>
    <t>Kotak Alternate Assets Bids Rs 7,400 Crore For Jaiprakash Power Ventures, Complicating Vedanta"s Plans</t>
  </si>
  <si>
    <t>Https://economictimes.indiatimes.com/industry/energy/power/kotak-alternate-assets-offers-rs-7400-crore-for-jaiprakash-power-ventures-thwarting-vedantas-acquisition-plans/articleshow/123793823.cms</t>
  </si>
  <si>
    <t>Vedanta Boosts Metal Manufacturing To Advance Ev Industry With Capex Spend At More Than Inr 12,500 Crores</t>
  </si>
  <si>
    <t>Https://www.equitybulls.com/category.php?id=361390</t>
  </si>
  <si>
    <t>Jsw, Vedanta, Adani Among Companies Keen To Buy Gvk Energy"s Asset</t>
  </si>
  <si>
    <t>Https://economictimes.indiatimes.com/industry/energy/power/gvk-energys-alaknanda-hydro-power-project-attracts-major-players-like-jsw-adani-and-vedanta/articleshow/123752085.cms</t>
  </si>
  <si>
    <t>Lenders To Vote On Vedanta, Adani Bids For Bankrupt Jaiprakash Associates</t>
  </si>
  <si>
    <t>Https://www.business-standard.com/industry/news/lenders-to-vote-vedanta-adani-bids-for-jaiprakash-associates-125090801007_1.html</t>
  </si>
  <si>
    <t>Supreme Court Justice K Vinod Chandran Recuses From Pil For Probe Into Viceroy's Allegations Against Vedanta</t>
  </si>
  <si>
    <t>Https://www.moneylife.in/article/supreme-court-justice-k-vinod-chandran-recuses-from-pil-for-probe-into-viceroys-allegations-against-vedanta/78209.html</t>
  </si>
  <si>
    <t>Vedanta Shares Fall On Reports Of Rs 17,000 Cr Bid For Jaiprakash Associates Assets</t>
  </si>
  <si>
    <t>Https://www.businessworld.in/article/vedanta-shares-fall-on-reports-of-rs-17000-cr-bid-for-jaiprakash-associates-assets-570650</t>
  </si>
  <si>
    <t xml:space="preserve"> Vedanta Invests Over Rs.12,500 Crore In Metal Manufacturing For Ev Sector</t>
  </si>
  <si>
    <t>Https://manufacturing.economictimes.indiatimes.com/news/automotive/vedantas-12500-crore-investment-to-transform-indias-ev-metal-supply-chain/123769033</t>
  </si>
  <si>
    <t>Vedanta To Pay Rs 4,000 Cr Upfront In Jaiprakash Associates Bid</t>
  </si>
  <si>
    <t>Https://www.businessworld.in/article/vedanta-to-pay-rs-4000-cr-upfront-in-jaiprakash-associates-bid-570503</t>
  </si>
  <si>
    <t>Agm</t>
  </si>
  <si>
    <t>Last Agm Held On 10-jul-2025</t>
  </si>
  <si>
    <t>Vedanta Beats Adani Group With Rs 17,000 Crore Bid To Acquire Jal</t>
  </si>
  <si>
    <t>Https://www.deccanherald.com/business/vedanta-beats-adani-group-with-rs-17000-crore-bid-to-acquire-jal-3714290</t>
  </si>
  <si>
    <t>Us$900m Loan, Write-backs, And Pledged Assets: Viceroy Alleges Vedanta Used ‘creative Accounting’ To Fund Us$2bn Dividend</t>
  </si>
  <si>
    <t>Https://www.moneylife.in/article/us900m-loan-writebacks-and-pledged-assets-viceroy-alleges-vedanta-used-creative-accounting-to-fund-us2bn-dividend/78206.html</t>
  </si>
  <si>
    <t>Race For Investment In Jp Power Ahead Of Parent Auction Today</t>
  </si>
  <si>
    <t>Https://economictimes.indiatimes.com/industry/energy/power/race-for-investment-in-jp-power-ahead-of-parent-auction-today/articleshow/123704613.cms</t>
  </si>
  <si>
    <t>Double Down On Domestic Oil And Gas</t>
  </si>
  <si>
    <t>Https://www.financialexpress.com/opinion/double-down-on-domestic-oil-and-gas/3968399/</t>
  </si>
  <si>
    <t>Vedanta Group's Invenia Aims For Growth In Data Centre, System Integration</t>
  </si>
  <si>
    <t>Https://www.business-standard.com/companies/start-ups/vedanta-invenia-growth-data-centre-system-integration-125090401369_1.html</t>
  </si>
  <si>
    <t>More Trouble For Vedanta? Govt Defers Decision On 700-hectare Bauxite Mining Project in odisha</t>
  </si>
  <si>
    <t>Https://www.financialexpress.com/business/industry-more-trouble-for-vedanta-govt-defers-decision-on-700-hectare-bauxite-mining-project-in-odisha-3965786/</t>
  </si>
  <si>
    <t>Viceroy Research Flags Vedanta’s Rs2,000 Crore Brand Fee Payments As Governance Breach</t>
  </si>
  <si>
    <t>Https://www.moneylife.in/article/viceroy-research-flags-vedantas-rs2000-crore-brand-fee-payments-as-governance-breach/78143.html</t>
  </si>
  <si>
    <t>Vedanta Awards Employee Stock Options Worth Rs 450 Crore — Check Details</t>
  </si>
  <si>
    <t>Https://www.ndtvprofit.com/markets/vedanta-awards-employee-stock-options-worth-rs-450-crore-in-fy25</t>
  </si>
  <si>
    <t>Vedanta Harnesses Sports To Transform 3 Lakh Lives</t>
  </si>
  <si>
    <t>Https://sports.ndtv.com/othersports/vedanta-harnesses-sports-to-transform-3-lakh-lives-9183952</t>
  </si>
  <si>
    <t>Cairn Oil &amp; Gas Marks 16 Years Of Oil Production From Mangala</t>
  </si>
  <si>
    <t>Https://www.tribuneindia.com/news/business/cairn-oil-gas-marks-16-years-of-oil-production-from-mangala/</t>
  </si>
  <si>
    <t>Digitalisation, Automation Can Boost Mining, Metals Efficiency By Up To 15%: Report</t>
  </si>
  <si>
    <t>Https://energy.economictimes.indiatimes.com/news/coal/digitalisation-automation-can-boost-mining-metals-efficiency-by-up-to-15-report/123574299</t>
  </si>
  <si>
    <t>Meenakshi Energy’s 1,000 Mw Thermal Power Plant Fully Operational</t>
  </si>
  <si>
    <t>Https://energy.economictimes.indiatimes.com/news/power/meenakshi-energys-1000-mw-thermal-power-plant-fully-operational/123574225</t>
  </si>
  <si>
    <t>Digital Transformation Could Boost Indian Mining &amp; Metals Competitiveness By 15%: Ficci Crisil Report</t>
  </si>
  <si>
    <t>Https://www.tribuneindia.com/news/business/digital-transformation-could-boost-indian-mining-metals-competitiveness-by-15-ficci-crisil-report/</t>
  </si>
  <si>
    <t>Cairn Oil And Gas To Begin Offshore Drilling In Kutch Basin In Oct 2025, Kg Basin In 2026</t>
  </si>
  <si>
    <t>Https://www.financialexpress.com/business/industry-cairn-oil-and-gas-to-begin-offshore-drilling-in-kutch-basin-in-oct-2025-kg-basin-in-2026-3959340/</t>
  </si>
  <si>
    <t>Viceroy Flags Hindustan Zinc’s Rs1,060 Crore Brand Fee To Vedanta As Regulatory Breach, Questions Govt Directors’ Role</t>
  </si>
  <si>
    <t>Https://www.moneylife.in/article/viceroy-flags-hindustan-zincs-rs1060-crore-brand-fee-to-vedanta-as-regulatory-breach-questions-govt-directors-role/78092.html</t>
  </si>
  <si>
    <t>Hzl Eyes Rare Earth Elements, Seeks Global Partners For Ai, Drone-led Mineral Exploration</t>
  </si>
  <si>
    <t>Https://auto.economictimes.indiatimes.com/news/auto-components/hindustan-zinc-ventures-into-rare-earth-elements-with-ai-and-drone-exploration/123499522</t>
  </si>
  <si>
    <t>Vedanta Faces Calls For Us$783mn Write-down In Troubled Thl Zinc Subsidiaries: Viceroy Research</t>
  </si>
  <si>
    <t>Https://www.moneylife.in/article/vedanta-faces-calls-for-us783mn-writedown-in-troubled-thl-zinc-subsidiaries-viceroy-research/78070.html</t>
  </si>
  <si>
    <t>Vedanta Considers 2nd Interim Dividend Of Rs 16 Per Share, Record Date Fixed For...</t>
  </si>
  <si>
    <t>Https://zeenews.india.com/economy/vedanta-considers-2nd-interim-dividend-of-rs-16-per-share-record-date-fixed-for-2949746.html</t>
  </si>
  <si>
    <t>Govt Raises Objections To Vedanta Demerger Plan</t>
  </si>
  <si>
    <t>Https://www.deccanherald.com/business/companies/vedantas-demerger-plan-faces-government-objection-3688912</t>
  </si>
  <si>
    <t xml:space="preserve">Vedanta Limited Made Overseas Investment Of Us$ 160 Mn In Mauritius During July  2025</t>
  </si>
  <si>
    <t>Https://www.rbi.org.in/scripts/bs_pressreleasedisplay.aspx?prid=61064</t>
  </si>
  <si>
    <t xml:space="preserve">Vedanta Limited Made Overseas Investment Of Us$ 5.22 Mn In Saudi Arabia During July  2025</t>
  </si>
  <si>
    <t>Vedanta Ltd Approves 2nd Interim Dividend Of Rs. 16</t>
  </si>
  <si>
    <t>Https://www.equitybulls.com/category.php?id=360882</t>
  </si>
  <si>
    <t>Vedanta Reports 2.6 Billion Units Of Renewable Energy Use In Fy25</t>
  </si>
  <si>
    <t>Manufacturing.economictimes.indiatimes.com/news/energy/vedanta-reports-2-6-billion-units-of-renewable-energy-use-in-fy25/articleshow/123403131.cms</t>
  </si>
  <si>
    <t>Vedanta’s Demerger Faces Setback: Sc Rejects Plea, Sebi Objects To Talwandi Sabo Demerger; Next Nclt Hearing On Sep 17</t>
  </si>
  <si>
    <t>Https://www.financialexpress.com/business/industry-vedantas-demerger-faces-setback-sc-rejects-plea-sebi-objects-to-talwandi-sabo-demerger-next-nclt-hearing-on-sep-17-3952184/</t>
  </si>
  <si>
    <t>Vedanta Board To Consider Second Interim Dividend This Week — Check Record Date</t>
  </si>
  <si>
    <t>Https://www.ndtvprofit.com/markets/vedanta-board-to-consider-second-interim-dividend-this-week-check-record-date</t>
  </si>
  <si>
    <t>Vedanta-owned Hindustan Zinc Shares To Be In Focus On Tuesday On This Capex Update. Check Details</t>
  </si>
  <si>
    <t>Https://www.livemint.com/market/stock-market-news/vedantaowned-hindustan-zinc-shares-to-be-in-focus-on-tuesday-on-this-capex-update-check-details-11755520057900.html</t>
  </si>
  <si>
    <t>Vedanta’s Black Mountain Mining Is A 'us$1bn Fiction', Alleges Viceroy Research</t>
  </si>
  <si>
    <t>Https://www.moneylife.in/article/vedantas-black-mountain-mining-is-a-us1bn-fiction-alleges-viceroy-research/78003.html</t>
  </si>
  <si>
    <t>Vedanta Makes $5 B Investment In India</t>
  </si>
  <si>
    <t>Https://www.thehindubusinessline.com/companies/vedanta-makes-5-b-investment-in-india/article69933356.ece</t>
  </si>
  <si>
    <t>Pil In Supreme Court Demands Investigation Into Viceroy Report Alleging Fraud By Vedanta</t>
  </si>
  <si>
    <t>Https://www.bwlegalworld.com/article/pil-in-supreme-court-demands-investigation-into-viceroy-report-alleging-fraud-by-vedanta-567393</t>
  </si>
  <si>
    <t>Adani Gangavaram Port Records Deepest Berthing</t>
  </si>
  <si>
    <t>Https://www.deccanchronicle.com/southern-states/andhra-pradesh/adani-gangavaram-port-records-deepest-berthing-1897077</t>
  </si>
  <si>
    <t>Lenders Explore Stake Sale In Jaiprakash Power Ventures; Adani Among Those Approached</t>
  </si>
  <si>
    <t>Https://www.thehindubusinessline.com/companies/lenders-explore-stake-sale-in-jaiprakash-power-ventures-adani-among-those-approached/article69920106.ece</t>
  </si>
  <si>
    <t>Vedanta Rejects Viceroy's Claim Its Namibia Zinc Assets Are Worthless</t>
  </si>
  <si>
    <t>Https://www.business-standard.com/companies/news/vedanta-zinc-overseas-assets-worthless-viceroy-report-125081101682_1.html</t>
  </si>
  <si>
    <t>Vedanta’s Us$70mn Skorpion Asset ‘worthless’, Restart Economically Impossible, Claims Viceroy Research</t>
  </si>
  <si>
    <t>Https://www.moneylife.in/article/vedantas-us70mn-skorpion-asset-worthless-restart-economically-impossible-claims-viceroy-research/77934.html</t>
  </si>
  <si>
    <t>Odisha: Medha Patkar, 6 Barred From Entering Rayagada Villages Ahead Of Cm’s Visit</t>
  </si>
  <si>
    <t>Https://www.hindustantimes.com/india-news/odisha-medha-patkar-6-barred-from-entering-rayagada-villages-ahead-of-cm-s-visit-101754719194735.html</t>
  </si>
  <si>
    <t>Jaiprakash Associates’ Asset Sale: Dalmia, Adani Top Bidders; Lenders Seek Sweeter, Unconditional Bids</t>
  </si>
  <si>
    <t>Https://www.thehindubusinessline.com/companies/jaiprakash-associates-asset-sale-dalmia-adani-top-bidders-lenders-seek-sweeter-unconditional-bids/article69910776.ece</t>
  </si>
  <si>
    <t>Aluminium Extrusion Sector Gains Momentum In South India</t>
  </si>
  <si>
    <t>Https://www.thehansindia.com/business/aluminium-extrusion-sector-gains-momentum-in-south-india-994814</t>
  </si>
  <si>
    <t>India Hits Jackpot! This Indian State Set To Become Super Rich As Massive Nickel-copper-pge Deposits Found In.., Will Change…</t>
  </si>
  <si>
    <t>Https://www.india.com/news/india/india-hits-jackpot-this-indian-state-set-to-become-super-rich-as-massive-nickel-copper-pge-deposits-found-in-chhattisgarh-mahasamund-district-will-change-resource-economy-7996217/</t>
  </si>
  <si>
    <t>Viceroy Research Flags Rs81,000 Crore Offshore Drain From Vedanta; Urges Rbi Probe Into 'systemic Threat'</t>
  </si>
  <si>
    <t>Https://www.moneylife.in/article/viceroy-research-flags-rs81000-crore-offshore-drain-from-vedanta-urges-rbi-probe-into-systemic-threat/77889.html</t>
  </si>
  <si>
    <t>Vedanta Bets On Growth, Green Energy And Debt Discipline: Arun Misra</t>
  </si>
  <si>
    <t>Https://www.thehindubusinessline.com/companies/vedanta-bets-on-growth-green-energy-and-debt-discipline-arun-misra/article69887264.ece</t>
  </si>
  <si>
    <t xml:space="preserve"> Vedanta Q1 Net Profit Falls 11.7% To Rs.3,185 Crore On Weak Lme Prices</t>
  </si>
  <si>
    <t>Https://www.business-standard.com/companies/news/vedanta-q1fy26-net-profit-down-12-pc-on-lower-lme-prices-revenue-up-6-pc-125073101941_1.html</t>
  </si>
  <si>
    <t>Operational Efficiency</t>
  </si>
  <si>
    <t>Vedanta Aims To Cut Interest Costs, Targets 1x Net Debt Ratio By Fy26-end</t>
  </si>
  <si>
    <t>Https://www.thehindubusinessline.com/companies/vedanta-aims-to-cut-interest-costs-targets-1x-net-debt-ratio-by-fy26-end/article69879292.ece</t>
  </si>
  <si>
    <t>Vedanta’s Odisha Project Among Biggest Manufacturing Investment Of Q1fy26</t>
  </si>
  <si>
    <t>Https://odishabytes.com/?p=562546</t>
  </si>
  <si>
    <t xml:space="preserve"> Vedanta Refunded Rs.1,030 Cr Brand Fee To Unit After Ed Scrutiny: Viceroy</t>
  </si>
  <si>
    <t>Https://www.business-standard.com/companies/news/vedanta-resources-viceroy-ed-action-brand-fee-vedl-vrl-125073000697_1.html</t>
  </si>
  <si>
    <t>Vedanta Chairman Anil Agarwal Envisions Space As The Next Frontier For High-tech manufacturing</t>
  </si>
  <si>
    <t>Https://www.equitybulls.com/category.php?id=360363</t>
  </si>
  <si>
    <t>Viceroy Research Accuses Vedanta Of Margin Theft Via Hzl Vendor Runaya Green Tech</t>
  </si>
  <si>
    <t>Https://www.moneylife.in/article/viceroy-research-accuses-vedanta-of-margin-theft-via-hzl-vendor-runaya-green-tech/77807.html</t>
  </si>
  <si>
    <t>Asian Energy Services Ltd Secures ~rs 865 Crores Integrated Service Contract From Vedanta Limited</t>
  </si>
  <si>
    <t>Https://www.equitybulls.com/category.php?id=360251</t>
  </si>
  <si>
    <t>Viceroy Research Goes Public With Sebi Complaint Against Vedanta And Agarwal Family</t>
  </si>
  <si>
    <t>Https://www.moneylife.in/article/viceroy-research-goes-public-with-sebi-complaint-against-vedanta-and-agarwal-family/77771.html</t>
  </si>
  <si>
    <t>Vedanta Declared Preferred Bidder For Janthakal Iron Ore Mine In Karnataka</t>
  </si>
  <si>
    <t>Https://www.equitybulls.com/category.php?id=360036</t>
  </si>
  <si>
    <t>Fine</t>
  </si>
  <si>
    <t>Vedanta Gets A Penalty Of Rs 15.4 Lakh From Orissa Tax Authorities</t>
  </si>
  <si>
    <t>Https://www.financialexpress.com/business/industry-vedanta-gets-a-penalty-of-rs-15-4-lakh-from-orissa-tax-authorities-3925674/</t>
  </si>
  <si>
    <t>Vedanta Group Promoters Siphoning Profits Via Exclusive Hzl Supply Deal: Viceroy</t>
  </si>
  <si>
    <t>Https://www.livemint.com/companies/news/vedanta-group-promoters-siphoning-profits-via-exclusive-hzl-supply-deal-viceroy-11753280678915.html</t>
  </si>
  <si>
    <t>Vedanta Declared As "preferred Bidder" For Iron Ore Mining In Karnataka</t>
  </si>
  <si>
    <t>Https://economictimes.indiatimes.com/industry/indl-goods/svs/metals-mining/vedanta-declared-as-preferred-bidder-for-iron-ore-mining-in-karnataka/articleshow/122856886.cms</t>
  </si>
  <si>
    <t>Former Cji Chandrachud Defends Vedanta Group In Legal Opinion Against Viceroy Research’s Claims</t>
  </si>
  <si>
    <t>Https://www.moneylife.in/article/former-cji-chandrachud-defends-vedanta-group-in-legal-opinion-against-viceroy-researchs-claims/77726.html</t>
  </si>
  <si>
    <t>Vedanta’s Hzl Brand Fee Deal Under Viceroy Cloud</t>
  </si>
  <si>
    <t>Https://www.financialexpress.com/business/industry/vedantas-hzl-brand-fee-deal-under-viceroy-cloud/3918271/</t>
  </si>
  <si>
    <t>Vedanta Is Crippling Hindustan Zinc To Repay Foreign Debt, Alleges Former Secretary Eas Sarma</t>
  </si>
  <si>
    <t>Https://www.moneylife.in/article/vedanta-is-crippling-hindustan-zinc-to-repay-foreign-debt-alleges-former-secretary-eas-sarma/77712.html</t>
  </si>
  <si>
    <t>Vedanta Semiconductor Is Rs2,500 Crore ‘dhoke Ka Samraajya’, Alleges Viceroy Research</t>
  </si>
  <si>
    <t>Https://www.moneylife.in/article/vedanta-semiconductor-is-rs2500-crore-dhoke-ka-samraajya-alleges-viceroy-research/77716.html</t>
  </si>
  <si>
    <t>Assam Govt Relaxes Hydrocarbons Exploration Process In State</t>
  </si>
  <si>
    <t>Http://www.uniindia.com/assam-govt-relaxes-hydrocarbons-exploration-process-in-state/east/news/3519474.html</t>
  </si>
  <si>
    <t>Hindustan Zinc Q1 Results: Profit Drops By 4.73% To Rs 2,234 Crore, Misses Estimates – Details Here</t>
  </si>
  <si>
    <t>Https://www.financialexpress.com/business/industry-hindustan-zinc-q1-results-profit-drops-by-4-73-to-rs-2234-crore-misses-estimates-a-viceroy-impact-3918903/</t>
  </si>
  <si>
    <t>Https://www.icra.in/rationale/showrationalereport/?id=136426</t>
  </si>
  <si>
    <t>Vedanta Limited Made Overseas Investment Of Us$ 369 Mn In Mauritius During June 2025</t>
  </si>
  <si>
    <t>Https://www.rbi.org.in/scripts/bs_pressreleasedisplay.aspx?prid=60837</t>
  </si>
  <si>
    <t>Vedanta Limited Made Overseas Investment Of Us$ 8.15 Mn In Saudi Arabia During June 2025</t>
  </si>
  <si>
    <t>Vedanta To Offer On Lease Its Two Thermal Power Plants In Tamil Nadu</t>
  </si>
  <si>
    <t>Https://www.thehindubusinessline.com/companies/vedanta-to-offer-on-lease-its-two-thermal-power-plants-in-tamil-nadu/article69823055.ece</t>
  </si>
  <si>
    <t>Govt Nominees To Quiz Hindustan Zinc Management On Vedanta Dealings At Upcoming Board Meeting</t>
  </si>
  <si>
    <t>Https://energy.economictimes.indiatimes.com/news/coal/govt-nominees-to-quiz-hindustan-zinc-management-on-vedanta-dealings-at-upcoming-board-meeting/122548108</t>
  </si>
  <si>
    <t>‘false’ Cases For Odisha Tribals Resisting Mining, Allege Activists And Villagers</t>
  </si>
  <si>
    <t>Https://www.telegraphindia.com/india/false-cases-for-odisha-tribals-resisting-mining-allege-activists-and-villagers-prnt/cid/2113185</t>
  </si>
  <si>
    <t>A Hindenburg Moment For Vedanta</t>
  </si>
  <si>
    <t>Https://www.financialexpress.com/opinion/a-hindenburg-moment-for-vedanta/3914246/</t>
  </si>
  <si>
    <t>Vedanta’s Debt Model In Line With Peers: Ingovern</t>
  </si>
  <si>
    <t>Https://www.financialexpress.com/business/industry-vedantas-debt-model-in-line-with-peers-ingovern-3914150/</t>
  </si>
  <si>
    <t>Vedanta's Donations To Bjp Nearly Quadrupled To Rs 97 Cr In 2024-25: Annual Report</t>
  </si>
  <si>
    <t>Https://www.tribuneindia.com/news/business/vedantas-donations-to-bjp-nearly-quadrupled-to-rs-97-cr-in-2024-25-annual-report/</t>
  </si>
  <si>
    <t>Coal Revenue To Go Up With Upcoming Mines In Odisha's Sundargarh</t>
  </si>
  <si>
    <t>Https://www.newindianexpress.com/states/odisha/2025/jul/12/coal-revenue-to-go-up-with-upcoming-mines-in-odishas-sundargarh</t>
  </si>
  <si>
    <t>Anil Agarwal Unveils 3d Plan To Double Vedanta Size Amid Us Short Seller’s Charge</t>
  </si>
  <si>
    <t>Https://www.telegraphindia.com/business/anil-agarwal-unveils-3d-plan-to-double-vedanta-size-amid-us-short-sellers-charge-prnt/cid/2112511</t>
  </si>
  <si>
    <t>Vedanta Demerger Proposal Set To Receive Approvals Soon: Anil Agarwal</t>
  </si>
  <si>
    <t>Https://www.newindianexpress.com/business/2025/jul/10/vedanta-demerger-proposal-set-to-receive-approvals-soon-anil-agarwal-2</t>
  </si>
  <si>
    <t>Delhi Hc Allows Vedanta To Continue Deducting Government Share In Rajasthan Oil Field</t>
  </si>
  <si>
    <t>Https://www.livemint.com/companies/vedanta-government-rajasthan-oil-field-dispute-delhi-high-court-11752232182513.html</t>
  </si>
  <si>
    <t>Indian Companies Queue Up For Domestic Rare Earth Magnet Production</t>
  </si>
  <si>
    <t>Https://www.financialexpress.com/business/industry-indian-companies-queue-up-for-domestic-rare-earth-magnet-production-3910005/</t>
  </si>
  <si>
    <t>Vedanta Agm: Anil Agarwal Shares Update On Demerger Process Amid Viceroy Report Row</t>
  </si>
  <si>
    <t>Https://www.ndtvprofit.com/business/vedanta-agm-anil-agarwal-shares-update-on-demerger-process-amid-viceroy-report-row</t>
  </si>
  <si>
    <t>Vedanta Empire On The Brink? Viceroy Research Alleges Ponzi-like Structure, Us$5.6bn Cash Shortfall, Hidden Loans</t>
  </si>
  <si>
    <t>Https://www.moneylife.in/article/vedanta-empire-on-the-brink-viceroy-research-alleges-ponzilike-structure-us56bn-cash-shortfall-hidden-loans/77631.html</t>
  </si>
  <si>
    <t>Vedanta Outlines Three-pronged Growth Plan</t>
  </si>
  <si>
    <t>Https://www.financialexpress.com/business/industry/vedanta-outlines-three-pronged-growth-plannbsp/3910187/</t>
  </si>
  <si>
    <t>Viceroy Research To Approach Sebi On Vedanta Report | Profit Exclusive</t>
  </si>
  <si>
    <t>Https://www.ndtvprofit.com/markets/viceroy-research-to-approach-sebi-on-vedanta-report-profit-exclusive</t>
  </si>
  <si>
    <t>India Rolls Out Masterplan To Cut Reliance On China For Rare-earths: All You Need To Know</t>
  </si>
  <si>
    <t>Https://www.livemint.com/news/india/india-rolls-out-masterplan-to-cut-reliance-on-china-for-rare-earths-all-you-need-to-know-11752080559091.html</t>
  </si>
  <si>
    <t>Vedanta Share Price Tumbles Nearly 8% As Viceroy Research Goes Short On Parent Firm's Debts</t>
  </si>
  <si>
    <t>Https://www.ndtvprofit.com/markets/vedanta-share-price-tumbles-as-viceroy-research-goes-short-on-parent-firms-debts</t>
  </si>
  <si>
    <t>Hindustan Copper, Vedanta And Other Copper Stocks Swing After Trump's 50% Tariff Plans</t>
  </si>
  <si>
    <t>Https://www.ndtvprofit.com/markets/hindalco-industries-hindustan-copper-copper-stocks-trade-higher-despite-trumps-50-tariff</t>
  </si>
  <si>
    <t>Anil Agarwal Urges Zinc Galvanization</t>
  </si>
  <si>
    <t>Https://www.dailypioneer.com/2025/business/anil-agarwal-urges-zinc-galvanization.html</t>
  </si>
  <si>
    <t>Adani Group Submits Unconditional Bid For Jaiprakash Associates</t>
  </si>
  <si>
    <t>Https://economictimes.indiatimes.com/industry/services/property-/-cstruction/adani-group-leads-unconditional-bidding-for-jaiprakash-associates-amidst-land-dispute/articleshow/122305229.cms</t>
  </si>
  <si>
    <t>Vedanta Share Price Edges Higher After This Update On Encumbrance Of Shares By Promoter Group. Details Here</t>
  </si>
  <si>
    <t>Https://www.livemint.com/market/stock-market-news/vedanta-share-price-edges-higher-after-this-update-on-encumbrance-of-shares-by-promoter-group-details-here-11751957764438.html</t>
  </si>
  <si>
    <t>Vedanta Ropes In Worley For $1 Billion Copper-cobalt Blitz In Zambia</t>
  </si>
  <si>
    <t>Https://www.thehindubusinessline.com/companies/vedanta-ropes-in-worley-for-1-billion-copper-cobalt-blitz-in-zambia/article69779856.ece</t>
  </si>
  <si>
    <t>Jal Insolvency: Lenders Reject Jaypee Infratech"s Request To Accept Its Bid To Acquire Bankrupt Firm</t>
  </si>
  <si>
    <t>Https://m.economictimes.com/industry/banking/finance/jal-insolvency-lenders-reject-jaypee-infratechs-request-to-accept-its-bid-to-acquire-bankrupt-firm/articleshow/122268500.cms</t>
  </si>
  <si>
    <t>Centre Charts Roadmap For Six-fold Rise In Copper, Aluminium Output</t>
  </si>
  <si>
    <t>Https://www.business-standard.com/industry/news/india-copper-aluminium-vision-roadmap-mines-ministry-reforms-125070401068_1.html</t>
  </si>
  <si>
    <t>Vedanta Posts Decline In Production Of Saleable Steel, Oil And Gas, Refined Metal In Q1</t>
  </si>
  <si>
    <t>Https://energy.economictimes.indiatimes.com/news/oil-and-gas/vedanta-posts-decline-in-production-of-saleable-steel-oil-and-gas-refined-metal-in-q1/122233120</t>
  </si>
  <si>
    <t>Vedanta Reports Record Alumina, Ferro Chrome Output In Q1 Fy26 Results</t>
  </si>
  <si>
    <t>Https://www.business-standard.com/companies/quarterly-results/vedanta-reports-record-alumina-ferro-chrome-output-in-q1-fy26-results-125070301333_1.html</t>
  </si>
  <si>
    <t>Vedanta Demerger Faces Objection From Petroleum Ministry</t>
  </si>
  <si>
    <t>Https://www.businessworld.in/article/vedanta-demerger-faces-objection-from-petroleum-ministry-562156</t>
  </si>
  <si>
    <t>Jsw, Vedanta, Adani And Others Explore Battery, Critical Mineral Biz With Japan | Today News</t>
  </si>
  <si>
    <t>Https://www.livemint.com/news/jsw-vedanta-adani-top-indian-cos-explore-battery-biz-rare-earth-minerals-with-japan-ola-japan-lithium-ion-battery-china-11751467801882.html</t>
  </si>
  <si>
    <t>Hindustan Zinc Eyes Rare Earth Minerals, But Production May Take 5 Years</t>
  </si>
  <si>
    <t>Https://www.business-standard.com/companies/news/hindustan-zinc-vedanta-rare-earth-minerals-production-india-china-125070100623_1.html</t>
  </si>
  <si>
    <t>Vedanta Edges Higher Ahead Of Nclt's Decision On Demerger Scheme</t>
  </si>
  <si>
    <t>Https://www.business-standard.com/companies/news/vedanta-shares-rise-ahead-nclt-decision-on-demerger-scheme-125070101449_1.html</t>
  </si>
  <si>
    <t>Jaiprakash Associates' Lenders To Meet On July 1 To Review Resolution Plans</t>
  </si>
  <si>
    <t>Https://www.business-standard.com/companies/news/jaiprakash-associates-lenders-to-meet-on-july-1-to-review-resolution-plans-125063000418_1.html</t>
  </si>
  <si>
    <t xml:space="preserve"> Vedanta Metal Bazaar Achieves Total Sales Of Rs.40,000 Crore</t>
  </si>
  <si>
    <t>Https://www.thehindubusinessline.com/companies/vedanta-metal-bazaar-achieves-total-sales-of-40000-crore/article69755760.ece</t>
  </si>
  <si>
    <t>Axis Trustee Services Limited Filed A Fresh Charge Of 1000.00 Cr.</t>
  </si>
  <si>
    <t>Jsw, Serentica, Actis, Blackstone, Brookfield In The Fray To Buy Vibrant Energy | Company Business News</t>
  </si>
  <si>
    <t>Https://www.livemint.com/companies/jsw-serentica-actis-blackstone-brookfield-in-the-fray-to-buy-vibrant-energy-11750943712432.html</t>
  </si>
  <si>
    <t>Vedanta Shares Rise 2% In Trade After Inking $600 Mn Facility Agreement</t>
  </si>
  <si>
    <t>Https://www.business-standard.com/markets/news/vedanta-share-price-rise-2-percent-after-inking-usd-600-million-facility-agreement-twin-star-holdings-welter-trading-125062700192_1.html</t>
  </si>
  <si>
    <t>Bidders Raise Red Flag On Jaiprakash Land Titles; Adani, Vedanta, Jindal, Dalmia Bharat Among Big Four Final Bidders</t>
  </si>
  <si>
    <t>Https://www.thehindubusinessline.com/companies/bidders-raise-red-flag-on-jaiprakash-land-titles-adani-vedanta-jindal-dalmia-bharat-among-big-four-final-bidders/article69739692.ece</t>
  </si>
  <si>
    <t>Sail, Jspl, Hindustan Copper Rally Up To 5%. What's Driving Metal Stocks?</t>
  </si>
  <si>
    <t>Https://www.business-standard.com/markets/news/sail-jspl-hindustan-copper-rally-up-to-5-what-s-driving-metal-stocks-125062600694_1.html</t>
  </si>
  <si>
    <t>Axis Trustee Services Limited Filed A Fresh Charge Of 1500.00 Cr.</t>
  </si>
  <si>
    <t>Axis Trustee Services Limited Filed A Fresh Charge Of 350.00 Cr.</t>
  </si>
  <si>
    <t>Adani Group, Vedanta, Others Submit Resolution Plans To Acquire Jaiprakash Associates</t>
  </si>
  <si>
    <t>Https://realty.economictimes.indiatimes.com/news/industry/adani-group-and-vedanta-compete-to-acquire-jaiprakash-associates-amidst-insolvency-process/122059782</t>
  </si>
  <si>
    <t>Vedanta Resources Secures $600 Million Refinancing Loan, Cuts Interest Costs &amp; Extends Debt Maturity</t>
  </si>
  <si>
    <t>Https://www.freepressjournal.in/business/vedanta-resources-secures-600-million-refinancing-loan-cuts-interest-costs-extends-debt-maturity</t>
  </si>
  <si>
    <t>Vedanta, 2 Others To Trade Ex-dividend On June 24; Do You Own Any?</t>
  </si>
  <si>
    <t>Https://www.business-standard.com/markets/news/dividend-stocks-vedanta-2-others-to-trade-ex-dividend-on-june-24-do-you-own-any-125062300120_1.html</t>
  </si>
  <si>
    <t>Dividend Stocks: Hindustan Unilever, Cipla, Vedanta, Among Others To Trade Ex-dividend Next Week; Full List</t>
  </si>
  <si>
    <t>Https://www.livemint.com/market/stock-market-news/dividend-stocks-hindustan-unilever-cipla-vedanta-among-others-to-trade-ex-dividend-next-week-full-list-11750603568295.html</t>
  </si>
  <si>
    <t>Axis Trustee Services Limited Filed A Fresh Charge Of 500.00 Cr.</t>
  </si>
  <si>
    <t>Vedanta Contributes Rs 4.5 Lakh Crore To Government In 10 Years, Rs 55,349 Crore In Fy25</t>
  </si>
  <si>
    <t>Https://telanganatoday.com/vedanta-contributes-rs-4-5-lakh-crore-to-government-in-10-years-rs-55349-crore-in-fy25</t>
  </si>
  <si>
    <t xml:space="preserve"> Vedanta Declares First Interim Dividend Of Rs.7 Per Share For Fy26. Check Record Date And Other Details</t>
  </si>
  <si>
    <t>Https://www.livemint.com/market/vedanta-declares-first-interim-dividend-of-rs-7-per-share-for-fy26-11750233403349.html</t>
  </si>
  <si>
    <t>Vedanta Sells 1.6% Equity Stake In Hindustan Zinc For Rs 3,028 Cr To Cut Debt</t>
  </si>
  <si>
    <t>Https://www.moneycontrol.com/news/business/stocks/vedanta-sells-1-6-equity-stake-in-hindustan-zinc-for-rs-3-028-cr-to-cut-debt-alpha-article-13137754.html</t>
  </si>
  <si>
    <t xml:space="preserve">Odisha Mega Projects: State Approves Rs 1.51 Lakh Crore Industrial Push;  Over 62,000 Jobs On The Horizon</t>
  </si>
  <si>
    <t>Https://timesofindia.indiatimes.com/business/india-business/odisha-mega-projects-state-approves-rs-1-51-lakh-crore-industrial-push-over-62000-jobs-on-the-horizon/articleshow/121890750.cms</t>
  </si>
  <si>
    <t>Vedanta To Sell 1.6% Stake In Hindustan Zinc For $350 Million</t>
  </si>
  <si>
    <t>Https://www.thehindubusinessline.com/companies/vedanta-sell-hindustan-zinc-stake-capacity-expansion/article69706155.ece</t>
  </si>
  <si>
    <t>Vedanta Supports New Satellite Hospital</t>
  </si>
  <si>
    <t>Https://www.thehansindia.com/news/national/vedanta-supports-new-satellite-hospital-979856</t>
  </si>
  <si>
    <t>Vedanta To Plant 1lakh Trees In Two Districts</t>
  </si>
  <si>
    <t>Https://www.newindianexpress.com/states/odisha/2025/jun/15/vedanta-to-plant-1lakh-trees-in-two-districts</t>
  </si>
  <si>
    <t>Vedanta Board To Consider Interim Dividend On 18 June</t>
  </si>
  <si>
    <t>Https://www.businessworld.in/article/vedanta-board-to-consider-interim-dividend-on-18-june-559780</t>
  </si>
  <si>
    <t xml:space="preserve"> Reliance, Adani, Railways, Greenko Among Participants In Npcil’s Small Nuclear Reactor Project | Company Business News</t>
  </si>
  <si>
    <t>Https://www.livemint.com/companies/reliance-adani-railways-greenko-vedanta-hmel-jsw-group-hindalco-npcil-small-nuclear-reactor-project-11749644631703.html</t>
  </si>
  <si>
    <t xml:space="preserve"> Vedanta Subsidiary Hindustan Zinc Declares Rs.10 Per Share Interim Dividend. Details Here</t>
  </si>
  <si>
    <t>Https://www.livemint.com/market/stock-market-news/vedanta-subsidiary-hindustan-zinc-declares-rs-10-per-share-interim-dividend-details-here-11749628487692.html</t>
  </si>
  <si>
    <t>Vedanta Chairman Anil Agarwal's Advice On Success: ‘it Begins In Quiet Years, No Headlines, No Praise. Just Work…’</t>
  </si>
  <si>
    <t>Https://www.livemint.com/companies/people/vedanta-chairman-anil-agarwal-advice-build-successful-business-quiet-years-no-headlines-praise-just-work-learning-belief-11749621556860.html</t>
  </si>
  <si>
    <t>Vedanta Resources Pushes For Investment Grade As Debt Falls To Decade Low</t>
  </si>
  <si>
    <t>Https://news.abplive.com/business/vedanta-resources-pushes-for-investment-grade-as-debt-falls-to-decade-low-1778783</t>
  </si>
  <si>
    <t>Vedanta Subsidiary Hindustan Zinc Share Price Jumps 6% Ahead Of Board Meet To Consider Dividend</t>
  </si>
  <si>
    <t>Https://www.livemint.com/market/stock-market-news/vedanta-subsidiary-hindustan-zinc-share-price-jumps-6-ahead-of-board-meet-to-consider-dividend-11749452250245.html</t>
  </si>
  <si>
    <t>Meet Indian Billionaire Who Plans To Buy This Major Diamond Company; Not Mukesh Ambani, Gautam Adani, Kumar Mangalam Birla, The Name Is…</t>
  </si>
  <si>
    <t>Https://www.india.com/business/meet-indian-billionaire-who-plans-to-buy-de-beers-diamond-company-not-mukesh-ambani-gautam-adani-kumar-mangalam-birla-the-name-is-anil-agarwal-vedanta-resources-vedanta-group-7868489/</t>
  </si>
  <si>
    <t xml:space="preserve"> Vedanta Subsidiary Hindustan Zinc Share Price Jumps After This Fundraise Update Worth Rs.5,000 Crore</t>
  </si>
  <si>
    <t>Https://www.livemint.com/market/stock-market-news/vedanta-subsidiary-hindustan-zinc-share-price-jumps-after-this-fundraise-move-worth-rs-5000-crore-11749198441117.html</t>
  </si>
  <si>
    <t>Vedanta Boosts Re Capacity To 1 Gw, Targets 2.5 Gw By 2030</t>
  </si>
  <si>
    <t>Https://www.saurenergy.com/solar-energy-news/vedanta-boosts-re-capacity-to-1-gw-targets-2-5-gw-by-2030</t>
  </si>
  <si>
    <t>Vedanta Exploring Using Biodiesel In Its Commercial Vehicle Fleet In Odishas Jharsuguda Plant</t>
  </si>
  <si>
    <t>Https://www.livemint.com/focus/vedanta-exploring-using-biodiesel-in-its-commercial-vehicle-fleet-in-odishas-jharsuguda-plant-11749108276127.html</t>
  </si>
  <si>
    <t>Vedanta To Raise Rs 5,000 Crore Via Ncds; Offers Up To 9.45% Coupon</t>
  </si>
  <si>
    <t>Https://timesofindia.indiatimes.com/business/india-business/vedanta-to-raise-rs-5000-crore-via-ncds-offers-up-to-9-45-coupon/articleshow/121621620.cms</t>
  </si>
  <si>
    <t>Vedanta Surpasses 1 Gw Renewable Energy Mark, Targets 2.5 Gw By 2030</t>
  </si>
  <si>
    <t>Https://www.business-standard.com/companies/news/vedanta-renewable-energy-capacity-crosses-1-gw-targets-2-5-gw-by-2030-125060400979_1.html</t>
  </si>
  <si>
    <t>Adani Ports, Vedanta, Essar Ports File Initial Bids For Multipurpose Cargo Berth At Tuna</t>
  </si>
  <si>
    <t>Https://infra.economictimes.indiatimes.com/news/ports-shipping/adani-ports-vedanta-essar-ports-file-initial-bids-for-multipurpose-cargo-berth-at-tuna/121616459?utm_source=chatgpt.com</t>
  </si>
  <si>
    <t xml:space="preserve"> Vedanta To Raise Rs.5,000 Crore Via Unsecured Bond Issue For Refinancing</t>
  </si>
  <si>
    <t>Https://www.business-standard.com/companies/news/vedanta-to-raise-rs-5000-crore-via-bond-issue-125060301181_1.html</t>
  </si>
  <si>
    <t>Vedanta Ltd To Raise Rs 5,000 Crore Via Ncds As Profit Surges In Q4</t>
  </si>
  <si>
    <t>Https://www.business-standard.com/companies/news/vedanta-ltd-to-raise-rs-5-000-crore-via-ncds-as-profit-surges-in-q4-125053001457_1.html</t>
  </si>
  <si>
    <t>Https://www.crisilratings.com/mnt/winshare/ratings/ratinglist/ratingdocs/vedantalimited_may 30_ 2025_rr_370079.html</t>
  </si>
  <si>
    <t>Relief</t>
  </si>
  <si>
    <t>Vedanta Demerger: Nclat Stays Nclt Order Rejecting Business Split; Stock Sees Relief Rally</t>
  </si>
  <si>
    <t>Https://www.livemint.com/market/stock-market-news/vedanta-demerger-nclat-stays-nlct-order-rejecting-amalgamation-stock-sees-relief-rally-11748502822914.html</t>
  </si>
  <si>
    <t>Adani To Ambani: Sibal Gets India Inc To Pay Rs 50 Cr For Lawyers’ Health Cover</t>
  </si>
  <si>
    <t>Https://indianexpress.com/article/india/adani-to-ambani-sibal-gets-india-inc-to-pay-rs-50-cr-for-lawyers-health-cover-10026905/</t>
  </si>
  <si>
    <t>Vedanta Eyes Global And Domestic Acquisitions, Strategic Partnerships To Bolster Critical Minerals Portfolio</t>
  </si>
  <si>
    <t>Https://www.thehindubusinessline.com/companies/vedanta-eyes-global-and-domestic-acquisitions-strategic-partnerships-to-bolster-critical-minerals-portfolio/article69614404.ece</t>
  </si>
  <si>
    <t>Internal Accruals To Fund Half Of Vedanta"s $20 Billion Growth Plan: Chairman Anil Agarwal</t>
  </si>
  <si>
    <t>Https://energy.economictimes.indiatimes.com/news/power/vedantas-20-billion-expansion-half-funded-by-internal-accruals-says-anil-agarwal/121376898</t>
  </si>
  <si>
    <t xml:space="preserve"> Assam Cm Sarma Urges Vedanta, Itc To Fast-track Rs5.18 Trn Investments</t>
  </si>
  <si>
    <t>Https://www.business-standard.com/pti-stories/national/assam-cm-meets-top-industry-leaders-seeks-fulfilment-of-investment-commitments-125052400482_1.html</t>
  </si>
  <si>
    <t>Vedanta Project Irrigates 3,500 Acre Farmland In Odisha</t>
  </si>
  <si>
    <t>Https://www.newindianexpress.com/states/odisha/2025/may/23/vedanta-project-irrigates-3500-acre-farmland-in-odisha</t>
  </si>
  <si>
    <t>Vedanta Group Announces Rs 80,000 Crore Investment In Northeast</t>
  </si>
  <si>
    <t>Http://news.webindia123.com/news/articles/business/20250523/4319382.html</t>
  </si>
  <si>
    <t>Tn: Locals Pay Tribute To Persons Killed In Anti-sterlite Copper Plant Protests In Thoothukudi</t>
  </si>
  <si>
    <t>Http://news.webindia123.com/news/articles/india/20250522/4318906.html</t>
  </si>
  <si>
    <t>Vedanta Gets Rs 1.8 Crore Tax Penalty Order From Coimbatore Gst And Central Excise Commissioner</t>
  </si>
  <si>
    <t>Https://www.financialexpress.com/business/industry-vedantas-subsidiary-hindustan-zinc-gets-rs-1-8-crore-tax-penaltynbsp-3853907/</t>
  </si>
  <si>
    <t>Vedanta Chairman Agarwal Calls For Safeguard Duty On Aluminium Imports</t>
  </si>
  <si>
    <t>Https://www.business-standard.com/industry/news/anil-agarwal-vedanta-aluminium-import-safeguard-duty-policy-call-125052001635_1.html</t>
  </si>
  <si>
    <t>Vedanta Chairman Anil Agarwal Calls For Policy Push To Make India A Global Aluminium Hub</t>
  </si>
  <si>
    <t>Https://www.uniindia.com/vedanta-chairman-anil-agarwal-calls-for-policy-push-to-make-india-a-global-aluminium-hub/east/news/3467881.html</t>
  </si>
  <si>
    <t>Vedanta Promotes Rural Entrepreneurship In Odisha</t>
  </si>
  <si>
    <t>Https://www.newindianexpress.com/states/odisha/2025/may/19/vedanta-promotes-rural-entrepreneurship-in-odisha</t>
  </si>
  <si>
    <t>Global Consulting Firms Keen To Back Vedanta's $20 Bn Expansion Projects</t>
  </si>
  <si>
    <t>Https://www.business-standard.com/companies/news/global-consulting-firms-keen-to-back-vedanta-s-20-bn-expansion-projects-125051800161_1.html</t>
  </si>
  <si>
    <t>Vedanta, Hindalco Nalco Share Prices Rise: Us- China Tariff Talks Raise Hope But Caution Persists On Base Metal Prices</t>
  </si>
  <si>
    <t>Https://www.livemint.com/market/stock-market-news/vedanta-hindalco-nalco-share-prices-rise-us-china-tariff-talks-raise-hope-but-caution-persists-on-base-metal-prices-11747468791946.html</t>
  </si>
  <si>
    <t>Vedanta Limited Raised ecb worth Us$ 75 Million In March 2025</t>
  </si>
  <si>
    <t>Https://www.rbi.org.in/scripts/bs_pressreleasedisplay.aspx?prid=60433</t>
  </si>
  <si>
    <t>Vedanta Board Approves $1.5 Billion Investment For Capacity Expansion</t>
  </si>
  <si>
    <t>Https://www.financialexpress.com/business/industry-vedanta-board-approves-1-5-billion-investment-for-capacity-expansion-3841449/</t>
  </si>
  <si>
    <t>Vedanta Ramps Up Search For Critical Minerals Across 6 States Amid Energy Transition Push</t>
  </si>
  <si>
    <t>Https://timesofindia.indiatimes.com/business/india-business/vedanta-ramps-up-search-for-critical-minerals-across-6-states-amid-energy-transition-push/articleshow/121111350.cms</t>
  </si>
  <si>
    <t>India Ramps Up Security For Petroleum Refineries Near Western Border</t>
  </si>
  <si>
    <t>Https://www.hindustantimes.com/india-news/india-ramps-up-security-for-petroleum-refineries-near-western-border-101746601478735.html</t>
  </si>
  <si>
    <t>Vedanta’s Fy26 Plan: Aggressive Debt Reduction Meets Bold Capex Push</t>
  </si>
  <si>
    <t>Https://www.thehindubusinessline.com/companies/vedantas-fy26-plan-aggressive-debt-reduction-meets-bold-capex-push/article69537483.ece</t>
  </si>
  <si>
    <t>Vedanta Esl Observes 81st National Fire Service Week</t>
  </si>
  <si>
    <t>Https://www.dailypioneer.com/2025/state-editions/vedanta-esl-observes-81st-national-fire-service-week.html</t>
  </si>
  <si>
    <t>Vedanta Weighs Zambia Copper Ipo To Fund $1 Billion Investment</t>
  </si>
  <si>
    <t>Https://www.bloomberg.com/news/articles/2025-05-02/vedanta-weighs-zambia-copper-ipo-to-fund-1-billion-invesment</t>
  </si>
  <si>
    <t>Labour Ministry Exempts Vedanta Coal Block In Odisha From Certain Provisions Of Contract Labour Act For Three Years</t>
  </si>
  <si>
    <t>Https://economictimes.indiatimes.com/industry/indl-goods/svs/metals-mining/labour-ministry-exempts-vedanta-coal-block-in-odisha-from-certain-provisions-of-contract-labour-act-for-three-years/articleshow/120790400.cms</t>
  </si>
  <si>
    <t>Strategic Buyers And Investors Scouting For Insolvency-affected Cement Assets</t>
  </si>
  <si>
    <t>Https://economictimes.indiatimes.com/industry/indl-goods/svs/cement/strategic-buyers-and-investors-scouting-for-insolvency-affected-cement-assets/articleshow/120741588.cms</t>
  </si>
  <si>
    <t>Vedanta Demerger: Anil Agarwal-led Conglomerate To Complete Demerger By Sept-end, Says Cfo</t>
  </si>
  <si>
    <t>Https://www.livemint.com/market/stock-market-news/vedanta-demerger-anil-agarwal-led-conglomerate-to-complete-demerger-by-sept-end-says-cfo-11746028971189.html</t>
  </si>
  <si>
    <t>Vedanta Q4fy25 Results: Profit Surges 154% To ?3,483 Cr On Higher Volumes</t>
  </si>
  <si>
    <t>Https://www.business-standard.com/companies/news/vedanta-q4fy25-results-profit-surges-154-to-3-483-cr-on-higher-volumes-125043000826_1.html</t>
  </si>
  <si>
    <t xml:space="preserve"> Vedanta Unveils Technology To Create A Productive, Future-ready Workplace</t>
  </si>
  <si>
    <t>Https://www.business-standard.com/companies/news/vedanta-unveils-technology-to-create-a-productive-future-ready-workplace-125042900564_1.html</t>
  </si>
  <si>
    <t>Vedanta Q4 Preview: Pat May See Robust Growth Up To 141% Yoy, Revenue Could Rise By Up To 11%</t>
  </si>
  <si>
    <t>Https://economictimes.indiatimes.com/markets/stocks/earnings/vedanta-q4-preview-pat-may-see-robust-growth-up-to-141-yoy-revenue-could-rise-by-up-to-11/articleshow/120723316.cms</t>
  </si>
  <si>
    <t>Supreme Court Constitution Bench To Deliver Judgment Tomorrow On Courts' Powers To Modify Arbitral Awards Under S.34/37 Arbitration Act</t>
  </si>
  <si>
    <t>Https://www.livelaw.in/top-stories/supreme-court-constitution-bench-to-deliver-judgment-tomorrow-on-courts-powers-to-modify-arbitral-awards-under-s3437-arbitration-act-290739</t>
  </si>
  <si>
    <t>Axis Trustee Services Limited Filed A Fresh Charge Of 1710.00 Cr.</t>
  </si>
  <si>
    <t>Axis Trustee Services Limited Filed A Fresh Charge Of 3239.44 Cr.</t>
  </si>
  <si>
    <t>Vedanta Group Firm Hzl Plans To Foray Into Potash Mining; Eyeing Block In Rajasthan</t>
  </si>
  <si>
    <t>Https://www.thehindubusinessline.com/companies/vedanta-group-firm-hzl-plans-to-foray-into-potash-mining-eyeing-block-in-rajasthan/article69497281.ece</t>
  </si>
  <si>
    <t>Vedanta Entity Sets Up Torrefied Biomass Plant In Punjab</t>
  </si>
  <si>
    <t>Https://www.livemint.com/companies/news/vedanta-entity-sets-up-torrefied-biomass-plant-in-punjab-11745848273081.html</t>
  </si>
  <si>
    <t>Arbitral Award For Claims Not Included In Ibc Resolution Plan Can't Be Enforced: Supreme Court</t>
  </si>
  <si>
    <t>Https://www.livelaw.in/top-stories/electrosteel-steel-limited-ms-esl-steel-limited-vs-ispat-carrier-arbitral-award-claims-not-included-ibc-resolution-plan-enforceable-supreme-court-290493</t>
  </si>
  <si>
    <t>Sunil Gupta Appointed New Cii Odisha Chairman</t>
  </si>
  <si>
    <t>Https://www.newindianexpress.com/states/odisha/2025/apr/26/sunil-gupta-appointed-new-cii-odisha-chairman</t>
  </si>
  <si>
    <t>Exclusive: India Considers Allowing 49% Foreign Stakes In Nuclear Power Plants</t>
  </si>
  <si>
    <t>Https://www.reuters.com/sustainability/boards-policy-regulation/india-considers-allowing-49-foreign-stakes-nuclear-power-plants-2025-04-25/</t>
  </si>
  <si>
    <t>Cairn Oil &amp; Gas Partners With Emgs For 3d Electro-magnetic Survey In Kg Basin</t>
  </si>
  <si>
    <t>Https://www.uniindia.com/cairn-oil-gas-partners-with-emgs-for-3d-electro-magnetic-survey-in-kg-basin/business-economy/news/3447820.html</t>
  </si>
  <si>
    <t>Govt Proposes Greenhouse Gas Emission Reduction Targets For Aluminium Companies</t>
  </si>
  <si>
    <t>Https://energy.economictimes.indiatimes.com/news/oil-and-gas/govt-proposes-greenhouse-gas-emission-reduction-targets-for-aluminium-companies/120551038</t>
  </si>
  <si>
    <t>Vedanta Mitigates 28 Million Tonnes Of Carbon Emissions Since Fy23</t>
  </si>
  <si>
    <t>Https://www.business-standard.com/companies/news/vedanta-mitigates-28-million-tonnes-of-carbon-emissions-since-fy23-125042300309_1.html</t>
  </si>
  <si>
    <t>Metals Billionaire Agarwal Seeks Mining Reboot Amid Debt Overhaul, Saudi Push</t>
  </si>
  <si>
    <t>Https://www.bloomberg.com/news/articles/2025-04-22/vedanta-s-agarwal-bets-on-mining-reboot-amid-debt-overhaul-saudi-push</t>
  </si>
  <si>
    <t>Metals Tycoon Agarwal Seeks Mining Reboot Amid Debt Overhaul, Saudi Push</t>
  </si>
  <si>
    <t>Https://www.business-standard.com/companies/news/metals-tycoon-agarwal-seeks-mining-reboot-amid-debt-overhaul-saudi-push-125042200091_1.html</t>
  </si>
  <si>
    <t>Gautam Adani, Anil Aggarwal, Baba Ramdev In Race To Buy Insolvent Company Named As…, It Deals In Hotels, Cement And…</t>
  </si>
  <si>
    <t>Gautam Adani</t>
  </si>
  <si>
    <t>India Plans To Ease Nuclear Liability Laws To Attract Foreign Firms</t>
  </si>
  <si>
    <t>Https://www.deccanherald.com//india/india-plans-to-ease-nuclear-liability-laws-to-attract-foreign-firms-3499640</t>
  </si>
  <si>
    <t>Aluminium Sector To Add 20 Gw Re Capacity, ?42,500 Crore Investment By 2030</t>
  </si>
  <si>
    <t>Https://energy.economictimes.indiatimes.com/news/coal/aluminium-sector-to-add-20-gw-re-capacity-42500-crore-investment-by-2030/120345270</t>
  </si>
  <si>
    <t>Flagging ‘acute Shortages’, Industry Bodies Take Centre To Court Over Copper Qco</t>
  </si>
  <si>
    <t>Https://indianexpress.com/article/business/commodities/flagging-acute-shortages-industry-bodies-take-centre-to-court-over-copper-qco-9948411/</t>
  </si>
  <si>
    <t>India Launches Auction Of Three Coal Bed Methane Blocks</t>
  </si>
  <si>
    <t>Https://energy.economictimes.indiatimes.com/news/coal/india-launches-auction-of-three-coal-bed-methane-blocks/120345449</t>
  </si>
  <si>
    <t>Reliance-ongc-bp Alliance Wins Gujarat Offshore Block For Exploration</t>
  </si>
  <si>
    <t>Https://www.business-standard.com/companies/news/ongc-reliance-bp-gujarat-offshore-deepwater-block-oalp-ix-vedanta-125041501271_1.html</t>
  </si>
  <si>
    <t>Vedanta"s Rs 50,000 Cr Investment In Assam: Cm Himanta Holds Talks To Prepare Detailed Plan</t>
  </si>
  <si>
    <t>Https://energy.economictimes.indiatimes.com/news/power/vedantas-rs-50000-cr-investment-in-assam-cm-himanta-holds-talks-to-prepare-detailed-plan/120297023</t>
  </si>
  <si>
    <t>Vedanta Limited Made Overseas Investment Of Us$ 0.03 Mn In Saudi Arabia During March 2025</t>
  </si>
  <si>
    <t>Https://www.rbi.org.in/scripts/bs_pressreleasedisplay.aspx?prid=60198</t>
  </si>
  <si>
    <t>Hindustan Zinc Asked To Pay Rs 71 Cr Over Fly Ash Effluent</t>
  </si>
  <si>
    <t>Https://www.moneycontrol.com/news/business/hindustan-zinc-asked-to-pay-rs-71-cr-over-fly-ash-effluent-12992986.html</t>
  </si>
  <si>
    <t>Hindalco, Tata Steel, Vedanta Rally: Why Are Metal Stocks Up As Much As 5% Today?</t>
  </si>
  <si>
    <t>Https://www.financialexpress.com/market/hindalco-tata-steel-vedanta-rally-why-are-metal-stocks-up-as-much-as-5-today-3806655/</t>
  </si>
  <si>
    <t>Vedanta's New Csr Initiatives Aim To Enhance Education, Sanitation In Odisha Districts</t>
  </si>
  <si>
    <t>Https://www.newindianexpress.com/states/odisha/2025/apr/09/vedantas-new-csr-initiatives-aim-to-enhance-education-sanitation-in-odisha-districts</t>
  </si>
  <si>
    <t>Vedanta Calls For Global Partner For Expansion, Sets Eoi Deadline For April 30</t>
  </si>
  <si>
    <t>Https://energy.economictimes.indiatimes.com/news/oil-and-gas/vedanta-calls-for-global-partner-for-expansion-sets-eoi-deadline-for-april-30/120085624</t>
  </si>
  <si>
    <t>Haryana Real Estate Regulatory Authority Divided Over Covid-19 Period Relief To Faridabad Flat Owners</t>
  </si>
  <si>
    <t>Https://indianexpress.com/article/cities/chandigarh/haryana-real-estate-regulatory-authority-divided-over-covid-19-period-relief-to-faridabad-flat-owners-9930531/</t>
  </si>
  <si>
    <t>Adani, Vedanta, Patanjali Among 26 In Fray To Acquire Jaiprakash Associates</t>
  </si>
  <si>
    <t>Https://www.business-standard.com/companies/news/adani-vedanta-patanjali-among-26-in-fray-to-acquire-jaiprakash-associates-125040600321_1.html</t>
  </si>
  <si>
    <t>Vedanta Share Price Tanks Over 8% After Q4fy25 Production Update. Do You Own?</t>
  </si>
  <si>
    <t>Https://www.livemint.com/market/vedanta-share-price-tanks-over-8-after-q4fy25-production-update-do-you-own-11743743753437.html</t>
  </si>
  <si>
    <t>Ap: Vedanta"s Vizag General Cargo Berth Receives India’s Largest Bauxite Vessel At Visakhapatnam Port</t>
  </si>
  <si>
    <t>Https://www.uniindia.com/ap-vedanta-s-vizag-general-cargo-berth-receives-india-s-largest-bauxite-vessel-at-visakhapatnam-port/business-economy/news/3430034.html</t>
  </si>
  <si>
    <t>Q4 Boost: Vedanta Clocks Historic Highs In Aluminium, Zinc And Power Generation</t>
  </si>
  <si>
    <t>Https://www.businesstoday.in/latest/corporate/story/q4-boost-vedanta-clocks-historic-highs-in-aluminium-zinc-and-power-generation-470620-2025-04-03</t>
  </si>
  <si>
    <t>Indian Conglomerate Vedanta Seeks Global Partner For $20 Billion Expansion Plan</t>
  </si>
  <si>
    <t>Https://www.reuters.com/markets/commodities/indian-conglomerate-vedanta-seeks-global-partner-20-billion-expansion-plan-2025-04-02/</t>
  </si>
  <si>
    <t>Sc Rejects Anil Aggarwal Foundation's Review Plea Challenging Odisha Hc's 2023 Verdict</t>
  </si>
  <si>
    <t>Https://www.newindianexpress.com/nation/2025/apr/01/sc-rejects-anil-aggarwal-foundations-review-plea-challenging-odisha-hcs-2023-verdict</t>
  </si>
  <si>
    <t>Cairn Oil &amp; Gas Signs Deal With Parker Wellbore For 2000hp Rig To Boost Barmer Output</t>
  </si>
  <si>
    <t>Https://energy.economictimes.indiatimes.com/news/oil-and-gas/cairn-oil-gas-signs-deal-with-parker-wellbore-for-2000hp-rig-to-boost-barmer-output/119861403</t>
  </si>
  <si>
    <t>Global Nickel Dominance By Indonesia, China Raises Supply, Pricing Concerns For India’s Green Push</t>
  </si>
  <si>
    <t>Https://energy.economictimes.indiatimes.com/news/coal/global-nickel-dominance-by-indonesia-china-raises-supply-pricing-concerns-for-indias-green-push/119783678</t>
  </si>
  <si>
    <t>Vedanta Saves $120 Million In Interest Payments Through Debt Refinancing</t>
  </si>
  <si>
    <t>Https://energy.economictimes.indiatimes.com/news/renewable/vedanta-saves-120-million-in-interest-payments-through-debt-refinancing/119795165</t>
  </si>
  <si>
    <t>Vedanta Demerger: Anil Agarwal-led Conglomerate Extends Demerger Deadline To This Date Over Pending Nclt, Govt Approvals</t>
  </si>
  <si>
    <t>Https://www.livemint.com/market/stock-market-news/vedanta-demerger-anil-agarwal-led-conglomerate-extends-demerger-deadline-to-this-date-over-pending-nclt-govt-approvals-11743242346921.html</t>
  </si>
  <si>
    <t>Vedanta Group Submits Eoi To Acquire Jaiprakash Associates Via Insolvency</t>
  </si>
  <si>
    <t>Https://www.business-standard.com/companies/news/vedanta-group-submits-eoi-to-acquire-jaiprakash-associates-via-insolvency-125032800806_1.html</t>
  </si>
  <si>
    <t>Odisha Secures Rs 1,65,303 Cr Investment For 10 Major Industrial Projects In 7 Dists</t>
  </si>
  <si>
    <t>Https://odishabytes.com/odisha-secures-rs-165303-cr-investment-for-10-major-industrial-projects-in-7-dists/</t>
  </si>
  <si>
    <t>Jaiprakash Assets Draw Interest From Major Conglomerates And Investors</t>
  </si>
  <si>
    <t>Https://www.thehindubusinessline.com/companies/jaiprakash-assets-draw-interest-from-major-conglomerates-and-investors/article69377638.ece</t>
  </si>
  <si>
    <t>Hindustan Zinc Deploys Ai-powered Surveillance To Enhance Workplace Safety And Efficiency</t>
  </si>
  <si>
    <t>Etmanufacturing.in/news/industry/hindustan-zinc-deploys-ai-powered-surveillance-to-enhance-workplace-safety-and-efficiency/articleshow/119464840.cms</t>
  </si>
  <si>
    <t>India’s Tax Wars — Multinationals Battle Government Over Billions In Disputed Taxes</t>
  </si>
  <si>
    <t>Https://www.tribuneindia.com/news/upsc/indias-tax-wars-multinationals-battle-government-over-billions-in-disputed-taxes/</t>
  </si>
  <si>
    <t>Krishca Strapping Solutions Ltd Secures Rs65.75 Crore Contract For Strapping, Wrapping, And Compactor Services From Esl Steel Limited (vedanta Group)</t>
  </si>
  <si>
    <t>Http://news.webindia123.com/news/articles/business/20250325/4300594.html</t>
  </si>
  <si>
    <t>Axis Trustee Services Limited Filed A Fresh Charge Of 250.00 Cr.</t>
  </si>
  <si>
    <t>Jal Insolvency: Adani, Jsw, Vedanta Among Bidders For Company’s Rs 17,300-crore Assets</t>
  </si>
  <si>
    <t>Https://www.businesstoday.in/latest/corporate/story/jal-insolvency-adani-jsw-vedanta-among-bidders-for-companys-rs-17300-crore-assets-468455-2025-03-19</t>
  </si>
  <si>
    <t>Centre Assures Probe Into Illegal Coal Mining As Assam Loses 86.66 Sq Km Forest Cover</t>
  </si>
  <si>
    <t>Https://assamtribune.com/assam/centre-assures-probe-into-illegal-coal-mining-as-assam-loses-8666-sq-km-forest-cover-1571602</t>
  </si>
  <si>
    <t xml:space="preserve">Vedanta-owned Large-cap Metals Subsidiary Fined Over  ?10 Lakh By Bse, Nse For This Reason</t>
  </si>
  <si>
    <t>Https://www.livemint.com/market/stock-market-news/vedantaowned-large-cap-metals-subsidiary-hindustan-zinc-fined-over-rs-10-lakh-by-bse-nse-for-this-reason-11742311903212.html</t>
  </si>
  <si>
    <t>Vedanta Limited Made Overseas Investment Of Us$ 981.11 Mn In Mauritius During February 2025</t>
  </si>
  <si>
    <t>Https://www.rbi.org.in/scripts/bs_pressreleasedisplay.aspx?prid=59982</t>
  </si>
  <si>
    <t>Each Demerged Entity Of Vedanta To Become $100 Billion Company: Agarwal</t>
  </si>
  <si>
    <t>Https://www.thehindubusinessline.com/companies/each-demerged-entity-of-vedanta-to-become-100-billion-company-agarwal/article69340937.ece</t>
  </si>
  <si>
    <t>Vedanta Promoters To Retain Over 50% Stake In All Demerged Entities</t>
  </si>
  <si>
    <t>Https://www.business-standard.com/companies/news/vedanta-promoters-to-retain-50-percent-stake-in-demerged-entities-125031300240_1.html</t>
  </si>
  <si>
    <t>Cairn Oil &amp; Gas Signs Pact With Technipfmc For Deepwater Exploration</t>
  </si>
  <si>
    <t>Https://auto.economictimes.indiatimes.com/news/oil-and-lubes/cairn-oil-gas-signs-pact-with-technipfmc-for-deepwater-exploration/118958724</t>
  </si>
  <si>
    <t>Ceraweek Billionaire Agarwal May Invest In Us Oil Service Firms To Expand Cairn Output</t>
  </si>
  <si>
    <t>Https://www.reuters.com/business/energy/ceraweek-billionaire-agarwal-may-invest-us-oil-service-firms-expand-cairn-output-2025-03-11/</t>
  </si>
  <si>
    <t>Vedanta Limited Raised Ecb Worth Us$ 200 Million In January 2025</t>
  </si>
  <si>
    <t>Https://www.rbi.org.in/scripts/bs_pressreleasedisplay.aspx?prid=59951</t>
  </si>
  <si>
    <t>Vedanta Repays $900 Mn Loan, Deleverages Balance Sheet By $550 Mn</t>
  </si>
  <si>
    <t>Https://www.business-standard.com/companies/news/vedanta-repays-900-mn-loan-deleverages-balance-sheet-by-550-mn-125031200296_1.html</t>
  </si>
  <si>
    <t>Vedanta: axis Securities Decodes How Demerger Will Unlock Value</t>
  </si>
  <si>
    <t>Https://www.financialexpress.com/market/vedantanbspaxis-securities-decodes-how-demerger-will-unlock-value-3774310/</t>
  </si>
  <si>
    <t>Vedanta Rallies 4%: 5 Things Every Investor Needs To Know At This Hour</t>
  </si>
  <si>
    <t>Https://www.financialexpress.com/market/vedanta-rallies-4-5-things-every-investor-needs-to-know-at-this-hour-3769288/</t>
  </si>
  <si>
    <t>Nclt Rejects Talwandi Sabo Power Unit’s Scheme In Vedanta Demerger</t>
  </si>
  <si>
    <t>Https://www.livemint.com/companies/talwandi-sabo-power-unit-scheme-vedanta-demerger-nclt-sepco-tspl-11741102049741.html</t>
  </si>
  <si>
    <t>Vedanta Lanjigarh’s Skill Development Programme Transforms Rural Youth In Kalahandi</t>
  </si>
  <si>
    <t>Https://www.deccanchronicle.com/southern-states/karnataka/vedanta-lanjigarhs-skill-development-programme-transforms-rural-youth-in-kalahandi-1864155</t>
  </si>
  <si>
    <t>Vedanta Group Reaffirms Rs 50,000 Cr Investment In Assam’s Growth</t>
  </si>
  <si>
    <t>Http://www.uniindia.com/vedanta-group-reaffirms-rs-50-000-cr-investment-in-assam-s-growth/business-economy/news/3402263.html</t>
  </si>
  <si>
    <t>Aditya Birla Finance Limited Filed A Fresh Charge Of 100.00 Cr.</t>
  </si>
  <si>
    <t>Vedanta To Invest Rs 50,000 Crore In Exploration And Production Of Oil And Gas In Assam</t>
  </si>
  <si>
    <t>Http://www.uniindia.com/vedanta-to-invest-rs-50-000-crore-in-exploration-and-production-of-oil-and-gas-in-assam/east/news/3399569.html</t>
  </si>
  <si>
    <t>Vedanta Declared Preferred Bidder For Diamond Block In Madhya Pradesh</t>
  </si>
  <si>
    <t>Https://www.business-standard.com/companies/news/vedanta-declared-preferred-bidder-for-diamond-block-in-madhya-pradesh-125022101171_1.html</t>
  </si>
  <si>
    <t>Rs 73 Crore Fine Imposed On Five Industries For Pollution: Minister Ganesh Ram</t>
  </si>
  <si>
    <t>Https://www.newindianexpress.com/cities/bhubaneswar/2025/feb/21/rs-73-crore-fine-imposed-on-five-industries-for-pollution-minister-ganesh-ram</t>
  </si>
  <si>
    <t xml:space="preserve"> Vedanta Raises Rs 2,600 Crore Through Non-convertible Debentures</t>
  </si>
  <si>
    <t>Https://www.business-standard.com/companies/news/vedanta-raises-rs-2-600-crore-through-non-convertible-debentures-125022001093_1.html</t>
  </si>
  <si>
    <t>Anil Agarwal's Vedanta Scouts For Top Talent Following High-level Exits</t>
  </si>
  <si>
    <t>Https://www.business-standard.com/companies/news/anil-agarwal-s-vedanta-scouts-for-top-talent-following-high-level-exits-125022001046_1.html</t>
  </si>
  <si>
    <t>Billionaire Agarwal Seeks Partner For India Nuclear Power Plants</t>
  </si>
  <si>
    <t>Https://www.bloomberg.com/news/articles/2025-02-20/billionaire-agarwal-seeks-partner-for-india-nuclear-power-plants</t>
  </si>
  <si>
    <t>Vedanta Esl Appoints Ravish Sharma As Dy Ceo &amp; Whole-time Director</t>
  </si>
  <si>
    <t>Https://www.dailypioneer.com/2025/state-editions/vedanta-esl-appoints-ravish-sharma-as-dy-ceo---whole-time-director.html</t>
  </si>
  <si>
    <t>Vedanta’s Demerger Gets Shareholder Nod: Aluminium, Power, Energy, Steel Units Split</t>
  </si>
  <si>
    <t>Https://www.thehindubusinessline.com/companies/vedantas-demerger-gets-shareholder-nod-aluminium-power-energy-steel-units-split/article69241407.ece</t>
  </si>
  <si>
    <t>Vedanta Demerger Plan Gets Creditor Nod</t>
  </si>
  <si>
    <t>Https://www.financialexpress.com/business/industry-vedanta-demerger-plan-gets-creditor-nod-3753368/</t>
  </si>
  <si>
    <t>Vedanta Creditors To Meet On Feb 18 For Final Vote On Demerger Plan</t>
  </si>
  <si>
    <t>Https://www.business-standard.com/companies/news/vedanta-creditors-to-meet-on-feb-18-for-final-vote-on-demerger-plan-125021701233_1.html</t>
  </si>
  <si>
    <t>Cairn Oil &amp; Gas To Invest $1 Billion In Asp Technology To Boost Production</t>
  </si>
  <si>
    <t>Https://energy.economictimes.indiatimes.com/news/oil-and-gas/cairn-oil-gas-to-invest-1-billion-in-asp-technology-to-boost-production/118250823</t>
  </si>
  <si>
    <t>Vedanta Holds Annual Mines Safety Fortnight For Employees At Odisha's Jamkani</t>
  </si>
  <si>
    <t>Https://www.newindianexpress.com/states/odisha/2025/feb/13/vedanta-holds-annual-mines-safety-fortnight-for-employees-at-odishas-jamkani</t>
  </si>
  <si>
    <t>Vedanta Resources In Stake Sale Talks With Global Investors For Zambia Copper Mines</t>
  </si>
  <si>
    <t>Https://www.moneycontrol.com/news/business/vedanta-resources-in-stake-sale-talks-with-global-investors-for-zambia-copper-mines-12937812.html</t>
  </si>
  <si>
    <t>Govt Launches Tenth Round Of Bidding For Oil &amp; Gas Blocks</t>
  </si>
  <si>
    <t>Https://www.livemint.com/industry/bidding-oil-gas-blocks-hydrocarbon-exploration-licensing-policy-ongc-oil-india-vedanta-oilfields-amendment-bill-11739263592576.html</t>
  </si>
  <si>
    <t>Vedanta Demerger Gets Vote Of Proxy Advisory Companies</t>
  </si>
  <si>
    <t>Https://economictimes.indiatimes.com/markets/stocks/news/vedanta-demerger-gets-vote-of-proxy-advisory-companies/articleshow/118130448.cms</t>
  </si>
  <si>
    <t>Regulator Seeking Clarification</t>
  </si>
  <si>
    <t>Green Clearance Challenge: Ngt Gives Vedanta, Govt 4 Wks To Reply</t>
  </si>
  <si>
    <t>Https://timesofindia.indiatimes.com/city/goa/green-clearance-challenge-ngt-gives-vedanta-govt-4-wks-to-reply/articleshow/118125017.cms</t>
  </si>
  <si>
    <t>Western Carriers Secures Rs 1,089 Cr Order From Vedanta</t>
  </si>
  <si>
    <t>Http://www.uniindia.com/western-carriers-secures-rs-1-089-cr-order-from-vedanta/business-economy/news/3386846.html</t>
  </si>
  <si>
    <t xml:space="preserve"> Vedanta Hit With Rs141.36 Crore Gst Penalty Over Ineligible Itc Claims; Plans Legal Challenge</t>
  </si>
  <si>
    <t>Https://www.freepressjournal.in/business/vedanta-hit-with-14136-crore-gst-penalty-over-ineligible-itc-claims-plans-legal-challenge</t>
  </si>
  <si>
    <t>Leaders From Over 20 Countries, Ceos To Attend India Energy Week</t>
  </si>
  <si>
    <t>Https://www.ndtv.com/india-news/leaders-from-over-20-countries-ceos-to-attend-india-energy-week-7651560</t>
  </si>
  <si>
    <t>Vedanta Postpones Demerger To Mid-2025</t>
  </si>
  <si>
    <t>Https://www.businessworld.in/article/vedanta-postpones-demerger-to-mid-2025-547179</t>
  </si>
  <si>
    <t>Foreign Companies Embroiled In Tax Disputes With India</t>
  </si>
  <si>
    <t>Https://www.reuters.com/business/foreign-companies-embroiled-tax-disputes-with-india-2025-02-05/</t>
  </si>
  <si>
    <t>Ministers From Over 20 Countries To Attend India Energy Week</t>
  </si>
  <si>
    <t>Https://energy.economictimes.indiatimes.com/news/oil-and-gas/ministers-from-over-20-countries-to-attend-india-energy-week/117918229</t>
  </si>
  <si>
    <t>Http://news.webindia123.com/news/articles/business/20250203/4283646.html</t>
  </si>
  <si>
    <t>Vedanta, Nalco, Nmdc Shares Tank 6% On Spike In Us Dollar; Metal Index Slumps 3%</t>
  </si>
  <si>
    <t>Https://www.moneycontrol.com/news/business/markets/vedanta-nalco-nmdc-shares-tank-6-on-spike-in-us-dollar-metal-index-slumps-3-12928144.html</t>
  </si>
  <si>
    <t>Vedanta Q3 Fy25 Results: Net Profit Rises 76.2% To Rs 3,547 Crore</t>
  </si>
  <si>
    <t>Https://www.business-standard.com/companies/results/vedanta-q3-fy25-results-net-profit-rises-76-2-to-rs-3-547-crore-125013101433_1.html</t>
  </si>
  <si>
    <t>Sign Mou</t>
  </si>
  <si>
    <t>Vedanta Signs Rs 1 Lakh Cr Mou With Odisha For Aluminium Plant</t>
  </si>
  <si>
    <t>Https://www.deccanchronicle.com/nation/in-other-news/vedanta-signs-rs-1-lakh-cr-mou-with-odisha-for-aluminium-plant-1857368</t>
  </si>
  <si>
    <t>Https://www.icra.in/rationale/showrationalereport/?id=132690</t>
  </si>
  <si>
    <t xml:space="preserve">Rs. 8.02 Crores Dispute And Allegation Of  Wrongful Itc: Orissa High Court Directs Vedanta To Reply To Scn</t>
  </si>
  <si>
    <t>Https://www.taxscan.in/dispute-allegation-wrongful-itc-orissa-high-court-directs-vedanta-reply-scn/482999/</t>
  </si>
  <si>
    <t>Government Cancels Auction Of Nayakkarpatti Tungsten Mineral Block In Tamil Nadu</t>
  </si>
  <si>
    <t>Https://www.zeebiz.com/economy-infra/news-government-cancels-auction-of-nayakkarpatti-tungsten-mineral-block-in-tamil-nadu-341478</t>
  </si>
  <si>
    <t>From Adani To Vedanta, Global Giants Drop Anchor In Thoothukudi Port Race</t>
  </si>
  <si>
    <t>Https://www.business-standard.com/industry/news/from-adani-to-vedanta-global-giants-drop-anchor-in-thoothukudi-port-race-125012101259_1.html</t>
  </si>
  <si>
    <t>Union Minister Shri G. Kishan Reddy Visits Dmf Exhibition At Sun Temple, Konark</t>
  </si>
  <si>
    <t>Https://pib.gov.in/pressrelesedetail.aspx?prid=2094889</t>
  </si>
  <si>
    <t>Case No</t>
  </si>
  <si>
    <t>Purpose</t>
  </si>
  <si>
    <t>Section</t>
  </si>
  <si>
    <t>Parties Involved</t>
  </si>
  <si>
    <t>Appellant</t>
  </si>
  <si>
    <t>Link</t>
  </si>
  <si>
    <t>Hearing Date</t>
  </si>
  <si>
    <t>Daily Cause List</t>
  </si>
  <si>
    <t>Nclat</t>
  </si>
  <si>
    <t>Comp. App. (at) (ins) No. 552 &amp; 553 Of 2026</t>
  </si>
  <si>
    <t>Vedanta Limited Vs. Bhuvan Madan Resolution Professional Of Jaiprakash Associates Ltd. &amp; Anr.</t>
  </si>
  <si>
    <t>http://ncltapi.saverisk.com/nclatsaverisk.aspx?path=NCLT/DAILY CAUSE LIST/23 Mar 2026/Del.pdf</t>
  </si>
  <si>
    <t>2026-03-23</t>
  </si>
  <si>
    <t>Vedanta Limited Vs. Bhuvan Madan Resolution Professional Of Jaiprakash Associates Ltd. &amp; Ors.</t>
  </si>
  <si>
    <t>http://ncltapi.saverisk.com/nclatsaverisk.aspx?path=NCLT/DAILY CAUSE LIST/08 Apr 2026/NCLAT.pdf</t>
  </si>
  <si>
    <t>2026-04-10</t>
  </si>
  <si>
    <t>http://ncltapi.saverisk.com/nclatsaverisk.aspx?path=NCLT/DAILY CAUSE LIST/24 Mar 2026/NCLAT.pdf</t>
  </si>
  <si>
    <t>2026-03-24</t>
  </si>
  <si>
    <t>Vedanta Ltd. Vs. Bhuvan Madan Resolution Professional Of Jaiprakash Associates Ltd. &amp; Ors.</t>
  </si>
  <si>
    <t>http://ncltapi.saverisk.com/nclatsaverisk.aspx?path=NCLT/DAILY CAUSE LIST/13 Apr 2026/NCLAT.pdf</t>
  </si>
  <si>
    <t>2026-04-13</t>
  </si>
  <si>
    <t>http://ncltapi.saverisk.com/nclatsaverisk.aspx?path=NCLT/DAILY CAUSE LIST/16 Apr 2026/NCLAT.pdf</t>
  </si>
  <si>
    <t>2026-04-16</t>
  </si>
  <si>
    <t>http://ncltapi.saverisk.com/nclatsaverisk.aspx?path=NCLT/DAILY CAUSE LIST/17 Apr 2026/NCLAT.pdf</t>
  </si>
  <si>
    <t>2026-04-17</t>
  </si>
  <si>
    <t>http://ncltapi.saverisk.com/nclatsaverisk.aspx?path=NCLT/DAILY CAUSE LIST/20 Apr 2026/NCLAT.pdf</t>
  </si>
  <si>
    <t>2026-04-20</t>
  </si>
  <si>
    <t>http://ncltapi.saverisk.com/nclatsaverisk.aspx?path=NCLT/DAILY CAUSE LIST/21 Apr 2026/NCLAT.pdf</t>
  </si>
  <si>
    <t>2026-04-21</t>
  </si>
  <si>
    <t>http://ncltapi.saverisk.com/nclatsaverisk.aspx?path=NCLT/DAILY CAUSE LIST/22 Apr 2026/NCLAT.pdf</t>
  </si>
  <si>
    <t>2026-04-22</t>
  </si>
  <si>
    <t>Comp. App. (at) (ins) No. 712 &amp; 713 Of 2022</t>
  </si>
  <si>
    <t>Vedanta Ltd. Vs. Ca Vikash Gautamchand Jain &amp; Anr.</t>
  </si>
  <si>
    <t>http://ncltapi.saverisk.com/nclatsaverisk.aspx?path=NCLT/DAILY CAUSE LIST/01 Aug 2022/NCLAT.pdf</t>
  </si>
  <si>
    <t>2022-08-01</t>
  </si>
  <si>
    <t>http://ncltapi.saverisk.com/nclatsaverisk.aspx?path=NCLT/DAILY CAUSE LIST/03 Aug 2022/NCLAT.pdf</t>
  </si>
  <si>
    <t>2022-08-03</t>
  </si>
  <si>
    <t>http://ncltapi.saverisk.com/nclatsaverisk.aspx?path=NCLT/DAILY CAUSE LIST/04 Jul 2022/NCLAT.pdf</t>
  </si>
  <si>
    <t>2022-07-04</t>
  </si>
  <si>
    <t>http://ncltapi.saverisk.com/nclatsaverisk.aspx?path=NCLT/DAILY CAUSE LIST/06 Jul 2022/NCLAT.pdf</t>
  </si>
  <si>
    <t>2022-07-08</t>
  </si>
  <si>
    <t>http://ncltapi.saverisk.com/nclatsaverisk.aspx?path=NCLT/DAILY CAUSE LIST/25 Jul 2022/NCLAT.pdf</t>
  </si>
  <si>
    <t>2022-07-25</t>
  </si>
  <si>
    <t>Comp. App. (at) No. 181 &amp; 182 Of 2022</t>
  </si>
  <si>
    <t>Vedanta Ltd. Vs.</t>
  </si>
  <si>
    <t>http://ncltapi.saverisk.com/nclatsaverisk.aspx?path=NCLT/DAILY CAUSE LIST/14 Oct 2022/NCLAT.pdf</t>
  </si>
  <si>
    <t>2022-10-14</t>
  </si>
  <si>
    <t>Vedanta Ltd. Vs. Registrar Of Companies, Mumbai</t>
  </si>
  <si>
    <t>http://ncltapi.saverisk.com/nclatsaverisk.aspx?path=NCLT/DAILY CAUSE LIST/07 Nov 2022/NCLAT1.pdf</t>
  </si>
  <si>
    <t>2022-11-07</t>
  </si>
  <si>
    <t>http://ncltapi.saverisk.com/nclatsaverisk.aspx?path=NCLT/DAILY CAUSE LIST/09 Dec 2022/NCLAT.pdf</t>
  </si>
  <si>
    <t>2022-12-09</t>
  </si>
  <si>
    <t>Nclt</t>
  </si>
  <si>
    <t>(ib)- 374(nd)/2017</t>
  </si>
  <si>
    <t>New Petition</t>
  </si>
  <si>
    <t>U/s 9 Of Ibc Code,2016</t>
  </si>
  <si>
    <t>M/s. Vedanta Limited Vs. M/s. Sequa! Alloys And Wires Pvt. Ltd.</t>
  </si>
  <si>
    <t>http://ncltapi.saverisk.com/ncltsaverisk.aspx?path=NCLT/DAILY CAUSE LIST/28 Sept 2017/New_Delhi_Court_II_Cause_List.pdf</t>
  </si>
  <si>
    <t>2017-09-28</t>
  </si>
  <si>
    <t>(ib)- 375(nd)/2017</t>
  </si>
  <si>
    <t>For Further Consideration</t>
  </si>
  <si>
    <t>U/s 9 Of Ibc Code 2016</t>
  </si>
  <si>
    <t>M/s. Vedanta Limited Vs. M/s. Sequal Alloys And Wires Pvt. Ltd.</t>
  </si>
  <si>
    <t>http://ncltapi.saverisk.com/ncltsaverisk.aspx?path=NCLT/DAILY CAUSE LIST/06 Oct 2017/New_Delhi_Court_II_Cause_Iist.pdf</t>
  </si>
  <si>
    <t>2017-10-06</t>
  </si>
  <si>
    <t>Further Consideration</t>
  </si>
  <si>
    <t>U/s 9 Of Ibc 2016</t>
  </si>
  <si>
    <t>http://ncltapi.saverisk.com/ncltsaverisk.aspx?path=NCLT/DAILY CAUSE LIST/23 Oct 2017/New_Delhi_Court_II_Cause_Iist.pdf</t>
  </si>
  <si>
    <t>2017-10-23</t>
  </si>
  <si>
    <t>http://ncltapi.saverisk.com/ncltsaverisk.aspx?path=NCLT/DAILY CAUSE LIST/02 Nov 2017/New_Delhi_Court_II_Cause_Iist.pdf</t>
  </si>
  <si>
    <t>2017-11-02</t>
  </si>
  <si>
    <t>Further Consideratoin</t>
  </si>
  <si>
    <t>http://ncltapi.saverisk.com/ncltsaverisk.aspx?path=NCLT/DAILY CAUSE LIST/26 Oct 2017/New_Delhi_Court_II_Cause_Iist.pdf</t>
  </si>
  <si>
    <t>2017-10-26</t>
  </si>
  <si>
    <t>(ib)-375(nd)/2017</t>
  </si>
  <si>
    <t>http://ncltapi.saverisk.com/ncltsaverisk.aspx?path=Docs/NCLT/DAILY CAUSE LIST/16 Nov 2017/New_Delhi_Court_II_Cause_Iist.pdf</t>
  </si>
  <si>
    <t>2017-11-16</t>
  </si>
  <si>
    <t>http://ncltapi.saverisk.com/ncltsaverisk.aspx?path=NCLT/DAILY CAUSE LIST/30 Jan 2018/New_Delhi_Court_II_Cause_Iist.pdf</t>
  </si>
  <si>
    <t>2018-01-30</t>
  </si>
  <si>
    <t>Ca No. 05/c- Ii/nd/2017</t>
  </si>
  <si>
    <t>http://ncltapi.saverisk.com/ncltsaverisk.aspx?path=NCLT/DAILY CAUSE LIST/11 Jan 2018/New_Delhi_Court_II_Cause_Iist.pdf</t>
  </si>
  <si>
    <t>2018-01-11</t>
  </si>
  <si>
    <t>http://ncltapi.saverisk.com/ncltsaverisk.aspx?path=NCLT/DAILY CAUSE LIST/08 Dec 2017/New_Delhi_Court_II_Cause_Iist.pdf</t>
  </si>
  <si>
    <t>2017-12-08</t>
  </si>
  <si>
    <t>http://ncltapi.saverisk.com/ncltsaverisk.aspx?path=NCLT/DAILY CAUSE LIST/13 Nov 2017/New_Delhi_Court_II_Cause_Iist.pdf</t>
  </si>
  <si>
    <t>2017-11-13</t>
  </si>
  <si>
    <t>http://ncltapi.saverisk.com/ncltsaverisk.aspx?path=NCLT/DAILY CAUSE LIST/22 Dec 2017/New_Delhi_Court_II_Cause_Iist.pdf</t>
  </si>
  <si>
    <t>2017-12-22</t>
  </si>
  <si>
    <t>Pronouncement Of The Order</t>
  </si>
  <si>
    <t>http://ncltapi.saverisk.com/ncltsaverisk.aspx?path=NCLT/DAILY CAUSE LIST/15 Nov 2017/New_Delhi_Court_II_Cause_Iist.pdf</t>
  </si>
  <si>
    <t>2017-11-15</t>
  </si>
  <si>
    <t>C.a.(caa)/171(mb)2024</t>
  </si>
  <si>
    <t>For Pronouncement</t>
  </si>
  <si>
    <t>Sec 230-232</t>
  </si>
  <si>
    <t>http://ncltapi.saverisk.com/ncltsaverisk.aspx?path=NCLT/DAILY CAUSE LIST/19 Nov 2024/Mum.pdf</t>
  </si>
  <si>
    <t>2024-11-19</t>
  </si>
  <si>
    <t>http://ncltapi.saverisk.com/ncltsaverisk.aspx?path=NCLT/DAILY CAUSE LIST/21 Nov 2024/Mum.pdf</t>
  </si>
  <si>
    <t>2024-11-21</t>
  </si>
  <si>
    <t>New Application</t>
  </si>
  <si>
    <t>http://ncltapi.saverisk.com/ncltsaverisk.aspx?path=NCLT/DAILY CAUSE LIST/16 Oct 2024/Mum.pdf</t>
  </si>
  <si>
    <t>2024-10-16</t>
  </si>
  <si>
    <t>C.a.(caa)/171(mb)2024, C.p.(caa)/79(mb)2025</t>
  </si>
  <si>
    <t>Sec. 230-232</t>
  </si>
  <si>
    <t>http://ncltapi.saverisk.com/ncltsaverisk.aspx?path=NCLT/DAILY CAUSE LIST/02 Jul 2025/Mum.pdf</t>
  </si>
  <si>
    <t>2025-07-02</t>
  </si>
  <si>
    <t>http://ncltapi.saverisk.com/ncltsaverisk.aspx?path=NCLT/DAILY CAUSE LIST/30 Apr 2025/Mum.pdf</t>
  </si>
  <si>
    <t>2025-04-30</t>
  </si>
  <si>
    <t>C.a.(caa)/171(mb)2024, Ca/230/2025</t>
  </si>
  <si>
    <t>http://ncltapi.saverisk.com/ncltsaverisk.aspx?path=NCLT/DAILY CAUSE LIST/15 Oct 2025/Mum.pdf</t>
  </si>
  <si>
    <t>2025-10-15</t>
  </si>
  <si>
    <t>Government Of India Through The Ministry Of Petroleum And Natural Gas In The Matter Of Vedanta Limited</t>
  </si>
  <si>
    <t>http://ncltapi.saverisk.com/ncltsaverisk.aspx?path=NCLT/DAILY CAUSE LIST/13 Aug 2025/Mum.pdf</t>
  </si>
  <si>
    <t>2025-08-13</t>
  </si>
  <si>
    <t>Written Submission</t>
  </si>
  <si>
    <t>http://ncltapi.saverisk.com/ncltsaverisk.aspx?path=NCLT/DAILY CAUSE LIST/01 Oct 2025/Mum.pdf</t>
  </si>
  <si>
    <t>2025-10-01</t>
  </si>
  <si>
    <t>C.a.(caa)/171(mb)2024, Ca/230/2025 C.p.(caa)/79(mb)2025</t>
  </si>
  <si>
    <t>http://ncltapi.saverisk.com/ncltsaverisk.aspx?path=NCLT/DAILY CAUSE LIST/12 Nov 2025/Mum.pdf</t>
  </si>
  <si>
    <t>2025-11-12</t>
  </si>
  <si>
    <t>http://ncltapi.saverisk.com/ncltsaverisk.aspx?path=NCLT/DAILY CAUSE LIST/20 Aug 2025/Mum.pdf</t>
  </si>
  <si>
    <t>2025-08-20</t>
  </si>
  <si>
    <t>Pronouncement</t>
  </si>
  <si>
    <t>http://ncltapi.saverisk.com/ncltsaverisk.aspx?path=NCLT/DAILY CAUSE LIST/16 Dec 2025/Mum.pdf</t>
  </si>
  <si>
    <t>2025-12-16</t>
  </si>
  <si>
    <t>C.a.(caa)/171(mb)2024, Ivn.p/10/2025 Ca/230/2025 C.p.(caa)/79(mb)2025</t>
  </si>
  <si>
    <t>http://ncltapi.saverisk.com/ncltsaverisk.aspx?path=NCLT/DAILY CAUSE LIST/17 Sep 2025/Mum.pdf</t>
  </si>
  <si>
    <t>2025-09-17</t>
  </si>
  <si>
    <t>C.a.(caa)/171(mb)2024, Ivn.p/13/2025 C.p.(caa)/79(mb)2025</t>
  </si>
  <si>
    <t>Ivn.p/13/2025 Securities Exchange Board Of India Vs Vedanta Limited In The Matter Of Vedanta Limited</t>
  </si>
  <si>
    <t>http://ncltapi.saverisk.com/ncltsaverisk.aspx?path=NCLT/DAILY CAUSE LIST/08 Oct 2025/Mum.pdf</t>
  </si>
  <si>
    <t>2025-10-08</t>
  </si>
  <si>
    <t>C.a.(caa)/171(mb)2024, Ivn.p/13/2025 Ca/230/2025 C.p.(caa)/79(mb)2025</t>
  </si>
  <si>
    <t>http://ncltapi.saverisk.com/ncltsaverisk.aspx?path=NCLT/DAILY CAUSE LIST/29 Oct 2025/Mum.pdf</t>
  </si>
  <si>
    <t>2025-10-29</t>
  </si>
  <si>
    <t>C.a.(caa)/195(mb)2022</t>
  </si>
  <si>
    <t>Admission</t>
  </si>
  <si>
    <t>http://ncltapi.saverisk.com/ncltsaverisk.aspx?path=NCLT/DAILY CAUSE LIST/11 Aug 2022/Mum.pdf</t>
  </si>
  <si>
    <t>2022-08-11</t>
  </si>
  <si>
    <t>List For Pronouncement</t>
  </si>
  <si>
    <t>http://ncltapi.saverisk.com/ncltsaverisk.aspx?path=NCLT/DAILY CAUSE LIST/26 Aug 2022/Mum.pdf</t>
  </si>
  <si>
    <t>2022-08-26</t>
  </si>
  <si>
    <t>C.a.(caa)/195(mb)2022 C.p.(caa)/230(mb)2022</t>
  </si>
  <si>
    <t>http://ncltapi.saverisk.com/ncltsaverisk.aspx?path=NCLT/DAILY CAUSE LIST/25 Nov 2022/Mum.pdf</t>
  </si>
  <si>
    <t>2022-11-25</t>
  </si>
  <si>
    <t>http://ncltapi.saverisk.com/ncltsaverisk.aspx?path=NCLT/DAILY CAUSE LIST/14 Dec 2022/Mum.pdf</t>
  </si>
  <si>
    <t>2022-12-14</t>
  </si>
  <si>
    <t>http://ncltapi.saverisk.com/ncltsaverisk.aspx?path=NCLT/DAILY CAUSE LIST/19 Jan 2023/Mum.pdf</t>
  </si>
  <si>
    <t>2023-01-19</t>
  </si>
  <si>
    <t>http://ncltapi.saverisk.com/ncltsaverisk.aspx?path=NCLT/DAILY CAUSE LIST/19 May 2023/Mum.pdf</t>
  </si>
  <si>
    <t>2023-05-19</t>
  </si>
  <si>
    <t>http://ncltapi.saverisk.com/ncltsaverisk.aspx?path=NCLT/DAILY CAUSE LIST/21 Jun 2023/Mum.pdf</t>
  </si>
  <si>
    <t>2023-06-21</t>
  </si>
  <si>
    <t>http://ncltapi.saverisk.com/ncltsaverisk.aspx?path=NCLT/DAILY CAUSE LIST/24 Mar 2023/Mum.pdf</t>
  </si>
  <si>
    <t>2023-03-24</t>
  </si>
  <si>
    <t>C.a.(caa)/195(mb)2022 Ca/464/2022</t>
  </si>
  <si>
    <t>230 Rule 11 Of Nclt</t>
  </si>
  <si>
    <t>http://ncltapi.saverisk.com/ncltsaverisk.aspx?path=NCLT/DAILY CAUSE LIST/14 Sep 2022/Mum.pdf</t>
  </si>
  <si>
    <t>2022-09-14</t>
  </si>
  <si>
    <t>http://ncltapi.saverisk.com/ncltsaverisk.aspx?path=NCLT/DAILY CAUSE LIST/30 Sep 2022/Mum.pdf</t>
  </si>
  <si>
    <t>2022-09-30</t>
  </si>
  <si>
    <t>C.a.(caa)/195(mb)2022, C.p.(caa)/230(mb)2022</t>
  </si>
  <si>
    <t>http://ncltapi.saverisk.com/ncltsaverisk.aspx?path=NCLT/DAILY CAUSE LIST/01 Sep 2023/Mum.pdf</t>
  </si>
  <si>
    <t>2023-09-01</t>
  </si>
  <si>
    <t>http://ncltapi.saverisk.com/ncltsaverisk.aspx?path=NCLT/DAILY CAUSE LIST/03 Apr 2024/Mum.pdf</t>
  </si>
  <si>
    <t>2024-04-03</t>
  </si>
  <si>
    <t>http://ncltapi.saverisk.com/ncltsaverisk.aspx?path=NCLT/DAILY CAUSE LIST/04 Jun 2025/Mum.pdf</t>
  </si>
  <si>
    <t>2025-06-04</t>
  </si>
  <si>
    <t>http://ncltapi.saverisk.com/ncltsaverisk.aspx?path=NCLT/DAILY CAUSE LIST/06 Mar 2024/Mum.pdf</t>
  </si>
  <si>
    <t>2024-03-06</t>
  </si>
  <si>
    <t>http://ncltapi.saverisk.com/ncltsaverisk.aspx?path=NCLT/DAILY CAUSE LIST/07 Aug 2024/Mum.pdf</t>
  </si>
  <si>
    <t>2024-08-07</t>
  </si>
  <si>
    <t>http://ncltapi.saverisk.com/ncltsaverisk.aspx?path=NCLT/DAILY CAUSE LIST/09 Oct 2024/Mum.pdf</t>
  </si>
  <si>
    <t>2024-10-09</t>
  </si>
  <si>
    <t>http://ncltapi.saverisk.com/ncltsaverisk.aspx?path=NCLT/DAILY CAUSE LIST/10 Nov 2023/Mum.pdf</t>
  </si>
  <si>
    <t>2023-11-10</t>
  </si>
  <si>
    <t>http://ncltapi.saverisk.com/ncltsaverisk.aspx?path=NCLT/DAILY CAUSE LIST/13 Oct 2023/Mum.pdf</t>
  </si>
  <si>
    <t>2023-10-13</t>
  </si>
  <si>
    <t>http://ncltapi.saverisk.com/ncltsaverisk.aspx?path=NCLT/DAILY CAUSE LIST/13 Sep 2023/Mum.pdf</t>
  </si>
  <si>
    <t>2023-09-13</t>
  </si>
  <si>
    <t>http://ncltapi.saverisk.com/ncltsaverisk.aspx?path=NCLT/DAILY CAUSE LIST/18 Dec 2023/Mum.pdf</t>
  </si>
  <si>
    <t>2023-12-18</t>
  </si>
  <si>
    <t>http://ncltapi.saverisk.com/ncltsaverisk.aspx?path=NCLT/DAILY CAUSE LIST/18 Dec 2024/Mum.pdf</t>
  </si>
  <si>
    <t>2024-12-18</t>
  </si>
  <si>
    <t>http://ncltapi.saverisk.com/ncltsaverisk.aspx?path=NCLT/DAILY CAUSE LIST/19 Feb 2025/Mum.pdf</t>
  </si>
  <si>
    <t>2025-02-19</t>
  </si>
  <si>
    <t>http://ncltapi.saverisk.com/ncltsaverisk.aspx?path=NCLT/DAILY CAUSE LIST/19 Jun 2024/Mum.pdf</t>
  </si>
  <si>
    <t>2024-06-19</t>
  </si>
  <si>
    <t>http://ncltapi.saverisk.com/ncltsaverisk.aspx?path=NCLT/DAILY CAUSE LIST/24 Apr 2024/Mum.pdf</t>
  </si>
  <si>
    <t>2024-04-24</t>
  </si>
  <si>
    <t>http://ncltapi.saverisk.com/ncltsaverisk.aspx?path=NCLT/DAILY CAUSE LIST/26 Mar 2025/Mum.pdf</t>
  </si>
  <si>
    <t>2025-03-26</t>
  </si>
  <si>
    <t>http://ncltapi.saverisk.com/ncltsaverisk.aspx?path=NCLT/DAILY CAUSE LIST/31 Jan 2024/Mum.pdf</t>
  </si>
  <si>
    <t>2024-01-31</t>
  </si>
  <si>
    <t>C.a.(caa)/195(mb)2022, Ca/464/2022</t>
  </si>
  <si>
    <t>Sub-section (l) Of Section 230rule 11 Of Nclt</t>
  </si>
  <si>
    <t>http://ncltapi.saverisk.com/ncltsaverisk.aspx?path=NCLT/DAILY CAUSE LIST/09 Sep 2022/Mum5.pdf</t>
  </si>
  <si>
    <t>2022-09-09</t>
  </si>
  <si>
    <t>C.p. (ib)/1684(kb)2018 (03-07-2023) Ia(i.b.c)/1450(kb)2022</t>
  </si>
  <si>
    <t>Sec 60(5)</t>
  </si>
  <si>
    <t>Vedanta Limited Vs Pankaj Kumar Tibrewal</t>
  </si>
  <si>
    <t>http://ncltapi.saverisk.com/ncltsaverisk.aspx?path=NCLT/DAILY CAUSE LIST/15 Jun 2023/Kol.pdf</t>
  </si>
  <si>
    <t>2023-06-15</t>
  </si>
  <si>
    <t>C.p. (ib)/1684(kb)2018 (03-07-2023) Ia(i.b.c)/1450(kb)2022 (08-05-2023)</t>
  </si>
  <si>
    <t>http://ncltapi.saverisk.com/ncltsaverisk.aspx?path=NCLT/DAILY CAUSE LIST/03 May 2023/Kol.pdf</t>
  </si>
  <si>
    <t>2023-05-03</t>
  </si>
  <si>
    <t>C.p. (ib)/1684(kb)2018 (03-07-2023) Ia(i.b.c)/1450(kb)2022 (15-06-2023)</t>
  </si>
  <si>
    <t>http://ncltapi.saverisk.com/ncltsaverisk.aspx?path=NCLT/DAILY CAUSE LIST/15 May 2023/Kol.pdf</t>
  </si>
  <si>
    <t>2023-05-15</t>
  </si>
  <si>
    <t>C.p. (ib)/1684(kb)2018 Ia(i.b.c)/1450(kb)2022</t>
  </si>
  <si>
    <t>http://ncltapi.saverisk.com/ncltsaverisk.aspx?path=NCLT/DAILY CAUSE LIST/30 Nov 2022/Kol.pdf</t>
  </si>
  <si>
    <t>2022-11-30</t>
  </si>
  <si>
    <t>http://ncltapi.saverisk.com/ncltsaverisk.aspx?path=NCLT/DAILY CAUSE LIST/03 Mar 2023/Kol.pdf</t>
  </si>
  <si>
    <t>2023-03-03</t>
  </si>
  <si>
    <t>http://ncltapi.saverisk.com/ncltsaverisk.aspx?path=NCLT/DAILY CAUSE LIST/11 Jan 2023/Kol.pdf</t>
  </si>
  <si>
    <t>2023-01-11</t>
  </si>
  <si>
    <t>http://ncltapi.saverisk.com/ncltsaverisk.aspx?path=NCLT/DAILY CAUSE LIST/12 Jul 2023/Kol.pdf</t>
  </si>
  <si>
    <t>2023-07-12</t>
  </si>
  <si>
    <t>http://ncltapi.saverisk.com/ncltsaverisk.aspx?path=NCLT/DAILY CAUSE LIST/14 Feb 2023/Kol.pdf</t>
  </si>
  <si>
    <t>2023-02-14</t>
  </si>
  <si>
    <t>http://ncltapi.saverisk.com/ncltsaverisk.aspx?path=NCLT/DAILY CAUSE LIST/27 Mar 2023/Kol.pdf</t>
  </si>
  <si>
    <t>2023-03-27</t>
  </si>
  <si>
    <t>C.p. (ib)/1684(kb)2018 Ia(i.b.c)/1450(kb)2022 (08-05-2023)</t>
  </si>
  <si>
    <t>http://ncltapi.saverisk.com/ncltsaverisk.aspx?path=NCLT/DAILY CAUSE LIST/14 Apr 2023/Kol.pdf</t>
  </si>
  <si>
    <t>2023-04-17</t>
  </si>
  <si>
    <t>C.p. (ib)/1684(kb)2018 Ia(i.b.c)/1450(kb)2022 (12-07-2023)</t>
  </si>
  <si>
    <t>http://ncltapi.saverisk.com/ncltsaverisk.aspx?path=NCLT/DAILY CAUSE LIST/03 Jul 2023/Kol.pdf</t>
  </si>
  <si>
    <t>2023-07-03</t>
  </si>
  <si>
    <t>C.p. (ib)/1684(kb)2018 Ia(i.b.c)/1450(kb)2022 (14-02-2023)</t>
  </si>
  <si>
    <t>http://ncltapi.saverisk.com/ncltsaverisk.aspx?path=NCLT/DAILY CAUSE LIST/10 Feb 2023/Kol.pdf</t>
  </si>
  <si>
    <t>2023-02-10</t>
  </si>
  <si>
    <t>C.p. (ib)/1684(kb)2018(03-07-2023) Ia(i.b.c)/1450(kb)2022</t>
  </si>
  <si>
    <t>http://ncltapi.saverisk.com/ncltsaverisk.aspx?path=NCLT/DAILY CAUSE LIST/05 May 2023/Kol.pdf</t>
  </si>
  <si>
    <t>2023-05-08</t>
  </si>
  <si>
    <t>C.p.(caa)/79(mb)2025, Ca/8/2026</t>
  </si>
  <si>
    <t>http://ncltapi.saverisk.com/ncltsaverisk.aspx?path=NCLT/DAILY CAUSE LIST/21 Jan 2026/Mum.pdf</t>
  </si>
  <si>
    <t>2026-01-21</t>
  </si>
  <si>
    <t>C.p.(caa)/79(mb)2025, Ivn.p/10/2025</t>
  </si>
  <si>
    <t>http://ncltapi.saverisk.com/ncltsaverisk.aspx?path=NCLT/DAILY CAUSE LIST/10 Sep 2025/Mum.pdf</t>
  </si>
  <si>
    <t>2025-09-10</t>
  </si>
  <si>
    <t>C.p.(caa)/79(mb)2025, Ivn.p/13/2025</t>
  </si>
  <si>
    <t>http://ncltapi.saverisk.com/ncltsaverisk.aspx?path=NCLT/DAILY CAUSE LIST/24 Sep 2025/Mum.pdf</t>
  </si>
  <si>
    <t>2025-09-24</t>
  </si>
  <si>
    <t>Cp (ib) No. 330/ald/2018 (admitted) (in Cirp), Ia No. 01/2026</t>
  </si>
  <si>
    <t>For Further Hearing (for Seeking Appropriate Directions Against The Coc)</t>
  </si>
  <si>
    <t>60(5) Ibc R/w Rule 11, Nclt Rules, 2016</t>
  </si>
  <si>
    <t>Vedanta Ltd. V/s Bhuvan Madan, Rp Of Jaiprakash Associates Ltd &amp; Anr.</t>
  </si>
  <si>
    <t>http://ncltapi.saverisk.com/ncltsaverisk.aspx?path=NCLT/DAILY CAUSE LIST/04 Feb 2026/Allahabad.pdf</t>
  </si>
  <si>
    <t>2026-02-04</t>
  </si>
  <si>
    <t>http://ncltapi.saverisk.com/ncltsaverisk.aspx?path=NCLT/DAILY CAUSE LIST/05 Feb 2026/Allahabad.pdf</t>
  </si>
  <si>
    <t>2026-02-05</t>
  </si>
  <si>
    <t>http://ncltapi.saverisk.com/ncltsaverisk.aspx?path=NCLT/DAILY CAUSE LIST/11 Feb 2026/Allahabad.pdf</t>
  </si>
  <si>
    <t>2026-02-11</t>
  </si>
  <si>
    <t>http://ncltapi.saverisk.com/ncltsaverisk.aspx?path=NCLT/DAILY CAUSE LIST/12 Feb 2026/Allahabad.pdf</t>
  </si>
  <si>
    <t>2026-02-12</t>
  </si>
  <si>
    <t>Cp (ib) No. 330/ald/2018, Ia No. 01/2026</t>
  </si>
  <si>
    <t>http://ncltapi.saverisk.com/ncltsaverisk.aspx?path=NCLT/DAILY CAUSE LIST/09 Feb 2026/Allahabad.pdf</t>
  </si>
  <si>
    <t>2026-02-09</t>
  </si>
  <si>
    <t>http://ncltapi.saverisk.com/ncltsaverisk.aspx?path=NCLT/DAILY CAUSE LIST/13 Feb 2026/Allahabad.pdf</t>
  </si>
  <si>
    <t>2026-02-13</t>
  </si>
  <si>
    <t>http://ncltapi.saverisk.com/ncltsaverisk.aspx?path=NCLT/DAILY CAUSE LIST/19 Jan 2026/Allahabad.pdf</t>
  </si>
  <si>
    <t>2026-01-19</t>
  </si>
  <si>
    <t>For Order</t>
  </si>
  <si>
    <t>http://ncltapi.saverisk.com/ncltsaverisk.aspx?path=NCLT/DAILY CAUSE LIST/17 Mar 2026/Allahabad.pdf</t>
  </si>
  <si>
    <t>2026-03-17</t>
  </si>
  <si>
    <t>Cp (ib) No.184/7/hdb/2019, Ia (ibc)/1232/2024</t>
  </si>
  <si>
    <t>For Hearing</t>
  </si>
  <si>
    <t>Sec 60 (5) R/w Rule 11</t>
  </si>
  <si>
    <t>Vedanta Ltd Vs Mr. Ravi Shankar Devarakonda</t>
  </si>
  <si>
    <t>http://ncltapi.saverisk.com/ncltsaverisk.aspx?path=NCLT/DAILY CAUSE LIST/08 Jan 2025/Hyd.pdf</t>
  </si>
  <si>
    <t>2025-01-08</t>
  </si>
  <si>
    <t>For Orders</t>
  </si>
  <si>
    <t>http://ncltapi.saverisk.com/ncltsaverisk.aspx?path=NCLT/DAILY CAUSE LIST/20 Jan 2025/Hyd.pdf</t>
  </si>
  <si>
    <t>2025-01-20</t>
  </si>
  <si>
    <t>Cp (ib) No.616/7/hdb/2018, Ia (ibc)/452/2025</t>
  </si>
  <si>
    <t>For Filing Counter By R1&amp; Pos For R2</t>
  </si>
  <si>
    <t>U/s 60 (5) R/w Rule 11</t>
  </si>
  <si>
    <t>Vedanta Limited Vs Chhattisgarh State Industrial Development Corporation Limited</t>
  </si>
  <si>
    <t>http://ncltapi.saverisk.com/ncltsaverisk.aspx?path=NCLT/DAILY CAUSE LIST/17 Jun 2025/Hyd.pdf</t>
  </si>
  <si>
    <t>2025-06-17</t>
  </si>
  <si>
    <t>For Filing Vakalt &amp; Counter</t>
  </si>
  <si>
    <t>http://ncltapi.saverisk.com/ncltsaverisk.aspx?path=NCLT/DAILY CAUSE LIST/08 Jul 2025/Hyd.pdf</t>
  </si>
  <si>
    <t>2025-07-08</t>
  </si>
  <si>
    <t>For Filing Vakalt &amp; Counter By R1</t>
  </si>
  <si>
    <t>http://ncltapi.saverisk.com/ncltsaverisk.aspx?path=NCLT/DAILY CAUSE LIST/04 Nov 2025/Hyd.pdf</t>
  </si>
  <si>
    <t>2025-11-04</t>
  </si>
  <si>
    <t>http://ncltapi.saverisk.com/ncltsaverisk.aspx?path=NCLT/DAILY CAUSE LIST/24 Sep 2025/Hyd.pdf</t>
  </si>
  <si>
    <t>For Filing Vakalt &amp; Counter By R2</t>
  </si>
  <si>
    <t>http://ncltapi.saverisk.com/ncltsaverisk.aspx?path=NCLT/DAILY CAUSE LIST/01 Aug 2025/Hyd.pdf</t>
  </si>
  <si>
    <t>2025-08-01</t>
  </si>
  <si>
    <t>http://ncltapi.saverisk.com/ncltsaverisk.aspx?path=NCLT/DAILY CAUSE LIST/04 Sep 2025/Hyd.pdf</t>
  </si>
  <si>
    <t>2025-09-04</t>
  </si>
  <si>
    <t>For Filing Vakalt/counter</t>
  </si>
  <si>
    <t>http://ncltapi.saverisk.com/ncltsaverisk.aspx?path=NCLT/DAILY CAUSE LIST/18 Mar 2026/Hyd.pdf</t>
  </si>
  <si>
    <t>2026-03-18</t>
  </si>
  <si>
    <t>For Pos</t>
  </si>
  <si>
    <t>http://ncltapi.saverisk.com/ncltsaverisk.aspx?path=NCLT/DAILY CAUSE LIST/03 Apr 2025/Hyd.pdf</t>
  </si>
  <si>
    <t>2025-04-03</t>
  </si>
  <si>
    <t>New Admission</t>
  </si>
  <si>
    <t>http://ncltapi.saverisk.com/ncltsaverisk.aspx?path=NCLT/DAILY CAUSE LIST/11 Mar 2025/Hyd.pdf</t>
  </si>
  <si>
    <t>2025-03-11</t>
  </si>
  <si>
    <t>Respondents Set Ex-parte On Order Dated 04.11.2025. For Hearing</t>
  </si>
  <si>
    <t>http://ncltapi.saverisk.com/ncltsaverisk.aspx?path=NCLT/DAILY CAUSE LIST/08 Dec 2025/Hyd.pdf</t>
  </si>
  <si>
    <t>2025-12-08</t>
  </si>
  <si>
    <t>Cp (ib) No.616/7/hdb/2018,ia (ibc)/452/2025</t>
  </si>
  <si>
    <t>For Filing Pos For R1</t>
  </si>
  <si>
    <t>http://ncltapi.saverisk.com/ncltsaverisk.aspx?path=NCLT/DAILY CAUSE LIST/04 Feb 2026/Hyd.pdf</t>
  </si>
  <si>
    <t>Cp(ib) No. 616/7/hdb/2018 Ia (ibc)/1440/2022</t>
  </si>
  <si>
    <t>60 (5)</t>
  </si>
  <si>
    <t>Vedanta Limited Vs Athena Chattisgarh Power Ltd</t>
  </si>
  <si>
    <t>http://ncltapi.saverisk.com/ncltsaverisk.aspx?path=NCLT/DAILY CAUSE LIST/01 Feb 2023/Hyd.pdf</t>
  </si>
  <si>
    <t>2023-02-01</t>
  </si>
  <si>
    <t>http://ncltapi.saverisk.com/ncltsaverisk.aspx?path=NCLT/DAILY CAUSE LIST/06 Jul 2023/Hyd.pdf</t>
  </si>
  <si>
    <t>2023-07-06</t>
  </si>
  <si>
    <t>http://ncltapi.saverisk.com/ncltsaverisk.aspx?path=NCLT/DAILY CAUSE LIST/09 Jun 2023/Hyd.pdf</t>
  </si>
  <si>
    <t>2023-06-09</t>
  </si>
  <si>
    <t>http://ncltapi.saverisk.com/ncltsaverisk.aspx?path=NCLT/DAILY CAUSE LIST/16 Mar 2023/Hyd.pdf</t>
  </si>
  <si>
    <t>2023-03-16</t>
  </si>
  <si>
    <t>http://ncltapi.saverisk.com/ncltsaverisk.aspx?path=NCLT/DAILY CAUSE LIST/28 Feb 2023/Hyd.pdf</t>
  </si>
  <si>
    <t>2023-02-28</t>
  </si>
  <si>
    <t>http://ncltapi.saverisk.com/ncltsaverisk.aspx?path=NCLT/DAILY CAUSE LIST/30 May 2023/Hyd.pdf</t>
  </si>
  <si>
    <t>2023-05-30</t>
  </si>
  <si>
    <t>Ia For Admission</t>
  </si>
  <si>
    <t>http://ncltapi.saverisk.com/ncltsaverisk.aspx?path=NCLT/DAILY CAUSE LIST/15 Dec 2022/Hyd.pdf</t>
  </si>
  <si>
    <t>2022-12-15</t>
  </si>
  <si>
    <t>Ia For Orders</t>
  </si>
  <si>
    <t>http://ncltapi.saverisk.com/ncltsaverisk.aspx?path=NCLT/DAILY CAUSE LIST/17 Jul 2023/Hyd.pdf</t>
  </si>
  <si>
    <t>2023-07-17</t>
  </si>
  <si>
    <t>Cp(ib) No. 616/7/hdb/2018 Ia (ibc)/551/2023</t>
  </si>
  <si>
    <t>Vedanta Limited Vs Athena Chattisgarh Power Limited</t>
  </si>
  <si>
    <t>http://ncltapi.saverisk.com/ncltsaverisk.aspx?path=NCLT/DAILY CAUSE LIST/31 Mar 2023/Hyd.pdf</t>
  </si>
  <si>
    <t>2023-03-31</t>
  </si>
  <si>
    <t>Ia For Hearing</t>
  </si>
  <si>
    <t>http://ncltapi.saverisk.com/ncltsaverisk.aspx?path=NCLT/DAILY CAUSE LIST/10 Apr 2023/Hyd.pdf</t>
  </si>
  <si>
    <t>2023-04-10</t>
  </si>
  <si>
    <t>Cp(ib) No. 616/7/hdb/2018 Ia (ibc)/709/2022</t>
  </si>
  <si>
    <t>Vedanta Limited Vs Kumar Rajan</t>
  </si>
  <si>
    <t>http://ncltapi.saverisk.com/ncltsaverisk.aspx?path=NCLT/DAILY CAUSE LIST/11 Nov 2022/Hyd.pdf</t>
  </si>
  <si>
    <t>2022-11-11</t>
  </si>
  <si>
    <t>http://ncltapi.saverisk.com/ncltsaverisk.aspx?path=NCLT/DAILY CAUSE LIST/28 Sep 2022/Hyd.pdf</t>
  </si>
  <si>
    <t>2022-09-28</t>
  </si>
  <si>
    <t>Cp(ib) No. 616/7/hdb/2018, Ia (ibc)/1440/2022</t>
  </si>
  <si>
    <t>http://ncltapi.saverisk.com/ncltsaverisk.aspx?path=NCLT/DAILY CAUSE LIST/09 Jan 2023/Hyd.pdf</t>
  </si>
  <si>
    <t>2023-01-09</t>
  </si>
  <si>
    <t>http://ncltapi.saverisk.com/ncltsaverisk.aspx?path=NCLT/DAILY CAUSE LIST/24 Apr 2023/Hyd.pdf</t>
  </si>
  <si>
    <t>2023-04-24</t>
  </si>
  <si>
    <t>Cp(ib) No. 616/7/hdb/2018, Ia (ibc)/1525/2023</t>
  </si>
  <si>
    <t>Vedanta Limited Vs Pradeep Port Trust</t>
  </si>
  <si>
    <t>http://ncltapi.saverisk.com/ncltsaverisk.aspx?path=NCLT/DAILY CAUSE LIST/03 Jan 2024/Hyd.pdf</t>
  </si>
  <si>
    <t>2024-01-03</t>
  </si>
  <si>
    <t>http://ncltapi.saverisk.com/ncltsaverisk.aspx?path=NCLT/DAILY CAUSE LIST/15 Dec 2023/Hyd.pdf</t>
  </si>
  <si>
    <t>2023-12-15</t>
  </si>
  <si>
    <t>http://ncltapi.saverisk.com/ncltsaverisk.aspx?path=NCLT/DAILY CAUSE LIST/16 Oct 2023/Hyd.pdf</t>
  </si>
  <si>
    <t>2023-10-16</t>
  </si>
  <si>
    <t>http://ncltapi.saverisk.com/ncltsaverisk.aspx?path=NCLT/DAILY CAUSE LIST/20 Nov 2023/Hyd.pdf</t>
  </si>
  <si>
    <t>2023-11-20</t>
  </si>
  <si>
    <t>http://ncltapi.saverisk.com/ncltsaverisk.aspx?path=NCLT/DAILY CAUSE LIST/31 Jan 2024/Hyd.pdf</t>
  </si>
  <si>
    <t>Cp(ib) No. 616/7/hdb/2018, Ia (ibc)/551/2023</t>
  </si>
  <si>
    <t>Cp(ib) No.184/7/hdb/2019 Ia (ibc)/741/2023</t>
  </si>
  <si>
    <t>U/ Rule 154</t>
  </si>
  <si>
    <t>http://ncltapi.saverisk.com/ncltsaverisk.aspx?path=NCLT/DAILY CAUSE LIST/02 May 2023/Hyd.pdf</t>
  </si>
  <si>
    <t>2023-05-02</t>
  </si>
  <si>
    <t>Cp(ib) No.184/7/hdb/2019 Intervention Petition (ibc)/12/2023</t>
  </si>
  <si>
    <t>Vedanta Limited Vs Devi Trading &amp; Holding Pvt Ltd</t>
  </si>
  <si>
    <t>http://ncltapi.saverisk.com/ncltsaverisk.aspx?path=NCLT/DAILY CAUSE LIST/11 Apr 2023/Hyd.pdf</t>
  </si>
  <si>
    <t>2023-04-11</t>
  </si>
  <si>
    <t>http://ncltapi.saverisk.com/ncltsaverisk.aspx?path=NCLT/DAILY CAUSE LIST/14 Apr 2023/Hyd.pdf</t>
  </si>
  <si>
    <t>http://ncltapi.saverisk.com/ncltsaverisk.aspx?path=NCLT/DAILY CAUSE LIST/22 Mar 2023/Hyd.pdf</t>
  </si>
  <si>
    <t>2023-03-23</t>
  </si>
  <si>
    <t>Cp(ib) No.184/7/hdb/2019 Invention Petition (ibc)/01/2023 In Ia (ibc)/37/2023</t>
  </si>
  <si>
    <t>For Admission</t>
  </si>
  <si>
    <t>Vedanta Ltd Vs Consortium Of Prudent Arc Ltd</t>
  </si>
  <si>
    <t>http://ncltapi.saverisk.com/ncltsaverisk.aspx?path=NCLT/DAILY CAUSE LIST/24 Jan 2023/Hyd.pdf</t>
  </si>
  <si>
    <t>2023-01-24</t>
  </si>
  <si>
    <t>Cp(ib) No.184/7/hdb/2019, Ia (ibc)/1232/2024</t>
  </si>
  <si>
    <t>For Counter</t>
  </si>
  <si>
    <t>Vedanta Ltd Vs Mr. Ravi Shnaker Devarakonda</t>
  </si>
  <si>
    <t>http://ncltapi.saverisk.com/ncltsaverisk.aspx?path=NCLT/DAILY CAUSE LIST/04 Dec 2024/Hyd.pdf</t>
  </si>
  <si>
    <t>2024-12-04</t>
  </si>
  <si>
    <t>http://ncltapi.saverisk.com/ncltsaverisk.aspx?path=NCLT/DAILY CAUSE LIST/16 Oct 2024/Hyd.pdf</t>
  </si>
  <si>
    <t>http://ncltapi.saverisk.com/ncltsaverisk.aspx?path=NCLT/DAILY CAUSE LIST/18 Nov 2024/Hyd.pdf</t>
  </si>
  <si>
    <t>2024-11-18</t>
  </si>
  <si>
    <t>http://ncltapi.saverisk.com/ncltsaverisk.aspx?path=NCLT/DAILY CAUSE LIST/28 Aug 2024/Hyd.pdf</t>
  </si>
  <si>
    <t>2024-08-28</t>
  </si>
  <si>
    <t>Cp(ib) No.184/7/hdb/2019, New Ia (ibc)/1232/2024</t>
  </si>
  <si>
    <t>http://ncltapi.saverisk.com/ncltsaverisk.aspx?path=NCLT/DAILY CAUSE LIST/08 Jul 2024/Hyd.pdf</t>
  </si>
  <si>
    <t>2024-07-08</t>
  </si>
  <si>
    <t>http://ncltapi.saverisk.com/ncltsaverisk.aspx?path=NCLT/DAILY CAUSE LIST/18 Jun 2024/Hyd.pdf</t>
  </si>
  <si>
    <t>2024-06-18</t>
  </si>
  <si>
    <t>Ia (ibc)/1525/2023</t>
  </si>
  <si>
    <t>http://ncltapi.saverisk.com/ncltsaverisk.aspx?path=NCLT/DAILY CAUSE LIST/25 Sep 2023/Hyd2.pdf</t>
  </si>
  <si>
    <t>2023-09-25</t>
  </si>
  <si>
    <t>Ia (ibc)/709/2022</t>
  </si>
  <si>
    <t>http://ncltapi.saverisk.com/ncltsaverisk.aspx?path=NCLT/DAILY CAUSE LIST/23 Nov 2022/Hyd.pdf</t>
  </si>
  <si>
    <t>2022-11-23</t>
  </si>
  <si>
    <t>Ia No. 01/2026</t>
  </si>
  <si>
    <t>New Ia (for Seeking Appropriate Directions Against The Coc)</t>
  </si>
  <si>
    <t>http://ncltapi.saverisk.com/ncltsaverisk.aspx?path=NCLT/DAILY CAUSE LIST/06 Jan 2026/Allahabad.pdf</t>
  </si>
  <si>
    <t>2026-01-06</t>
  </si>
  <si>
    <t>Ia(i.b.c)/334(kb)2024</t>
  </si>
  <si>
    <t>For Seeking Appropriate Directions</t>
  </si>
  <si>
    <t>Rule 11 Of Nclt, 2016</t>
  </si>
  <si>
    <t>Vedanta Limited Vs State Bank Of India</t>
  </si>
  <si>
    <t>http://ncltapi.saverisk.com/ncltsaverisk.aspx?path=NCLT/DAILY CAUSE LIST/21 Feb 2024/Kol.pdf</t>
  </si>
  <si>
    <t>2024-02-21</t>
  </si>
  <si>
    <t>Ia/406(ahm)2022</t>
  </si>
  <si>
    <t>60(5) Ibc</t>
  </si>
  <si>
    <t>Vedanta Ltd V/s Vikas Gautamchand Jain Rp Of Sona Alloys Pvt Ltd &amp; Anr</t>
  </si>
  <si>
    <t>http://ncltapi.saverisk.com/ncltsaverisk.aspx?path=NCLT/DAILY CAUSE LIST/09 May 2022/Ahm.pdf</t>
  </si>
  <si>
    <t>2022-05-09</t>
  </si>
  <si>
    <t>Ia/491 (ahm)2022</t>
  </si>
  <si>
    <t>Rule 11 Of Nclt Rules,2016</t>
  </si>
  <si>
    <t>Vedanta Limited V/s Ca Vikas Gautamchand Jain Rp For Sona Alloys Private Limited &amp; Anr</t>
  </si>
  <si>
    <t>http://ncltapi.saverisk.com/ncltsaverisk.aspx?path=NCLT/DAILY CAUSE LIST/10 Jun 2022/Ahm.pdf</t>
  </si>
  <si>
    <t>2022-06-10</t>
  </si>
  <si>
    <t xml:space="preserve">Final Order </t>
  </si>
  <si>
    <t>Company Appeal(at) - 181/2022 Ia/3794/2022 Ia/3796/2022</t>
  </si>
  <si>
    <t xml:space="preserve">http://ncltapi.saverisk.com/nclatsaverisk.aspx?path=/DriveD/nclat/Data/pdf/orders/DELHI/2022-12-09/courts/2/daily/16705804311954602045639308cf5e97c.pdf </t>
  </si>
  <si>
    <t>Company Appeal(at) - 182/2022 Ia/3795/2022 Ia/3797/2022</t>
  </si>
  <si>
    <t>Company Appeal(at)(ins) - 712/2022 Ia/1953/2022 Ia/1954/2022 Ia/1955/2022</t>
  </si>
  <si>
    <t>Vedanta Limited V/s. 1. Ca Vikash Gautamchand Jain , Committee Of Creditors Of Sona Alloys Private Limited</t>
  </si>
  <si>
    <t xml:space="preserve">http://ncltapi.saverisk.com/nclatsaverisk.aspx?path=/DriveD/nclat/Data/pdf/orders/DELHI/2022-08-03/courts/1/daily/1659515788209875101762ea338c586ea.pdf </t>
  </si>
  <si>
    <t>Company Appeal(at)(ins) - 713/2022 Ia/1956/2022 Ia/1957/2022</t>
  </si>
  <si>
    <t>M/s Vedanta Limited V/s. Ca Vikash Gautamchand Jain, Committee Of Creditors Of Sona Alloys Pvt Lrd</t>
  </si>
  <si>
    <t>Final Order</t>
  </si>
  <si>
    <t>(ib)375/nd/2017</t>
  </si>
  <si>
    <t>9 Ibc</t>
  </si>
  <si>
    <t>M/s.vedanta Limited Vs. Ms. Sequal Alloys And Wires Pvt. Ltd.</t>
  </si>
  <si>
    <t>http://ncltapi.saverisk.com/?path=Final Orders/New_Delhi_Bench/2017/Others/singlefiles/132.pdf</t>
  </si>
  <si>
    <t>M/s.vedanta Limited Vs. Sequal Alloys And Wires Pvt. Ltd.</t>
  </si>
  <si>
    <t>C.a.(caa) - 171/2024</t>
  </si>
  <si>
    <t>Vedanta Limited, Vedanta Aluminium Metal Limited, Malco Energy Limited , Vedanta Base Metals Limited, Vedanta Iron And Steel Limited</t>
  </si>
  <si>
    <t>http://ncltapi.saverisk.com/ncltsaverisk.aspx?path=/DriveD/NCLT/Order_Judgements/pdf/04_order-Challange_004_17321880061083861223673f176648251.pdf</t>
  </si>
  <si>
    <t>http://ncltapi.saverisk.com/ncltsaverisk.aspx?path=/DriveD/NCLT/Order_Judgements/pdf/04_order-Challange_004_17522165466110818656870b3e2ac286.pdf</t>
  </si>
  <si>
    <t>http://ncltapi.saverisk.com/ncltsaverisk.aspx?path=/DriveD/NCLT/Order_Judgements/pdf/04_order-Challange_004_1758110483181615436968caa3134caf1.pdf</t>
  </si>
  <si>
    <t>http://ncltapi.saverisk.com/ncltsaverisk.aspx?path=/DriveD/NCLT/Order_Judgements/pdf/04_order-Challange_004_1759224183108720973768dba1770987e.pdf</t>
  </si>
  <si>
    <t>http://ncltapi.saverisk.com/ncltsaverisk.aspx?path=/DriveD/NCLT/Order_Judgements/pdf/04_order-Challange_004_176042578168401147968edf73511f9f.pdf</t>
  </si>
  <si>
    <t>http://ncltapi.saverisk.com/ncltsaverisk.aspx?path=/DriveD/NCLT/Order_Judgements/pdf/04_order-Challange_004_176180401612231814996902fef033a81.pdf</t>
  </si>
  <si>
    <t>http://ncltapi.saverisk.com/ncltsaverisk.aspx?path=/DriveD/NCLT/Order_Judgements/pdf/04_order-Challange_004_176275863676235538269118fec65f0f.pdf</t>
  </si>
  <si>
    <t>http://ncltapi.saverisk.com/ncltsaverisk.aspx?path=/DriveD/NCLT/Order_Judgements/pdf/04_order-Challange_004_17636383811184365713691efc6dd1841.pdf</t>
  </si>
  <si>
    <t>http://ncltapi.saverisk.com/ncltsaverisk.aspx?path=/DriveD/NCLT/Order_Judgements/pdf/04_order-Challange_004_1765891755114161350169415eab68568.pdf</t>
  </si>
  <si>
    <t>http://ncltapi.saverisk.com/ncltsaverisk.aspx?path=/DriveD/NCLT/Order_Judgements/pdf/04_order-Challange_004_176957782144799018269799d5d426f1.pdf</t>
  </si>
  <si>
    <t>C.a.(caa) - 195/2022</t>
  </si>
  <si>
    <t>http://ncltapi.saverisk.com/ncltsaverisk.aspx?path=/DriveD/NCLT/Order_Judgements/pdf/04_order-Challange_004_16617650771398627814630c85d56d43f.pdf</t>
  </si>
  <si>
    <t>http://ncltapi.saverisk.com/ncltsaverisk.aspx?path=/DriveD/NCLT/Order_Judgements/pdf/04_order-Challange_004_1663566931207908614763280453378a2.pdf</t>
  </si>
  <si>
    <t>http://ncltapi.saverisk.com/ncltsaverisk.aspx?path=/DriveD/NCLT/Order_Judgements/pdf/04_order-Challange_004_1663743988470499356632ab7f4bbde6.pdf</t>
  </si>
  <si>
    <t>http://ncltapi.saverisk.com/ncltsaverisk.aspx?path=/DriveD/NCLT/Order_Judgements/pdf/04_order-Challange_004_16703119311673875363638eeffb06e60.pdf</t>
  </si>
  <si>
    <t>http://ncltapi.saverisk.com/ncltsaverisk.aspx?path=/DriveD/NCLT/Order_Judgements/pdf/04_order-Challange_004_1672121964136029006863aa8e6cd6ecb.pdf</t>
  </si>
  <si>
    <t>http://ncltapi.saverisk.com/ncltsaverisk.aspx?path=/DriveD/NCLT/Order_Judgements/pdf/04_order-Challange_004_1675334894188297240363db94eeebb73.pdf</t>
  </si>
  <si>
    <t>http://ncltapi.saverisk.com/ncltsaverisk.aspx?path=/DriveD/NCLT/Order_Judgements/pdf/04_order-Challange_004_16812127549978876646435455222c05.pdf</t>
  </si>
  <si>
    <t>http://ncltapi.saverisk.com/ncltsaverisk.aspx?path=/DriveD/NCLT/Order_Judgements/pdf/04_order-Challange_004_1685345522891236211647454f22adc9.pdf</t>
  </si>
  <si>
    <t>http://ncltapi.saverisk.com/ncltsaverisk.aspx?path=/DriveD/NCLT/Order_Judgements/pdf/04_order-Challange_004_168845462394140773664a3c5df000c2.pdf</t>
  </si>
  <si>
    <t>http://ncltapi.saverisk.com/ncltsaverisk.aspx?path=/DriveD/NCLT/Order_Judgements/pdf/04_order-Challange_004_1694151603127912608964fab3b329365.pdf</t>
  </si>
  <si>
    <t>http://ncltapi.saverisk.com/ncltsaverisk.aspx?path=/DriveD/NCLT/Order_Judgements/pdf/04_order-Challange_004_1696401330930422332651d07b249573.pdf</t>
  </si>
  <si>
    <t>http://ncltapi.saverisk.com/ncltsaverisk.aspx?path=/DriveD/NCLT/Order_Judgements/pdf/04_order-Challange_004_170417528617289742936593a6b6d0c4f.pdf</t>
  </si>
  <si>
    <t>http://ncltapi.saverisk.com/ncltsaverisk.aspx?path=/DriveD/NCLT/Order_Judgements/pdf/04_order-Challange_004_1707131418149367074965c0c21a4dba5.pdf</t>
  </si>
  <si>
    <t>http://ncltapi.saverisk.com/ncltsaverisk.aspx?path=/DriveD/NCLT/Order_Judgements/pdf/04_order-Challange_004_171039440442824671865f28c240c0f8.pdf</t>
  </si>
  <si>
    <t>http://ncltapi.saverisk.com/ncltsaverisk.aspx?path=/DriveD/NCLT/Order_Judgements/pdf/04_order-Challange_004_1712733757169385803966163e3d97b33.pdf</t>
  </si>
  <si>
    <t>http://ncltapi.saverisk.com/ncltsaverisk.aspx?path=/DriveD/NCLT/Order_Judgements/pdf/04_order-Challange_004_17143722461309509629662f3e96c6ab7.pdf</t>
  </si>
  <si>
    <t>http://ncltapi.saverisk.com/ncltsaverisk.aspx?path=/DriveD/NCLT/Order_Judgements/pdf/04_order-Challange_004_17194683111154018935667d01177ae6d.pdf</t>
  </si>
  <si>
    <t>http://ncltapi.saverisk.com/ncltsaverisk.aspx?path=/DriveD/NCLT/Order_Judgements/pdf/04_order-Challange_004_172353317453433430466bb077624cc5.pdf</t>
  </si>
  <si>
    <t>http://ncltapi.saverisk.com/ncltsaverisk.aspx?path=/DriveD/NCLT/Order_Judgements/pdf/04_order-Challange_004_1729060649354768822670f5f29a87a4.pdf</t>
  </si>
  <si>
    <t>http://ncltapi.saverisk.com/ncltsaverisk.aspx?path=/DriveD/NCLT/Order_Judgements/pdf/04_order-Challange_004_174063443294489936767bff940d9a45.pdf</t>
  </si>
  <si>
    <t>http://ncltapi.saverisk.com/ncltsaverisk.aspx?path=/DriveD/NCLT/Order_Judgements/pdf/04_order-Challange_004_17495345766619575626847c770adb80.pdf</t>
  </si>
  <si>
    <t>http://ncltapi.saverisk.com/ncltsaverisk.aspx?path=/DriveD/NCLT/Order_Judgements/pdf/04_order-Challange_004_175636305226370995168aff92c773cf.pdf</t>
  </si>
  <si>
    <t>C.p.(caa) - 79/2025</t>
  </si>
  <si>
    <t>http://ncltapi.saverisk.com/ncltsaverisk.aspx?path=/DriveD/NCLT/Order_Judgements/pdf/04_order-Challange_004_176589185140356199469415f0b6afcf.pdf</t>
  </si>
  <si>
    <t>Comp.appl - 464/2022</t>
  </si>
  <si>
    <t>http://ncltapi.saverisk.com/ncltsaverisk.aspx?path=/DriveD/NCLT/Order_Judgements/pdf/04_order-Challange_004_166454132518332584276336e28d00253.pdf</t>
  </si>
  <si>
    <t>Comp.appl - 8/2026</t>
  </si>
  <si>
    <t>Vedanta Iron And Steel Limited, Vedanta Limited, Vedanta Aluminium Metal Limited, Malco Energy Limited , Vedanta Base Metals Limited</t>
  </si>
  <si>
    <t>http://ncltapi.saverisk.com/ncltsaverisk.aspx?path=/DriveD/NCLT/Order_Judgements/pdf/04_order-Challange_004_1769577870174669501669799d8ef1568.pdf</t>
  </si>
  <si>
    <t>Ia(i.b.c) - 1525/2023</t>
  </si>
  <si>
    <t>Vedanta Limited V/s. Paradeep Port Trust, Mr Kumar Rajan</t>
  </si>
  <si>
    <t>http://ncltapi.saverisk.com/ncltsaverisk.aspx?path=/DriveD/NCLT/Order_Judgements/pdf/04_order-Challange_004_170721725611050724265c211689f4cb.pdf</t>
  </si>
  <si>
    <t>Ia(i.b.c) - 406/2022</t>
  </si>
  <si>
    <t>M/s Vedanta Limited V/s. Ca Vikas Gautamchand Jain Rp For Sona Alloys Private Limited, Committee Of Creditors Of Sona Alloys Private Limited</t>
  </si>
  <si>
    <t>http://ncltapi.saverisk.com/ncltsaverisk.aspx?path=/DriveD/NCLT/Order_Judgements/pdf/04_order-Challange_004_16522651531730097096627b90c16c8ba.pdf</t>
  </si>
  <si>
    <t>Ia(i.b.c) - 491/2022</t>
  </si>
  <si>
    <t>http://ncltapi.saverisk.com/ncltsaverisk.aspx?path=/DriveD/NCLT/Order_Judgements/pdf/04_order-Challange_004_1655289403212095198062a9b63bbf666.pdf</t>
  </si>
  <si>
    <t>Ia(i.b.c) - 741/2023</t>
  </si>
  <si>
    <t>http://ncltapi.saverisk.com/ncltsaverisk.aspx?path=/DriveD/NCLT/Order_Judgements/pdf/04_order-Challange_004_16844775647188139096467167cac56d.pdf</t>
  </si>
  <si>
    <t>Interim Order</t>
  </si>
  <si>
    <t xml:space="preserve">http://ncltapi.saverisk.com/nclatsaverisk.aspx?path=/DriveD/nclat/Data/pdf/orders/DELHI/2022-10-14/courts/2/daily/16657512181964152679634958b2882be.pdf </t>
  </si>
  <si>
    <t>http://ncltapi.saverisk.com/nclatsaverisk.aspx?path=/DriveD/nclat/Data/pdf/orders/DELHI/2022-11-07/courts/2/daily/166782254914113734366368f3d5d98d1.pdf</t>
  </si>
  <si>
    <t xml:space="preserve">Company Appeal(at)(ins) - 552/2026  Ia/2129/2026  Ia/2131/2026</t>
  </si>
  <si>
    <t>Vedanta Limited V/s. Adani Enterprises Limited, Committee Of Creditors Of Jaiprakash Associates Limited, Mr. Bhuvan Madan Resolution Professional Of Jaiprakash Associates Limited</t>
  </si>
  <si>
    <t>http://ncltapi.saverisk.com/nclatsaverisk.aspx?path=/DriveD/nclat/Data/pdf/orders/DELHI/2026-04-22/courts/1/daily/1776856534158717582469e8add6e2c83.pdf</t>
  </si>
  <si>
    <t>Vedanta Limited V/s. Committee Of Creditors Of Jaiprakash Associates Limited, Mr. Bhuvan Madan Resolution Professional Of Jaiprakash Associates Limited</t>
  </si>
  <si>
    <t>http://ncltapi.saverisk.com/nclatsaverisk.aspx?path=/DriveD/nclat/Data/pdf/orders/DELHI/2026-04-10/courts/1/daily/1775819117106220822869d8d96da1135.pdf</t>
  </si>
  <si>
    <t>Company Appeal(at)(ins) - 552/2026 Ia/2129/2026 Ia/2131/2026</t>
  </si>
  <si>
    <t>http://ncltapi.saverisk.com/nclatsaverisk.aspx?path=/DriveD/nclat/Data/pdf/orders/DELHI/2026-03-24/courts/1/daily/177435300380197738369c27a6b08c20.pdf</t>
  </si>
  <si>
    <t>http://ncltapi.saverisk.com/nclatsaverisk.aspx?path=/DriveD/nclat/Data/pdf/orders/DELHI/2026-04-21/courts/1/daily/1776771451128962626669e7617b9081a.pdf</t>
  </si>
  <si>
    <t xml:space="preserve">Company Appeal(at)(ins) - 553/2026  Ia/2130/2026  Ia/2132/2026</t>
  </si>
  <si>
    <t>Vedanta Limited V/s. Adani Enterprises Limited, Committee Of Creditors, Mr. Bhuvan Madan Resolution Professional Of Jaiprakash Associates Limited</t>
  </si>
  <si>
    <t>http://ncltapi.saverisk.com/nclatsaverisk.aspx?path=/DriveD/nclat/Data/pdf/orders/DELHI/2026-04-20/courts/1/daily/1776681842131228441469e60372cb6a9.pdf</t>
  </si>
  <si>
    <t>Vedanta Limited V/s. Committee Of Creditors, Mr. Bhuvan Madan Resolution Professional Of Jaiprakash Associates Limited</t>
  </si>
  <si>
    <t>Company Appeal(at)(ins) - 553/2026 Ia/2130/2026 Ia/2132/2026</t>
  </si>
  <si>
    <t xml:space="preserve">Vedanta Limited  V/s. 1. Ca Vikash Gautamchand Jain &amp; Anr, Committee Of Creditors Of Sona Alloys Private Limited</t>
  </si>
  <si>
    <t xml:space="preserve">http://ncltapi.saverisk.com/nclatsaverisk.aspx?path=/DriveD/nclat/Data/pdf/orders/DELHI/2022-07-04/courts/1/daily/1656927830130246174062c2b6569590e.pdf </t>
  </si>
  <si>
    <t>Vedanta Limited V/s. 1. Ca Vikash Gautamchand Jain &amp; Anr, Committee Of Creditors Of Sona Alloys Private Limited</t>
  </si>
  <si>
    <t xml:space="preserve">http://ncltapi.saverisk.com/nclatsaverisk.aspx?path=/DriveD/nclat/Data/pdf/orders/DELHI/2022-07-08/courts/1/daily/165760522057471817562cd0c6425bdf.pdf </t>
  </si>
  <si>
    <t xml:space="preserve">http://ncltapi.saverisk.com/nclatsaverisk.aspx?path=/DriveD/nclat/Data/pdf/orders/DELHI/2022-07-25/courts/1/daily/1658831500138136853462dfc28cf3b73.pdf </t>
  </si>
  <si>
    <t xml:space="preserve">http://ncltapi.saverisk.com/nclatsaverisk.aspx?path=/DriveD/nclat/Data/pdf/orders/DELHI/2022-08-01/courts/1/daily/1659352822190688611862e7b6f6d7dfc.pdf </t>
  </si>
  <si>
    <t>Ia - 4149/nd/2025</t>
  </si>
  <si>
    <t>Vedanta Limited Successful Resolution Applicant For Incab Industries Ltd. V/s. Mr. Pankaj Kumar Tibrewalresolution Professional For Incab Industries Limited, Tropical Ventures Company Limited A Company Incorporated Under The Laws Of Mauritius &amp; Anr</t>
  </si>
  <si>
    <t>http://ncltapi.saverisk.com/nclatsaverisk.aspx?path=/DriveD/nclat/Data/pdf/orders/DELHI/2025-07-28/courts/1/daily/175387281319467586846889f9ad1f365.pdf</t>
  </si>
  <si>
    <t>2025-07-28</t>
  </si>
  <si>
    <t>(ib) 375 (nd)/2017</t>
  </si>
  <si>
    <t xml:space="preserve">M/s.  Vedanta Limited Vs. Ms. Sequal Alloys And Wires Pvt. Ltd.</t>
  </si>
  <si>
    <t>http://ncltapi.saverisk.com/ncltsaverisk.aspx?path=/DriveD/National Company Law Tribunal (NCLT)/Interim Orders/intrim_new_delhi/06.10.2017_new_delhi/singlefiles/29.pdf</t>
  </si>
  <si>
    <t>http://ncltapi.saverisk.com/ncltsaverisk.aspx?path=/DriveD/National Company Law Tribunal (NCLT)/Interim Orders/intrim_new_delhi/11.10.2017_new_delhi/singlefiles/27.pdf</t>
  </si>
  <si>
    <t>2017-10-11</t>
  </si>
  <si>
    <t>9 Of Ibc, 2016</t>
  </si>
  <si>
    <t>M/s. Vedanta Limited Vs. Sequal Alloys And Wires Pvt. Ltd.</t>
  </si>
  <si>
    <t>http://ncltapi.saverisk.com/ncltsaverisk.aspx?path=/DriveD/National Company Law Tribunal (NCLT)/Interim Orders/intrim_new_delhi/02.11.2017_new_delhi/singlefiles/13.pdf</t>
  </si>
  <si>
    <t>(ib) 375(nd)/2017</t>
  </si>
  <si>
    <t>http://ncltapi.saverisk.com/ncltsaverisk.aspx?path=/DriveD/National Company Law Tribunal (NCLT)/Interim Orders/intrim_new_delhi/28.09.2017_new_delhi/singlefiles/8.pdf</t>
  </si>
  <si>
    <t>9 Of Ibc</t>
  </si>
  <si>
    <t>M/s. Vedanta Vs. Sequal Alloys Toyo Denso India Pvt. Ltd.</t>
  </si>
  <si>
    <t>http://ncltapi.saverisk.com/ncltsaverisk.aspx?path=/DriveD/National Company Law Tribunal (NCLT)/Interim Orders/intrim_new_delhi/13.11.2017_new_delhi/singlefiles/22.pdf</t>
  </si>
  <si>
    <t>(ib)-375 (nd)/2017</t>
  </si>
  <si>
    <t>9 Of Ibc 2016</t>
  </si>
  <si>
    <t>http://ncltapi.saverisk.com/?path=National Company Law Tribunal (NCLT)/Interim Orders/intrim_new_delhi/11.01.2018_new_delhi/singlefiles/20.pdf</t>
  </si>
  <si>
    <t>http://ncltapi.saverisk.com/ncltsaverisk.aspx?path=/DriveD/National Company Law Tribunal (NCLT)/Interim Orders/intrim_new_delhi/08.12.2017_new_delhi/singlefiles/20.pdf</t>
  </si>
  <si>
    <t>http://ncltapi.saverisk.com/ncltsaverisk.aspx?path=/DriveD/National Company Law Tribunal (NCLT)/Interim Orders/intrim_new_delhi/23.10.2017_new_delhi/singlefiles/26.pdf</t>
  </si>
  <si>
    <t>(ib)-375(nd)2017</t>
  </si>
  <si>
    <t>M/s. Ms. Vedanta Limited Vs. Ms. Sequal Alloys And Wires Pvt. Ltd.</t>
  </si>
  <si>
    <t>http://ncltapi.saverisk.com/ncltsaverisk.aspx?path=/DriveD/National Company Law Tribunal (NCLT)/Interim Orders/intrim_new_delhi/22.12.2017_new_delhi/singlefiles/23.pdf</t>
  </si>
  <si>
    <t>(ib)375(nd)/2017</t>
  </si>
  <si>
    <t>http://ncltapi.saverisk.com/ncltsaverisk.aspx?path=/DriveD/National Company Law Tribunal (NCLT)/Interim Orders/intrim_new_delhi/07.11.2017_new_delhi/singlefiles/25.pdf</t>
  </si>
  <si>
    <t>2017-11-07</t>
  </si>
  <si>
    <t>http://ncltapi.saverisk.com/ncltsaverisk.aspx?path=/DriveD/National Company Law Tribunal (NCLT)/Interim Orders/intrim_new_delhi/09.01.2018_new_delhi/singlefiles/20.pdf</t>
  </si>
  <si>
    <t>2018-01-09</t>
  </si>
  <si>
    <t>http://ncltapi.saverisk.com/ncltsaverisk.aspx?path=/DriveD/National Company Law Tribunal (NCLT)/Interim Orders/intrim_new_delhi/26.10.2017_new_delhi/singlefiles/24.pdf</t>
  </si>
  <si>
    <t>http://ncltapi.saverisk.com/ncltsaverisk.aspx?path=/DriveD/National Company Law Tribunal (NCLT)/Interim Orders/intrim_new_delhi/30.01.2018_new_delhi/singlefiles/25.pdf</t>
  </si>
  <si>
    <t>http://ncltapi.saverisk.com/ncltsaverisk.aspx?path=/DriveD/NCLT/Order_Judgements/pdf/04_order-Challange_004_17296602406505699636718855070625.pdf</t>
  </si>
  <si>
    <t>http://ncltapi.saverisk.com/ncltsaverisk.aspx?path=/DriveD/NCLT/Order_Judgements/pdf/04_order-Challange_004_1746594542212563221681aeaee25d96.pdf</t>
  </si>
  <si>
    <t>http://ncltapi.saverisk.com/ncltsaverisk.aspx?path=/DriveD/NCLT/Order_Judgements/pdf/04_order-Challange_004_175636245447593743768aff6d6cbf79.pdf</t>
  </si>
  <si>
    <t>http://ncltapi.saverisk.com/ncltsaverisk.aspx?path=/DriveD/NCLT/Order_Judgements/pdf/04_order-Challange_004_1756450954207640548768b1508a24e66.pdf</t>
  </si>
  <si>
    <t>http://ncltapi.saverisk.com/ncltsaverisk.aspx?path=/DriveD/NCLT/Order_Judgements/pdf/04_order-Challange_004_175808723616681810568ca48448f1b6.pdf</t>
  </si>
  <si>
    <t>http://ncltapi.saverisk.com/ncltsaverisk.aspx?path=/DriveD/NCLT/Order_Judgements/pdf/04_order-Challange_004_1759991952201522664068e758900fe3a.pdf</t>
  </si>
  <si>
    <t>http://ncltapi.saverisk.com/ncltsaverisk.aspx?path=/DriveD/NCLT/Order_Judgements/pdf/04_order-Challange_004_166151180711442286296308a87f2918d.pdf</t>
  </si>
  <si>
    <t>http://ncltapi.saverisk.com/ncltsaverisk.aspx?path=/DriveD/NCLT/Order_Judgements/pdf/04_order-Challange_004_1743588920170270424467ed0e38cd878.pdf</t>
  </si>
  <si>
    <t>C.p.(caa) - 230/2022</t>
  </si>
  <si>
    <t>http://ncltapi.saverisk.com/ncltsaverisk.aspx?path=/DriveD/NCLT/Order_Judgements/pdf/04_order-Challange_004_1670311994671264224638ef03ac48a7.pdf</t>
  </si>
  <si>
    <t>http://ncltapi.saverisk.com/ncltsaverisk.aspx?path=/DriveD/NCLT/Order_Judgements/pdf/04_order-Challange_004_167395358863339027163c681344a381.pdf</t>
  </si>
  <si>
    <t>http://ncltapi.saverisk.com/ncltsaverisk.aspx?path=/DriveD/NCLT/Order_Judgements/pdf/04_order-Challange_004_1675334929105701704963db951137dc9.pdf</t>
  </si>
  <si>
    <t>http://ncltapi.saverisk.com/ncltsaverisk.aspx?path=/DriveD/NCLT/Order_Judgements/pdf/04_order-Challange_004_168121277217125125516435456484ce3.pdf</t>
  </si>
  <si>
    <t>http://ncltapi.saverisk.com/ncltsaverisk.aspx?path=/DriveD/NCLT/Order_Judgements/pdf/04_order-Challange_004_1685345540162437826064745504236b4.pdf</t>
  </si>
  <si>
    <t>http://ncltapi.saverisk.com/ncltsaverisk.aspx?path=/DriveD/NCLT/Order_Judgements/pdf/04_order-Challange_004_1688454658108067276764a3c602506ab.pdf</t>
  </si>
  <si>
    <t>http://ncltapi.saverisk.com/ncltsaverisk.aspx?path=/DriveD/NCLT/Order_Judgements/pdf/04_order-Challange_004_1694151634159810217064fab3d2b6db7.pdf</t>
  </si>
  <si>
    <t>http://ncltapi.saverisk.com/ncltsaverisk.aspx?path=/DriveD/NCLT/Order_Judgements/pdf/04_order-Challange_004_16964013571635272782651d07cda5887.pdf</t>
  </si>
  <si>
    <t>http://ncltapi.saverisk.com/ncltsaverisk.aspx?path=/DriveD/NCLT/Order_Judgements/pdf/04_order-Challange_004_169769978614025473216530d7caead57.pdf</t>
  </si>
  <si>
    <t>http://ncltapi.saverisk.com/ncltsaverisk.aspx?path=/DriveD/NCLT/Order_Judgements/pdf/04_order-Challange_004_1700818748111893933365606f3c4d9ff.pdf</t>
  </si>
  <si>
    <t>http://ncltapi.saverisk.com/ncltsaverisk.aspx?path=/DriveD/NCLT/Order_Judgements/pdf/04_order-Challange_004_170417531820568960696593a6d620bc4.pdf</t>
  </si>
  <si>
    <t>http://ncltapi.saverisk.com/ncltsaverisk.aspx?path=/DriveD/NCLT/Order_Judgements/pdf/04_order-Challange_004_170713145532978616465c0c23f26e4a.pdf</t>
  </si>
  <si>
    <t>http://ncltapi.saverisk.com/ncltsaverisk.aspx?path=/DriveD/NCLT/Order_Judgements/pdf/04_order-Challange_004_17103944377207276865f28c453151e.pdf</t>
  </si>
  <si>
    <t>http://ncltapi.saverisk.com/ncltsaverisk.aspx?path=/DriveD/NCLT/Order_Judgements/pdf/04_order-Challange_004_171273378392870535066163e5747b34.pdf</t>
  </si>
  <si>
    <t>http://ncltapi.saverisk.com/ncltsaverisk.aspx?path=/DriveD/NCLT/Order_Judgements/pdf/04_order-Challange_004_1714372337275673836662f3ef1678d0.pdf</t>
  </si>
  <si>
    <t>http://ncltapi.saverisk.com/ncltsaverisk.aspx?path=/DriveD/NCLT/Order_Judgements/pdf/04_order-Challange_004_17194683421474477214667d013632837.pdf</t>
  </si>
  <si>
    <t>http://ncltapi.saverisk.com/ncltsaverisk.aspx?path=/DriveD/NCLT/Order_Judgements/pdf/04_order-Challange_004_1723533200130764261466bb079097782.pdf</t>
  </si>
  <si>
    <t>http://ncltapi.saverisk.com/ncltsaverisk.aspx?path=/DriveD/NCLT/Order_Judgements/pdf/04_order-Challange_004_1729060670833303378670f5f3e5f10f.pdf</t>
  </si>
  <si>
    <t>http://ncltapi.saverisk.com/ncltsaverisk.aspx?path=/DriveD/NCLT/Order_Judgements/pdf/04_order-Challange_004_17351937531747295338676cf49948f53.pdf</t>
  </si>
  <si>
    <t>http://ncltapi.saverisk.com/ncltsaverisk.aspx?path=/DriveD/NCLT/Order_Judgements/pdf/04_order-Challange_004_17406344571459122067bff9590c55e.pdf</t>
  </si>
  <si>
    <t>http://ncltapi.saverisk.com/ncltsaverisk.aspx?path=/DriveD/NCLT/Order_Judgements/pdf/04_order-Challange_004_174358894233967865767ed0e4e77752.pdf</t>
  </si>
  <si>
    <t>http://ncltapi.saverisk.com/ncltsaverisk.aspx?path=/DriveD/NCLT/Order_Judgements/pdf/04_order-Challange_004_174953462316106548136847c79f09126.pdf</t>
  </si>
  <si>
    <t>http://ncltapi.saverisk.com/ncltsaverisk.aspx?path=/DriveD/NCLT/Order_Judgements/pdf/04_order-Challange_004_1746594565971799121681aeb05b45e5.pdf</t>
  </si>
  <si>
    <t>http://ncltapi.saverisk.com/ncltsaverisk.aspx?path=/DriveD/NCLT/Order_Judgements/pdf/04_order-Challange_004_175221656410257222386870b3f41e107.pdf</t>
  </si>
  <si>
    <t>http://ncltapi.saverisk.com/ncltsaverisk.aspx?path=/DriveD/NCLT/Order_Judgements/pdf/04_order-Challange_004_1756450998122420540168b150b6b9959.pdf</t>
  </si>
  <si>
    <t>http://ncltapi.saverisk.com/ncltsaverisk.aspx?path=/DriveD/NCLT/Order_Judgements/pdf/04_order-Challange_004_17592242019278391368dba1897d1a7.pdf</t>
  </si>
  <si>
    <t>http://ncltapi.saverisk.com/ncltsaverisk.aspx?path=/DriveD/NCLT/Order_Judgements/pdf/04_order-Challange_004_176042582464510304268edf76076b18.pdf</t>
  </si>
  <si>
    <t>http://ncltapi.saverisk.com/ncltsaverisk.aspx?path=/DriveD/NCLT/Order_Judgements/pdf/04_order-Challange_004_17627587701999229846691190721b65a.pdf</t>
  </si>
  <si>
    <t>http://ncltapi.saverisk.com/ncltsaverisk.aspx?path=/DriveD/NCLT/Order_Judgements/pdf/04_order-Challange_004_17636384201792540921691efc94ef2e8.pdf</t>
  </si>
  <si>
    <t>Vedanta Limited, Vedanta Aluminium Metal Limited, Malco Energy Limited, Vedanta Base Metals Limited, Vedanta Iron And Steel Limited</t>
  </si>
  <si>
    <t>http://ncltapi.saverisk.com/ncltsaverisk.aspx?path=/DriveD/NCLT/Order_Judgements/pdf/04_order-Challange_004_1758087256151580783068ca48581d742.pdf</t>
  </si>
  <si>
    <t>http://ncltapi.saverisk.com/ncltsaverisk.aspx?path=/DriveD/NCLT/Order_Judgements/pdf/04_order-Challange_004_175811054935425795268caa3554638e.pdf</t>
  </si>
  <si>
    <t>http://ncltapi.saverisk.com/ncltsaverisk.aspx?path=/DriveD/NCLT/Order_Judgements/pdf/04_order-Challange_004_166356695910093142176328046f1a65b.pdf</t>
  </si>
  <si>
    <t>http://ncltapi.saverisk.com/ncltsaverisk.aspx?path=/DriveD/NCLT/Order_Judgements/pdf/04_order-Challange_004_16637440412022991822632ab82996109.pdf</t>
  </si>
  <si>
    <t>Ia(i.b.c) - 1/2026</t>
  </si>
  <si>
    <t>Vedanta Limited V/s. Mr. Bhuvan Madan Resolution Professional Of Jaiprakash Associates Limited, Committee Of Creditors Of Jaiprakash Associates Limited</t>
  </si>
  <si>
    <t>http://ncltapi.saverisk.com/ncltsaverisk.aspx?path=/DriveD/NCLT/Order_Judgements/pdf/04_order-Challange_004_17679513699493490136960cc09019e2.pdf</t>
  </si>
  <si>
    <t>http://ncltapi.saverisk.com/ncltsaverisk.aspx?path=/DriveD/NCLT/Order_Judgements/pdf/04_order-Challange_004_17689774081850622183697074003680f.pdf</t>
  </si>
  <si>
    <t>Ia(i.b.c) - 1232/2024</t>
  </si>
  <si>
    <t xml:space="preserve">Vedanta Limited V/s. Ravi Sankar Devarkonda ,  State Bank Of India, Sbicap Trustee Company Limited, Punjab National Bank, Andhra Bank, Punjab &amp; Sindh Bank, Oriental Bank Of Commerce, Rural Electrification Corporation Limited, India Infra Fin Co Limited, Idbi Bank, Sbi Cap Securities Limited, Bank Of India, United Bank Of India, Uco Bank, Ptc India Financial Services Limited, State Bank Of India R2</t>
  </si>
  <si>
    <t>http://ncltapi.saverisk.com/ncltsaverisk.aspx?path=/DriveD/NCLT/Order_Judgements/pdf/04_order-Challange_004_1733463221130871153867528cb59a214.pdf</t>
  </si>
  <si>
    <t>Vedanta Limited V/s. Ravi Sankar Devarkonda , State Bank Of India, Sbicap Trustee Company Limited, Punjab National Bank, Andhra Bank, Punjab &amp; Sindh Bank, Oriental Bank Of Commerce, Rural Electrification Corporation Limited, India Infra Fin Co Limited, Id</t>
  </si>
  <si>
    <t>http://ncltapi.saverisk.com/ncltsaverisk.aspx?path=/DriveD/NCLT/Order_Judgements/pdf/04_order-Challange_004_17319283961147629047673b214c28035.pdf</t>
  </si>
  <si>
    <t>http://ncltapi.saverisk.com/ncltsaverisk.aspx?path=/DriveD/NCLT/Order_Judgements/pdf/04_order-Challange_004_1736416087351503889677f9b5743eef.pdf</t>
  </si>
  <si>
    <t>Vedanta Limited V/s. Ravi Sankar Devarkonda , State Bank Of India, Sbicap Trustee Company Limited, Punjab National Bank, Andhra Bank, Punjab &amp; Sindh Bank, Oriental Bank Of Commerce, Rural Electrification Corporation Limited, India Infra Fin Co Limited, Idbi Bank, Sbi Cap Securities Limited, Bank Of India, United Bank Of India, Uco Bank, Ptc India Financial Services Limited, State Bank Of India R2</t>
  </si>
  <si>
    <t>http://ncltapi.saverisk.com/ncltsaverisk.aspx?path=/DriveD/NCLT/Order_Judgements/pdf/04_order-Challange_004_17205961271073370665668e369fed38f.pdf</t>
  </si>
  <si>
    <t>Vedanta Limited V/s. Ravi Sankar Devarkonda And Anr, State Bank Of India, Sbicap Trustee Company Limited, Punjab National Bank, Andhra Bank, Punjab &amp; Sindh Bank, Oriental Bank Of Commerce, Rural Electrification Corporation Limited, India Infra Fin Co Limi</t>
  </si>
  <si>
    <t>http://ncltapi.saverisk.com/ncltsaverisk.aspx?path=/DriveD/NCLT/Order_Judgements/pdf/04_order-Challange_004_173071043671421381767288ba4b25a7.pdf</t>
  </si>
  <si>
    <t>Vedanta Limited V/s. Ravi Sankar Devarkonda And Anr, State Bank Of India, Sbicap Trustee Company Limited, Punjab National Bank, Andhra Bank, Punjab &amp; Sindh Bank, Oriental Bank Of Commerce, Rural Electrification Corporation Limited, India Infra Fin Co Limited, Idbi Bank, Sbi Cap Securities Limited, Bank Of India, United Bank Of India, Uco Bank, Ptc India Financial Services Limited, State Bank Of India R2</t>
  </si>
  <si>
    <t>http://ncltapi.saverisk.com/ncltsaverisk.aspx?path=/DriveD/NCLT/Order_Judgements/pdf/04_order-Challange_004_1725878257214210227466decff150e35.pdf</t>
  </si>
  <si>
    <t>Ia(i.b.c) - 1440/2022</t>
  </si>
  <si>
    <t>Vedanta Limited V/s. Athena Chhattisgarh Power Limited</t>
  </si>
  <si>
    <t>http://ncltapi.saverisk.com/ncltsaverisk.aspx?path=/DriveD/NCLT/Order_Judgements/pdf/04_order-Challange_004_1688711420184306674664a7b0fc8b17a.pdf</t>
  </si>
  <si>
    <t>http://ncltapi.saverisk.com/ncltsaverisk.aspx?path=/DriveD/NCLT/Order_Judgements/pdf/04_order-Challange_004_1688727903193297746664a7f15fb3d0d.pdf</t>
  </si>
  <si>
    <t>http://ncltapi.saverisk.com/ncltsaverisk.aspx?path=/DriveD/NCLT/Order_Judgements/pdf/04_order-Challange_004_1695985603211205376516afc38ee4e.pdf</t>
  </si>
  <si>
    <t>http://ncltapi.saverisk.com/ncltsaverisk.aspx?path=/DriveD/NCLT/Order_Judgements/pdf/04_order-Challange_004_169770752013551191906530f6003a580.pdf</t>
  </si>
  <si>
    <t>http://ncltapi.saverisk.com/ncltsaverisk.aspx?path=/DriveD/NCLT/Order_Judgements/pdf/04_order-Challange_004_1701154783135396877765658fdf17061.pdf</t>
  </si>
  <si>
    <t>http://ncltapi.saverisk.com/ncltsaverisk.aspx?path=/DriveD/NCLT/Order_Judgements/pdf/04_order-Challange_004_17036676222020931748658be7a6f1516.pdf</t>
  </si>
  <si>
    <t>http://ncltapi.saverisk.com/ncltsaverisk.aspx?path=/DriveD/NCLT/Order_Judgements/pdf/04_order-Challange_004_1705383746174643312365a61742138bb.pdf</t>
  </si>
  <si>
    <t>Ia(i.b.c) - 452/2025</t>
  </si>
  <si>
    <t>Vedanta Limited V/s. Athena Chhattisgarh Power Limited, Chattisgarh Stat Industrial Development Corporation Limited</t>
  </si>
  <si>
    <t>http://ncltapi.saverisk.com/ncltsaverisk.aspx?path=/DriveD/NCLT/Order_Judgements/pdf/04_order-Challange_004_1741687942113093460667d00c86dbb75.pdf</t>
  </si>
  <si>
    <t>http://ncltapi.saverisk.com/ncltsaverisk.aspx?path=/DriveD/NCLT/Order_Judgements/pdf/04_order-Challange_004_174410840871741439867f4fb78e70ce.pdf</t>
  </si>
  <si>
    <t>http://ncltapi.saverisk.com/ncltsaverisk.aspx?path=/DriveD/NCLT/Order_Judgements/pdf/04_order-Challange_004_1750839873498228891685bb241bbf69.pdf</t>
  </si>
  <si>
    <t>http://ncltapi.saverisk.com/ncltsaverisk.aspx?path=/DriveD/NCLT/Order_Judgements/pdf/04_order-Challange_004_17520601012021517259686e50c5680fa.pdf</t>
  </si>
  <si>
    <t>http://ncltapi.saverisk.com/ncltsaverisk.aspx?path=/DriveD/NCLT/Order_Judgements/pdf/04_order-Challange_004_17542893531883334419689054c9514dc.pdf</t>
  </si>
  <si>
    <t>http://ncltapi.saverisk.com/ncltsaverisk.aspx?path=/DriveD/NCLT/Order_Judgements/pdf/04_order-Challange_004_175698114555707714168b96799a560b.pdf</t>
  </si>
  <si>
    <t>http://ncltapi.saverisk.com/ncltsaverisk.aspx?path=/DriveD/NCLT/Order_Judgements/pdf/04_order-Challange_004_1758784949114725146568d4edb532748.pdf</t>
  </si>
  <si>
    <t>http://ncltapi.saverisk.com/ncltsaverisk.aspx?path=/DriveD/NCLT/Order_Judgements/pdf/04_order-Challange_004_17622578606759419716909ebc407c29.pdf</t>
  </si>
  <si>
    <t>http://ncltapi.saverisk.com/ncltsaverisk.aspx?path=/DriveD/NCLT/Order_Judgements/pdf/04_order-Challange_004_1765193569843764346936b76141d77.pdf</t>
  </si>
  <si>
    <t>http://ncltapi.saverisk.com/ncltsaverisk.aspx?path=/DriveD/NCLT/Order_Judgements/pdf/04_order-Challange_004_177019785313286221606983135d31cfa.pdf</t>
  </si>
  <si>
    <t>Respondant</t>
  </si>
  <si>
    <t>Comp App (at) (ch) (ins) No. 384/2023 For Stay Ia No. 1162/2023 Leave To File Ia No. 1163 &amp; 1164/2023</t>
  </si>
  <si>
    <t>Paradeep Port Trust Vs Vedanta Limited &amp; Anr.</t>
  </si>
  <si>
    <t>http://ncltapi.saverisk.com/nclatsaverisk.aspx?path=NCLT/DAILY CAUSE LIST/04 Dec 2023/NCLAT.pdf</t>
  </si>
  <si>
    <t>2023-12-05</t>
  </si>
  <si>
    <t>http://ncltapi.saverisk.com/nclatsaverisk.aspx?path=NCLT/DAILY CAUSE LIST/06 Nov 2023/NCLAT.pdf</t>
  </si>
  <si>
    <t>2023-11-07</t>
  </si>
  <si>
    <t>Comp App (at) (ch) (ins) No. 384/2023 For Stay Ia No. 1162/2023 Leave To File Ia No. 1163 &amp; 1164/2023 For Additional Docs. Ia No. 1015/2024</t>
  </si>
  <si>
    <t>http://ncltapi.saverisk.com/nclatsaverisk.aspx?path=NCLT/DAILY CAUSE LIST/05 Jun 2025/NCLAT.pdf</t>
  </si>
  <si>
    <t>2025-06-06</t>
  </si>
  <si>
    <t>http://ncltapi.saverisk.com/nclatsaverisk.aspx?path=NCLT/DAILY CAUSE LIST/06 Mar 2025/NCLAT.pdf</t>
  </si>
  <si>
    <t>2025-03-07</t>
  </si>
  <si>
    <t>http://ncltapi.saverisk.com/nclatsaverisk.aspx?path=NCLT/DAILY CAUSE LIST/12 Mar 2025/NCLAT.pdf</t>
  </si>
  <si>
    <t>2025-03-13</t>
  </si>
  <si>
    <t>Comp App (at) (ch) (ins) No. 384/2023 For Stay Ia No. 1162/2023 Leave To File Ia No. 1163 &amp; 1164/2023 For Condone Delay Ia No. 223/2023</t>
  </si>
  <si>
    <t>http://ncltapi.saverisk.com/nclatsaverisk.aspx?path=NCLT/DAILY CAUSE LIST/03 Apr 2024/NCLAT.pdf</t>
  </si>
  <si>
    <t>http://ncltapi.saverisk.com/nclatsaverisk.aspx?path=NCLT/DAILY CAUSE LIST/28 Feb 2024/NCLAT.pdf</t>
  </si>
  <si>
    <t>2024-02-28</t>
  </si>
  <si>
    <t>Comp App (at) (ch) (ins) No. 384/2023 For Stay Ia No. 1162/2023 Leave To File Ia No. 1163 &amp; 1164/2023 For Condone Delay Ia No. 223/2024</t>
  </si>
  <si>
    <t>http://ncltapi.saverisk.com/nclatsaverisk.aspx?path=NCLT/DAILY CAUSE LIST/07 Jun 2024/NCLAT.pdf</t>
  </si>
  <si>
    <t>2024-06-07</t>
  </si>
  <si>
    <t>http://ncltapi.saverisk.com/nclatsaverisk.aspx?path=NCLT/DAILY CAUSE LIST/19 Jul 2024/NCLAT.pdf</t>
  </si>
  <si>
    <t>2024-07-19</t>
  </si>
  <si>
    <t>Comp App (at) (ch) (ins) No. 384/2023 For Stay Ia No. 1162/2023 Leave To File Ia No. 1163 &amp;1164/2023 For Additional Docs. Ia No. 1015/2024</t>
  </si>
  <si>
    <t>Paradeep Port Trust Vs Vedanta Limited &amp; Anr</t>
  </si>
  <si>
    <t>http://ncltapi.saverisk.com/nclatsaverisk.aspx?path=NCLT/DAILY CAUSE LIST/02 Feb 2026/NCLAT.pdf</t>
  </si>
  <si>
    <t>2026-02-02</t>
  </si>
  <si>
    <t>http://ncltapi.saverisk.com/nclatsaverisk.aspx?path=NCLT/DAILY CAUSE LIST/05 Nov 2025/NCLAT.pdf</t>
  </si>
  <si>
    <t>2025-11-07</t>
  </si>
  <si>
    <t>http://ncltapi.saverisk.com/nclatsaverisk.aspx?path=NCLT/DAILY CAUSE LIST/12 Dec 2025/NCLAT.pdf</t>
  </si>
  <si>
    <t>2025-12-12</t>
  </si>
  <si>
    <t>http://ncltapi.saverisk.com/nclatsaverisk.aspx?path=NCLT/DAILY CAUSE LIST/12 Jan 2026/NCLAT.pdf</t>
  </si>
  <si>
    <t>2026-01-12</t>
  </si>
  <si>
    <t>http://ncltapi.saverisk.com/nclatsaverisk.aspx?path=NCLT/DAILY CAUSE LIST/19 Mar 2026/NCLAT.pdf</t>
  </si>
  <si>
    <t>2026-03-20</t>
  </si>
  <si>
    <t>http://ncltapi.saverisk.com/nclatsaverisk.aspx?path=NCLT/DAILY CAUSE LIST/16 Jul 2025/NCLAT.pdf</t>
  </si>
  <si>
    <t>2025-07-17</t>
  </si>
  <si>
    <t>http://ncltapi.saverisk.com/nclatsaverisk.aspx?path=NCLT/DAILY CAUSE LIST/19 Aug 2025/NCLAT.pdf</t>
  </si>
  <si>
    <t>http://ncltapi.saverisk.com/nclatsaverisk.aspx?path=NCLT/DAILY CAUSE LIST/25 Sep 2025/NCLAT.pdf</t>
  </si>
  <si>
    <t>2025-09-26</t>
  </si>
  <si>
    <t xml:space="preserve">Comp. App. (at)
(ins) No. 265 Of
2018</t>
  </si>
  <si>
    <t xml:space="preserve">Saraogi Udyog Pvt. Ltd.
vs.
vedanta Ltd. &amp; Ors.</t>
  </si>
  <si>
    <t>http://ncltapi.saverisk.com/nclatsaverisk.aspx?path=Cause_List/Chairperson Court/2018_05_30/causelist_ch.pdf</t>
  </si>
  <si>
    <t>2018-05-30</t>
  </si>
  <si>
    <t>Comp. App. (at) (ins) No. 265 Of 2018</t>
  </si>
  <si>
    <t>Saraogi Udyog Pvt. Ltd. Vs. Vedanta Ltd. &amp; Ors.</t>
  </si>
  <si>
    <t>http://ncltapi.saverisk.com/nclatsaverisk.aspx?path=Cause_List/Chairperson Court/2018_07_10/causelist_ch.pdf</t>
  </si>
  <si>
    <t>2018-07-10</t>
  </si>
  <si>
    <t>http://ncltapi.saverisk.com/nclatsaverisk.aspx?path=Cause_List/Chairperson Court/2018_07_12/causelist_ch.pdf</t>
  </si>
  <si>
    <t>2018-07-12</t>
  </si>
  <si>
    <t>http://ncltapi.saverisk.com/nclatsaverisk.aspx?path=Cause_List/Chairperson Court/2018_08_06/causelist_ch.pdf</t>
  </si>
  <si>
    <t>2018-08-06</t>
  </si>
  <si>
    <t>Saraogiudyog Pvt. Ltd. Vs. Vedanta Ltd. &amp; Ors.</t>
  </si>
  <si>
    <t>http://ncltapi.saverisk.com/nclatsaverisk.aspx?path=Cause_List/Chairperson Court/2018_08_20/causelist_ch.pdf</t>
  </si>
  <si>
    <t>2018-08-20</t>
  </si>
  <si>
    <t>Ia No. 223/2024 (for Condone Delay) &amp; Ia No. 1015/2024 (for Additional Docs.) In Comp App (at) (ch) (ins) No. 384/2023 For Stay Ia No. 1162/2023 Leave To File Ia No. 1163 &amp; 1164/2023</t>
  </si>
  <si>
    <t>http://ncltapi.saverisk.com/nclatsaverisk.aspx?path=NCLT/DAILY CAUSE LIST/15 Oct 2024/NCLAT.pdf</t>
  </si>
  <si>
    <t>2024-10-15</t>
  </si>
  <si>
    <t>http://ncltapi.saverisk.com/nclatsaverisk.aspx?path=NCLT/DAILY CAUSE LIST/18 Nov 2024/NCLAT.pdf</t>
  </si>
  <si>
    <t>2024-10-19</t>
  </si>
  <si>
    <t>Ia No. 223/2024 (for Condone Delay) In Comp App (at) (ch) (ins) No. 384/2023 For Stay Ia No. 1162/2023 Leave To File Ia No. 1163 &amp; 1164/2023</t>
  </si>
  <si>
    <t>http://ncltapi.saverisk.com/nclatsaverisk.aspx?path=NCLT/DAILY CAUSE LIST/10 Sep 2024/NCLAT.pdf</t>
  </si>
  <si>
    <t>2024-09-10</t>
  </si>
  <si>
    <t>http://ncltapi.saverisk.com/nclatsaverisk.aspx?path=NCLT/DAILY CAUSE LIST/16 Sep 2024/NCLAT.pdf</t>
  </si>
  <si>
    <t>2024-09-17</t>
  </si>
  <si>
    <t>http://ncltapi.saverisk.com/nclatsaverisk.aspx?path=NCLT/DAILY CAUSE LIST/23 Sep 2024/NCLAT.pdf</t>
  </si>
  <si>
    <t>2024-09-21</t>
  </si>
  <si>
    <t>Ia No. 223/2024 (for Condone Delay) In Comp App (at) (ch) (ins) No. 384/2023 For Stay Ia No. 1162/2023 Leave To File Ia No. 1163 &amp; 1164/2023 For Additional Docs. Ia No. 1015/2024</t>
  </si>
  <si>
    <t>http://ncltapi.saverisk.com/nclatsaverisk.aspx?path=NCLT/DAILY CAUSE LIST/13 Dec 2024/NCLAT.pdf</t>
  </si>
  <si>
    <t>2024-12-13</t>
  </si>
  <si>
    <t>C.p. (ib)/1240(mb)2021</t>
  </si>
  <si>
    <t>Ibc Under Sec 9</t>
  </si>
  <si>
    <t>Santosh Chemicals V/s Vedanta Limited</t>
  </si>
  <si>
    <t>http://ncltapi.saverisk.com/ncltsaverisk.aspx?path=NCLT/DAILY CAUSE LIST/13 Dec 2021/Mum.pdf</t>
  </si>
  <si>
    <t>2021-12-13</t>
  </si>
  <si>
    <t>http://ncltapi.saverisk.com/ncltsaverisk.aspx?path=NCLT/DAILY CAUSE LIST/20 Dec 2021/Mum.pdf</t>
  </si>
  <si>
    <t>2021-12-20</t>
  </si>
  <si>
    <t>C.p. (ib)/361(kb)2017 (10-06-2022) (disposed) Ia(i.b.c)/1606(kb)2022</t>
  </si>
  <si>
    <t>State Bank Of India Vs Vedanta Limited</t>
  </si>
  <si>
    <t>http://ncltapi.saverisk.com/ncltsaverisk.aspx?path=NCLT/DAILY CAUSE LIST/28 Dec 2022/Kol.pdf</t>
  </si>
  <si>
    <t>2022-12-28</t>
  </si>
  <si>
    <t>http://ncltapi.saverisk.com/ncltsaverisk.aspx?path=NCLT/DAILY CAUSE LIST/17 Feb 2023/Kol.pdf</t>
  </si>
  <si>
    <t>2023-02-17</t>
  </si>
  <si>
    <t>http://ncltapi.saverisk.com/ncltsaverisk.aspx?path=NCLT/DAILY CAUSE LIST/17 Mar 2023/Kol.pdf</t>
  </si>
  <si>
    <t>2023-03-17</t>
  </si>
  <si>
    <t>http://ncltapi.saverisk.com/ncltsaverisk.aspx?path=NCLT/DAILY CAUSE LIST/20 Jan 2023/Kol.pdf</t>
  </si>
  <si>
    <t>2023-01-20</t>
  </si>
  <si>
    <t>http://ncltapi.saverisk.com/ncltsaverisk.aspx?path=NCLT/DAILY CAUSE LIST/24 Apr 2023/Kol.pdf</t>
  </si>
  <si>
    <t>C.p. (ib)/361(kb)2017 (10-06-2022) (disposed) Ia(i.b.c)/1606(kb)2022 (24-04-2023)</t>
  </si>
  <si>
    <t>http://ncltapi.saverisk.com/ncltsaverisk.aspx?path=NCLT/DAILY CAUSE LIST/12 Jun 2023/Kol.pdf</t>
  </si>
  <si>
    <t>2023-06-12</t>
  </si>
  <si>
    <t>C.p. (ib)/361(kb)2017 (10-06-2022) (disposed), Ia(i.b.c)/1606(kb)2022</t>
  </si>
  <si>
    <t>http://ncltapi.saverisk.com/ncltsaverisk.aspx?path=NCLT/DAILY CAUSE LIST/12 Jan 2024/Kol.pdf</t>
  </si>
  <si>
    <t>2024-01-12</t>
  </si>
  <si>
    <t>http://ncltapi.saverisk.com/ncltsaverisk.aspx?path=NCLT/DAILY CAUSE LIST/04 Jul 2024/Kol.pdf</t>
  </si>
  <si>
    <t>2024-07-04</t>
  </si>
  <si>
    <t>http://ncltapi.saverisk.com/ncltsaverisk.aspx?path=NCLT/DAILY CAUSE LIST/19 Aug 2024/Kol.pdf</t>
  </si>
  <si>
    <t>2024-08-19</t>
  </si>
  <si>
    <t>C.p. (ib)/361(kb)2017 (10-06-2022) , Ia(i.b.c)/1606(kb)2022</t>
  </si>
  <si>
    <t>Appoinment Of Rp</t>
  </si>
  <si>
    <t>http://ncltapi.saverisk.com/ncltsaverisk.aspx?path=NCLT/DAILY CAUSE LIST/10 May 2024/Kol.pdf</t>
  </si>
  <si>
    <t>2024-05-10</t>
  </si>
  <si>
    <t>C.p. (ib)/361(kb)2017 , Ia(i.b.c)/1606(kb)2022</t>
  </si>
  <si>
    <t>http://ncltapi.saverisk.com/ncltsaverisk.aspx?path=NCLT/DAILY CAUSE LIST/02 Apr 2024/Kol.pdf</t>
  </si>
  <si>
    <t>2024-04-02</t>
  </si>
  <si>
    <t>http://ncltapi.saverisk.com/ncltsaverisk.aspx?path=NCLT/DAILY CAUSE LIST/03 Jul 2025/Kol.pdf</t>
  </si>
  <si>
    <t>2025-07-03</t>
  </si>
  <si>
    <t>http://ncltapi.saverisk.com/ncltsaverisk.aspx?path=NCLT/DAILY CAUSE LIST/01 Apr 2025/Kol.pdf</t>
  </si>
  <si>
    <t>2025-04-01</t>
  </si>
  <si>
    <t>http://ncltapi.saverisk.com/ncltsaverisk.aspx?path=NCLT/DAILY CAUSE LIST/15 Mar 2024/Kol.pdf</t>
  </si>
  <si>
    <t>2024-03-15</t>
  </si>
  <si>
    <t>http://ncltapi.saverisk.com/ncltsaverisk.aspx?path=NCLT/DAILY CAUSE LIST/19 May 2025/Kol.pdf</t>
  </si>
  <si>
    <t>2025-05-19</t>
  </si>
  <si>
    <t>C.p. (ib)/361(kb)2017 Ia(i.b.c)/1459(kb)2020</t>
  </si>
  <si>
    <t>Saraogi Udyog Private Limited Vs Vedanta Limited</t>
  </si>
  <si>
    <t>http://ncltapi.saverisk.com/ncltsaverisk.aspx?path=NCLT/DAILY CAUSE LIST/28 Jun 2022/Kol.pdf</t>
  </si>
  <si>
    <t>2022-06-28</t>
  </si>
  <si>
    <t>http://ncltapi.saverisk.com/ncltsaverisk.aspx?path=NCLT/DAILY CAUSE LIST/10 Jun 2022/Kol.pdf</t>
  </si>
  <si>
    <t>http://ncltapi.saverisk.com/ncltsaverisk.aspx?path=NCLT/DAILY CAUSE LIST/14 Mar 2022/Kol.pdf</t>
  </si>
  <si>
    <t>2022-03-14</t>
  </si>
  <si>
    <t>http://ncltapi.saverisk.com/ncltsaverisk.aspx?path=NCLT/DAILY CAUSE LIST/15 Feb 2022/Kol.pdf</t>
  </si>
  <si>
    <t>2022-02-15</t>
  </si>
  <si>
    <t>http://ncltapi.saverisk.com/ncltsaverisk.aspx?path=NCLT/DAILY CAUSE LIST/24 Feb 2022/Kol.pdf</t>
  </si>
  <si>
    <t>2022-02-24</t>
  </si>
  <si>
    <t>C.p. (ib)/361(kb)2017, Ia(i.b.c)/1459(kb)2020</t>
  </si>
  <si>
    <t>http://ncltapi.saverisk.com/ncltsaverisk.aspx?path=NCLT/DAILY CAUSE LIST/06 Apr 2022/Kol.pdf</t>
  </si>
  <si>
    <t>2022-04-06</t>
  </si>
  <si>
    <t>http://ncltapi.saverisk.com/ncltsaverisk.aspx?path=NCLT/DAILY CAUSE LIST/08 Apr 2022/Kol.pdf</t>
  </si>
  <si>
    <t>2022-04-08</t>
  </si>
  <si>
    <t>http://ncltapi.saverisk.com/ncltsaverisk.aspx?path=NCLT/DAILY CAUSE LIST/09 Dec 2021/Kol.pdf</t>
  </si>
  <si>
    <t>2021-12-09</t>
  </si>
  <si>
    <t>http://ncltapi.saverisk.com/ncltsaverisk.aspx?path=NCLT/DAILY CAUSE LIST/14 Jan 2022/Kol.pdf</t>
  </si>
  <si>
    <t>2022-01-14</t>
  </si>
  <si>
    <t>http://ncltapi.saverisk.com/ncltsaverisk.aspx?path=NCLT/DAILY CAUSE LIST/20 Dec 2021/Kol.pdf</t>
  </si>
  <si>
    <t>http://ncltapi.saverisk.com/ncltsaverisk.aspx?path=NCLT/DAILY CAUSE LIST/22 Feb 2022/Kol.pdf</t>
  </si>
  <si>
    <t>2022-02-22</t>
  </si>
  <si>
    <t>http://ncltapi.saverisk.com/ncltsaverisk.aspx?path=NCLT/DAILY CAUSE LIST/28 Apr 2022/Kol.pdf</t>
  </si>
  <si>
    <t>2022-04-28</t>
  </si>
  <si>
    <t>C.p. (ib)/361(kb)2017, Ia(i.b.c)/1606(kb)2022</t>
  </si>
  <si>
    <t>http://ncltapi.saverisk.com/ncltsaverisk.aspx?path=NCLT/DAILY CAUSE LIST/06 Feb 2025/Kol.pdf</t>
  </si>
  <si>
    <t>2025-02-06</t>
  </si>
  <si>
    <t>http://ncltapi.saverisk.com/ncltsaverisk.aspx?path=NCLT/DAILY CAUSE LIST/19 Feb 2025/Kol.pdf</t>
  </si>
  <si>
    <t>http://ncltapi.saverisk.com/ncltsaverisk.aspx?path=NCLT/DAILY CAUSE LIST/19 Sep 2024/Kol.pdf</t>
  </si>
  <si>
    <t>2024-09-19</t>
  </si>
  <si>
    <t xml:space="preserve">Daily Cause List </t>
  </si>
  <si>
    <t>http://ncltapi.saverisk.com/ncltsaverisk.aspx?path=NCLT/DAILY CAUSE LIST/28 Nov 2024/Kol.pdf</t>
  </si>
  <si>
    <t>2024-11-28</t>
  </si>
  <si>
    <t>C.p. (ib)/513(kb)2018 (25-01-2022) Ia(i.b.c)/1459(kb)2020 (14-01-2022)</t>
  </si>
  <si>
    <t>http://ncltapi.saverisk.com/ncltsaverisk.aspx?path=NCLT/DAILY CAUSE LIST/11 Jan 2022/Kol.pdf</t>
  </si>
  <si>
    <t>2022-01-11</t>
  </si>
  <si>
    <t>C.p. (ib)/58(mb)2025</t>
  </si>
  <si>
    <t>U/s 9 Of (ibc)</t>
  </si>
  <si>
    <t>Pra India Private Limited Vs Vedanta Limited</t>
  </si>
  <si>
    <t>http://ncltapi.saverisk.com/ncltsaverisk.aspx?path=NCLT/DAILY CAUSE LIST/20 Jan 2025/Mum.pdf</t>
  </si>
  <si>
    <t>For Written Submission (last Listed 04.02.2026)</t>
  </si>
  <si>
    <t>http://ncltapi.saverisk.com/ncltsaverisk.aspx?path=NCLT/DAILY CAUSE LIST/25 Feb 2026/Mum.pdf</t>
  </si>
  <si>
    <t>2026-02-25</t>
  </si>
  <si>
    <t>For Written Submission (last Listed 25.02.2026)</t>
  </si>
  <si>
    <t>http://ncltapi.saverisk.com/ncltsaverisk.aspx?path=NCLT/DAILY CAUSE LIST/11 Mar 2026/Mum.pdf</t>
  </si>
  <si>
    <t>2026-03-11</t>
  </si>
  <si>
    <t>Further Consideration (last Listed 03.04.2025)</t>
  </si>
  <si>
    <t>http://ncltapi.saverisk.com/ncltsaverisk.aspx?path=NCLT/DAILY CAUSE LIST/05 Jun 2025/Mum.pdf</t>
  </si>
  <si>
    <t>2025-06-05</t>
  </si>
  <si>
    <t>Further Consideration (last Listed 05.03.2025)</t>
  </si>
  <si>
    <t>http://ncltapi.saverisk.com/ncltsaverisk.aspx?path=NCLT/DAILY CAUSE LIST/03 Apr 2025/Mum.pdf</t>
  </si>
  <si>
    <t>Further Consideration (last Listed 05.06.2025)</t>
  </si>
  <si>
    <t>http://ncltapi.saverisk.com/ncltsaverisk.aspx?path=NCLT/DAILY CAUSE LIST/24 Jul 2025/Mum.pdf</t>
  </si>
  <si>
    <t>2025-07-24</t>
  </si>
  <si>
    <t>Further Consideration (last Listed 11.03.2026)</t>
  </si>
  <si>
    <t>http://ncltapi.saverisk.com/ncltsaverisk.aspx?path=NCLT/DAILY CAUSE LIST/18 Mar 2026/Mum.pdf</t>
  </si>
  <si>
    <t>Further Consideration (last Listed 15.09.2025)</t>
  </si>
  <si>
    <t>Further Consideration (last Listed 17.12.2025)</t>
  </si>
  <si>
    <t>http://ncltapi.saverisk.com/ncltsaverisk.aspx?path=NCLT/DAILY CAUSE LIST/04 Feb 2026/Mum.pdf</t>
  </si>
  <si>
    <t>Further Consideration (last Listed 20.01.2025)</t>
  </si>
  <si>
    <t>http://ncltapi.saverisk.com/ncltsaverisk.aspx?path=NCLT/DAILY CAUSE LIST/05 Mar 2025/Mum.pdf</t>
  </si>
  <si>
    <t>2025-03-05</t>
  </si>
  <si>
    <t>Further Consideration (last Listed 24.07.2025)</t>
  </si>
  <si>
    <t>http://ncltapi.saverisk.com/ncltsaverisk.aspx?path=NCLT/DAILY CAUSE LIST/15 Sep 2025/Mum.pdf</t>
  </si>
  <si>
    <t>2025-09-15</t>
  </si>
  <si>
    <t>Further Consideration (last Listed 29.10.2025)</t>
  </si>
  <si>
    <t>http://ncltapi.saverisk.com/ncltsaverisk.aspx?path=NCLT/DAILY CAUSE LIST/17 Dec 2025/Mum.pdf</t>
  </si>
  <si>
    <t>2025-12-17</t>
  </si>
  <si>
    <t>C.p. (ib)/945(mb)2022</t>
  </si>
  <si>
    <t>Emtex Engineering Private Limited Vs Vedanta Limited</t>
  </si>
  <si>
    <t>http://ncltapi.saverisk.com/ncltsaverisk.aspx?path=NCLT/DAILY CAUSE LIST/23 Jan 2023/Mum.pdf</t>
  </si>
  <si>
    <t>2023-01-23</t>
  </si>
  <si>
    <t>http://ncltapi.saverisk.com/ncltsaverisk.aspx?path=NCLT/DAILY CAUSE LIST/23 Nov 2022/Mum.pdf</t>
  </si>
  <si>
    <t>http://ncltapi.saverisk.com/ncltsaverisk.aspx?path=NCLT/DAILY CAUSE LIST/27 Mar 2023/Mum.pdf</t>
  </si>
  <si>
    <t>http://ncltapi.saverisk.com/ncltsaverisk.aspx?path=NCLT/DAILY CAUSE LIST/29 Mar 2023/Mum.pdf</t>
  </si>
  <si>
    <t>2023-03-29</t>
  </si>
  <si>
    <t>C.p. (ib)/945(mb)2022 (h/copy Not Recd)</t>
  </si>
  <si>
    <t>http://ncltapi.saverisk.com/ncltsaverisk.aspx?path=NCLT/DAILY CAUSE LIST/08 Sep 2022/Mum.pdf</t>
  </si>
  <si>
    <t>2022-09-08</t>
  </si>
  <si>
    <t>C.p.(ib)-1926(mb)/2018</t>
  </si>
  <si>
    <t>For Filling Written Submission</t>
  </si>
  <si>
    <t>Insuiref Technologies Pvt.ltd. V/s Vedanta Ltd.</t>
  </si>
  <si>
    <t>http://ncltapi.saverisk.com/ncltsaverisk.aspx?path=NCLT/DAILY CAUSE LIST/02 Jan 2019/Mum.pdf</t>
  </si>
  <si>
    <t>2019-01-01</t>
  </si>
  <si>
    <t>Insulref Technologies Pvt.ltd. V/s Vedanta Ltd.</t>
  </si>
  <si>
    <t>http://ncltapi.saverisk.com/ncltsaverisk.aspx?path=NCLT/DAILY CAUSE LIST/17 Dec 2018/Mum.pdf</t>
  </si>
  <si>
    <t>2018-12-17</t>
  </si>
  <si>
    <t>http://ncltapi.saverisk.com/ncltsaverisk.aspx?path=NCLT/DAILY CAUSE LIST/28 Feb 2019/Mum.pdf</t>
  </si>
  <si>
    <t>2019-02-28</t>
  </si>
  <si>
    <t>Hearing</t>
  </si>
  <si>
    <t>http://ncltapi.saverisk.com/ncltsaverisk.aspx?path=NCLT/DAILY CAUSE LIST/02 Nov 2018/Mum.pdf</t>
  </si>
  <si>
    <t>2018-11-02</t>
  </si>
  <si>
    <t>http://ncltapi.saverisk.com/ncltsaverisk.aspx?path=NCLT/DAILY CAUSE LIST/04 Sept 2018/Mum.pdf</t>
  </si>
  <si>
    <t>2018-09-04</t>
  </si>
  <si>
    <t>http://ncltapi.saverisk.com/ncltsaverisk.aspx?path=NCLT/DAILY CAUSE LIST/05 Dec 2018/Mum.pdf</t>
  </si>
  <si>
    <t>2018-12-05</t>
  </si>
  <si>
    <t>http://ncltapi.saverisk.com/ncltsaverisk.aspx?path=NCLT/DAILY CAUSE LIST/08 Oct 2018/Mum.pdf</t>
  </si>
  <si>
    <t>2018-10-08</t>
  </si>
  <si>
    <t>http://ncltapi.saverisk.com/ncltsaverisk.aspx?path=NCLT/DAILY CAUSE LIST/13 Aug 2018/Mum.pdf</t>
  </si>
  <si>
    <t>2018-08-13</t>
  </si>
  <si>
    <t>http://ncltapi.saverisk.com/ncltsaverisk.aspx?path=NCLT/DAILY CAUSE LIST/21 Aug 2018/Mum.pdf</t>
  </si>
  <si>
    <t>2018-08-21</t>
  </si>
  <si>
    <t>http://ncltapi.saverisk.com/ncltsaverisk.aspx?path=NCLT/DAILY CAUSE LIST/24 Oct 2018/Mum.pdf</t>
  </si>
  <si>
    <t>2018-10-24</t>
  </si>
  <si>
    <t>Mentioning</t>
  </si>
  <si>
    <t>http://ncltapi.saverisk.com/ncltsaverisk.aspx?path=NCLT/DAILY CAUSE LIST/06 Aug 2018/Mum.pdf</t>
  </si>
  <si>
    <t>C.p.(ib)-2055(mb)/2018</t>
  </si>
  <si>
    <t>Link Shipping &amp; Management Systems Pvt.ltd. V/s Vedanta Ltd.</t>
  </si>
  <si>
    <t>http://ncltapi.saverisk.com/ncltsaverisk.aspx?path=NCLT/DAILY CAUSE LIST/02 Apr 2019/Mum.pdf</t>
  </si>
  <si>
    <t>2019-04-02</t>
  </si>
  <si>
    <t>http://ncltapi.saverisk.com/ncltsaverisk.aspx?path=NCLT/DAILY CAUSE LIST/06 Mar 2019/Mum.pdf</t>
  </si>
  <si>
    <t>2019-03-06</t>
  </si>
  <si>
    <t>http://ncltapi.saverisk.com/ncltsaverisk.aspx?path=NCLT/DAILY CAUSE LIST/07 Sept 2018/Mum.pdf</t>
  </si>
  <si>
    <t>2018-09-07</t>
  </si>
  <si>
    <t>http://ncltapi.saverisk.com/ncltsaverisk.aspx?path=NCLT/DAILY CAUSE LIST/09 Jan 2019/Mum.pdf</t>
  </si>
  <si>
    <t>2019-01-09</t>
  </si>
  <si>
    <t>http://ncltapi.saverisk.com/ncltsaverisk.aspx?path=NCLT/DAILY CAUSE LIST/13 Feb 2019/Mum.pdf</t>
  </si>
  <si>
    <t>2019-02-13</t>
  </si>
  <si>
    <t>http://ncltapi.saverisk.com/ncltsaverisk.aspx?path=NCLT/DAILY CAUSE LIST/15 Nov 2018/Mum.pdf</t>
  </si>
  <si>
    <t>2018-11-15</t>
  </si>
  <si>
    <t>http://ncltapi.saverisk.com/ncltsaverisk.aspx?path=NCLT/DAILY CAUSE LIST/16 Apr 2019/Mum.pdf</t>
  </si>
  <si>
    <t>2019-04-16</t>
  </si>
  <si>
    <t>http://ncltapi.saverisk.com/ncltsaverisk.aspx?path=NCLT/DAILY CAUSE LIST/18 Dec 2018/Mum.pdf</t>
  </si>
  <si>
    <t>2018-12-18</t>
  </si>
  <si>
    <t>http://ncltapi.saverisk.com/ncltsaverisk.aspx?path=NCLT/DAILY CAUSE LIST/24 Jan 2019/Mum.pdf</t>
  </si>
  <si>
    <t>2019-01-24</t>
  </si>
  <si>
    <t>http://ncltapi.saverisk.com/ncltsaverisk.aspx?path=NCLT/DAILY CAUSE LIST/31 Jan 2019/Mum.pdf</t>
  </si>
  <si>
    <t>2019-01-31</t>
  </si>
  <si>
    <t>Link Shipping &amp; Mangement Systems Pvt.ltd. V/s Vedanta Ltd.</t>
  </si>
  <si>
    <t>http://ncltapi.saverisk.com/ncltsaverisk.aspx?path=NCLT/DAILY CAUSE LIST/27 Aug 2018/Mum.pdf</t>
  </si>
  <si>
    <t>2018-08-27</t>
  </si>
  <si>
    <t>C.p.(ib)-444(mb)/2022</t>
  </si>
  <si>
    <t>Shipra Infratech Private Limited Vs. Vedanta Limited.</t>
  </si>
  <si>
    <t>http://ncltapi.saverisk.com/ncltsaverisk.aspx?path=NCLT/DAILY CAUSE LIST/05 Aug 2022/Mum.pdf</t>
  </si>
  <si>
    <t>2022-08-05</t>
  </si>
  <si>
    <t>http://ncltapi.saverisk.com/ncltsaverisk.aspx?path=NCLT/DAILY CAUSE LIST/07 Jun 2022/Mum.pdf</t>
  </si>
  <si>
    <t>2022-06-07</t>
  </si>
  <si>
    <t>http://ncltapi.saverisk.com/ncltsaverisk.aspx?path=NCLT/DAILY CAUSE LIST/13 Jul 2022/Mum.pdf</t>
  </si>
  <si>
    <t>2022-07-13</t>
  </si>
  <si>
    <t>C.p.(ib)-444(mb)/2022 (hard Copies Not Received)</t>
  </si>
  <si>
    <t>http://ncltapi.saverisk.com/ncltsaverisk.aspx?path=NCLT/DAILY CAUSE LIST/05 Apr 2022/Mum.pdf</t>
  </si>
  <si>
    <t>2022-04-05</t>
  </si>
  <si>
    <t>http://ncltapi.saverisk.com/ncltsaverisk.aspx?path=NCLT/DAILY CAUSE LIST/20 Apr 2022/Mum.pdf</t>
  </si>
  <si>
    <t>2022-04-20</t>
  </si>
  <si>
    <t>C.p.(ib)/1240(mb)2021</t>
  </si>
  <si>
    <t>For Withdrawal</t>
  </si>
  <si>
    <t>Santosh Chemicals Vs Vedanta Limited</t>
  </si>
  <si>
    <t>http://ncltapi.saverisk.com/ncltsaverisk.aspx?path=NCLT/DAILY CAUSE LIST/24 Dec 2021/Mum.pdf</t>
  </si>
  <si>
    <t>2021-12-24</t>
  </si>
  <si>
    <t>C.p.(ib)/1383(mb)2025</t>
  </si>
  <si>
    <t>Additional Affidavit /amended Form 5/ Further Consideration</t>
  </si>
  <si>
    <t>Mr Dilipkumar Prathviraj Poddar Sole Properitor Of Shiv Shakti Lime Industries Vs. Vedanta Limited</t>
  </si>
  <si>
    <t>http://ncltapi.saverisk.com/ncltsaverisk.aspx?path=NCLT/DAILY CAUSE LIST/16 Mar 2026/Mum.pdf</t>
  </si>
  <si>
    <t>2026-03-16</t>
  </si>
  <si>
    <t>http://ncltapi.saverisk.com/ncltsaverisk.aspx?path=NCLT/DAILY CAUSE LIST/05 Jan 2026/Mum.pdf</t>
  </si>
  <si>
    <t>2026-01-05</t>
  </si>
  <si>
    <t>Amended Form 5/ Further Consideration</t>
  </si>
  <si>
    <t>http://ncltapi.saverisk.com/ncltsaverisk.aspx?path=NCLT/DAILY CAUSE LIST/06 Feb 2026/Mum.pdf</t>
  </si>
  <si>
    <t>2026-02-06</t>
  </si>
  <si>
    <t>http://ncltapi.saverisk.com/ncltsaverisk.aspx?path=NCLT/DAILY CAUSE LIST/21 Apr 2026/Mum.pdf</t>
  </si>
  <si>
    <t>Cont.a 2 Of 2020 In Ia 782 Of 2019 In Cp(ib) 172 Of 2018</t>
  </si>
  <si>
    <t>Fresh Hearing</t>
  </si>
  <si>
    <t>Parthiv Parikh Rp For Jaihind Projects Ltd V/s Vedanta Ltd &amp; Ors</t>
  </si>
  <si>
    <t>http://ncltapi.saverisk.com/ncltsaverisk.aspx?path=NCLT/DAILY CAUSE LIST/10 Feb 2020/Ahm.pdf</t>
  </si>
  <si>
    <t>2020-02-10</t>
  </si>
  <si>
    <t>Hearing Before Admission</t>
  </si>
  <si>
    <t>http://ncltapi.saverisk.com/ncltsaverisk.aspx?path=NCLT/DAILY CAUSE LIST/10 July 2020/Ahm.pdf</t>
  </si>
  <si>
    <t>2020-07-10</t>
  </si>
  <si>
    <t>http://ncltapi.saverisk.com/ncltsaverisk.aspx?path=NCLT/DAILY CAUSE LIST/16 Mar 2020/Ahm.pdf</t>
  </si>
  <si>
    <t>2020-03-16</t>
  </si>
  <si>
    <t>http://ncltapi.saverisk.com/ncltsaverisk.aspx?path=NCLT/DAILY CAUSE LIST/22 July 2020/Ahm.pdf</t>
  </si>
  <si>
    <t>2020-07-22</t>
  </si>
  <si>
    <t>Parthiv Parikh Rp For Jaihind Projects Ltdv/s Vedanta Ltd &amp; Ors</t>
  </si>
  <si>
    <t>http://ncltapi.saverisk.com/ncltsaverisk.aspx?path=NCLT/DAILY CAUSE LIST/10 June 2020/Ahm.pdf</t>
  </si>
  <si>
    <t>2020-06-10</t>
  </si>
  <si>
    <t>Cont.a 2 Of 2020 In Ia782 Of 2019 In Cp(ib)172 Of 2018</t>
  </si>
  <si>
    <t>Notice To Respondentsand Hearing Beforeadmission</t>
  </si>
  <si>
    <t>Parthiv Parikh Rp For Jaihindprojects Ltd V/s Vedanta Ltd &amp; Ors</t>
  </si>
  <si>
    <t>http://ncltapi.saverisk.com/ncltsaverisk.aspx?path=NCLT/DAILY CAUSE LIST/24 Feb 2020/Ahm.pdf</t>
  </si>
  <si>
    <t>2020-02-24</t>
  </si>
  <si>
    <t>Cp (ib) No.616/7/hdb/2018, Ia (ibc)/2398/2024</t>
  </si>
  <si>
    <t>Union Bank Of India Vs Mr. Kumar Rajan &amp; Vedanta Ltd</t>
  </si>
  <si>
    <t>http://ncltapi.saverisk.com/ncltsaverisk.aspx?path=NCLT/DAILY CAUSE LIST/12 Jun 2025/Hyd.pdf</t>
  </si>
  <si>
    <t>2025-06-12</t>
  </si>
  <si>
    <t>For Counter Of R2</t>
  </si>
  <si>
    <t>http://ncltapi.saverisk.com/ncltsaverisk.aspx?path=NCLT/DAILY CAUSE LIST/24 Mar 2025/Hyd.pdf</t>
  </si>
  <si>
    <t>2025-03-24</t>
  </si>
  <si>
    <t>http://ncltapi.saverisk.com/ncltsaverisk.aspx?path=NCLT/DAILY CAUSE LIST/23 Jul 2025/Hyd.pdf</t>
  </si>
  <si>
    <t>2025-07-23</t>
  </si>
  <si>
    <t>http://ncltapi.saverisk.com/ncltsaverisk.aspx?path=NCLT/DAILY CAUSE LIST/28 Jul 2025/Hyd.pdf</t>
  </si>
  <si>
    <t>http://ncltapi.saverisk.com/ncltsaverisk.aspx?path=NCLT/DAILY CAUSE LIST/21 Jan 2025/Hyd.pdf</t>
  </si>
  <si>
    <t>2025-01-21</t>
  </si>
  <si>
    <t>Cp 1476/2017</t>
  </si>
  <si>
    <t>I &amp; Bc (ibc)</t>
  </si>
  <si>
    <t>Titgarh Wagone Ltd. V/s. Vedanta Limited.</t>
  </si>
  <si>
    <t>http://ncltapi.saverisk.com/ncltsaverisk.aspx?path=NCLT/DAILY CAUSE LIST/03 Jan 2018/Mumbai_court_II_Cause_list_Main_Board.pdf</t>
  </si>
  <si>
    <t>2018-01-03</t>
  </si>
  <si>
    <t>http://ncltapi.saverisk.com/ncltsaverisk.aspx?path=NCLT/DAILY CAUSE LIST/19 Dec 2017/Mumbai_court_II_Cause_list_Main_Board.pdf</t>
  </si>
  <si>
    <t>2017-12-19</t>
  </si>
  <si>
    <t>http://ncltapi.saverisk.com/ncltsaverisk.aspx?path=NCLT/DAILY CAUSE LIST/22 Nov 2017/Mumbai_court_II_Cause_list_Main_Board.pdf</t>
  </si>
  <si>
    <t>2017-11-22</t>
  </si>
  <si>
    <t>Cp(ib) No. 616/7/hdb/2018 Ia (ibc)/1117/2023</t>
  </si>
  <si>
    <t>U/s 60 (5)</t>
  </si>
  <si>
    <t>Kumar Ranjan Vs Athena Energy Ventures Pvt Ltd &amp; Vedanta Ltd</t>
  </si>
  <si>
    <t>http://ncltapi.saverisk.com/ncltsaverisk.aspx?path=NCLT/DAILY CAUSE LIST/14 Jul 2023/Hyd.pdf</t>
  </si>
  <si>
    <t>2023-07-14</t>
  </si>
  <si>
    <t>Cp(ib) No. 616/7/hdb/2018 Intervention Petition (ibc)/5/2023</t>
  </si>
  <si>
    <t>State Bank Of India Vs Vedanta Ltd</t>
  </si>
  <si>
    <t>http://ncltapi.saverisk.com/ncltsaverisk.aspx?path=NCLT/DAILY CAUSE LIST/16 Feb 2023/Hyd.pdf</t>
  </si>
  <si>
    <t>2023-02-16</t>
  </si>
  <si>
    <t>Cp(ib) No. 616/7/hdb/2018, Intervention Petition (ibc)/5/2023</t>
  </si>
  <si>
    <t>http://ncltapi.saverisk.com/ncltsaverisk.aspx?path=NCLT/DAILY CAUSE LIST/26 Apr 2023/Hyd.pdf</t>
  </si>
  <si>
    <t>2023-04-26</t>
  </si>
  <si>
    <t>State Bank Of India V S Vedanta Ltd</t>
  </si>
  <si>
    <t>http://ncltapi.saverisk.com/ncltsaverisk.aspx?path=NCLT/DAILY CAUSE LIST/09 Mar 2023/Hyd.pdf</t>
  </si>
  <si>
    <t>2023-03-09</t>
  </si>
  <si>
    <t>http://ncltapi.saverisk.com/ncltsaverisk.aspx?path=NCLT/DAILY CAUSE LIST/25 Apr 2023/Hyd.pdf</t>
  </si>
  <si>
    <t>2023-04-25</t>
  </si>
  <si>
    <t>Cp(ib) No.616/7/hdb/2018, Ia (ibc)/2398/2024</t>
  </si>
  <si>
    <t>U/s 60(5)( C) R/w Rule 11</t>
  </si>
  <si>
    <t>Union Bank Of India Vs Mr.kumar Rajan &amp; Vedanta Ltd</t>
  </si>
  <si>
    <t>http://ncltapi.saverisk.com/ncltsaverisk.aspx?path=NCLT/DAILY CAUSE LIST/17 Dec 2024/Hyd.pdf</t>
  </si>
  <si>
    <t>2024-12-17</t>
  </si>
  <si>
    <t>Ia(i.b.c)/1606(kb)2022</t>
  </si>
  <si>
    <t>Company Appeal (at) (insolvency) No. 265 Of 2018</t>
  </si>
  <si>
    <t>Insolvency</t>
  </si>
  <si>
    <t>Saraogi Udyog Pvt. Ltd. V/s. Vedanta Ltd. &amp; Ors.</t>
  </si>
  <si>
    <t>http://ncltapi.saverisk.com/nclatsaverisk.aspx?path=Final_Judgements/pdf/20082018AT2652018_.pdf</t>
  </si>
  <si>
    <t>Company Appeal(at)(ins) - 308/2023 Ia/945/2023 Ia/946/2023</t>
  </si>
  <si>
    <t>Devi Trading &amp; Holding Private Limited V/s. 1. Ravi Sankara Devarkonda, 2.committee Of Creditors Of Meenakshi Energy Limited Through Its Lead Lender State Bank Of India, 3. Vedanta Limited</t>
  </si>
  <si>
    <t xml:space="preserve">http://ncltapi.saverisk.com/nclatsaverisk.aspx?path=/DriveD/nclat/Data/pdf/orders/CHENNAI/2023-10-16/courts/1/daily/169745349511346153652d15b7de773.pdf </t>
  </si>
  <si>
    <t>Company Appeal(at)(ins) - 37/2023 Ia/156/2023 Ia/167/2023 Ia/168/2023</t>
  </si>
  <si>
    <t>Consortium Of Prudent Arc Ltd. V/s. Ravi Sankar Devarkonda , Vedanta Limited</t>
  </si>
  <si>
    <t xml:space="preserve">http://ncltapi.saverisk.com/nclatsaverisk.aspx?path=/DriveD/nclat/Data/pdf/orders/CHENNAI/2023-06-27/courts/1/daily/1688468730157686145564a3fcfa39bd2.pdf </t>
  </si>
  <si>
    <t>2023-06-27</t>
  </si>
  <si>
    <t>Consortium Of Prudent Arc Ltd. V/s. Ravi Sankar Devarkonda And Anr, Ravi Sankar Devarkonda , Vedanta Limited</t>
  </si>
  <si>
    <t xml:space="preserve">http://ncltapi.saverisk.com/nclatsaverisk.aspx?path=/DriveD/nclat/Data/pdf/orders/CHENNAI/2023-06-27/courts/1/daily/16878470202065177675649a806c49bce.pdf </t>
  </si>
  <si>
    <t>Company Appeal(at)(ins) - 389/2023 Ia/1180/2023 Ia/1181/2023 Ia/1182/2023 Ia/1183/2023 Ia/1184/2023 Ia/1185/2023</t>
  </si>
  <si>
    <t>India Power Corporation Limited V/s. Ravi Shankar Devarakonda, State Bank Of India, Vedanta Limited</t>
  </si>
  <si>
    <t xml:space="preserve">http://ncltapi.saverisk.com/nclatsaverisk.aspx?path=/DriveD/nclat/Data/pdf/orders/CHENNAI/2023-11-16/courts/1/daily/1700556867849798736655c7043bad41.pdf </t>
  </si>
  <si>
    <t>2023-11-16</t>
  </si>
  <si>
    <t>Ia - 1180/2023 In Company Appeal(at)(ins)/389/2023</t>
  </si>
  <si>
    <t>India Power Corporation Limited V/s. Vedanta Limited, Ravi Shankar Devarakonda, State Bank Of India</t>
  </si>
  <si>
    <t xml:space="preserve">http://ncltapi.saverisk.com/nclatsaverisk.aspx?path=/DriveD/nclat/Data/pdf/orders/CHENNAI/2023-11-16/courts/1/daily/17004596982127391215655af4b243372.pdf </t>
  </si>
  <si>
    <t>Ia - 1181/2023 In Company Appeal(at)(ins)/389/2023</t>
  </si>
  <si>
    <t>Ia - 1182/2023 In Company Appeal(at)(ins)/389/2023</t>
  </si>
  <si>
    <t>Ia - 1183/2023 In Company Appeal(at)(ins)/389/2023</t>
  </si>
  <si>
    <t>Ia - 1184/2023 In Company Appeal(at)(ins)/389/2023</t>
  </si>
  <si>
    <t>Ia - 1185/2023 In Company Appeal(at)(ins)/389/2023</t>
  </si>
  <si>
    <t>Ia - 167/2023 In Company Appeal(at)(ins)/37/2023</t>
  </si>
  <si>
    <t>Consortium Of Prudent Arc Ltd. V/s. 1. Mr. Ravi Shankar Devarakonda Resolution Professional Of M/s Meenakshi Energy Ltd. And Ors. , 2. Committee Of Creditors Of Meenakshi Energy Limited Through Its Lead Lender State Bank Of India, 3. Vedanta Limited</t>
  </si>
  <si>
    <t>Ia - 168/2023 In Company Appeal(at)(ins)/37/2023</t>
  </si>
  <si>
    <t>Ia - 945/2023 In Company Appeal(at)(ins)/308/2023</t>
  </si>
  <si>
    <t>Devi Trading &amp; Holding Private Limited V/s. 1. Mr. Ravi Shankar Devarakonda Resolution Professional Of M/s.meenakshi Energy Limited , 2. Committee Of Creditors Of Meenakshi Energy Limited Through Its Lead Lender State Bank Of India, 3. Vedanta Limited</t>
  </si>
  <si>
    <t>Ia - 946/2023 In Company Appeal(at)(ins)/308/2023</t>
  </si>
  <si>
    <t>C.p. (ib) - 1240/2021</t>
  </si>
  <si>
    <t>Santosh Chemicals V/s. Vedanta Limited</t>
  </si>
  <si>
    <t>http://ncltapi.saverisk.com/ncltsaverisk.aspx?path=/DriveD/NCLT/Order_Judgements/pdf/04_order-Challange_004_16426703415284460961e929059978e.pdf</t>
  </si>
  <si>
    <t>C.p. (ib) - 444/2022</t>
  </si>
  <si>
    <t>Shipra Infratech Private Limited V/s. Vedanta Limited</t>
  </si>
  <si>
    <t>http://ncltapi.saverisk.com/ncltsaverisk.aspx?path=/DriveD/NCLT/Order_Judgements/pdf/04_order-Challange_004_166236291917870178106315a527cc53b.pdf</t>
  </si>
  <si>
    <t>C.p. (ib) - 945/2022</t>
  </si>
  <si>
    <t>Emtex Engineering Private Limited V/s. Vedanta Limited</t>
  </si>
  <si>
    <t>http://ncltapi.saverisk.com/ncltsaverisk.aspx?path=/DriveD/NCLT/Order_Judgements/pdf/04_order-Challange_004_1680689273559353949642d4879477bd.pdf</t>
  </si>
  <si>
    <t>http://ncltapi.saverisk.com/ncltsaverisk.aspx?path=/DriveD/NCLT/Order_Judgements/pdf/04_order-Challange_004_168112148715966910786433e0cf7c532.pdf</t>
  </si>
  <si>
    <t>Insulref Technologies Pvt.ltd. V/s. Vedanta Ltd.</t>
  </si>
  <si>
    <t>http://ncltapi.saverisk.com/ncltsaverisk.aspx?path=/DriveD/NCLT/Order_Judgements/pdf/final-orders-pdf_INSULRUF TECHNOLOGIES PVT. LTD. CP-1926-2018 NCLT ON 28.02.2019 FINAL.pdf</t>
  </si>
  <si>
    <t>Link Shipping &amp; Mangement Systems Pvt.ltd. V/s. Vedanta Ltd.</t>
  </si>
  <si>
    <t>http://ncltapi.saverisk.com/ncltsaverisk.aspx?path=/DriveD/NCLT/Order_Judgements/pdf/final-orders-pdf_LINK SHIPPING ~ MANAGEMENT SYSTEMS PVT.LTD_. CP 2055 OF 2018 NCLT ON 16.04.2019 INTERIM.pdf</t>
  </si>
  <si>
    <t>Comp.appl - 18/2022</t>
  </si>
  <si>
    <t>Facor Alloys Limited V/s. Facor Power Limited, Ferro Alloys Corporation Limited, Sterlite Power Transmission Limited, Vedanta Limited</t>
  </si>
  <si>
    <t>http://ncltapi.saverisk.com/ncltsaverisk.aspx?path=/DriveD/NCLT/Order_Judgements/pdf/04_order-Challange_004_16518183304217157806274bf5a1e563.pdf</t>
  </si>
  <si>
    <t>2022-05-04</t>
  </si>
  <si>
    <t>Comp.appl - 3/2022</t>
  </si>
  <si>
    <t>Facor Alloys Limited V/s. Sterlite Power Transmission Limited, Facor Power Limited, Ferro Alloys Corporation Limited, Vedanta Limited</t>
  </si>
  <si>
    <t>http://ncltapi.saverisk.com/ncltsaverisk.aspx?path=/DriveD/NCLT/Order_Judgements/pdf/04_order-Challange_004_164396172230209139961fcdd7acc046.pdf</t>
  </si>
  <si>
    <t>2022-02-03</t>
  </si>
  <si>
    <t>Comp.appl - 4/2022</t>
  </si>
  <si>
    <t>Facor Alloys Limited V/s. Vedanta Limited, Facor Power Limited, Sterlite Power Transmission Limited, Ferro Alloys Corporation Limited</t>
  </si>
  <si>
    <t>http://ncltapi.saverisk.com/ncltsaverisk.aspx?path=/DriveD/NCLT/Order_Judgements/pdf/04_order-Challange_004_1659945859151355037462f0c3839e7c7.pdf</t>
  </si>
  <si>
    <t>2022-08-04</t>
  </si>
  <si>
    <t>Cont.a2 Of 2020 In Ia782 Of 2019 In Cp(ib)172 Of 2018</t>
  </si>
  <si>
    <t>Parthiv Parikh Rp For Jaihind Projects Ltd V/s. Vedanta Ltd &amp; Ors</t>
  </si>
  <si>
    <t>http://ncltapi.saverisk.com/ncltsaverisk.aspx?path=/DriveD/NCLT/Order_Judgements/pdf/July-final-orders-pdf_K_Part_6.pdf</t>
  </si>
  <si>
    <t>Cp - 127/2021</t>
  </si>
  <si>
    <t>http://ncltapi.saverisk.com/ncltsaverisk.aspx?path=/DriveD/NCLT/Order_Judgements/pdf/04_order-Challange_004_1659945729211932972662f0c3018006e.pdf</t>
  </si>
  <si>
    <t>Cp No. 1476/mah/2017</t>
  </si>
  <si>
    <t>I &amp; Bp Code 2016 (ibp)</t>
  </si>
  <si>
    <t>M/s. Titgarh Wagone Ltd Vs Vedanta Ltd</t>
  </si>
  <si>
    <t>http://ncltapi.saverisk.com/ncltsaverisk.aspx?path=NCLT/Final/mumbai/2018/Others/PDF/CP No. 1476_MAH_2017_03.01.2018_M_s. Titgarh Wagone Ltd Vs Vedanta Ltd.pdf</t>
  </si>
  <si>
    <t>Ia(i.b.c) - 1114/2025</t>
  </si>
  <si>
    <t>Shambhu Sharan Pandey V/s. Vedant Limited, Pankaj Kumar Tibrewal</t>
  </si>
  <si>
    <t>http://ncltapi.saverisk.com/ncltsaverisk.aspx?path=/DriveD/NCLT/Order_Judgements/pdf/04_order-Challange_004_176476295452826546930254a9c4a0.pdf</t>
  </si>
  <si>
    <t>2025-12-03</t>
  </si>
  <si>
    <t>Ia(i.b.c) - 156/2023</t>
  </si>
  <si>
    <t>Mr. Ravi Sankar Devarakonda V/s. Vedanta Ltd, Devi Trading And Holdings Pvt Ltd</t>
  </si>
  <si>
    <t>http://ncltapi.saverisk.com/ncltsaverisk.aspx?path=/DriveD/NCLT/Order_Judgements/pdf/04_order-Challange_004_169216215637187712664dc586c325d2.pdf</t>
  </si>
  <si>
    <t>2023-08-10</t>
  </si>
  <si>
    <t>Ia(i.b.c) - 1592/2024</t>
  </si>
  <si>
    <t>Nitrex Chemicals India Limited, Parixit Irrigation Limited V/s. Parthiv Parikh Resolution Professional Of Jaihind Projects Limited, Vedanta Limited, M/s. Uday Structurals And Engineers A Sole Proprietorship Of Mr. Uday Kashinath Patil</t>
  </si>
  <si>
    <t>http://ncltapi.saverisk.com/ncltsaverisk.aspx?path=/DriveD/NCLT/Order_Judgements/pdf/04_order-Challange_004_1737974393175229193367976279d3616.pdf</t>
  </si>
  <si>
    <t>2025-01-24</t>
  </si>
  <si>
    <t>Ia(i.b.c) - 2398/2024</t>
  </si>
  <si>
    <t>Union Bank Of India V/s. Mr Kumar Rajan Liquidator For Athena Chhattisgarh Power Limited, M/s Vedanta Ltd</t>
  </si>
  <si>
    <t>http://ncltapi.saverisk.com/ncltsaverisk.aspx?path=/DriveD/NCLT/Order_Judgements/pdf/04_order-Challange_004_17538717099125409226889f55d28a97.pdf</t>
  </si>
  <si>
    <t>Ia(i.b.c) - 2910/2021</t>
  </si>
  <si>
    <t>Avil Menezes Liquidator Of Sunil Hitech Engineers Limited V/s. M/s Vedanta Limited , Kumar Ranjan Liquidator Of Athena Chhattisgarh Power Limited</t>
  </si>
  <si>
    <t>http://ncltapi.saverisk.com/ncltsaverisk.aspx?path=/DriveD/NCLT/Order_Judgements/pdf/04_order-Challange_004_173987791193839295967b46e1712faf.pdf</t>
  </si>
  <si>
    <t>2025-02-18</t>
  </si>
  <si>
    <t>Ivn.p (ibc) - 16/2023</t>
  </si>
  <si>
    <t>Consortium Of Prudent Arc V/s. Vedanta Limited , Ravi Sankara Deverakonda , Committee Of Creditors Of Meenakshi Energy Ltd.</t>
  </si>
  <si>
    <t>http://ncltapi.saverisk.com/ncltsaverisk.aspx?path=/DriveD/NCLT/Order_Judgements/pdf/04_order-Challange_004_1690369485138537661764c0fdcdf12fa.pdf</t>
  </si>
  <si>
    <t>2023-07-25</t>
  </si>
  <si>
    <t>Ivn.p - 10/2025</t>
  </si>
  <si>
    <t>Sepco Electric Power Construction Corporation V/s. Vedanta Limited</t>
  </si>
  <si>
    <t>http://ncltapi.saverisk.com/ncltsaverisk.aspx?path=/DriveD/NCLT/Order_Judgements/pdf/04_order-Challange_004_175811051187562856268caa32fc23b7.pdf</t>
  </si>
  <si>
    <t>Ivn.p - 13/2025</t>
  </si>
  <si>
    <t>Securities Exchange Board Of India V/s. Vedanta Limited, Vedanta Aluminium Metal Limited, Talwandi Sabo Power Limited, Malco Energy Limited , Vedanta Base Metals Limited, Vedanta Iron And Steel Limited</t>
  </si>
  <si>
    <t>http://ncltapi.saverisk.com/ncltsaverisk.aspx?path=/DriveD/NCLT/Order_Judgements/pdf/04_order-Challange_004_17627586832663359606911901b105d9.pdf</t>
  </si>
  <si>
    <t>265/2018</t>
  </si>
  <si>
    <t>http://ncltapi.saverisk.com/ncltsaverisk.aspx?path=/DriveD/w/Nclt_new/Daily_Orders_of_Chairperson_Court/pdf/06082018AT2652018.pdf</t>
  </si>
  <si>
    <t>http://ncltapi.saverisk.com/ncltsaverisk.aspx?path=/DriveD/w/Nclt_new/Daily_Orders_of_Chairperson_Court/pdf/10072018AT2652018.pdf</t>
  </si>
  <si>
    <t>http://ncltapi.saverisk.com/ncltsaverisk.aspx?path=/DriveD/w/Nclt_new/Daily_Orders_of_Chairperson_Court/pdf/12072018AT2652018.pdf</t>
  </si>
  <si>
    <t>http://ncltapi.saverisk.com/ncltsaverisk.aspx?path=/DriveD/w/Nclt_new/Daily_Orders_of_Chairperson_Court/pdf/30052018AT2652018.pdf</t>
  </si>
  <si>
    <t>Company Appeal(at)(ins) - 192/2026 Ia/702/2026 Ia/703/2026 Ia/704/2026 Ia/705/2026 Ia/706/2026</t>
  </si>
  <si>
    <t>Tropical Ventures Company Limited V/s. General Insurance Corporation Of India, Hdfc Ltd., Icici Bank Limited, Icici Bank Ltd. (for Trusteeship Fee), Indian Bank, Leader Universal (mauritius) Company Limited, Life Insurance Corporation, M/s Pegasus Asset Reconstruction Private Limited, New India Assurance Co. Ltd., Oriental Insurance Co., Punjab National Bank, Steering Committee Incab Industries Ltd., United India Insurance Company, Vadanta Limited</t>
  </si>
  <si>
    <t>http://ncltapi.saverisk.com/nclatsaverisk.aspx?path=/DriveD/nclat/Data/pdf/orders/DELHI/2026-02-19/courts/1/daily/17715645736368462776997ee1db72c9.pdf</t>
  </si>
  <si>
    <t>2026-02-19</t>
  </si>
  <si>
    <t xml:space="preserve">http://ncltapi.saverisk.com/nclatsaverisk.aspx?path=/DriveD/nclat/Data/pdf/orders/CHENNAI/2023-09-22/courts/1/daily/16955373691706137305650fd8d98edd5.pdf </t>
  </si>
  <si>
    <t>2023-09-22</t>
  </si>
  <si>
    <t>Devi Trading &amp; Holding Private Limited V/s. 1. Ravi Sankara Devarkonda,2.committee Of Creditors Of Meenakshi Energy Limited Through Its Lead Lender State Bank Of India,3. Vedanta Limited</t>
  </si>
  <si>
    <t>http://ncltapi.saverisk.com/nclatsaverisk.aspx?path=/DriveD/nclat/Data/pdf/orders/CHENNAI/2023-09-20/courts/1/daily/16957228849885956766512ad841d5a6.pdf</t>
  </si>
  <si>
    <t>2023-09-20</t>
  </si>
  <si>
    <t>Consortium Of Prudent Arc Ltd. V/s. Ravi Sankar Devarkonda , Ravi Sankar Devarkonda , Vedanta Limited</t>
  </si>
  <si>
    <t xml:space="preserve">http://ncltapi.saverisk.com/nclatsaverisk.aspx?path=/DriveD/nclat/Data/pdf/orders/CHENNAI/2023-04-12/courts/1/daily/16820532484573805764421880d68b4.pdf </t>
  </si>
  <si>
    <t>2023-04-12</t>
  </si>
  <si>
    <t xml:space="preserve">http://ncltapi.saverisk.com/nclatsaverisk.aspx?path=/DriveD/nclat/Data/pdf/orders/CHENNAI/2023-04-21/courts/1/daily/16820689481892852294644255d4a525d.pdf </t>
  </si>
  <si>
    <t>2023-04-21</t>
  </si>
  <si>
    <t xml:space="preserve">http://ncltapi.saverisk.com/nclatsaverisk.aspx?path=/DriveD/nclat/Data/pdf/orders/CHENNAI/2023-04-28/courts/1/daily/1682938958186349099644f9c4ea7221.pdf </t>
  </si>
  <si>
    <t>2023-04-28</t>
  </si>
  <si>
    <t xml:space="preserve">http://ncltapi.saverisk.com/nclatsaverisk.aspx?path=/DriveD/nclat/Data/pdf/orders/CHENNAI/2023-05-17/courts/1/daily/168440981165085232664660dd3d4844.pdf </t>
  </si>
  <si>
    <t>2023-05-17</t>
  </si>
  <si>
    <t xml:space="preserve">http://ncltapi.saverisk.com/nclatsaverisk.aspx?path=/DriveD/nclat/Data/pdf/orders/CHENNAI/2023-05-24/courts/1/daily/16850114471672441399646f3bf7cfaba.pdf </t>
  </si>
  <si>
    <t>2023-05-24</t>
  </si>
  <si>
    <t xml:space="preserve">http://ncltapi.saverisk.com/nclatsaverisk.aspx?path=/DriveD/nclat/Data/pdf/orders/CHENNAI/2023-05-04/courts/1/daily/16836279621094418184645a1fba54018.pdf </t>
  </si>
  <si>
    <t>2023-05-04</t>
  </si>
  <si>
    <t xml:space="preserve">http://ncltapi.saverisk.com/nclatsaverisk.aspx?path=/DriveD/nclat/Data/pdf/orders/CHENNAI/2023-05-10/courts/1/daily/16837947892118729446645cab65124a0.pdf </t>
  </si>
  <si>
    <t>2023-05-10</t>
  </si>
  <si>
    <t xml:space="preserve">http://ncltapi.saverisk.com/nclatsaverisk.aspx?path=/DriveD/nclat/Data/pdf/orders/CHENNAI/2023-06-06/courts/1/daily/16862298703703620666481d36e2ed72.pdf </t>
  </si>
  <si>
    <t>2023-06-06</t>
  </si>
  <si>
    <t xml:space="preserve">http://ncltapi.saverisk.com/nclatsaverisk.aspx?path=/DriveD/nclat/Data/pdf/orders/CHENNAI/2023-06-09/courts/1/daily/1686317728183848692064832aa00a9e4.pdf </t>
  </si>
  <si>
    <t xml:space="preserve">http://ncltapi.saverisk.com/nclatsaverisk.aspx?path=/DriveD/nclat/Data/pdf/orders/CHENNAI/2023-06-12/courts/1/daily/168674647220943416726489b5689744d.pdf </t>
  </si>
  <si>
    <t xml:space="preserve">Company Appeal(at)(ins) - 384/2023  Ia/223/2024  Ia/1015/2024  Ia/1162/2023  Ia/1163/2023  Ia/1164/2023</t>
  </si>
  <si>
    <t>Paradeep Port Trust V/s. Athena Chhattisgarh Power Limited, Vedanta Limited</t>
  </si>
  <si>
    <t>http://ncltapi.saverisk.com/nclatsaverisk.aspx?path=/DriveD/nclat/Data/pdf/orders/CHENNAI/2026-02-02/courts/1/daily/177029494649412423069848ea267cc0.pdf</t>
  </si>
  <si>
    <t>Company Appeal(at)(ins) - 384/2023 Ia/1162/2023 Ia/1163/2023 Ia/1164/2023</t>
  </si>
  <si>
    <t>Paradeep Port Trust V/s. Vedanta Limited, Athena Chhattisgarh Power Limited</t>
  </si>
  <si>
    <t xml:space="preserve">http://ncltapi.saverisk.com/nclatsaverisk.aspx?path=/DriveD/nclat/Data/pdf/orders/CHENNAI/2023-11-07/courts/1/daily/1699434575660749739654b504f6b3e1.pdf </t>
  </si>
  <si>
    <t>Company Appeal(at)(ins) - 384/2023 Ia/223/2024 Ia/1015/2024 Ia/1162/2023 Ia/1163/2023 Ia/1164/2023</t>
  </si>
  <si>
    <t>http://ncltapi.saverisk.com/nclatsaverisk.aspx?path=/DriveD/nclat/Data/pdf/orders/CHENNAI/2026-03-20/courts/1/daily/1774352859199128845269c279dbe9893.pdf</t>
  </si>
  <si>
    <t>Company Appeal(at)(ins) - 384/cn/2023</t>
  </si>
  <si>
    <t>http://ncltapi.saverisk.com/nclatsaverisk.aspx?path=/DriveD/nclat/Data/pdf/orders/CHENNAI/2024-02-28/courts/1/daily/1709285697134011485265e1a1418d700.pdf</t>
  </si>
  <si>
    <t>http://ncltapi.saverisk.com/nclatsaverisk.aspx?path=/DriveD/nclat/Data/pdf/orders/CHENNAI/2024-04-03/courts/1/daily/1712295890973994899660f8fd21aaee.pdf</t>
  </si>
  <si>
    <t>http://ncltapi.saverisk.com/nclatsaverisk.aspx?path=/DriveD/nclat/Data/pdf/orders/CHENNAI/2024-06-07/courts/1/daily/17182791311252262955666adbdbedb75.pdf</t>
  </si>
  <si>
    <t>http://ncltapi.saverisk.com/nclatsaverisk.aspx?path=/DriveD/nclat/Data/pdf/orders/CHENNAI/2024-07-19/courts/1/daily/1721814780212731776866a0cefcd5295.pdf</t>
  </si>
  <si>
    <t>http://ncltapi.saverisk.com/nclatsaverisk.aspx?path=/DriveD/nclat/Data/pdf/orders/CHENNAI/2024-09-10/courts/1/daily/1726834333105271422466ed669d9001b.pdf</t>
  </si>
  <si>
    <t>http://ncltapi.saverisk.com/nclatsaverisk.aspx?path=/DriveD/nclat/Data/pdf/orders/CHENNAI/2024-09-21/courts/1/daily/1727245759196112422266f3adbfd0123.pdf</t>
  </si>
  <si>
    <t>http://ncltapi.saverisk.com/nclatsaverisk.aspx?path=/DriveD/nclat/Data/pdf/orders/CHENNAI/2024-10-15/courts/1/daily/172958887429330090067176e8acd87c.pdf</t>
  </si>
  <si>
    <t>http://ncltapi.saverisk.com/nclatsaverisk.aspx?path=/DriveD/nclat/Data/pdf/orders/CHENNAI/2024-11-19/courts/1/daily/1732087052869369074673d8d0c17806.pdf</t>
  </si>
  <si>
    <t>http://ncltapi.saverisk.com/nclatsaverisk.aspx?path=/DriveD/nclat/Data/pdf/orders/CHENNAI/2024-12-13/courts/1/daily/1734354272100001773867602560d418d.pdf</t>
  </si>
  <si>
    <t>http://ncltapi.saverisk.com/nclatsaverisk.aspx?path=/DriveD/nclat/Data/pdf/orders/CHENNAI/2025-02-04/courts/1/daily/1738745319178354137567a325e71aee6.pdf</t>
  </si>
  <si>
    <t>2025-02-04</t>
  </si>
  <si>
    <t xml:space="preserve">Company Appeal(at)(ins) - 561/2025  Caveat/183/2025  Caveat/184/2025  Caveat/185/2025  Caveat/186/2025  Caveat/187/2025  Ia/2132/2025  Ia/2137/2025  Ia/2141/2025</t>
  </si>
  <si>
    <t>Bhagwati Singh V/s. Asset Reconstruction Company India Limited, Axis Bank, Fasqua Investment Private Limited, Icici Bank Ltd., Kamala Mills Limited, Leader Universal Holding, Pankaj Kumar Tibrewal-rp, Pegasus Assets Investment Private Limited, Ramesh Gham</t>
  </si>
  <si>
    <t>http://ncltapi.saverisk.com/nclatsaverisk.aspx?path=/DriveD/nclat/Data/pdf/orders/DELHI/2026-01-16/courts/1/daily/1768806582137031584696dd8b6499ee.pdf</t>
  </si>
  <si>
    <t>2026-01-16</t>
  </si>
  <si>
    <t>Company Appeal(at)(ins) - 561/2025 Caveat/183/2025 Caveat/184/2025 Caveat/185/2025 Caveat/186/2025 Caveat/187/2025 Ia/2132/2025 Ia/2137/2025 Ia/2141/2025</t>
  </si>
  <si>
    <t>Bhagwati Singh V/s. Asset Reconstruction Company India Limited, Axis Bank, Fasqua Investment Private Limited, Icici Bank Ltd., Kamala Mills Limited, Leader Universal Holding, Pankaj Kumar Tibrewal-rp, Pegasus Assets Investment Private Limited, Ramesh Ghamandiram Gowani, Tropical Ventures Company Ltd, Vedanta Limited</t>
  </si>
  <si>
    <t>http://ncltapi.saverisk.com/nclatsaverisk.aspx?path=/DriveD/nclat/Data/pdf/orders/DELHI/2026-03-16/courts/1/daily/177365888930393457669b7e3099f042.pdf</t>
  </si>
  <si>
    <t>Company Appeal(at)(ins) - 561/nd/2025</t>
  </si>
  <si>
    <t>http://ncltapi.saverisk.com/nclatsaverisk.aspx?path=/DriveD/nclat/Data/pdf/orders/DELHI/2025-10-29/courts/1/daily/1761816467214201985769032f93042a7.pdf</t>
  </si>
  <si>
    <t>http://ncltapi.saverisk.com/nclatsaverisk.aspx?path=/DriveD/nclat/Data/pdf/orders/DELHI/2025-04-09/courts/1/daily/174419868777192454567f65c1f50602.pdf</t>
  </si>
  <si>
    <t>2025-04-09</t>
  </si>
  <si>
    <t>http://ncltapi.saverisk.com/nclatsaverisk.aspx?path=/DriveD/nclat/Data/pdf/orders/DELHI/2025-08-21/courts/1/daily/175577115191239754268a6f10f7c248.pdf</t>
  </si>
  <si>
    <t>2025-08-21</t>
  </si>
  <si>
    <t>http://ncltapi.saverisk.com/nclatsaverisk.aspx?path=/DriveD/nclat/Data/pdf/orders/DELHI/2025-12-04/courts/3/daily/17652683712049052646937db93e6900.pdf</t>
  </si>
  <si>
    <t>2025-12-04</t>
  </si>
  <si>
    <t xml:space="preserve">Company Appeal(at)(ins) - 562/2025  Ia/2138/2025  Ia/2142/2025  Ia/2145/2025</t>
  </si>
  <si>
    <t>Bhagwati Singh V/s. Asset Reconstruction Company India Limited (arcil), Axis Bank Limited, Icici Bank Ltd, M/s Fasqua Investment Private Limited, M/s Kamala Mills Limited, M/s Leader Universal Holding, M/s Pegasus Assets Reconstruction Private Limited, Pa</t>
  </si>
  <si>
    <t>Company Appeal(at)(ins) - 562/2025 Ia/2138/2025 Ia/2142/2025 Ia/2145/2025</t>
  </si>
  <si>
    <t>Bhagwati Singh V/s. Asset Reconstruction Company India Limited (arcil), Axis Bank Limited, Icici Bank Ltd, M/s Fasqua Investment Private Limited, M/s Kamala Mills Limited, M/s Leader Universal Holding, M/s Pegasus Assets Reconstruction Private Limited, Pankaj Kumar Tibrewal - Rp, Ramesh Ghamandiram Gowani, Tropical Ventures Company Ltd, Vedanta Limited</t>
  </si>
  <si>
    <t>Company Appeal(at)(ins) - 562/nd/2025</t>
  </si>
  <si>
    <t>Bhagwati Singh V/s. Ramesh Ghamandiram Gowani, Asset Reconstruction Company India Limited (arcil), Axis Bank Limited, Icici Bank Ltd, M/s Fasqua Investment Private Limited, M/s Kamala Mills Limited, M/s Leader Universal Holding, M/s Pegasus Assets Reconstruction Private Limited, Pankaj Kumar Tibrewal - Rp, Tropical Ventures Company Ltd, Vedanta Limited</t>
  </si>
  <si>
    <t>http://ncltapi.saverisk.com/nclatsaverisk.aspx?path=/DriveD/nclat/Data/pdf/orders/DELHI/2025-10-06/courts/1/daily/1759839031130863742968e50337ef664.pdf</t>
  </si>
  <si>
    <t>2025-10-06</t>
  </si>
  <si>
    <t xml:space="preserve">Company Appeal(at)(ins) - 563/2025  Ia/2139/2025  Ia/2143/2025  Ia/2146/2025</t>
  </si>
  <si>
    <t xml:space="preserve">Bhagawati Singh  V/s.  Asset Reconstruction Company India Limited (arcil), Axis Bank Limited, Fasqua Investment Private Limited, Icici Bank Limited, Kamala Mills Limited, M/s Leader Universal Holding, Pankaj Kumar Tibrewal, Pegasus Asset Reconstruction Pr</t>
  </si>
  <si>
    <t>http://ncltapi.saverisk.com/nclatsaverisk.aspx?path=/DriveD/nclat/Data/pdf/orders/DELHI/2026-04-01/courts/1/daily/177510883130631565269ce02df75272.pdf</t>
  </si>
  <si>
    <t>2026-04-01</t>
  </si>
  <si>
    <t>Bhagawati Singh V/s. Asset Reconstruction Company India Limited (arcil), Axis Bank Limited, Fasqua Investment Private Limited, Icici Bank Limited, Kamala Mills Limited, M/s Leader Universal Holding, Pankaj Kumar Tibrewal, Pegasus Asset Reconstruction Priv</t>
  </si>
  <si>
    <t>Company Appeal(at)(ins) - 563/2025 Ia/2139/2025 Ia/2143/2025 Ia/2146/2025</t>
  </si>
  <si>
    <t>Bhagawati Singh V/s. Asset Reconstruction Company India Limited (arcil), Axis Bank Limited, Fasqua Investment Private Limited, Icici Bank Limited, Kamala Mills Limited, M/s Leader Universal Holding, Pankaj Kumar Tibrewal, Pegasus Asset Reconstruction Private Limited, Ramesh Ghamndiram Gowani, Tropical Ventures Company Ltd, Vedanta Limited</t>
  </si>
  <si>
    <t>Company Appeal(at)(ins) - 563/nd/2025</t>
  </si>
  <si>
    <t xml:space="preserve">Bhagawati Singh  V/s. Asset Reconstruction Company India Limited (arcil), Axis Bank Limited, Fasqua Investment Private Limited, Icici Bank Limited, Kamala Mills Limited, M/s Leader Universal Holding, Pankaj Kumar Tibrewal, Pegasus Asset Reconstruction Pri</t>
  </si>
  <si>
    <t>http://ncltapi.saverisk.com/nclatsaverisk.aspx?path=/DriveD/nclat/Data/pdf/orders/DELHI/2025-09-15/courts/1/daily/175793702613352177668c7fd8294fb4.pdf</t>
  </si>
  <si>
    <t>http://ncltapi.saverisk.com/nclatsaverisk.aspx?path=/DriveD/nclat/Data/pdf/orders/DELHI/2025-04-17/courts/1/daily/17448944312122718166800f9dfda83d.pdf</t>
  </si>
  <si>
    <t>2025-04-17</t>
  </si>
  <si>
    <t>http://ncltapi.saverisk.com/nclatsaverisk.aspx?path=/DriveD/nclat/Data/pdf/orders/DELHI/2025-11-18/courts/1/daily/1763465078690607628691c57767e85a.pdf</t>
  </si>
  <si>
    <t>2025-11-18</t>
  </si>
  <si>
    <t>Ia - 1162/2023 In Company Appeal(at)(ins)/384/2023</t>
  </si>
  <si>
    <t>Paradeep Port Trust V/s. Athena Chattisgarh Power Ltd, Vedanta Limited</t>
  </si>
  <si>
    <t xml:space="preserve">Company Appeal(at)(ins) - 564/2025  Ia/2140/2025  Ia/2144/2025  Ia/2147/2025</t>
  </si>
  <si>
    <t>Company Appeal(at)(ins) - 564/2025 Ia/2140/2025 Ia/2144/2025 Ia/2147/2025</t>
  </si>
  <si>
    <t>Bhagwati Singh V/s. Asset Reconstruction Company India Limited (arcil), Axis Bank Limited, Icici Bank Ltd, M/s Fasqua Investment Private Limited, M/s Kamala Mills Limited, M/s Leader Universal Holding, M/s Pegasus Assets Reconstruction Private Limited, Pankaj Kumar Tibrewal, Ramesh Ghamandiram Gowani, Tropical Ventures Company Ltd, Vedanta Limited</t>
  </si>
  <si>
    <t>Company Appeal(at)(ins) - 564/nd/2025</t>
  </si>
  <si>
    <t>http://ncltapi.saverisk.com/nclatsaverisk.aspx?path=/DriveD/nclat/Data/pdf/orders/DELHI/2025-07-10/courts/1/daily/1752146513980745007686fa2513a2c8.pdf</t>
  </si>
  <si>
    <t>2025-07-10</t>
  </si>
  <si>
    <t xml:space="preserve">Competition Appeal(at) - 12/2025  Ia/5786/2025  Ia/5882/2025  Ia/5883/2025  Ia/5884/2025</t>
  </si>
  <si>
    <t xml:space="preserve">Airen Copper Pvt Ltd , Airen Metals Pvt Ltd  V/s.  Hindalco Industries Limited , Ms Vedanta Ltd</t>
  </si>
  <si>
    <t>http://ncltapi.saverisk.com/nclatsaverisk.aspx?path=/DriveD/nclat/Data/pdf/orders/DELHI/2026-04-02/courts/2/daily/1775474275163245301969d3966302a39.pdf</t>
  </si>
  <si>
    <t>2026-04-02</t>
  </si>
  <si>
    <t>Competition Appeal(at) - 12/2025 Ia/5786/2025 Ia/5882/2025 Ia/5883/2025 Ia/5884/2025</t>
  </si>
  <si>
    <t>Airen Copper Pvt Ltd, Airen Metals Pvt Ltd V/s. Hindalco Industries Limited , Ms Vedanta Ltd</t>
  </si>
  <si>
    <t>http://ncltapi.saverisk.com/nclatsaverisk.aspx?path=/DriveD/nclat/Data/pdf/orders/DELHI/2026-01-27/courts/2/daily/176957907820530022976979a2460a374.pdf</t>
  </si>
  <si>
    <t>2026-01-27</t>
  </si>
  <si>
    <t xml:space="preserve">Ia - 1015/2024 In  Company Appeal(at)(ins)/384/2023</t>
  </si>
  <si>
    <t>Ia - 1015/2024 In Company Appeal(at)(ins)/384/2023</t>
  </si>
  <si>
    <t>Ia - 1015/cn/2024</t>
  </si>
  <si>
    <t>http://ncltapi.saverisk.com/nclatsaverisk.aspx?path=/DriveD/nclat/Data/pdf/orders/CHENNAI/2025-03-07/courts/1/daily/174178101264599722867d17814c8ec3.pdf</t>
  </si>
  <si>
    <t>http://ncltapi.saverisk.com/nclatsaverisk.aspx?path=/DriveD/nclat/Data/pdf/orders/CHENNAI/2025-03-13/courts/1/daily/174227763853673318267d90c06b5908.pdf</t>
  </si>
  <si>
    <t>http://ncltapi.saverisk.com/nclatsaverisk.aspx?path=/DriveD/nclat/Data/pdf/orders/CHENNAI/2025-11-07/courts/1/daily/176372420449193835969204bacc2430.pdf</t>
  </si>
  <si>
    <t>http://ncltapi.saverisk.com/nclatsaverisk.aspx?path=/DriveD/nclat/Data/pdf/orders/CHENNAI/2025-12-12/courts/1/daily/17661277259676190136944f86d3905a.pdf</t>
  </si>
  <si>
    <t xml:space="preserve">Ia - 1162/2023 In  Company Appeal(at)(ins)/384/2023</t>
  </si>
  <si>
    <t>Paradeep Port Trust V/s. Vedanta Limited, Athena Chattisgarh Power Ltd</t>
  </si>
  <si>
    <t>Ia - 1162/cn/2023</t>
  </si>
  <si>
    <t>http://ncltapi.saverisk.com/nclatsaverisk.aspx?path=/DriveD/nclat/Data/pdf/orders/CHENNAI/2024-12-16/courts/1/daily/173441406272095682867610eee98135.pdf</t>
  </si>
  <si>
    <t>2024-12-16</t>
  </si>
  <si>
    <t>http://ncltapi.saverisk.com/nclatsaverisk.aspx?path=/DriveD/nclat/Data/pdf/orders/CHENNAI/2025-06-06/courts/1/daily/174921022413655066226842d470e9e76.pdf</t>
  </si>
  <si>
    <t>http://ncltapi.saverisk.com/nclatsaverisk.aspx?path=/DriveD/nclat/Data/pdf/orders/CHENNAI/2025-07-17/courts/1/daily/17532614594365034006880a5932165b.pdf</t>
  </si>
  <si>
    <t>http://ncltapi.saverisk.com/nclatsaverisk.aspx?path=/DriveD/nclat/Data/pdf/orders/CHENNAI/2025-08-20/courts/1/daily/175611205060129313968ac24b2978eb.pdf</t>
  </si>
  <si>
    <t xml:space="preserve">Ia - 1163/2023 In  Company Appeal(at)(ins)/384/2023</t>
  </si>
  <si>
    <t>Ia - 1163/2023 In Company Appeal(at)(ins)/384/2023</t>
  </si>
  <si>
    <t>Ia - 1163/cn/2023</t>
  </si>
  <si>
    <t>http://ncltapi.saverisk.com/nclatsaverisk.aspx?path=/DriveD/nclat/Data/pdf/orders/CHENNAI/2025-09-26/courts/1/daily/1759122160177950781168da12f02561e.pdf</t>
  </si>
  <si>
    <t xml:space="preserve">Ia - 1164/2023 In  Company Appeal(at)(ins)/384/2023</t>
  </si>
  <si>
    <t>Ia - 1164/2023 In Company Appeal(at)(ins)/384/2023</t>
  </si>
  <si>
    <t>Ia - 1164/cn/2023</t>
  </si>
  <si>
    <t>Consortium Of Prudent Arc Ltd. V/s. 1. Mr. Ravi Shankar Devarakonda Resolution Professional Of M/s Meenakshi Energy Ltd. , 2. Committee Of Creditors Of Meenakshi Energy Limited Through Its Lead Lender State Bank Of India, 3. Vedanta Limited</t>
  </si>
  <si>
    <t xml:space="preserve">http://ncltapi.saverisk.com/nclatsaverisk.aspx?path=/DriveD/nclat/Data/pdf/orders/CHENNAI/2023-02-21/courts/1/daily/167697541147035700463f49d33deb6f.pdf </t>
  </si>
  <si>
    <t>2023-02-21</t>
  </si>
  <si>
    <t xml:space="preserve">http://ncltapi.saverisk.com/nclatsaverisk.aspx?path=/DriveD/nclat/Data/pdf/orders/CHENNAI/2023-03-01/courts/1/daily/1677761746207209066764009cd206c08.pdf </t>
  </si>
  <si>
    <t>2023-03-01</t>
  </si>
  <si>
    <t xml:space="preserve">http://ncltapi.saverisk.com/nclatsaverisk.aspx?path=/DriveD/nclat/Data/pdf/orders/CHENNAI/2023-03-17/courts/1/daily/1679125286174714738564156b2629bfd.pdf </t>
  </si>
  <si>
    <t xml:space="preserve">http://ncltapi.saverisk.com/nclatsaverisk.aspx?path=/DriveD/nclat/Data/pdf/orders/CHENNAI/2023-02-20/courts/1/daily/1676891158207965021563f354161e0ba.pdf </t>
  </si>
  <si>
    <t>2023-02-20</t>
  </si>
  <si>
    <t xml:space="preserve">Ia - 2132/2025 In  Company Appeal(at)(ins)/561/2025</t>
  </si>
  <si>
    <t>Ia - 2132/2025 In Company Appeal(at)(ins)/561/2025</t>
  </si>
  <si>
    <t>Ia - 2132/nd/2025</t>
  </si>
  <si>
    <t xml:space="preserve">Bhagwati Singh  V/s. Asset Reconstruction Company India Limited (arcil), Axis Bank Limited, Icici Bank Ltd, M/s Fasqua Investment Private Limited, M/s Kamala Mills Limited, M/s Leader Universal Holding, M/s Pegasus Assets Reconstruction Private Limited, P</t>
  </si>
  <si>
    <t>http://ncltapi.saverisk.com/nclatsaverisk.aspx?path=/DriveD/nclat/Data/pdf/orders/DELHI/2025-04-03/courts/5/daily/174366967699892697367ee49acbc852.pdf</t>
  </si>
  <si>
    <t xml:space="preserve">Ia - 2145/2025 In  Company Appeal(at)(ins)/562/2025</t>
  </si>
  <si>
    <t>Ia - 2145/2025 In Company Appeal(at)(ins)/562/2025</t>
  </si>
  <si>
    <t>Ia - 2145/nd/2025</t>
  </si>
  <si>
    <t>http://ncltapi.saverisk.com/nclatsaverisk.aspx?path=/DriveD/nclat/Data/pdf/orders/DELHI/2025-05-08/courts/1/daily/17467049111424193291681c9a0f14773.pdf</t>
  </si>
  <si>
    <t>2025-05-08</t>
  </si>
  <si>
    <t xml:space="preserve">Ia - 2146/2025 In  Company Appeal(at)(ins)/563/2025</t>
  </si>
  <si>
    <t>Bhagawati Singh V/s. Asset Reconstruction Company India Limited (arcil), Axis Bank Limited, Icici Bank Ltd, M/s Fasqua Investment Private Limited, M/s Kamala Mills Limited, M/s Leader Universal Holding, M/s Pegasus Assets Reconstruction Private Limited, P</t>
  </si>
  <si>
    <t>Ia - 2146/2025 In Company Appeal(at)(ins)/563/2025</t>
  </si>
  <si>
    <t>Bhagawati Singh V/s. Asset Reconstruction Company India Limited (arcil), Axis Bank Limited, Icici Bank Ltd, M/s Fasqua Investment Private Limited, M/s Kamala Mills Limited, M/s Leader Universal Holding, M/s Pegasus Assets Reconstruction Private Limited, Pankaj Kumar Tibrewal - Rp, Ramesh Ghamandiram Gowani, Tropical Ventures Company Ltd, Vedanta Limited</t>
  </si>
  <si>
    <t>Ia - 2146/nd/2025</t>
  </si>
  <si>
    <t>http://ncltapi.saverisk.com/nclatsaverisk.aspx?path=/DriveD/nclat/Data/pdf/orders/DELHI/2025-05-16/courts/1/daily/17478990161887488473682ed2887ac91.pdf</t>
  </si>
  <si>
    <t>2025-05-16</t>
  </si>
  <si>
    <t xml:space="preserve">Ia - 2147/2025 In  Company Appeal(at)(ins)/564/2025</t>
  </si>
  <si>
    <t>Bhagwati Singh V/s. Asset Reconstruction Company India Limited (arcil), Axis Bank Limited, Fasqua Investment Private Limited, Icici Bank Ltd, M/s Kamala Mills Limited, M/s Leader Universal Holding, M/s Pegasus Assets Reconstruction Private Limited, Pankaj</t>
  </si>
  <si>
    <t>Ia - 2147/2025 In Company Appeal(at)(ins)/564/2025</t>
  </si>
  <si>
    <t>Bhagwati Singh V/s. Asset Reconstruction Company India Limited (arcil), Axis Bank Limited, Fasqua Investment Private Limited, Icici Bank Ltd, M/s Kamala Mills Limited, M/s Leader Universal Holding, M/s Pegasus Assets Reconstruction Private Limited, Pankaj Kumar Tibrewal - Rp, Ramesh Ghamandiram Gowani, Tropical Ventures Company Ltd, Vedanta Limited</t>
  </si>
  <si>
    <t>Ia - 2147/nd/2025</t>
  </si>
  <si>
    <t>Ia - 8026/2025 In Company Appeal(at)(ins)/662/2025</t>
  </si>
  <si>
    <t>Tropical Ventures Company Limited V/s. Incab Industries Limited, Pegasus Asset Reconstruction Pvt. Ltd., Vedanta Limited</t>
  </si>
  <si>
    <t>http://ncltapi.saverisk.com/nclatsaverisk.aspx?path=/DriveD/nclat/Data/pdf/orders/DELHI/2026-02-19/courts/1/daily/17715649539107030236997ef99f36f9.pdf</t>
  </si>
  <si>
    <t>http://ncltapi.saverisk.com/nclatsaverisk.aspx?path=/DriveD/nclat/Data/pdf/orders/DELHI/2026-03-19/courts/1/daily/177392179520727848769bbe603f41b2.pdf</t>
  </si>
  <si>
    <t>2026-03-19</t>
  </si>
  <si>
    <t>Ia - 8026/nd/2025</t>
  </si>
  <si>
    <t>http://ncltapi.saverisk.com/nclatsaverisk.aspx?path=/DriveD/nclat/Data/pdf/orders/DELHI/2026-01-05/courts/1/daily/1767613714730209980695ba5125ba86.pdf</t>
  </si>
  <si>
    <t>Devi Trading &amp; Holding Private Limited V/s. 1. Mr. Ravi Shankar Devarakonda Resolution Professional Of M/s.meenakshi Energy Limited ,2. Committee Of Creditors Of Meenakshi Energy Limited Through Its Lead Lender State Bank Of India,3. Vedanta Limited</t>
  </si>
  <si>
    <t>http://ncltapi.saverisk.com/ncltsaverisk.aspx?path=/DriveD/NCLT/Order_Judgements/pdf/04_order-Challange_004_1640846033197651009461cd52d103599.pdf</t>
  </si>
  <si>
    <t>C.p. (ib) - 1383/2025</t>
  </si>
  <si>
    <t>Mr Dilipkumar Prathviraj Poddar Sole Properitor Of Shiv Shakti Lime Industries V/s. Vedanta Limited</t>
  </si>
  <si>
    <t>http://ncltapi.saverisk.com/ncltsaverisk.aspx?path=/DriveD/NCLT/Order_Judgements/pdf/04_order-Challange_004_176838100870972325669675a50316e4.pdf</t>
  </si>
  <si>
    <t>http://ncltapi.saverisk.com/ncltsaverisk.aspx?path=/DriveD/NCLT/Order_Judgements/pdf/04_order-Challange_004_1649490921213078924962513be9b73f5.pdf</t>
  </si>
  <si>
    <t>http://ncltapi.saverisk.com/ncltsaverisk.aspx?path=/DriveD/NCLT/Order_Judgements/pdf/04_order-Challange_004_165088792695450155062668cf6c6acc.pdf</t>
  </si>
  <si>
    <t>http://ncltapi.saverisk.com/ncltsaverisk.aspx?path=/DriveD/NCLT/Order_Judgements/pdf/04_order-Challange_004_1655193442186632001362a83f62a26e0.pdf</t>
  </si>
  <si>
    <t>http://ncltapi.saverisk.com/ncltsaverisk.aspx?path=/DriveD/NCLT/Order_Judgements/pdf/04_order-Challange_004_1658138809200076198362d530b91aaaf.pdf</t>
  </si>
  <si>
    <t>http://ncltapi.saverisk.com/ncltsaverisk.aspx?path=/DriveD/NCLT/Order_Judgements/pdf/04_order-Challange_004_1660626718138940675362fb271ed36a4.pdf</t>
  </si>
  <si>
    <t>C.p. (ib) - 58/2025</t>
  </si>
  <si>
    <t>Pra India Private Limited V/s. Vedanta Limited</t>
  </si>
  <si>
    <t>http://ncltapi.saverisk.com/ncltsaverisk.aspx?path=/DriveD/NCLT/Order_Judgements/pdf/04_order-Challange_004_173805899820920241266798acf64bd85.pdf</t>
  </si>
  <si>
    <t>http://ncltapi.saverisk.com/ncltsaverisk.aspx?path=/DriveD/NCLT/Order_Judgements/pdf/04_order-Challange_004_1742365315173185379867da62838a5aa.pdf</t>
  </si>
  <si>
    <t>http://ncltapi.saverisk.com/ncltsaverisk.aspx?path=/DriveD/NCLT/Order_Judgements/pdf/04_order-Challange_004_1744710521165790521667fe2b798783d.pdf</t>
  </si>
  <si>
    <t>http://ncltapi.saverisk.com/ncltsaverisk.aspx?path=/DriveD/NCLT/Order_Judgements/pdf/04_order-Challange_004_1750071452121969507684ff89cb89fb.pdf</t>
  </si>
  <si>
    <t>http://ncltapi.saverisk.com/ncltsaverisk.aspx?path=/DriveD/NCLT/Order_Judgements/pdf/04_order-Challange_004_17539436322021088090688b0e5052566.pdf</t>
  </si>
  <si>
    <t>http://ncltapi.saverisk.com/ncltsaverisk.aspx?path=/DriveD/NCLT/Order_Judgements/pdf/04_order-Challange_004_175853969734442675668d12fb160dd3.pdf</t>
  </si>
  <si>
    <t>http://ncltapi.saverisk.com/ncltsaverisk.aspx?path=/DriveD/NCLT/Order_Judgements/pdf/04_order-Challange_004_17625164151729088727690dddbfe7834.pdf</t>
  </si>
  <si>
    <t>http://ncltapi.saverisk.com/ncltsaverisk.aspx?path=/DriveD/NCLT/Order_Judgements/pdf/04_order-Challange_004_166331932342058083163243d1bbde0f.pdf</t>
  </si>
  <si>
    <t>http://ncltapi.saverisk.com/ncltsaverisk.aspx?path=/DriveD/NCLT/Order_Judgements/pdf/04_order-Challange_004_16697157144232731256385d7021ae3c.pdf</t>
  </si>
  <si>
    <t>http://ncltapi.saverisk.com/ncltsaverisk.aspx?path=/DriveD/NCLT/Order_Judgements/pdf/04_order-Challange_004_167600972957855949663e5e101782df.pdf</t>
  </si>
  <si>
    <t>http://ncltapi.saverisk.com/ncltsaverisk.aspx?path=/DriveD/NCLT/Order_Judgements/pdf/Interim-order-pdf_Insulref Technologies Pvt. ltd. CP IB 1926-2018 NCLT on 24.10.2018. INTERIM.pdf</t>
  </si>
  <si>
    <t>http://ncltapi.saverisk.com/ncltsaverisk.aspx?path=/DriveD/NCLT/Order_Judgements/pdf/Interim-order-pdf_Insulref Technologies Pvt. Ltd. CP no. 1926.2018.[_~_]NCLT on 02.11.2018.pdf</t>
  </si>
  <si>
    <t>http://ncltapi.saverisk.com/ncltsaverisk.aspx?path=/DriveD/NCLT/Order_Judgements/pdf/Interim-order-pdf_INSULREF TECHNOLOGIES PVT. LTD. CP-1926-2018 NCLT ON 04.09.2018 INTERIM.pdf</t>
  </si>
  <si>
    <t>http://ncltapi.saverisk.com/ncltsaverisk.aspx?path=/DriveD/NCLT/Order_Judgements/pdf/Interim-order-pdf_INSULREF TECHNOLOGIES PVT. LTD. CP-1926-2018 NCLT ON 08.10.2018 INTERIM.pdf</t>
  </si>
  <si>
    <t>http://ncltapi.saverisk.com/ncltsaverisk.aspx?path=/DriveD/NCLT/Order_Judgements/pdf/Interim-order-pdf_INSULREF TECHNOLOGIES PVT. LTD. CP-1926-2018 NCLT ON 21.08.2018 INTERIM.pdf</t>
  </si>
  <si>
    <t>http://ncltapi.saverisk.com/ncltsaverisk.aspx?path=/DriveD/NCLT/Order_Judgements/pdf/Interim-order-pdf_Insulref Technologies Pvt. Ltd. CP. 1926-2018[_~_]NCLT ON 05.12.2018 INTERIM.pdf</t>
  </si>
  <si>
    <t>http://ncltapi.saverisk.com/ncltsaverisk.aspx?path=/DriveD/NCLT/Order_Judgements/pdf/Interim-order-pdf_Insulref Technologies Pvt. Ltd. CP. 1926-2018 NCLT ON 17.12.2018 INTERIM'.pdf</t>
  </si>
  <si>
    <t>http://ncltapi.saverisk.com/ncltsaverisk.aspx?path=/DriveD/NCLT/Order_Judgements/pdf/Interim-order-pdf_INSULRF TECHNOLOGIES PVT.LTD CP-1926-2018 NCLT ON 06.08.2018 INTERIM.pdf</t>
  </si>
  <si>
    <t>http://ncltapi.saverisk.com/ncltsaverisk.aspx?path=/DriveD/NCLT/Order_Judgements/pdf/Interim-order-pdf_LINK SHIPPING ~[_~_]MANAGEMENT SYSTEMS PVT.LTD CP-2055-2018 NCLT ON 07.09.2018 INTERIM.pdf</t>
  </si>
  <si>
    <t>http://ncltapi.saverisk.com/ncltsaverisk.aspx?path=/DriveD/NCLT/Order_Judgements/pdf/Interim-order-pdf_Link Shipping ~ Management[_~_]CP. 2055-2018 NCLT ON 15.11.2018 INTERIM.pdf</t>
  </si>
  <si>
    <t>http://ncltapi.saverisk.com/ncltsaverisk.aspx?path=/DriveD/NCLT/Order_Judgements/pdf/Interim-order-pdf_LINK SHIPPING ~ MANAGEMENT C.P-2055-2018 NCLT ON 31.01.2019 INTERIM.pdf</t>
  </si>
  <si>
    <t>http://ncltapi.saverisk.com/ncltsaverisk.aspx?path=/DriveD/NCLT/Order_Judgements/pdf/Interim-order-pdf_Link Shipping ~ Management Systems Pvt. CP. 2055-2018 NCLT ON 24.01.2019 INTERIM.pdf</t>
  </si>
  <si>
    <t>http://ncltapi.saverisk.com/ncltsaverisk.aspx?path=/DriveD/NCLT/Order_Judgements/pdf/Interim-order-pdf_Link Shipping ~ Management Systems Pvt. Ltd CP. 2055-2018[_~_]NCLT ON 05.12.2018 INTERIM.pdf</t>
  </si>
  <si>
    <t>http://ncltapi.saverisk.com/ncltsaverisk.aspx?path=/DriveD/NCLT/Order_Judgements/pdf/Interim-order-pdf_LINK SHIPPING ~ MANAGEMENT SYSTEMS PVT. LTD. CP 2055 OF 2018 NCLT ON 02.04.2019 INTERIM_0.pdf</t>
  </si>
  <si>
    <t>http://ncltapi.saverisk.com/ncltsaverisk.aspx?path=/DriveD/NCLT/Order_Judgements/pdf/Interim-order-pdf_LINK SHIPPING ~ MANAGEMENT SYSTEMS PVT. LTD. CP 2055 OF 2018 NCLT ON 06.03.2019 INTERIM.pdf</t>
  </si>
  <si>
    <t>http://ncltapi.saverisk.com/ncltsaverisk.aspx?path=/DriveD/NCLT/Order_Judgements/pdf/Interim-order-pdf_LINK SHIPPING ~ MANAGEMENT SYSTEMS PVT. LTD. CP-2055-2018 NCLT ON 08.10.2018 INTERIM.pdf</t>
  </si>
  <si>
    <t>http://ncltapi.saverisk.com/ncltsaverisk.aspx?path=/DriveD/NCLT/Order_Judgements/pdf/Interim-order-pdf_Link Shipping ~ Management Systems Pvt. Ltd. CP. 2055-2018 NCLT ON 09.01.2018 INTERIM.pdf</t>
  </si>
  <si>
    <t>http://ncltapi.saverisk.com/ncltsaverisk.aspx?path=/DriveD/NCLT/Order_Judgements/pdf/Interim-order-pdf_Link Shipping ~ Mnagement Systems Pvt. Ltd. C. P. IB 2055-2018. 24.10.2018. INTERIM.pdf</t>
  </si>
  <si>
    <t>http://ncltapi.saverisk.com/ncltsaverisk.aspx?path=/DriveD/NCLT/Order_Judgements/pdf/Interim-order-pdf_LINK SHIPPING CP-2055-18 NCLT ON 13.02.19 INTERIM.pdf</t>
  </si>
  <si>
    <t>http://ncltapi.saverisk.com/ncltsaverisk.aspx?path=/DriveD/NCLT/Order_Judgements/pdf/Interim-order-pdf_LINK SHOPPING MANAGEMENT SYSTEMS PVT.LTD_. CP-2055-2018 NCLT ON 27.08.2018 INTERIM.pdf</t>
  </si>
  <si>
    <t>http://ncltapi.saverisk.com/ncltsaverisk.aspx?path=/DriveD/NCLT/Order_Judgements/pdf/04_order-Challange_004_1649413641966647462500e09d051e.pdf</t>
  </si>
  <si>
    <t>2022-04-07</t>
  </si>
  <si>
    <t>http://ncltapi.saverisk.com/ncltsaverisk.aspx?path=/DriveD/NCLT/Order_Judgements/pdf/04_order-Challange_004_1643961745110030917761fcdd919aa7b.pdf</t>
  </si>
  <si>
    <t>http://ncltapi.saverisk.com/ncltsaverisk.aspx?path=/DriveD/NCLT/Order_Judgements/pdf/04_order-Challange_004_1645610014630872716216041ec8f47.pdf</t>
  </si>
  <si>
    <t>http://ncltapi.saverisk.com/ncltsaverisk.aspx?path=/DriveD/NCLT/Order_Judgements/pdf/04_order-Challange_004_164689128913716555446229911923f81.pdf</t>
  </si>
  <si>
    <t>2022-03-07</t>
  </si>
  <si>
    <t>http://ncltapi.saverisk.com/ncltsaverisk.aspx?path=/DriveD/NCLT/Order_Judgements/pdf/04_order-Challange_004_1648451829319355624160f56f7c5.pdf</t>
  </si>
  <si>
    <t>2022-03-23</t>
  </si>
  <si>
    <t>http://ncltapi.saverisk.com/ncltsaverisk.aspx?path=/DriveD/NCLT/Order_Judgements/pdf/04_order-Challange_004_1649413614190080361862500dee86543.pdf</t>
  </si>
  <si>
    <t>http://ncltapi.saverisk.com/ncltsaverisk.aspx?path=/DriveD/NCLT/Order_Judgements/pdf/04_order-Challange_004_165181830212218390306274bf3e92350.pdf</t>
  </si>
  <si>
    <t>http://ncltapi.saverisk.com/ncltsaverisk.aspx?path=/DriveD/NCLT/Order_Judgements/pdf/04_order-Challange_004_165725914124723859962c7c485c0779.pdf</t>
  </si>
  <si>
    <t>2022-07-06</t>
  </si>
  <si>
    <t>http://ncltapi.saverisk.com/ncltsaverisk.aspx?path=/DriveD/NCLT/Order_Judgements/pdf/04_order-Challange_004_165762523871142823762cd5a9642ec3.pdf</t>
  </si>
  <si>
    <t>2022-07-11</t>
  </si>
  <si>
    <t>http://ncltapi.saverisk.com/ncltsaverisk.aspx?path=/DriveD/NCLT/Order_Judgements/pdf/04_order-Challange_004_165934025229339028062e785dc49888.pdf</t>
  </si>
  <si>
    <t>2022-07-28</t>
  </si>
  <si>
    <t>http://ncltapi.saverisk.com/ncltsaverisk.aspx?path=/DriveD/NCLT/Order_Judgements/pdf/July-Interim-Order-pdf_D_Part_17_9.pdf</t>
  </si>
  <si>
    <t>http://ncltapi.saverisk.com/ncltsaverisk.aspx?path=/DriveD/NCLT/Order_Judgements/pdf/Feb-Interim-Order-pdf_23_141.pdf</t>
  </si>
  <si>
    <t>http://ncltapi.saverisk.com/ncltsaverisk.aspx?path=/DriveD/NCLT/Order_Judgements/pdf/Feb-Interim-Order-pdf_35_83.pdf</t>
  </si>
  <si>
    <t>http://ncltapi.saverisk.com/ncltsaverisk.aspx?path=/DriveD/NCLT/Order_Judgements/pdf/Feb-Interim-Order-pdf_38_38.pdf</t>
  </si>
  <si>
    <t>http://ncltapi.saverisk.com/ncltsaverisk.aspx?path=/DriveD/NCLT/Order_Judgements/pdf/Feb-Interim-Order-pdf_N_Part_31_0.pdf</t>
  </si>
  <si>
    <t>http://ncltapi.saverisk.com/ncltsaverisk.aspx?path=/DriveD/NCLT/Order_Judgements/pdf/04_order-Challange_004_1643961655174686006161fcdd37ccada.pdf</t>
  </si>
  <si>
    <t>http://ncltapi.saverisk.com/ncltsaverisk.aspx?path=/DriveD/NCLT/Order_Judgements/pdf/04_order-Challange_004_164560998620135380226216040203c08.pdf</t>
  </si>
  <si>
    <t>http://ncltapi.saverisk.com/ncltsaverisk.aspx?path=/DriveD/NCLT/Order_Judgements/pdf/04_order-Challange_004_1646886462162684819262297e3e15216.pdf</t>
  </si>
  <si>
    <t>http://ncltapi.saverisk.com/ncltsaverisk.aspx?path=/DriveD/NCLT/Order_Judgements/pdf/04_order-Challange_004_16484517317685104576241609388ba8.pdf</t>
  </si>
  <si>
    <t>http://ncltapi.saverisk.com/ncltsaverisk.aspx?path=/DriveD/NCLT/Order_Judgements/pdf/04_order-Challange_004_16493341322008006705624ed77401bd9.pdf</t>
  </si>
  <si>
    <t>http://ncltapi.saverisk.com/ncltsaverisk.aspx?path=/DriveD/NCLT/Order_Judgements/pdf/04_order-Challange_004_164941358552016021762500dd14fb8a.pdf</t>
  </si>
  <si>
    <t>http://ncltapi.saverisk.com/ncltsaverisk.aspx?path=/DriveD/NCLT/Order_Judgements/pdf/04_order-Challange_004_165181828218083630396274bf2ab4328.pdf</t>
  </si>
  <si>
    <t>http://ncltapi.saverisk.com/ncltsaverisk.aspx?path=/DriveD/NCLT/Order_Judgements/pdf/04_order-Challange_004_16545080901425392630629dca3a127bd.pdf</t>
  </si>
  <si>
    <t>2022-06-03</t>
  </si>
  <si>
    <t>http://ncltapi.saverisk.com/ncltsaverisk.aspx?path=/DriveD/NCLT/Order_Judgements/pdf/04_order-Challange_004_1657259107102722470162c7c463a4e08.pdf</t>
  </si>
  <si>
    <t>http://ncltapi.saverisk.com/ncltsaverisk.aspx?path=/DriveD/NCLT/Order_Judgements/pdf/04_order-Challange_004_1657625203103937057062cd5a739bd82.pdf</t>
  </si>
  <si>
    <t>http://ncltapi.saverisk.com/ncltsaverisk.aspx?path=/DriveD/NCLT/Order_Judgements/pdf/04_order-Challange_004_16593402116035288562e785b30b79e.pdf</t>
  </si>
  <si>
    <t>Ia(i.b.c) - 1459/2020</t>
  </si>
  <si>
    <t>Saraogi Udyog Private Limited V/s. Vedanta Limited, Electrosteel Steel Limited , Committee Of Creditors Of Electrosteel Steels Limited</t>
  </si>
  <si>
    <t>http://ncltapi.saverisk.com/ncltsaverisk.aspx?path=/DriveD/NCLT/Order_Judgements/pdf/04_order-Challange_004_1630997593171020448161370c59c9585.pdf</t>
  </si>
  <si>
    <t>2021-08-16</t>
  </si>
  <si>
    <t>http://ncltapi.saverisk.com/ncltsaverisk.aspx?path=/DriveD/NCLT/Order_Judgements/pdf/04_order-Challange_004_1688382286185015648364a2ab4e934ca.pdf</t>
  </si>
  <si>
    <t>2023-06-30</t>
  </si>
  <si>
    <t>http://ncltapi.saverisk.com/ncltsaverisk.aspx?path=/DriveD/NCLT/Order_Judgements/pdf/04_order-Challange_004_168898076313560804364abcd1be70f4.pdf</t>
  </si>
  <si>
    <t>2023-06-08</t>
  </si>
  <si>
    <t>http://ncltapi.saverisk.com/ncltsaverisk.aspx?path=/DriveD/NCLT/Order_Judgements/pdf/04_order-Challange_004_1689314588149996171764b0e51c77426.pdf</t>
  </si>
  <si>
    <t>2023-07-13</t>
  </si>
  <si>
    <t>http://ncltapi.saverisk.com/ncltsaverisk.aspx?path=/DriveD/NCLT/Order_Judgements/pdf/04_order-Challange_004_1689761023105430553664b7b4ff47658.pdf</t>
  </si>
  <si>
    <t>http://ncltapi.saverisk.com/ncltsaverisk.aspx?path=/DriveD/NCLT/Order_Judgements/pdf/04_order-Challange_004_1690176322122804453964be0b42acc52.pdf</t>
  </si>
  <si>
    <t>2023-05-23</t>
  </si>
  <si>
    <t>http://ncltapi.saverisk.com/ncltsaverisk.aspx?path=/DriveD/NCLT/Order_Judgements/pdf/04_order-Challange_004_1691664595136088471764d4c0d3a9ad4.pdf</t>
  </si>
  <si>
    <t>2023-07-31</t>
  </si>
  <si>
    <t>http://ncltapi.saverisk.com/ncltsaverisk.aspx?path=/DriveD/NCLT/Order_Judgements/pdf/04_order-Challange_004_17291513287824356036710c160a34ff.pdf</t>
  </si>
  <si>
    <t>http://ncltapi.saverisk.com/ncltsaverisk.aspx?path=/DriveD/NCLT/Order_Judgements/pdf/04_order-Challange_004_1732076304777968121673d63101fca1.pdf</t>
  </si>
  <si>
    <t>Ia(i.b.c) - 496/2020</t>
  </si>
  <si>
    <t xml:space="preserve">Royal Infra &amp; Logs  V/s. Vedanta Ltd. , Shri Dhaivat Anjaria , Committee Of Creditors , Electrosteel Steel Limited</t>
  </si>
  <si>
    <t>http://ncltapi.saverisk.com/ncltsaverisk.aspx?path=/DriveD/NCLT/Order_Judgements/pdf/04_order-Challange_004_1630997470151955609761370bde2a53f.pdf</t>
  </si>
  <si>
    <t>Ia(i.b.c) - 1606/2022</t>
  </si>
  <si>
    <t>State Bank Of India V/s. Canara Bank, Central Bank Of India, Icici Bank Limited, Allahabad Bank, Bank Of Baroda, Vedanta Limited , Bank Of Maharashtra, Oriental Bank Of Commerce (now Merged With Punjab National Bank), Punjab National Bank, Punjab And Sind</t>
  </si>
  <si>
    <t>http://ncltapi.saverisk.com/ncltsaverisk.aspx?path=/DriveD/NCLT/Order_Judgements/pdf/04_order-Challange_004_1705067640164536749265a14478f09c2.pdf</t>
  </si>
  <si>
    <t>State Bank Of India V/s. Canara Bank, Central Bank Of India, Icici Bank Limited, Allahabad Bank, Bank Of Baroda, Vedanta Limited , Bank Of Maharashtra, Oriental Bank Of Commerce (now Merged With Punjab National Bank), Punjab National Bank, Punjab And Sind Bank, Syndicate Bank (now Merged With Canara Bank), Corporation Bank , Dena Bank (now Merged With Bank Of Baroda), Vijaya Bank (now Merged With Bank Of Baroda), Dey Steel Fabricators (india) Private Limited, Bank Of India, Indian Bank, Indian Overseas Bank, Life Insurance Corporation Of India, Uco Bank, Union Bank Of India, United Bank Of India (now Merged With Punjab National Bank), Housing And Urban Development Corporation Limited</t>
  </si>
  <si>
    <t>http://ncltapi.saverisk.com/ncltsaverisk.aspx?path=/DriveD/NCLT/Order_Judgements/pdf/04_order-Challange_004_17125798872678877386613e52f1572f.pdf</t>
  </si>
  <si>
    <t>State Bank Of India V/s. Central Bank Of India, Icici Bank Limited, Canara Bank, Allahabad Bank, Bank Of Baroda, Vedanta Limited , Bank Of Maharashtra, Oriental Bank Of Commerce (now Merged With Punjab National Bank), Punjab National Bank, Punjab And Sind</t>
  </si>
  <si>
    <t>http://ncltapi.saverisk.com/ncltsaverisk.aspx?path=/DriveD/NCLT/Order_Judgements/pdf/04_order-Challange_004_172459343757376421766cb351de157b.pdf</t>
  </si>
  <si>
    <t>http://ncltapi.saverisk.com/ncltsaverisk.aspx?path=/DriveD/NCLT/Order_Judgements/pdf/04_order-Challange_004_1731496593135928176367348a917c1f3.pdf</t>
  </si>
  <si>
    <t>http://ncltapi.saverisk.com/ncltsaverisk.aspx?path=/DriveD/NCLT/Order_Judgements/pdf/04_order-Challange_004_17356383041293341016773bd206d753.pdf</t>
  </si>
  <si>
    <t>http://ncltapi.saverisk.com/ncltsaverisk.aspx?path=/DriveD/NCLT/Order_Judgements/pdf/04_order-Challange_004_1737460714640840338678f8beacd829.pdf</t>
  </si>
  <si>
    <t>http://ncltapi.saverisk.com/ncltsaverisk.aspx?path=/DriveD/NCLT/Order_Judgements/pdf/04_order-Challange_004_1742814856122495748567e13e889dd00.pdf</t>
  </si>
  <si>
    <t>http://ncltapi.saverisk.com/ncltsaverisk.aspx?path=/DriveD/NCLT/Order_Judgements/pdf/04_order-Challange_004_17497927731404056149684bb80554c2e.pdf</t>
  </si>
  <si>
    <t>http://ncltapi.saverisk.com/ncltsaverisk.aspx?path=/DriveD/NCLT/Order_Judgements/pdf/04_order-Challange_004_175334133418724856816881dd961caf3.pdf</t>
  </si>
  <si>
    <t>Ia(i.b.c) - 399/2020</t>
  </si>
  <si>
    <t xml:space="preserve">Deepak Electricals  V/s. Vendanta Ltd. , Shri Dhaivat Anjaria , Committee Of Creditors, Electrosteel Steel Limited</t>
  </si>
  <si>
    <t>http://ncltapi.saverisk.com/ncltsaverisk.aspx?path=/DriveD/NCLT/Order_Judgements/pdf/04_order-Challange_004_1630997415163084923961370ba70d677.pdf</t>
  </si>
  <si>
    <t>Ia(i.b.c) - 400/2020</t>
  </si>
  <si>
    <t xml:space="preserve">Khurana Engineering Company  V/s. Electrosteel Steel Limited , Vedanta Ltd. , Committee Of Creditors , Shri Dhaivat Anjaria</t>
  </si>
  <si>
    <t>http://ncltapi.saverisk.com/ncltsaverisk.aspx?path=/DriveD/NCLT/Order_Judgements/pdf/04_order-Challange_004_1630997302188551194761370b367dba5.pdf</t>
  </si>
  <si>
    <t>Ia(i.b.c) - 401/2020</t>
  </si>
  <si>
    <t xml:space="preserve">S. P. Enterprises  V/s. Electrosteel Steel Limited , Vedanta Ltd , Shri Dhaivat Anjaria , Committee Of Creditors</t>
  </si>
  <si>
    <t>http://ncltapi.saverisk.com/ncltsaverisk.aspx?path=/DriveD/NCLT/Order_Judgements/pdf/04_order-Challange_004_1630997266134567917161370b12037be.pdf</t>
  </si>
  <si>
    <t>Ia(i.b.c) - 430/2020</t>
  </si>
  <si>
    <t xml:space="preserve">Maruti Nandan  V/s. Electrosteel Steel Limited , Vedanta Ltd , Shri Dhaivat Anjaria , Committee Of Creditors</t>
  </si>
  <si>
    <t>http://ncltapi.saverisk.com/ncltsaverisk.aspx?path=/DriveD/NCLT/Order_Judgements/pdf/04_order-Challange_004_1630997362139770677961370b72b842a.pdf</t>
  </si>
  <si>
    <t>Ia(i.b.c) - 431/2020</t>
  </si>
  <si>
    <t>N. R. Construction Pvt. Ltd. V/s. Vedanta Ltd., Shri Dhaivat Anharia , Commitee Of Creditors , Electrosteel Steel Limited</t>
  </si>
  <si>
    <t>http://ncltapi.saverisk.com/ncltsaverisk.aspx?path=/DriveD/NCLT/Order_Judgements/pdf/04_order-Challange_004_1630997445174114186161370bc55d696.pdf</t>
  </si>
  <si>
    <t>Ia(i.b.c) - 441/2020</t>
  </si>
  <si>
    <t>Spacetech Equipments &amp; Structural Pvt. Ltd. V/s. Shri Dhaivat Anjaria , Committee Of Creditors , Vedanta Ltd , Electrosteel Steel Limited</t>
  </si>
  <si>
    <t>http://ncltapi.saverisk.com/ncltsaverisk.aspx?path=/DriveD/NCLT/Order_Judgements/pdf/04_order-Challange_004_163099752893421892161370c18b536a.pdf</t>
  </si>
  <si>
    <t>Ia(i.b.c) - 442/2020</t>
  </si>
  <si>
    <t xml:space="preserve">Khenco Cranes &amp; Machineries  V/s. Shri Dhaivat Anjaria , Electrosteel Steel Limited , Vedanta Ltd. , Committee Of Creditors</t>
  </si>
  <si>
    <t>http://ncltapi.saverisk.com/ncltsaverisk.aspx?path=/DriveD/NCLT/Order_Judgements/pdf/04_order-Challange_004_1630997328127534523461370b509112b.pdf</t>
  </si>
  <si>
    <t>Ia(i.b.c) - 443/2020</t>
  </si>
  <si>
    <t xml:space="preserve">A.r. Services Pvt. Ltd.  V/s. Vedanta Ltd , Shri Dhaivat Anjaria , Committee Of Creditors , Electrosteel Steel Limited</t>
  </si>
  <si>
    <t>http://ncltapi.saverisk.com/ncltsaverisk.aspx?path=/DriveD/NCLT/Order_Judgements/pdf/04_order-Challange_004_1630997499124756706561370bfbbaf7e.pdf</t>
  </si>
  <si>
    <t>Ia(i.b.c) - 562/2020</t>
  </si>
  <si>
    <t>Jaihind Projects Limited. &amp; Anr., Parixit Irrigation Limited V/s. Parthiv Parikh Rp Of Jaihind Projects , Vedanta Limited, Uday Structurals And Engineers,</t>
  </si>
  <si>
    <t>http://ncltapi.saverisk.com/ncltsaverisk.aspx?path=/DriveD/NCLT/Order_Judgements/pdf/04_order-Challange_004_16480274271004500652623ae7235f1af.pdf</t>
  </si>
  <si>
    <t>2022-03-17</t>
  </si>
  <si>
    <t>http://ncltapi.saverisk.com/ncltsaverisk.aspx?path=/DriveD/NCLT/Order_Judgements/pdf/04_order-Challange_004_16618525811272239996630ddba5ac731.pdf</t>
  </si>
  <si>
    <t>2022-08-25</t>
  </si>
  <si>
    <t>http://ncltapi.saverisk.com/ncltsaverisk.aspx?path=/DriveD/NCLT/Order_Judgements/pdf/04_order-Challange_004_16956230521605942236511278c75304.pdf</t>
  </si>
  <si>
    <t>Jaihind Projects Limited. , Parixit Irrigation Limited V/s. Parthiv Parikh Rp Of Jaihind Projects , Uday Structurals And Engineers, , Vedanta Limited</t>
  </si>
  <si>
    <t>http://ncltapi.saverisk.com/ncltsaverisk.aspx?path=/DriveD/NCLT/Order_Judgements/pdf/04_order-Challange_004_1760523188130315261368ef73b45558d.pdf</t>
  </si>
  <si>
    <t>2025-10-14</t>
  </si>
  <si>
    <t>http://ncltapi.saverisk.com/ncltsaverisk.aspx?path=/DriveD/NCLT/Order_Judgements/pdf/04_order-Challange_004_176415725717229265526926e7498c672.pdf</t>
  </si>
  <si>
    <t>2025-11-25</t>
  </si>
  <si>
    <t>http://ncltapi.saverisk.com/ncltsaverisk.aspx?path=/DriveG/NCLT/Order_Judgements/pdf/04_order-Challange_004_177562585689639873869d5e680bb5d3.pdf</t>
  </si>
  <si>
    <t>2026-04-07</t>
  </si>
  <si>
    <t>Jaihind Projects Limited. , Parixit Irrigation Limited V/s. Parthiv Parikh Rp Of Jaihind Projects , Vedanta Limited, Uday Structurals And Engineers</t>
  </si>
  <si>
    <t>http://ncltapi.saverisk.com/ncltsaverisk.aspx?path=/DriveD/NCLT/Order_Judgements/pdf/04_order-Challange_004_16329149767641367661544e20091be.pdf</t>
  </si>
  <si>
    <t>2021-09-28</t>
  </si>
  <si>
    <t>http://ncltapi.saverisk.com/ncltsaverisk.aspx?path=/DriveD/NCLT/Order_Judgements/pdf/04_order-Challange_004_17134149624679063916620a3327911a.pdf</t>
  </si>
  <si>
    <t>2024-04-17</t>
  </si>
  <si>
    <t>Jaihind Projects Limited. , Parixit Irrigation Limited V/s. Parthiv Parikh Rp Of Jaihind Projects , Vedanta Limited, Uday Structurals And Engineers,</t>
  </si>
  <si>
    <t>http://ncltapi.saverisk.com/ncltsaverisk.aspx?path=/DriveD/NCLT/Order_Judgements/pdf/04_order-Challange_004_1638348210107368839161a735b295336.pdf</t>
  </si>
  <si>
    <t>2021-11-29</t>
  </si>
  <si>
    <t>http://ncltapi.saverisk.com/ncltsaverisk.aspx?path=/DriveD/NCLT/Order_Judgements/pdf/04_order-Challange_004_1642755219127231100661ea74932d8e6.pdf</t>
  </si>
  <si>
    <t>2022-01-20</t>
  </si>
  <si>
    <t>http://ncltapi.saverisk.com/ncltsaverisk.aspx?path=/DriveD/NCLT/Order_Judgements/pdf/04_order-Challange_004_16506992256195412616263abd981ec7.pdf</t>
  </si>
  <si>
    <t>2022-04-22</t>
  </si>
  <si>
    <t>http://ncltapi.saverisk.com/ncltsaverisk.aspx?path=/DriveD/NCLT/Order_Judgements/pdf/04_order-Challange_004_165485580876957230762a318803658d.pdf</t>
  </si>
  <si>
    <t>2022-06-09</t>
  </si>
  <si>
    <t>http://ncltapi.saverisk.com/ncltsaverisk.aspx?path=/DriveD/NCLT/Order_Judgements/pdf/04_order-Challange_004_1658125708149230390662d4fd8c54b69.pdf</t>
  </si>
  <si>
    <t>2022-07-14</t>
  </si>
  <si>
    <t>http://ncltapi.saverisk.com/ncltsaverisk.aspx?path=/DriveD/NCLT/Order_Judgements/pdf/04_order-Challange_004_16642784678398707976332dfc3e3dd3.pdf</t>
  </si>
  <si>
    <t>2022-09-23</t>
  </si>
  <si>
    <t>http://ncltapi.saverisk.com/ncltsaverisk.aspx?path=/DriveD/NCLT/Order_Judgements/pdf/04_order-Challange_004_1667193461679255764635f5a75355bb.pdf</t>
  </si>
  <si>
    <t>2022-10-21</t>
  </si>
  <si>
    <t>http://ncltapi.saverisk.com/ncltsaverisk.aspx?path=/DriveD/NCLT/Order_Judgements/pdf/04_order-Challange_004_1669873563138347793263883f9bc81d2.pdf</t>
  </si>
  <si>
    <t>2022-11-28</t>
  </si>
  <si>
    <t>http://ncltapi.saverisk.com/ncltsaverisk.aspx?path=/DriveD/NCLT/Order_Judgements/pdf/04_order-Challange_004_1673335260214601708163bd11dceeea8.pdf</t>
  </si>
  <si>
    <t>2023-01-06</t>
  </si>
  <si>
    <t>http://ncltapi.saverisk.com/ncltsaverisk.aspx?path=/DriveD/NCLT/Order_Judgements/pdf/04_order-Challange_004_167566211388954777063e09321c6d87.pdf</t>
  </si>
  <si>
    <t>2023-02-02</t>
  </si>
  <si>
    <t>http://ncltapi.saverisk.com/ncltsaverisk.aspx?path=/DriveD/NCLT/Order_Judgements/pdf/04_order-Challange_004_16788575241307424703641155349188a.pdf</t>
  </si>
  <si>
    <t>2023-03-14</t>
  </si>
  <si>
    <t>http://ncltapi.saverisk.com/ncltsaverisk.aspx?path=/DriveD/NCLT/Order_Judgements/pdf/04_order-Challange_004_16829412991574306722644fa57356722.pdf</t>
  </si>
  <si>
    <t>http://ncltapi.saverisk.com/ncltsaverisk.aspx?path=/DriveD/NCLT/Order_Judgements/pdf/04_order-Challange_004_16868222381406949808648add5e6babe.pdf</t>
  </si>
  <si>
    <t>http://ncltapi.saverisk.com/ncltsaverisk.aspx?path=/DriveD/NCLT/Order_Judgements/pdf/04_order-Challange_004_1690780367106235971564c742cfd7906.pdf</t>
  </si>
  <si>
    <t>http://ncltapi.saverisk.com/ncltsaverisk.aspx?path=/DriveD/NCLT/Order_Judgements/pdf/04_order-Challange_004_1699424457853183059654b28c9432a5.pdf</t>
  </si>
  <si>
    <t>http://ncltapi.saverisk.com/ncltsaverisk.aspx?path=/DriveD/NCLT/Order_Judgements/pdf/04_order-Challange_004_1703159376104760834565842650e0341.pdf</t>
  </si>
  <si>
    <t>2023-12-21</t>
  </si>
  <si>
    <t>http://ncltapi.saverisk.com/ncltsaverisk.aspx?path=/DriveD/NCLT/Order_Judgements/pdf/04_order-Challange_004_170566849613292736565aa6f90a8924.pdf</t>
  </si>
  <si>
    <t>2024-01-19</t>
  </si>
  <si>
    <t>http://ncltapi.saverisk.com/ncltsaverisk.aspx?path=/DriveD/NCLT/Order_Judgements/pdf/04_order-Challange_004_1709032583127655156265ddc48761bae.pdf</t>
  </si>
  <si>
    <t>2024-02-27</t>
  </si>
  <si>
    <t>http://ncltapi.saverisk.com/ncltsaverisk.aspx?path=/DriveD/NCLT/Order_Judgements/pdf/04_order-Challange_004_171871131112693872886671740f7ac5c.pdf</t>
  </si>
  <si>
    <t>http://ncltapi.saverisk.com/ncltsaverisk.aspx?path=/DriveD/NCLT/Order_Judgements/pdf/04_order-Challange_004_17210422036264772396695051b84ef6.pdf</t>
  </si>
  <si>
    <t>2024-07-15</t>
  </si>
  <si>
    <t>http://ncltapi.saverisk.com/ncltsaverisk.aspx?path=/DriveD/NCLT/Order_Judgements/pdf/04_order-Challange_004_1725338693213476665266d694452fff4.pdf</t>
  </si>
  <si>
    <t>2024-09-02</t>
  </si>
  <si>
    <t>http://ncltapi.saverisk.com/ncltsaverisk.aspx?path=/DriveD/NCLT/Order_Judgements/pdf/04_order-Challange_004_172778314947012877766fbe0edb5e50.pdf</t>
  </si>
  <si>
    <t>2024-10-01</t>
  </si>
  <si>
    <t>http://ncltapi.saverisk.com/ncltsaverisk.aspx?path=/DriveD/NCLT/Order_Judgements/pdf/04_order-Challange_004_17320761861259517024673d629a4d0af.pdf</t>
  </si>
  <si>
    <t>http://ncltapi.saverisk.com/ncltsaverisk.aspx?path=/DriveD/NCLT/Order_Judgements/pdf/04_order-Challange_004_1737974309241129661679762251333e.pdf</t>
  </si>
  <si>
    <t>http://ncltapi.saverisk.com/ncltsaverisk.aspx?path=/DriveD/NCLT/Order_Judgements/pdf/04_order-Challange_004_174184964888408914767d284307b5f7.pdf</t>
  </si>
  <si>
    <t>2025-03-12</t>
  </si>
  <si>
    <t>http://ncltapi.saverisk.com/ncltsaverisk.aspx?path=/DriveD/NCLT/Order_Judgements/pdf/04_order-Challange_004_17473894356260208068270bfb02c74.pdf</t>
  </si>
  <si>
    <t>http://ncltapi.saverisk.com/ncltsaverisk.aspx?path=/DriveD/NCLT/Order_Judgements/pdf/04_order-Challange_004_17521378361571813209686f806c0b6cb.pdf</t>
  </si>
  <si>
    <t>2025-07-09</t>
  </si>
  <si>
    <t>http://ncltapi.saverisk.com/ncltsaverisk.aspx?path=/DriveD/NCLT/Order_Judgements/pdf/04_order-Challange_004_17549933691318635120689b12d984d6d.pdf</t>
  </si>
  <si>
    <t>2025-08-11</t>
  </si>
  <si>
    <t>Jaihind Projects Limited. , Parixit Irrigation Limited V/s. Parthiv Parikh Rp Of Jaihind Projects, Vedanta Limited, Uday Structurals And Engineers,</t>
  </si>
  <si>
    <t>http://ncltapi.saverisk.com/ncltsaverisk.aspx?path=/DriveD/NCLT/Order_Judgements/pdf/04_order-Challange_004_1758867801199044398668d6315916f37.pdf</t>
  </si>
  <si>
    <t>Jaihind Projects Limited., Parixit Irrigation Limited V/s. Parthiv Parikh Rp Of Jaihind Projects , Uday Structurals And Engineers, Vedanta Limited</t>
  </si>
  <si>
    <t>http://ncltapi.saverisk.com/ncltsaverisk.aspx?path=/DriveD/NCLT/Order_Judgements/pdf/04_order-Challange_004_17689960136586975686970bcad9e5bb.pdf</t>
  </si>
  <si>
    <t>2026-01-20</t>
  </si>
  <si>
    <t>Jaihind Projects Limited., Parixit Irrigation Limited V/s. Parthiv Parikh Rp Of Jaihind Projects, Uday Structurals And Engineers,, Vedanta Limited</t>
  </si>
  <si>
    <t>http://ncltapi.saverisk.com/ncltsaverisk.aspx?path=/DriveD/NCLT/Order_Judgements/pdf/04_order-Challange_004_1770891053608508947698da72da83a0.pdf</t>
  </si>
  <si>
    <t>http://ncltapi.saverisk.com/ncltsaverisk.aspx?path=/DriveD/NCLT/Order_Judgements/pdf/04_order-Challange_004_177364994055796475769b7c01451149.pdf</t>
  </si>
  <si>
    <t>2026-03-12</t>
  </si>
  <si>
    <t>Ia(i.b.c) - 73/2020</t>
  </si>
  <si>
    <t xml:space="preserve">Mrt Signals Ltd.  V/s. Committee Of Creditors Of Electrosteel Steels Limited , Electrosteel Steels Limited, Vedanta Limited</t>
  </si>
  <si>
    <t>http://ncltapi.saverisk.com/ncltsaverisk.aspx?path=/DriveD/NCLT/Order_Judgements/pdf/04_order-Challange_004_1630997563128963732261370c3b13d0f.pdf</t>
  </si>
  <si>
    <t>http://ncltapi.saverisk.com/ncltsaverisk.aspx?path=/DriveD/NCLT/Order_Judgements/pdf/04_order-Challange_004_168838224994263884464a2ab29710ad.pdf</t>
  </si>
  <si>
    <t>http://ncltapi.saverisk.com/ncltsaverisk.aspx?path=/DriveD/NCLT/Order_Judgements/pdf/04_order-Challange_004_168898073190613200564abccfb93858.pdf</t>
  </si>
  <si>
    <t>http://ncltapi.saverisk.com/ncltsaverisk.aspx?path=/DriveD/NCLT/Order_Judgements/pdf/04_order-Challange_004_168976094681167135464b7b4b254887.pdf</t>
  </si>
  <si>
    <t>http://ncltapi.saverisk.com/ncltsaverisk.aspx?path=/DriveD/NCLT/Order_Judgements/pdf/04_order-Challange_004_1690176101545158564be0a65c027c.pdf</t>
  </si>
  <si>
    <t>http://ncltapi.saverisk.com/ncltsaverisk.aspx?path=/DriveD/NCLT/Order_Judgements/pdf/04_order-Challange_004_1758087288150543032168ca4878498b3.pdf</t>
  </si>
  <si>
    <t>http://ncltapi.saverisk.com/ncltsaverisk.aspx?path=/DriveD/NCLT/Order_Judgements/pdf/04_order-Challange_004_175922422574275956168dba1a1f2c57.pdf</t>
  </si>
  <si>
    <t>http://ncltapi.saverisk.com/ncltsaverisk.aspx?path=/DriveD/NCLT/Order_Judgements/pdf/04_order-Challange_004_1760425804190774073668edf74c3ff7f.pdf</t>
  </si>
  <si>
    <t>S No</t>
  </si>
  <si>
    <t>Rn</t>
  </si>
  <si>
    <t>C Id</t>
  </si>
  <si>
    <t>Bench</t>
  </si>
  <si>
    <t>Case Number</t>
  </si>
  <si>
    <t>Name Of Parties</t>
  </si>
  <si>
    <t>Respondent</t>
  </si>
  <si>
    <t>Show Order Date</t>
  </si>
  <si>
    <t>Case Status</t>
  </si>
  <si>
    <t>Source Link</t>
  </si>
  <si>
    <t>Legal Prctnr</t>
  </si>
  <si>
    <t>Cin Appellant</t>
  </si>
  <si>
    <t>Cin Respondent</t>
  </si>
  <si>
    <t>Respondent Path Hascode</t>
  </si>
  <si>
    <t>Respondentdisplay Url</t>
  </si>
  <si>
    <t>Appellant Path Hascode</t>
  </si>
  <si>
    <t>Appellant Display Url</t>
  </si>
  <si>
    <t>First Date</t>
  </si>
  <si>
    <t>Last Hearing Date</t>
  </si>
  <si>
    <t>Next Hearing Date</t>
  </si>
  <si>
    <t>Interim Orders</t>
  </si>
  <si>
    <t>Case Type</t>
  </si>
  <si>
    <t>A Cin</t>
  </si>
  <si>
    <t>R Cin</t>
  </si>
  <si>
    <t>Party Type</t>
  </si>
  <si>
    <t>Is Filter Apply</t>
  </si>
  <si>
    <t>India Power Corporation Limited^india Power Corporation Limited</t>
  </si>
  <si>
    <t>Ravi Shankar Devarakonda^state Bank Of India^vedanta Limited^ravi Shankar Devarakonda</t>
  </si>
  <si>
    <t>Disposed</t>
  </si>
  <si>
    <t xml:space="preserve"> L40105wb1919plc003263^ L40105wb1919plc003263^ L40105wb1919plc003263^ L40105wb1919plc003263^ L40105wb1919plc003263^ L40105wb1919plc003263^ L40105wb1919plc003263</t>
  </si>
  <si>
    <t xml:space="preserve"> ^ Srb2015102039^ L13209mh1965plc291394^ ^ Srb2015102039^ L13209mh1965plc291394^ ^ Srb2015102039^ L13209mh1965plc291394^ ^ Srb2015102039^ L13209mh1965plc291394^ ^ Srb2015102039^ L13209mh1965plc291394^ ^ Srb2015102039^ L13209mh1965plc291394</t>
  </si>
  <si>
    <t xml:space="preserve"> ^ 0xed4947561ea0fba2fd775dc30f317548^ 0xaf032255badb17af554c7fdb09826a92^ ^ 0xed4947561ea0fba2fd775dc30f317548^ 0xaf032255badb17af554c7fdb09826a92^ ^ 0xed4947561ea0fba2fd775dc30f317548^ 0xaf032255badb17af554c7fdb09826a92^ ^ 0xed4947561ea0fba2fd775dc30f317548^ 0xaf032255badb17af554c7fdb09826a92^ ^ 0xed4947561ea0fba2fd775dc30f317548^ 0xaf032255badb17af554c7fdb09826a92^ ^ 0xed4947561ea0fba2fd775dc30f317548^ 0xaf032255badb17af554c7fdb09826a92</t>
  </si>
  <si>
    <t xml:space="preserve"> ^ State Bank Of India^ Vedanta Limited^ ^ State Bank Of India^ Vedanta Limited^ ^ State Bank Of India^ Vedanta Limited^ ^ State Bank Of India^ Vedanta Limited^ ^ State Bank Of India^ Vedanta Limited^ ^ State Bank Of India^ Vedanta Limited</t>
  </si>
  <si>
    <t xml:space="preserve"> 0x12b05e018a40936f969dc9a869e5f89b^ 0x12b05e018a40936f969dc9a869e5f89b^ 0x12b05e018a40936f969dc9a869e5f89b^ 0x12b05e018a40936f969dc9a869e5f89b^ 0x12b05e018a40936f969dc9a869e5f89b^ 0x12b05e018a40936f969dc9a869e5f89b^ 0x12b05e018a40936f969dc9a869e5f89b</t>
  </si>
  <si>
    <t xml:space="preserve"> India Power Corporation Limited^ India Power Corporation Limited^ India Power Corporation Limited^ India Power Corporation Limited^ India Power Corporation Limited^ India Power Corporation Limited^ India Power Corporation Limited</t>
  </si>
  <si>
    <t xml:space="preserve"> R, R, R, R, R, R, R</t>
  </si>
  <si>
    <t>Prudent Arc Limited</t>
  </si>
  <si>
    <t>Vedanta Limited^ravi Sankar Devarkonda</t>
  </si>
  <si>
    <t xml:space="preserve"> U74900dl2011plc225445</t>
  </si>
  <si>
    <t xml:space="preserve"> ^ L13209mh1965plc291394</t>
  </si>
  <si>
    <t xml:space="preserve"> ^ 0xaf032255badb17af554c7fdb09826a92</t>
  </si>
  <si>
    <t xml:space="preserve"> ^ Vedanta Limited</t>
  </si>
  <si>
    <t xml:space="preserve"> 0x05b3e32428e7bd2e527b654ed8c57a00</t>
  </si>
  <si>
    <t xml:space="preserve"> Prudent Arc Limited</t>
  </si>
  <si>
    <t xml:space="preserve"> R, R</t>
  </si>
  <si>
    <t>Ravi Shankar Devarakonda^state Bank Of India^vedanta Limited</t>
  </si>
  <si>
    <t xml:space="preserve"> L13209mh1965plc291394^ ^ Srb2015102039</t>
  </si>
  <si>
    <t xml:space="preserve"> 0xaf032255badb17af554c7fdb09826a92^ ^ 0xed4947561ea0fba2fd775dc30f317548</t>
  </si>
  <si>
    <t xml:space="preserve"> Vedanta Limited^ ^ State Bank Of India</t>
  </si>
  <si>
    <t>Prudent Arc Limited^prudent Arc Limited</t>
  </si>
  <si>
    <t>Meenakshi Energy Limited^state Bank Of India^vedanta Limited^meenakshi Energy Limited</t>
  </si>
  <si>
    <t xml:space="preserve"> U74900dl2011plc225445^ U74900dl2011plc225445^ U74900dl2011plc225445^ U74900dl2011plc225445</t>
  </si>
  <si>
    <t xml:space="preserve"> U40101tg1996plc054239^ Srb2015102039^ L13209mh1965plc291394^ U40101tg1996plc054239^ Srb2015102039^ L13209mh1965plc291394</t>
  </si>
  <si>
    <t xml:space="preserve"> 0x6abecc8bf68eaa01f263084a1ff45462^ 0xed4947561ea0fba2fd775dc30f317548^ 0xaf032255badb17af554c7fdb09826a92^ 0x6abecc8bf68eaa01f263084a1ff45462^ 0xed4947561ea0fba2fd775dc30f317548^ 0xaf032255badb17af554c7fdb09826a92</t>
  </si>
  <si>
    <t xml:space="preserve"> Meenakshi Energy Limited^ State Bank Of India^ Vedanta Limited^ Meenakshi Energy Limited^ State Bank Of India^ Vedanta Limited</t>
  </si>
  <si>
    <t xml:space="preserve"> 0x05b3e32428e7bd2e527b654ed8c57a00^ 0x05b3e32428e7bd2e527b654ed8c57a00^ 0x05b3e32428e7bd2e527b654ed8c57a00^ 0x05b3e32428e7bd2e527b654ed8c57a00</t>
  </si>
  <si>
    <t xml:space="preserve"> Prudent Arc Limited^ Prudent Arc Limited^ Prudent Arc Limited^ Prudent Arc Limited</t>
  </si>
  <si>
    <t xml:space="preserve"> R, R, R</t>
  </si>
  <si>
    <t>Devi Trading And Holding Pvt Ltd^devi Trading And Holding Pvt Ltd</t>
  </si>
  <si>
    <t>State Bank Of India^vedanta Limited^ravi Sankara Devarkonda</t>
  </si>
  <si>
    <t xml:space="preserve"> U51219wb1987ptc041988^ U51219wb1987ptc041988^ U51219wb1987ptc041988</t>
  </si>
  <si>
    <t xml:space="preserve"> ^ Srb2015102039^ L13209mh1965plc291394</t>
  </si>
  <si>
    <t xml:space="preserve"> ^ 0xed4947561ea0fba2fd775dc30f317548^ 0xaf032255badb17af554c7fdb09826a92</t>
  </si>
  <si>
    <t xml:space="preserve"> ^ State Bank Of India^ Vedanta Limited</t>
  </si>
  <si>
    <t xml:space="preserve"> 0xf765123a1ecff4b0d209d6710cb6ef23^ 0xf765123a1ecff4b0d209d6710cb6ef23^ 0xf765123a1ecff4b0d209d6710cb6ef23</t>
  </si>
  <si>
    <t xml:space="preserve"> Devi Trading   Holding Pvt Ltd^ Devi Trading   Holding Pvt Ltd^ Devi Trading   Holding Pvt Ltd</t>
  </si>
  <si>
    <t>Vedanta Limited^vedanta Limited</t>
  </si>
  <si>
    <t xml:space="preserve"> L13209mh1965plc291394^ L13209mh1965plc291394</t>
  </si>
  <si>
    <t xml:space="preserve"> 0xaf032255badb17af554c7fdb09826a92^ 0xaf032255badb17af554c7fdb09826a92</t>
  </si>
  <si>
    <t xml:space="preserve"> Vedanta Limited^ Vedanta Limited</t>
  </si>
  <si>
    <t xml:space="preserve"> A, A, A</t>
  </si>
  <si>
    <t>Sona Alloys Private Limited^ca Vikash Gautamchand Jain</t>
  </si>
  <si>
    <t>Pending</t>
  </si>
  <si>
    <t xml:space="preserve"> ^ U27107gj2007ptc049708</t>
  </si>
  <si>
    <t xml:space="preserve"> ^ 0x8b268990cd7c45972e19f0b9a0d8f1fc</t>
  </si>
  <si>
    <t xml:space="preserve"> ^ Sona Alloys Private Limited</t>
  </si>
  <si>
    <t>Saraogi Udyog Private Limited</t>
  </si>
  <si>
    <t xml:space="preserve"> U23109wb1996ptc079509</t>
  </si>
  <si>
    <t xml:space="preserve"> L13209mh1965plc291394</t>
  </si>
  <si>
    <t xml:space="preserve"> 0xaf032255badb17af554c7fdb09826a92</t>
  </si>
  <si>
    <t xml:space="preserve"> Vedanta Limited</t>
  </si>
  <si>
    <t xml:space="preserve"> 0x8861298c698e7ed2955594323d73ceab</t>
  </si>
  <si>
    <t xml:space="preserve"> Saraogi Udyog Private Limited</t>
  </si>
  <si>
    <t>Sona Alloys Private Limited^1. Ca Vikash Gautamchand Jain</t>
  </si>
  <si>
    <t>Airen Metals Pvt Ltd^airen Copper Private Limited</t>
  </si>
  <si>
    <t>Vedanta Limited^hindalco Industries Limited</t>
  </si>
  <si>
    <t>Rajesh Kumar Gautam -(appl.)</t>
  </si>
  <si>
    <t xml:space="preserve"> U27201rj2002ptc017445^ U27201rj1995ptc011117</t>
  </si>
  <si>
    <t xml:space="preserve"> L27020mh1958plc011238^ L13209mh1965plc291394</t>
  </si>
  <si>
    <t xml:space="preserve"> 0x9f13b699f670d70895e24e5c8883ee7a^ 0xaf032255badb17af554c7fdb09826a92</t>
  </si>
  <si>
    <t xml:space="preserve"> Hindalco Industries Limited^ Vedanta Limited</t>
  </si>
  <si>
    <t xml:space="preserve"> 0x287d336eb524551798e9ea8f5654f18a^ 0xdb7d13684a2b493b56123b7487b0d093</t>
  </si>
  <si>
    <t xml:space="preserve"> Airen Copper Private Limited^ Airen Metals Pvt Ltd</t>
  </si>
  <si>
    <t>2026-07-20</t>
  </si>
  <si>
    <t xml:space="preserve"> R</t>
  </si>
  <si>
    <t>Bhagwati Singh</t>
  </si>
  <si>
    <t>Axis Bank Limited^fasqua Investment Private Limited^icici Bank Limited^kamala Mills Limited^pegasus Assets Reconstruction Private Limited^tropical Ventures Private Limited^vedanta Limited^asset Reconstruction Company India Limited</t>
  </si>
  <si>
    <t>Rishav Ranjan -(ptr.)</t>
  </si>
  <si>
    <t xml:space="preserve"> </t>
  </si>
  <si>
    <t xml:space="preserve"> U65999mh2002plc134884^ L65110gj1993plc020769^ L65190gj1994plc021012^ U67120mh1992ptc069759^ L13209mh1965plc291394 ^ U21021kl2005ptc017749^ U65999mh2004ptc144113^ U99999mh1934plc103845</t>
  </si>
  <si>
    <t xml:space="preserve"> 0x854f5493cea45f8108e3cad49f52fb2e^ 0xa0374c02be376db9c81a0a6762bea2f6^ 0xd236d4ae9cdd6bc2e4f8a108d8ab4319^ 0x05e9e84b58cd7d723fc561926d14d201^ 0xaf032255badb17af554c7fdb09826a92^ 0xde7cccd049eac065a1885b6699992036^ 0x2150f6733afa36c6b7164ca5aed94415^ 0xd43cdb1695d3f42deb40ded71b66c053</t>
  </si>
  <si>
    <t xml:space="preserve"> Asset Reconstruction Company India Limited^ Axis Bank Limited^ Icici Bank Limited^ Fasqua Investment Private Limited^ Vedanta Limited^ Tropical Ventures Private Limited^ Pegasus Assets Reconstruction Private Limited^ Kamala Mills Limited</t>
  </si>
  <si>
    <t>Axis Bank Limited^fasqua Investment Private Limited^icici Bank Limited^kamala Mills Limited^pegasus Assets Reconstruction Private Limited^vedanta Limited^asset Reconstruction Company India Limited</t>
  </si>
  <si>
    <t>Rishav Ranjan -(appl.)</t>
  </si>
  <si>
    <t xml:space="preserve"> U65999mh2002plc134884^ L65110gj1993plc020769^ L65190gj1994plc021012^ U67120mh1992ptc069759^ L13209mh1965plc291394 ^ U65999mh2004ptc144113^ U99999mh1934plc103845</t>
  </si>
  <si>
    <t xml:space="preserve"> 0x854f5493cea45f8108e3cad49f52fb2e^ 0xa0374c02be376db9c81a0a6762bea2f6^ 0xd236d4ae9cdd6bc2e4f8a108d8ab4319^ 0x05e9e84b58cd7d723fc561926d14d201^ 0xaf032255badb17af554c7fdb09826a92^ 0x2150f6733afa36c6b7164ca5aed94415^ 0xd43cdb1695d3f42deb40ded71b66c053</t>
  </si>
  <si>
    <t xml:space="preserve"> Asset Reconstruction Company India Limited^ Axis Bank Limited^ Icici Bank Limited^ Fasqua Investment Private Limited^ Vedanta Limited^ Pegasus Assets Reconstruction Private Limited^ Kamala Mills Limited</t>
  </si>
  <si>
    <t>Akash Sharma -(ptr.)</t>
  </si>
  <si>
    <t>Akash Sharma, Rishav Ranjan -(appl.)</t>
  </si>
  <si>
    <t>Bhagawati Singh</t>
  </si>
  <si>
    <t xml:space="preserve"> U65999mh2002plc134884^ L65110gj1993plc020769^ U67120mh1992ptc069759^ L65190gj1994plc021012^ L13209mh1965plc291394 ^ U21021kl2005ptc017749^ U65999mh2004ptc144113^ U99999mh1934plc103845</t>
  </si>
  <si>
    <t xml:space="preserve"> 0x854f5493cea45f8108e3cad49f52fb2e^ 0xa0374c02be376db9c81a0a6762bea2f6^ 0x05e9e84b58cd7d723fc561926d14d201^ 0xd236d4ae9cdd6bc2e4f8a108d8ab4319^ 0xaf032255badb17af554c7fdb09826a92^ 0xde7cccd049eac065a1885b6699992036^ 0x2150f6733afa36c6b7164ca5aed94415^ 0xd43cdb1695d3f42deb40ded71b66c053</t>
  </si>
  <si>
    <t xml:space="preserve"> Asset Reconstruction Company India Limited^ Axis Bank Limited^ Fasqua Investment Private Limited^ Icici Bank Limited^ Vedanta Limited^ Tropical Ventures Private Limited^ Pegasus Assets Reconstruction Private Limited^ Kamala Mills Limited</t>
  </si>
  <si>
    <t xml:space="preserve"> U65999mh2002plc134884^ L65110gj1993plc020769^ U67120mh1992ptc069759^ L65190gj1994plc021012^ L13209mh1965plc291394 ^ U65999mh2004ptc144113^ U99999mh1934plc103845</t>
  </si>
  <si>
    <t xml:space="preserve"> 0x854f5493cea45f8108e3cad49f52fb2e^ 0xa0374c02be376db9c81a0a6762bea2f6^ 0x05e9e84b58cd7d723fc561926d14d201^ 0xd236d4ae9cdd6bc2e4f8a108d8ab4319^ 0xaf032255badb17af554c7fdb09826a92^ 0x2150f6733afa36c6b7164ca5aed94415^ 0xd43cdb1695d3f42deb40ded71b66c053</t>
  </si>
  <si>
    <t xml:space="preserve"> Asset Reconstruction Company India Limited^ Axis Bank Limited^ Fasqua Investment Private Limited^ Icici Bank Limited^ Vedanta Limited^ Pegasus Assets Reconstruction Private Limited^ Kamala Mills Limited</t>
  </si>
  <si>
    <t>Tropical Ventures Private Limited^incab Industries Ltd.</t>
  </si>
  <si>
    <t>Abhishek Anand -(appl.)</t>
  </si>
  <si>
    <t xml:space="preserve"> U27108wb1920plc003641^ U21021kl2005ptc017749</t>
  </si>
  <si>
    <t xml:space="preserve"> 0xe882abac1498b3569b8b57e86f6d7183^ 0xde7cccd049eac065a1885b6699992036</t>
  </si>
  <si>
    <t xml:space="preserve"> Incab Industries Ltd ^ Tropical Ventures Private Limited</t>
  </si>
  <si>
    <t>2025-08-05</t>
  </si>
  <si>
    <t xml:space="preserve"> A</t>
  </si>
  <si>
    <t>Tropical Ventures Company Limited</t>
  </si>
  <si>
    <t>Pegasus Assets Reconstruction Private Limited^vedanta Limited^incab Industries Ltd.</t>
  </si>
  <si>
    <t>Dhruv Malik -(appl.)</t>
  </si>
  <si>
    <t xml:space="preserve"> U27108wb1920plc003641^ U65999mh2004ptc144113^ L13209mh1965plc291394</t>
  </si>
  <si>
    <t xml:space="preserve"> 0xe882abac1498b3569b8b57e86f6d7183^ 0x2150f6733afa36c6b7164ca5aed94415^ 0xaf032255badb17af554c7fdb09826a92</t>
  </si>
  <si>
    <t xml:space="preserve"> Incab Industries Ltd ^ Pegasus Assets Reconstruction Private Limited^ Vedanta Limited</t>
  </si>
  <si>
    <t>2026-04-24</t>
  </si>
  <si>
    <t>Tropical Ventures Private Limited</t>
  </si>
  <si>
    <t xml:space="preserve"> U21021kl2005ptc017749</t>
  </si>
  <si>
    <t xml:space="preserve"> 0xde7cccd049eac065a1885b6699992036</t>
  </si>
  <si>
    <t xml:space="preserve"> Tropical Ventures Private Limited</t>
  </si>
  <si>
    <t>Hdfc Bank Limited^icici Bank Limited^incab Industries Ltd.^indian Bank^life Insurance Corporation Of India^pegasus Assets Reconstruction Private Limited^punjab National Bank^the New India Assurance Company Limited^vedanta Limited^general Insurance Corporation Of India</t>
  </si>
  <si>
    <t xml:space="preserve"> L67200mh1972goi016133^ L65920mh1994plc080618^ L65190gj1994plc021012^ L65190gj1994plc021012^ Idib ^ L13209mh1965plc291394^ L66000mh1919goi000526^ Punb^ Srb2015102021^ U27108wb1920plc003641^ U65999mh2004ptc144113</t>
  </si>
  <si>
    <t xml:space="preserve"> 0xb40a9947d9e0e31555bbe8db5f5a2a02^ 0xfc9c028d65244dcb80ae196ad52940dd^ 0xd236d4ae9cdd6bc2e4f8a108d8ab4319^ 0xd236d4ae9cdd6bc2e4f8a108d8ab4319^ 0x75967d5a21248e7c14768a6a3e937d35^ 0xaf032255badb17af554c7fdb09826a92^ 0xc3e507f463520bd2ee504b79bbe251f3^ 0xa9c8f9c2a810e8bf8345112dbdd1c185^ 0x05d53b242aadabf0f333e7df922a8f40^ 0xe882abac1498b3569b8b57e86f6d7183^ 0x2150f6733afa36c6b7164ca5aed94415</t>
  </si>
  <si>
    <t xml:space="preserve"> General Insurance Corporation Of India^ Hdfc Bank Limited^ Icici Bank Limited^ Icici Bank Limited^ Indian Bank^ Vedanta Limited^ The New India Assurance Company Limited^ Punjab National Bank^ Life Insurance Corporation Of India^ Incab Industries Ltd ^ Pegasus Assets Reconstruction Private Limited</t>
  </si>
  <si>
    <t>Jaiprakash Associates Limited^jaiprakash Associates Limited</t>
  </si>
  <si>
    <t>Deep Roy -(ptr.)</t>
  </si>
  <si>
    <t xml:space="preserve"> L14106up1995plc019017^ L14106up1995plc019017</t>
  </si>
  <si>
    <t xml:space="preserve"> 0x9474e651b4a51b46a12b6908c308756c^ 0x9474e651b4a51b46a12b6908c308756c</t>
  </si>
  <si>
    <t xml:space="preserve"> Jaiprakash Associates Limited^ Jaiprakash Associates Limited</t>
  </si>
  <si>
    <t>Jaiprakash Associates Limited^committee Of Creditors</t>
  </si>
  <si>
    <t xml:space="preserve"> ^ L14106up1995plc019017</t>
  </si>
  <si>
    <t xml:space="preserve"> ^ 0x9474e651b4a51b46a12b6908c308756c</t>
  </si>
  <si>
    <t xml:space="preserve"> ^ Jaiprakash Associates Limited</t>
  </si>
  <si>
    <t>Asset Reconstruction Company India Limited^axis Bank Limited^fasqua Investment Private Limited^icici Bank Limited^kamala Mills Limited^pegasus Assets Reconstruction Private Limited^vedanta Limited^tropical Ventures Private Limited</t>
  </si>
  <si>
    <t xml:space="preserve"> U21021kl2005ptc017749^ U65999mh2004ptc144113^ U99999mh1934plc103845^ U65999mh2002plc134884^ L65110gj1993plc020769^ U67120mh1992ptc069759^ L65190gj1994plc021012^ L13209mh1965plc291394 </t>
  </si>
  <si>
    <t xml:space="preserve"> 0xde7cccd049eac065a1885b6699992036^ 0x2150f6733afa36c6b7164ca5aed94415^ 0xd43cdb1695d3f42deb40ded71b66c053^ 0x854f5493cea45f8108e3cad49f52fb2e^ 0xa0374c02be376db9c81a0a6762bea2f6^ 0x05e9e84b58cd7d723fc561926d14d201^ 0xd236d4ae9cdd6bc2e4f8a108d8ab4319^ 0xaf032255badb17af554c7fdb09826a92</t>
  </si>
  <si>
    <t xml:space="preserve"> Tropical Ventures Private Limited^ Pegasus Assets Reconstruction Private Limited^ Kamala Mills Limited^ Asset Reconstruction Company India Limited^ Axis Bank Limited^ Fasqua Investment Private Limited^ Icici Bank Limited^ Vedanta Limited</t>
  </si>
  <si>
    <t>Axis Bank Limited^fasqua Investment Private Limited^icici Bank Limited^kamala Mills Limited^tropical Ventures Private Limited^vedanta Limited^asset Reconstruction Company India Limited</t>
  </si>
  <si>
    <t xml:space="preserve"> U65999mh2002plc134884^ L65110gj1993plc020769^ U67120mh1992ptc069759^ L65190gj1994plc021012^ L13209mh1965plc291394 ^ U21021kl2005ptc017749^ U99999mh1934plc103845</t>
  </si>
  <si>
    <t xml:space="preserve"> 0x854f5493cea45f8108e3cad49f52fb2e^ 0xa0374c02be376db9c81a0a6762bea2f6^ 0x05e9e84b58cd7d723fc561926d14d201^ 0xd236d4ae9cdd6bc2e4f8a108d8ab4319^ 0xaf032255badb17af554c7fdb09826a92^ 0xde7cccd049eac065a1885b6699992036^ 0xd43cdb1695d3f42deb40ded71b66c053</t>
  </si>
  <si>
    <t xml:space="preserve"> Asset Reconstruction Company India Limited^ Axis Bank Limited^ Fasqua Investment Private Limited^ Icici Bank Limited^ Vedanta Limited^ Tropical Ventures Private Limited^ Kamala Mills Limited</t>
  </si>
  <si>
    <t>Asset Reconstruction Company India Limited^axis Bank Limited^fasqua Investment Private Limited^icici Bank Limited^kamala Mills Limited^pegasus Assets Reconstruction Private Limited^vedanta Limited^ramesh Ghamandiram Gowani</t>
  </si>
  <si>
    <t xml:space="preserve"> ^ U65999mh2002plc134884^ L65110gj1993plc020769^ L65190gj1994plc021012^ L13209mh1965plc291394 ^ U65999mh2004ptc144113^ U67120mh1992ptc069759^ U99999mh1934plc103845</t>
  </si>
  <si>
    <t xml:space="preserve"> ^ 0x854f5493cea45f8108e3cad49f52fb2e^ 0xa0374c02be376db9c81a0a6762bea2f6^ 0xd236d4ae9cdd6bc2e4f8a108d8ab4319^ 0xaf032255badb17af554c7fdb09826a92^ 0x2150f6733afa36c6b7164ca5aed94415^ 0x05e9e84b58cd7d723fc561926d14d201^ 0xd43cdb1695d3f42deb40ded71b66c053</t>
  </si>
  <si>
    <t xml:space="preserve"> ^ Asset Reconstruction Company India Limited^ Axis Bank Limited^ Icici Bank Limited^ Vedanta Limited^ Pegasus Assets Reconstruction Private Limited^ Fasqua Investment Private Limited^ Kamala Mills Limited</t>
  </si>
  <si>
    <t>2026-05-08</t>
  </si>
  <si>
    <t>Ravi Sankar Devarkonda^andhra Bank^bank Of India^idbi Bank Limited^india Infrastructure Finance Company Limited^punjab And Sind Bank^punjab National Bank^rec Limited^sbicap Securities Limited^sbicap Trustee Company Limited^uco Bank^united Bank Of India^state Bank Of India</t>
  </si>
  <si>
    <t>M Ramu -(ptr.), D Narendar Naik -(res.)</t>
  </si>
  <si>
    <t xml:space="preserve"> Srb2015102039^ U65991mh2005plc158386^ Punb^ Andb ^ Bkid^ L40101dl1969goi005095^ L65190mh2004goi148838^ Psib^ Punb^ U65999mh2005plc155485^ U67190dl2006goi144520^ Ucba^ Utbi^ </t>
  </si>
  <si>
    <t xml:space="preserve"> 0xed4947561ea0fba2fd775dc30f317548^ 0xde415a9eefe4c74f5f9831600b34dfb5^ 0xa9c8f9c2a810e8bf8345112dbdd1c185^ 0x9db56a6a70f2a921e6199f7050c21b04^ 0x2d332cd2118c47fbbd10987503823f32^ 0xff385abe3a65d560342085e82e30cb63^ 0x41655b632e8fe110c45994ead95c8b79^ 0x7dfd8f7a0764dbe414e98d675ce0ea9b^ 0xa9c8f9c2a810e8bf8345112dbdd1c185^ 0xa29b21dbada1ff818e77f3c38f79ccda^ 0x18d1124104a49a3c9e24b29eed2740d3^ 0x45c59d3efd95157adfd9f8d96d7a3b89^ 0x369677d557b1d374e87e16bae08d762b^ </t>
  </si>
  <si>
    <t xml:space="preserve"> State Bank Of India^ Sbicap Trustee Company Limited^ Punjab National Bank^ Andhra Bank^ Bank Of India^ Rural Electrification Corporation Limited^ Idbi Bank Limited^ Punjab And Sind Bank^ Punjab National Bank^ Sbicap Securities Limited^ India Infrastructure Finance Company Limited^ Uco Bank^ United Bank Of India^ </t>
  </si>
  <si>
    <t>Athena Chhattisgarh Power Limited^athena Chhattisgarh Power Limited</t>
  </si>
  <si>
    <t>Krishna C.v. Grandhi (ptr.)</t>
  </si>
  <si>
    <t xml:space="preserve"> U31908tg2007plc058993^ U31908tg2007plc058993^ U31908tg2007plc058993</t>
  </si>
  <si>
    <t xml:space="preserve"> 0x2ff0b3e02194892b9a9b5ae83a7f41a9^ 0x2ff0b3e02194892b9a9b5ae83a7f41a9^ 0x2ff0b3e02194892b9a9b5ae83a7f41a9</t>
  </si>
  <si>
    <t xml:space="preserve"> Athena Chhattisgarh Power Limited^ Athena Chhattisgarh Power Limited^ Athena Chhattisgarh Power Limited</t>
  </si>
  <si>
    <t>Ahmedabad</t>
  </si>
  <si>
    <t>Parixit Irrigation Limited^jaihind Projects Limited</t>
  </si>
  <si>
    <t>Uday Structurals And Engineers^vedanta Limited^parthiv Parikh Rp Of Jaihind Projects</t>
  </si>
  <si>
    <t>Salil M. Thakore (ptr.), Raheel Patel (res.)</t>
  </si>
  <si>
    <t xml:space="preserve"> U45100gj1985plc008338^ U25200gj1989plc012672</t>
  </si>
  <si>
    <t xml:space="preserve"> ^ L13209mh1965plc291394^ </t>
  </si>
  <si>
    <t xml:space="preserve"> ^ 0xaf032255badb17af554c7fdb09826a92^ </t>
  </si>
  <si>
    <t xml:space="preserve"> ^ Vedanta Limited^ </t>
  </si>
  <si>
    <t xml:space="preserve"> 0x331e346a6d7ac49e1c1e5b98ca7bd872^ 0x184c53aa76562bd4e85807b5b72bb26f</t>
  </si>
  <si>
    <t xml:space="preserve"> Jaihind Projects Limited^ Emtelle India Limited</t>
  </si>
  <si>
    <t>2026-06-12</t>
  </si>
  <si>
    <t>Allahabad</t>
  </si>
  <si>
    <t>Bharat Lal Mishra-(ptr.), Sandeep Arora-(res.)</t>
  </si>
  <si>
    <t>Paradeep Port Trust</t>
  </si>
  <si>
    <t>Vedanta Limited^athena Chhattisgarh Power Limited</t>
  </si>
  <si>
    <t>Vasanthakumar M -(ptr.)</t>
  </si>
  <si>
    <t xml:space="preserve"> U31908tg2007plc058993^ L13209mh1965plc291394</t>
  </si>
  <si>
    <t xml:space="preserve"> 0x2ff0b3e02194892b9a9b5ae83a7f41a9^ 0xaf032255badb17af554c7fdb09826a92</t>
  </si>
  <si>
    <t xml:space="preserve"> Athena Chhattisgarh Power Limited^ Vedanta Limited</t>
  </si>
  <si>
    <t>2026-04-29</t>
  </si>
  <si>
    <t>Paradeep Port Trust^paradeep Port Trust</t>
  </si>
  <si>
    <t>Athena Chhattisgarh Power Limited^vedanta Limited^vedanta Limited</t>
  </si>
  <si>
    <t xml:space="preserve"> ^ ^ ^ </t>
  </si>
  <si>
    <t xml:space="preserve"> L13209mh1965plc291394^ U31908tg2007plc058993^ L13209mh1965plc291394^ U31908tg2007plc058993^ L13209mh1965plc291394^ U31908tg2007plc058993</t>
  </si>
  <si>
    <t xml:space="preserve"> 0xaf032255badb17af554c7fdb09826a92^ 0x2ff0b3e02194892b9a9b5ae83a7f41a9^ 0xaf032255badb17af554c7fdb09826a92^ 0x2ff0b3e02194892b9a9b5ae83a7f41a9^ 0xaf032255badb17af554c7fdb09826a92^ 0x2ff0b3e02194892b9a9b5ae83a7f41a9</t>
  </si>
  <si>
    <t xml:space="preserve"> Vedanta Limited^ Athena Chhattisgarh Power Limited^ Vedanta Limited^ Athena Chhattisgarh Power Limited^ Vedanta Limited^ Athena Chhattisgarh Power Limited</t>
  </si>
  <si>
    <t xml:space="preserve"> R, R, R, R</t>
  </si>
  <si>
    <t>Vasanthakumar M -(appl.)</t>
  </si>
  <si>
    <t>Athena Chhattisgarh Power Limited^vedanta Limited</t>
  </si>
  <si>
    <t xml:space="preserve"> L13209mh1965plc291394^ U31908tg2007plc058993</t>
  </si>
  <si>
    <t xml:space="preserve"> 0xaf032255badb17af554c7fdb09826a92^ 0x2ff0b3e02194892b9a9b5ae83a7f41a9</t>
  </si>
  <si>
    <t xml:space="preserve"> Vedanta Limited^ Athena Chhattisgarh Power Limited</t>
  </si>
  <si>
    <t>Sona Alloys Private Limited^sona Alloys Private Limited</t>
  </si>
  <si>
    <t>Moiz K. Rafique (ptr.)</t>
  </si>
  <si>
    <t xml:space="preserve"> U27107gj2007ptc049708^ U27107gj2007ptc049708</t>
  </si>
  <si>
    <t xml:space="preserve"> 0x8b268990cd7c45972e19f0b9a0d8f1fc^ 0x8b268990cd7c45972e19f0b9a0d8f1fc</t>
  </si>
  <si>
    <t xml:space="preserve"> Sona Alloys Private Limited^ Sona Alloys Private Limited</t>
  </si>
  <si>
    <t xml:space="preserve"> A, A</t>
  </si>
  <si>
    <t>Parixit Irrigation Limited^nitrex Chemicals India Limited</t>
  </si>
  <si>
    <t>Uday Structurals And Engineers A Sole Proprietorship Of Mr. Uday Kashinath Patil^vedanta Limited^jaihind Projects Limited</t>
  </si>
  <si>
    <t>Salil M. Thakore -(ptr.)</t>
  </si>
  <si>
    <t xml:space="preserve"> U00000gj2001plc146496^ U25200gj1989plc012672</t>
  </si>
  <si>
    <t xml:space="preserve"> U45100gj1985plc008338^ L13209mh1965plc291394^ </t>
  </si>
  <si>
    <t xml:space="preserve"> 0x331e346a6d7ac49e1c1e5b98ca7bd872^ 0xaf032255badb17af554c7fdb09826a92^ </t>
  </si>
  <si>
    <t xml:space="preserve"> Jaihind Projects Limited^ Vedanta Limited^ </t>
  </si>
  <si>
    <t xml:space="preserve"> 0x82e998041229ea9429f5e8e1b5dd1f6b^ 0x184c53aa76562bd4e85807b5b72bb26f</t>
  </si>
  <si>
    <t xml:space="preserve"> Nitrex Chemicals India Limited^ Emtelle India Limited</t>
  </si>
  <si>
    <t>Jaihind Projects Limited</t>
  </si>
  <si>
    <t>Disposed Off</t>
  </si>
  <si>
    <t>Arjun Sheth Adv Respondent Advocate : Pcs Anujkumar Solanki</t>
  </si>
  <si>
    <t xml:space="preserve"> L45201gj1985plc008338</t>
  </si>
  <si>
    <t xml:space="preserve"> 0x7fe3178a3d014cfaa343ceb9f03c895e</t>
  </si>
  <si>
    <t xml:space="preserve"> Jaihind Projects Limited</t>
  </si>
  <si>
    <t>Cuttack</t>
  </si>
  <si>
    <t>Facor Alloys Limited^facor Alloys Limited</t>
  </si>
  <si>
    <t>Facor Power Limited^ferro Alloys Corporation Limited^sterlite Power Transmission Limited^vedanta Limited^facor Power Limited</t>
  </si>
  <si>
    <t>Ramashish Acharya (ptr.)</t>
  </si>
  <si>
    <t xml:space="preserve"> L27101ap2004plc043252^ L27101ap2004plc043252^ L27101ap2004plc043252^ L27101ap2004plc043252^ L27101ap2004plc043252^ L27101ap2004plc043252^ L27101ap2004plc043252^ L27101ap2004plc043252^ L27101ap2004plc043252^ L27101ap2004plc043252^ L27101ap2004plc043252^ L27101ap2004plc043252</t>
  </si>
  <si>
    <t xml:space="preserve"> U40101or2005plc036808^ U45201or1955plc008400^ U74120pn2015plc156643^ L13209mh1965plc291394^ U40101or2005plc036808^ U45201or1955plc008400^ U74120pn2015plc156643^ L13209mh1965plc291394^ U40101or2005plc036808^ U45201or1955plc008400^ U74120pn2015plc156643^ L13209mh1965plc291394^ U40101or2005plc036808^ U45201or1955plc008400^ U74120pn2015plc156643^ L13209mh1965plc291394^ U40101or2005plc036808^ U45201or1955plc008400^ U74120pn2015plc156643^ L13209mh1965plc291394^ U40101or2005plc036808^ U45201or1955plc008400^ U74120pn2015plc156643^ L13209mh1965plc291394^ U40101or2005plc036808^ U45201or1955plc008400^ U74120pn2015plc156643^ L13209mh1965plc291394</t>
  </si>
  <si>
    <t xml:space="preserve">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 0xb528c45e3ee1eb4f13935bfd8002114e^ 0x2ca84bed7ff02804d9b4cc8dbbfd8759^ 0xfceb7c1bc85a41e34e5eac19f91e55c4^ 0xaf032255badb17af554c7fdb09826a92</t>
  </si>
  <si>
    <t xml:space="preserve"> Facor Power Limited^ Ferro Alloys Corporation Limited^ Sterlite Power Transmission Limited^ Vedanta Limited^ Facor Power Limited^ Ferro Alloys Corporation Limited^ Sterlite Power Transmission Limited^ Vedanta Limited^ Facor Power Limited^ Ferro Alloys Corporation Limited^ Sterlite Power Transmission Limited^ Vedanta Limited^ Facor Power Limited^ Ferro Alloys Corporation Limited^ Sterlite Power Transmission Limited^ Vedanta Limited^ Facor Power Limited^ Ferro Alloys Corporation Limited^ Sterlite Power Transmission Limited^ Vedanta Limited^ Facor Power Limited^ Ferro Alloys Corporation Limited^ Sterlite Power Transmission Limited^ Vedanta Limited^ Facor Power Limited^ Ferro Alloys Corporation Limited^ Sterlite Power Transmission Limited^ Vedanta Limited</t>
  </si>
  <si>
    <t xml:space="preserve">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t>
  </si>
  <si>
    <t xml:space="preserve"> Facor Alloys Limited^ Facor Alloys Limited^ Facor Alloys Limited^ Facor Alloys Limited^ Facor Alloys Limited^ Facor Alloys Limited^ Facor Alloys Limited^ Facor Alloys Limited^ Facor Alloys Limited^ Facor Alloys Limited^ Facor Alloys Limited^ Facor Alloys Limited</t>
  </si>
  <si>
    <t xml:space="preserve"> R, R, R, R, R, R, R, R</t>
  </si>
  <si>
    <t xml:space="preserve">Cuttack </t>
  </si>
  <si>
    <t>Mr Kumar Rajan^paradeep Port Trust</t>
  </si>
  <si>
    <t>M Ramu (ptr.)</t>
  </si>
  <si>
    <t xml:space="preserve"> ^ </t>
  </si>
  <si>
    <t>Facor Power Limited^ferro Alloys Corporation Limited^vedanta Limited^sterlite Power Transmission Limited</t>
  </si>
  <si>
    <t xml:space="preserve"> L27101ap2004plc043252^ L27101ap2004plc043252^ L27101ap2004plc043252^ L27101ap2004plc043252^ L27101ap2004plc043252^ L27101ap2004plc043252^ L27101ap2004plc043252^ L27101ap2004plc043252^ L27101ap2004plc043252^ L27101ap2004plc043252^ L27101ap2004plc043252^ L27101ap2004plc043252^ L27101ap2004plc043252</t>
  </si>
  <si>
    <t xml:space="preserve"> U74120pn2015plc156643^ U40101or2005plc036808^ U45201or1955plc008400^ L13209mh1965plc291394</t>
  </si>
  <si>
    <t xml:space="preserve"> 0xfceb7c1bc85a41e34e5eac19f91e55c4^ 0xb528c45e3ee1eb4f13935bfd8002114e^ 0x2ca84bed7ff02804d9b4cc8dbbfd8759^ 0xaf032255badb17af554c7fdb09826a92</t>
  </si>
  <si>
    <t xml:space="preserve"> Sterlite Power Transmission Limited^ Facor Power Limited^ Ferro Alloys Corporation Limited^ Vedanta Limited</t>
  </si>
  <si>
    <t xml:space="preserve">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 0x1367aa939386ecfb9365ef81068a422a</t>
  </si>
  <si>
    <t xml:space="preserve"> Facor Alloys Limited^ Facor Alloys Limited^ Facor Alloys Limited^ Facor Alloys Limited^ Facor Alloys Limited^ Facor Alloys Limited^ Facor Alloys Limited^ Facor Alloys Limited^ Facor Alloys Limited^ Facor Alloys Limited^ Facor Alloys Limited^ Facor Alloys Limited^ Facor Alloys Limited</t>
  </si>
  <si>
    <t>Facor Power Limited^ferro Alloys Corporation Limited^sterlite Power Transmission Limited^vedanta Limited^vedanta Limited</t>
  </si>
  <si>
    <t xml:space="preserve"> L13209mh1965plc291394^ U40101or2005plc036808^ U74120pn2015plc156643^ U45201or1955plc008400^ L13209mh1965plc291394^ U40101or2005plc036808^ U74120pn2015plc156643^ U45201or1955plc008400^ L13209mh1965plc291394^ U40101or2005plc036808^ U74120pn2015plc156643^ U45201or1955plc008400^ L13209mh1965plc291394^ U40101or2005plc036808^ U74120pn2015plc156643^ U45201or1955plc008400^ L13209mh1965plc291394^ U40101or2005plc036808^ U74120pn2015plc156643^ U45201or1955plc008400</t>
  </si>
  <si>
    <t xml:space="preserve"> 0xaf032255badb17af554c7fdb09826a92^ 0xb528c45e3ee1eb4f13935bfd8002114e^ 0xfceb7c1bc85a41e34e5eac19f91e55c4^ 0x2ca84bed7ff02804d9b4cc8dbbfd8759^ 0xaf032255badb17af554c7fdb09826a92^ 0xb528c45e3ee1eb4f13935bfd8002114e^ 0xfceb7c1bc85a41e34e5eac19f91e55c4^ 0x2ca84bed7ff02804d9b4cc8dbbfd8759^ 0xaf032255badb17af554c7fdb09826a92^ 0xb528c45e3ee1eb4f13935bfd8002114e^ 0xfceb7c1bc85a41e34e5eac19f91e55c4^ 0x2ca84bed7ff02804d9b4cc8dbbfd8759^ 0xaf032255badb17af554c7fdb09826a92^ 0xb528c45e3ee1eb4f13935bfd8002114e^ 0xfceb7c1bc85a41e34e5eac19f91e55c4^ 0x2ca84bed7ff02804d9b4cc8dbbfd8759^ 0xaf032255badb17af554c7fdb09826a92^ 0xb528c45e3ee1eb4f13935bfd8002114e^ 0xfceb7c1bc85a41e34e5eac19f91e55c4^ 0x2ca84bed7ff02804d9b4cc8dbbfd8759</t>
  </si>
  <si>
    <t xml:space="preserve"> Vedanta Limited^ Facor Power Limited^ Sterlite Power Transmission Limited^ Ferro Alloys Corporation Limited^ Vedanta Limited^ Facor Power Limited^ Sterlite Power Transmission Limited^ Ferro Alloys Corporation Limited^ Vedanta Limited^ Facor Power Limited^ Sterlite Power Transmission Limited^ Ferro Alloys Corporation Limited^ Vedanta Limited^ Facor Power Limited^ Sterlite Power Transmission Limited^ Ferro Alloys Corporation Limited^ Vedanta Limited^ Facor Power Limited^ Sterlite Power Transmission Limited^ Ferro Alloys Corporation Limited</t>
  </si>
  <si>
    <t xml:space="preserve"> R, R, R, R, R, R</t>
  </si>
  <si>
    <t>Sunil Kumar Medikayala -(ptr.), M Ramu -(res.)</t>
  </si>
  <si>
    <t xml:space="preserve"> Ubin</t>
  </si>
  <si>
    <t xml:space="preserve"> 0xc92cc94806357d48dbf2497cc9dd94b6</t>
  </si>
  <si>
    <t>Shambhu Sharan Pandey</t>
  </si>
  <si>
    <t>Pankaj Kumar Tibrewal^vedanta Limited</t>
  </si>
  <si>
    <t>Akash Sharma-(ptr.), Siddhanth Makkar-(res.)</t>
  </si>
  <si>
    <t xml:space="preserve"> L13209mh1965plc291394^ </t>
  </si>
  <si>
    <t xml:space="preserve"> 0xaf032255badb17af554c7fdb09826a92^ </t>
  </si>
  <si>
    <t xml:space="preserve"> Vedanta Limited^ </t>
  </si>
  <si>
    <t>Malco Energy Limited^vedanta Aluminium Metal Limited^vedanta Base Metals Limited^vedanta Iron And Steel Limited^vedanta Limited</t>
  </si>
  <si>
    <t>Hemant Sethi And Co -(ptr.)</t>
  </si>
  <si>
    <t xml:space="preserve"> L13209mh1965plc291394^ U24202mh2023plc411663^ U31300mh2001plc428719^ U43121mh2023plc411696^ U24109mh2023plc411777</t>
  </si>
  <si>
    <t xml:space="preserve"> 0xaf032255badb17af554c7fdb09826a92^ 0xb2a6b3766108733101e3429d9e55c8f3^ 0x4c27c51404e84a88a9a439788e5d3a82^ 0x7595cc33cb479175e9894298c2160cc7^ 0xefd84c3c403ce2f671f92cd503376287</t>
  </si>
  <si>
    <t xml:space="preserve"> Vedanta Limited^ Vedanta Aluminium Metal Limited^ Malco Energy Limited^ Vedanta Base Metals Limited^ Vedanta Iron And Steel Limited</t>
  </si>
  <si>
    <t>Khaitan And Co Llp -(ptr.)</t>
  </si>
  <si>
    <t>Mr. Ravi Sankar Devarakonda</t>
  </si>
  <si>
    <t>Devi Trading And Holding Pvt Ltd^vedanta Limited</t>
  </si>
  <si>
    <t>Mahendra Gore (ptr.)</t>
  </si>
  <si>
    <t xml:space="preserve"> L13209mh1965plc291394^ U51219wb1987ptc041988</t>
  </si>
  <si>
    <t xml:space="preserve"> 0xaf032255badb17af554c7fdb09826a92^ 0xf765123a1ecff4b0d209d6710cb6ef23</t>
  </si>
  <si>
    <t xml:space="preserve"> Vedanta Limited^ Devi Trading   Holding Pvt Ltd</t>
  </si>
  <si>
    <t>Consortium Of Prudent Arc^consortium Of Prudent Arc</t>
  </si>
  <si>
    <t>Ravi Sankara Deverakonda^meenakshi Energy Limited^vedanta Limited^vedanta Limited</t>
  </si>
  <si>
    <t>Rubaina Khatoon (ptr.)</t>
  </si>
  <si>
    <t xml:space="preserve"> L13209mh1965plc291394^ ^ U40101tg1996plc054239^ L13209mh1965plc291394^ ^ U40101tg1996plc054239^ L13209mh1965plc291394^ ^ U40101tg1996plc054239^ L13209mh1965plc291394^ ^ U40101tg1996plc054239</t>
  </si>
  <si>
    <t xml:space="preserve"> 0xaf032255badb17af554c7fdb09826a92^ ^ 0x6abecc8bf68eaa01f263084a1ff45462^ 0xaf032255badb17af554c7fdb09826a92^ ^ 0x6abecc8bf68eaa01f263084a1ff45462^ 0xaf032255badb17af554c7fdb09826a92^ ^ 0x6abecc8bf68eaa01f263084a1ff45462^ 0xaf032255badb17af554c7fdb09826a92^ ^ 0x6abecc8bf68eaa01f263084a1ff45462</t>
  </si>
  <si>
    <t xml:space="preserve"> Vedanta Limited^ ^ Meenakshi Energy Limited^ Vedanta Limited^ ^ Meenakshi Energy Limited^ Vedanta Limited^ ^ Meenakshi Energy Limited^ Vedanta Limited^ ^ Meenakshi Energy Limited</t>
  </si>
  <si>
    <t xml:space="preserve"> R, R, R, R, R</t>
  </si>
  <si>
    <t>Shipra Infratech Private Limited</t>
  </si>
  <si>
    <t>Preetika (ptr.)</t>
  </si>
  <si>
    <t xml:space="preserve"> U45400dl2011ptc226282</t>
  </si>
  <si>
    <t xml:space="preserve"> 0xbecf797015c53cac99eabdb1dd732db3</t>
  </si>
  <si>
    <t xml:space="preserve"> Shipra Infratech Private Limited</t>
  </si>
  <si>
    <t>Emtex Engineering Private Limited</t>
  </si>
  <si>
    <t>Anup Jain (ptr.)</t>
  </si>
  <si>
    <t xml:space="preserve"> U29100dl2011ptc226038</t>
  </si>
  <si>
    <t xml:space="preserve"> 0xe590ec5b9a996ecbe7a8c8fa85e2eecf</t>
  </si>
  <si>
    <t xml:space="preserve"> Emtex Engineering Private Limited</t>
  </si>
  <si>
    <t>Insulref Technologies Private Limited</t>
  </si>
  <si>
    <t>M J Juris</t>
  </si>
  <si>
    <t xml:space="preserve"> U74999mh2013ptc250625</t>
  </si>
  <si>
    <t xml:space="preserve"> 0x7f8459ac9655adacc65dce6a01ffc269</t>
  </si>
  <si>
    <t xml:space="preserve"> Insulref Technologies Private Limited</t>
  </si>
  <si>
    <t>Khaitan And Co Llp (ptr.)</t>
  </si>
  <si>
    <t>Sequel Alloys And Wires Private Limited</t>
  </si>
  <si>
    <t xml:space="preserve"> U31300dl2004ptc128690</t>
  </si>
  <si>
    <t xml:space="preserve"> 0xdfe746b492791104a7fa0a94e9e4e99c</t>
  </si>
  <si>
    <t xml:space="preserve"> Sequel Alloys And Wires Private Limited</t>
  </si>
  <si>
    <t xml:space="preserve"> 0x87c7d4f45a4628c75643920fed6a8852</t>
  </si>
  <si>
    <t>Securities Exchange Board Of India</t>
  </si>
  <si>
    <t>Malco Energy Limited^talwandi Sabo Power Limited^vedanta Aluminium Metal Limited^vedanta Base Metals Limited^vedanta Iron And Steel Limited^vedanta Limited</t>
  </si>
  <si>
    <t>Mansukhlal Hiralal And Company-(ptr.)</t>
  </si>
  <si>
    <t xml:space="preserve"> L13209mh1965plc291394^ U24202mh2023plc411663^ U40101mh2007plc433557^ U31300mh2001plc428719^ U24109mh2023plc411777 ^ U43121mh2023plc411696</t>
  </si>
  <si>
    <t xml:space="preserve"> 0xaf032255badb17af554c7fdb09826a92^ 0xb2a6b3766108733101e3429d9e55c8f3^ 0x46cf0902d1cec6d3e3cc3b1e73b521f5^ 0x4c27c51404e84a88a9a439788e5d3a82^ 0xefd84c3c403ce2f671f92cd503376287^ 0x7595cc33cb479175e9894298c2160cc7</t>
  </si>
  <si>
    <t xml:space="preserve"> Vedanta Limited^ Vedanta Aluminium Metal Limited^ Talwandi Sabo Power Limited^ Malco Energy Limited^ Vedanta Iron And Steel Limited^ Vedanta Base Metals Limited</t>
  </si>
  <si>
    <t>Santosh Chemicals^santosh Chemicals</t>
  </si>
  <si>
    <t>Ronak Parekh (ptr.)</t>
  </si>
  <si>
    <t>Malco Energy Limited^vedanta Aluminium Metal Limited^vedanta Base Metals Limited^vedanta Limited^vedanta Iron And Steel Limited</t>
  </si>
  <si>
    <t>Hemant Sethi And Co-(ptr.)</t>
  </si>
  <si>
    <t xml:space="preserve"> U24109mh2023plc411777^ L13209mh1965plc291394^ U24202mh2023plc411663^ U31300mh2001plc428719^ U43121mh2023plc411696</t>
  </si>
  <si>
    <t xml:space="preserve"> 0xefd84c3c403ce2f671f92cd503376287^ 0xaf032255badb17af554c7fdb09826a92^ 0xb2a6b3766108733101e3429d9e55c8f3^ 0x4c27c51404e84a88a9a439788e5d3a82^ 0x7595cc33cb479175e9894298c2160cc7</t>
  </si>
  <si>
    <t xml:space="preserve"> Vedanta Iron And Steel Limited^ Vedanta Limited^ Vedanta Aluminium Metal Limited^ Malco Energy Limited^ Vedanta Base Metals Limited</t>
  </si>
  <si>
    <t>Titagarh Wagons Limited</t>
  </si>
  <si>
    <t xml:space="preserve"> L27320wb1997plc084819</t>
  </si>
  <si>
    <t xml:space="preserve"> 0x9569db95538df39ac3231a12b2786206</t>
  </si>
  <si>
    <t xml:space="preserve"> Titagarh Wagons Limited</t>
  </si>
  <si>
    <t>Sunil Hitech Engineers Limited</t>
  </si>
  <si>
    <t>Dhrupad Vaghani -(ptr.), Nevil Chopra -(res.)</t>
  </si>
  <si>
    <t xml:space="preserve"> L28920mh1998plc115155</t>
  </si>
  <si>
    <t xml:space="preserve"> 0x9c7e7f11879871b3fee8517baf61f58e</t>
  </si>
  <si>
    <t xml:space="preserve"> Sunil Hitech Engineers Limited</t>
  </si>
  <si>
    <t>Sepco Electric Power Construction Corpn</t>
  </si>
  <si>
    <t>Sanjay Udeshi And Co.-(ptr.)</t>
  </si>
  <si>
    <t xml:space="preserve"> F02249</t>
  </si>
  <si>
    <t xml:space="preserve"> 0x37f50e27a4e7d0dfbd25c1c5e0812e9d</t>
  </si>
  <si>
    <t xml:space="preserve"> Sepco Electric Power Construction Corpn</t>
  </si>
  <si>
    <t>Link Shipping And Management System Private Limited^link Shipping And Management System Private Limited</t>
  </si>
  <si>
    <t>Dhir &amp; Dhir Associates</t>
  </si>
  <si>
    <t xml:space="preserve"> U63090mh1989ptc051830^ U63090mh1989ptc051830^ U63090mh1989ptc051830^ U63090mh1989ptc051830^ U63090mh1989ptc051830^ U63090mh1989ptc051830</t>
  </si>
  <si>
    <t xml:space="preserve"> L13209mh1965plc291394^ L13209mh1965plc291394^ L13209mh1965plc291394^ L13209mh1965plc291394^ L13209mh1965plc291394^ L13209mh1965plc291394</t>
  </si>
  <si>
    <t xml:space="preserve"> 0xaf032255badb17af554c7fdb09826a92^ 0xaf032255badb17af554c7fdb09826a92^ 0xaf032255badb17af554c7fdb09826a92^ 0xaf032255badb17af554c7fdb09826a92^ 0xaf032255badb17af554c7fdb09826a92^ 0xaf032255badb17af554c7fdb09826a92</t>
  </si>
  <si>
    <t xml:space="preserve"> Vedanta Limited^ Vedanta Limited^ Vedanta Limited^ Vedanta Limited^ Vedanta Limited^ Vedanta Limited</t>
  </si>
  <si>
    <t xml:space="preserve"> 0x5fd0982a8406ff3ad8c0a64341677969^ 0x5fd0982a8406ff3ad8c0a64341677969^ 0x5fd0982a8406ff3ad8c0a64341677969^ 0x5fd0982a8406ff3ad8c0a64341677969^ 0x5fd0982a8406ff3ad8c0a64341677969^ 0x5fd0982a8406ff3ad8c0a64341677969</t>
  </si>
  <si>
    <t xml:space="preserve"> Link Shipping And Management System Private Limited^ Link Shipping And Management System Private Limited^ Link Shipping And Management System Private Limited^ Link Shipping And Management System Private Limited^ Link Shipping And Management System Private Limited^ Link Shipping And Management System Private Limited</t>
  </si>
  <si>
    <t>Mr Dilipkumar Prathviraj Poddar Sole Properitor Of Shiv Shakti Lime Industries</t>
  </si>
  <si>
    <t>Pra India Private Limited</t>
  </si>
  <si>
    <t>Yahya Batatawala -(ptr.), Mdp And Partners -(res.)</t>
  </si>
  <si>
    <t xml:space="preserve"> U45203ct2019ptc009190</t>
  </si>
  <si>
    <t xml:space="preserve"> 0x28f21c2d48f5879056c2a71c085c3b6d</t>
  </si>
  <si>
    <t xml:space="preserve"> Pra India Private Limited</t>
  </si>
  <si>
    <t>Esl Steel Limited^vedanta Limited</t>
  </si>
  <si>
    <t>Sonia Sharma (ptr.)</t>
  </si>
  <si>
    <t xml:space="preserve"> L13209mh1965plc291394^ U27310jh2006plc012663^ U27310jh2006plc012663</t>
  </si>
  <si>
    <t xml:space="preserve"> 0xaf032255badb17af554c7fdb09826a92^ 0xdb7c83c1b87c931a9f42b4a4d4fe20d3^ 0xdb7c83c1b87c931a9f42b4a4d4fe20d3</t>
  </si>
  <si>
    <t xml:space="preserve"> Vedanta Limited^ Electrosteel Steels Limited^ Electrosteel Steels Limited</t>
  </si>
  <si>
    <t>State Bank Of India^state Bank Of India</t>
  </si>
  <si>
    <t>Allahabad Bank^bank Of Baroda^bank Of Maharashtra^canara Bank^central Bank Of India^corporation Bank^icici Bank Limited^punjab And Sind Bank^punjab National Bank^vedanta Limited^canara Bank</t>
  </si>
  <si>
    <t>Sharma And Sharma Advocates And Legal Consultant (ptr.)</t>
  </si>
  <si>
    <t xml:space="preserve">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 Srb2015102039</t>
  </si>
  <si>
    <t xml:space="preserve"> Cnrb^ Cbin^ L65190gj1994plc021012^ Alla^ Barb ^ Cnrb^ Corp^ L13209mh1965plc291394^ Mahb^ Psib^ Punb</t>
  </si>
  <si>
    <t xml:space="preserve"> 0x77df1e4d0d2de79cbc0e2a75ec7c1be2^ 0x02fc673604c74f2a967daa68de97ccef^ 0xd236d4ae9cdd6bc2e4f8a108d8ab4319^ 0x05d4a857df3440b851547ae4cd6e3a20^ 0x8878aa091fd5851eb105a3e313fe2d7b^ 0x77df1e4d0d2de79cbc0e2a75ec7c1be2^ 0x79d3889ed7baa454eaa2faac9943ba48^ 0xaf032255badb17af554c7fdb09826a92^ 0x6ccf021cc8e5c58445814f09fece6d73^ 0x7dfd8f7a0764dbe414e98d675ce0ea9b^ 0xa9c8f9c2a810e8bf8345112dbdd1c185</t>
  </si>
  <si>
    <t xml:space="preserve"> Canara Bank^ Central Bank Of India^ Icici Bank Limited^ Allahabad Bank^ Bank Of Baroda^ Canara Bank^ Corporation Bank^ Vedanta Limited^ Bank Of Maharashtra^ Punjab And Sind Bank^ Punjab National Bank</t>
  </si>
  <si>
    <t xml:space="preserve">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 0xed4947561ea0fba2fd775dc30f317548</t>
  </si>
  <si>
    <t xml:space="preserve">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 State Bank Of India</t>
  </si>
  <si>
    <t>Deepak Electricals</t>
  </si>
  <si>
    <t>Committee Of Creditors^esl Steel Limited^shri Dhaivat Anjaria^vedanta Limited</t>
  </si>
  <si>
    <t>Subhabrata Choudhury (ptr.)</t>
  </si>
  <si>
    <t xml:space="preserve"> L13209mh1965plc291394^ ^ ^ U27310jh2006plc012663</t>
  </si>
  <si>
    <t xml:space="preserve"> 0xaf032255badb17af554c7fdb09826a92^ ^ ^ 0xdb7c83c1b87c931a9f42b4a4d4fe20d3</t>
  </si>
  <si>
    <t xml:space="preserve"> Vedanta Limited^ ^ ^ Electrosteel Steels Limited</t>
  </si>
  <si>
    <t>Khurana Engineering Company</t>
  </si>
  <si>
    <t>Committee Of Creditors^shri Dhaivat Anjaria^vedanta Limited^esl Steel Limited</t>
  </si>
  <si>
    <t xml:space="preserve"> U27310jh2006plc012663^ L13209mh1965plc291394^ ^ </t>
  </si>
  <si>
    <t xml:space="preserve"> 0xdb7c83c1b87c931a9f42b4a4d4fe20d3^ 0xaf032255badb17af554c7fdb09826a92^ ^ </t>
  </si>
  <si>
    <t xml:space="preserve"> Electrosteel Steels Limited^ Vedanta Limited^ ^ </t>
  </si>
  <si>
    <t>S. P. Enterprises</t>
  </si>
  <si>
    <t>Committee Of Creditors^esl Steel Limited^shri Dhaivat Anjaria^vedanta Limited^esl Steel Limited</t>
  </si>
  <si>
    <t xml:space="preserve"> U27310jh2006plc012663^ L13209mh1965plc291394^ ^ ^ U27310jh2006plc012663^ L13209mh1965plc291394^ ^ </t>
  </si>
  <si>
    <t xml:space="preserve"> 0xdb7c83c1b87c931a9f42b4a4d4fe20d3^ 0xaf032255badb17af554c7fdb09826a92^ ^ ^ 0xdb7c83c1b87c931a9f42b4a4d4fe20d3^ 0xaf032255badb17af554c7fdb09826a92^ ^ </t>
  </si>
  <si>
    <t xml:space="preserve"> Electrosteel Steels Limited^ Vedanta Limited^ ^ ^ Electrosteel Steels Limited^ Vedanta Limited^ ^ </t>
  </si>
  <si>
    <t>Maruti Nandan</t>
  </si>
  <si>
    <t>Subhabrata Chowdhury (ptr.)</t>
  </si>
  <si>
    <t>N.r. Construction Private Limited</t>
  </si>
  <si>
    <t>Commitee Of Creditors^esl Steel Limited^shri Dhaivat Anharia^vedanta Limited</t>
  </si>
  <si>
    <t xml:space="preserve"> U45202jh1990ptc004064</t>
  </si>
  <si>
    <t xml:space="preserve"> 0x71bc285d84d2910e4f29782c8efe2662</t>
  </si>
  <si>
    <t xml:space="preserve"> N R  Construction Private Limited</t>
  </si>
  <si>
    <t>Space Tech Equipments And Structurals Private Limited</t>
  </si>
  <si>
    <t>Committee Of Creditors^esl Steel Limited^vedanta Limited^shri Dhaivat Anjaria</t>
  </si>
  <si>
    <t xml:space="preserve"> U99999mh1982ptc026707</t>
  </si>
  <si>
    <t xml:space="preserve"> ^ ^ L13209mh1965plc291394^ U27310jh2006plc012663</t>
  </si>
  <si>
    <t xml:space="preserve"> ^ ^ 0xaf032255badb17af554c7fdb09826a92^ 0xdb7c83c1b87c931a9f42b4a4d4fe20d3</t>
  </si>
  <si>
    <t xml:space="preserve"> ^ ^ Vedanta Limited^ Electrosteel Steels Limited</t>
  </si>
  <si>
    <t xml:space="preserve"> 0xdb3c9f25331a3e23c49e3e718e6093cb</t>
  </si>
  <si>
    <t xml:space="preserve"> Space Tech Equipments And Structurals Private Limited</t>
  </si>
  <si>
    <t>Khenco Cranes &amp; Machineries</t>
  </si>
  <si>
    <t xml:space="preserve"> ^ U27310jh2006plc012663^ L13209mh1965plc291394^ </t>
  </si>
  <si>
    <t xml:space="preserve"> ^ 0xdb7c83c1b87c931a9f42b4a4d4fe20d3^ 0xaf032255badb17af554c7fdb09826a92^ </t>
  </si>
  <si>
    <t xml:space="preserve"> ^ Electrosteel Steels Limited^ Vedanta Limited^ </t>
  </si>
  <si>
    <t>A R Services Private Limited</t>
  </si>
  <si>
    <t xml:space="preserve"> U00000dl2001ptc109578</t>
  </si>
  <si>
    <t xml:space="preserve"> 0x599ef9da0f04c8b792e4ade7ac4ed4a4</t>
  </si>
  <si>
    <t xml:space="preserve"> A R Services Private Limited</t>
  </si>
  <si>
    <t>Royal Infra &amp; Logs</t>
  </si>
  <si>
    <t>M R T Signals Limited</t>
  </si>
  <si>
    <t>Esl Steel Limited^vedanta Limited^esl Steel Limited</t>
  </si>
  <si>
    <t>Sharma Kajaria And Co (ptr.)</t>
  </si>
  <si>
    <t xml:space="preserve"> U63031wb2006plc110742</t>
  </si>
  <si>
    <t xml:space="preserve"> U27310jh2006plc012663^ U27310jh2006plc012663^ L13209mh1965plc291394</t>
  </si>
  <si>
    <t xml:space="preserve"> 0xdb7c83c1b87c931a9f42b4a4d4fe20d3^ 0xdb7c83c1b87c931a9f42b4a4d4fe20d3^ 0xaf032255badb17af554c7fdb09826a92</t>
  </si>
  <si>
    <t xml:space="preserve"> Electrosteel Steels Limited^ Electrosteel Steels Limited^ Vedanta Limited</t>
  </si>
  <si>
    <t xml:space="preserve"> 0x0720c2275c29170bf469c08d19823337</t>
  </si>
  <si>
    <t xml:space="preserve"> M R T Signals Limited</t>
  </si>
  <si>
    <t>Chhattisgarh State Industrial Development Corporation Ltd^athena Chhattisgarh Power Limited</t>
  </si>
  <si>
    <t>M Ramu -(appl.), K Chethan Kumar -(res.)</t>
  </si>
  <si>
    <t xml:space="preserve"> U31908tg2007plc058993^ U45203ct1981sgc001853</t>
  </si>
  <si>
    <t xml:space="preserve"> 0x2ff0b3e02194892b9a9b5ae83a7f41a9^ 0x6d6026ab90b276921ede358bd16fc01a</t>
  </si>
  <si>
    <t xml:space="preserve"> Athena Chhattisgarh Power Limited^ Chhattisgarh State Industrial Development Corporation Ltd</t>
  </si>
  <si>
    <t>Isin</t>
  </si>
  <si>
    <t>Instrument Type</t>
  </si>
  <si>
    <t>Coupon Rate (%)</t>
  </si>
  <si>
    <t>Issue Date</t>
  </si>
  <si>
    <t>Tenor (yr)</t>
  </si>
  <si>
    <t>Traded On</t>
  </si>
  <si>
    <t>Ine205a08095</t>
  </si>
  <si>
    <t>Bonds/debentures</t>
  </si>
  <si>
    <t>Ine205a08079</t>
  </si>
  <si>
    <t>Ine205a08087</t>
  </si>
  <si>
    <t>Ine205a08046</t>
  </si>
  <si>
    <t>Ine205a08053</t>
  </si>
  <si>
    <t>Ine205a08061</t>
  </si>
  <si>
    <t>Ine205a08020</t>
  </si>
  <si>
    <t>Ine205a08038</t>
  </si>
  <si>
    <t>Ine205a07253</t>
  </si>
  <si>
    <t>Ine205a07238</t>
  </si>
  <si>
    <t>Ine205a14xg9</t>
  </si>
  <si>
    <t>Ine205a08012</t>
  </si>
  <si>
    <t>Ine205a14xf1</t>
  </si>
  <si>
    <t>Ine205a14xe4</t>
  </si>
  <si>
    <t>Ine205a14xd6</t>
  </si>
  <si>
    <t>Ine205a14xc8</t>
  </si>
  <si>
    <t>Ine205a14xb0</t>
  </si>
  <si>
    <t>Ine205a14wz1</t>
  </si>
  <si>
    <t>Ine205a14xa2</t>
  </si>
  <si>
    <t>Ine205a14wy4</t>
  </si>
  <si>
    <t>Ine205a14wx6</t>
  </si>
  <si>
    <t>Ine205a14wv0</t>
  </si>
  <si>
    <t>Ine205a14ww8</t>
  </si>
  <si>
    <t>Ine205a14wt4</t>
  </si>
  <si>
    <t>Ine205a14wu2</t>
  </si>
  <si>
    <t>Ine205a14ws6</t>
  </si>
  <si>
    <t>Ine205a14wr8</t>
  </si>
  <si>
    <t>Ine205a14wq0</t>
  </si>
  <si>
    <t>Ine205a07220</t>
  </si>
  <si>
    <t>Ine205a14wp2</t>
  </si>
  <si>
    <t>Ine205a14wn7</t>
  </si>
  <si>
    <t>Ine205a14wo5</t>
  </si>
  <si>
    <t>Ine205a14wm9</t>
  </si>
  <si>
    <t>Ine205a14wl1</t>
  </si>
  <si>
    <t>Ine205a14wk3</t>
  </si>
  <si>
    <t>Ine205a14wj5</t>
  </si>
  <si>
    <t>Ine205a14wf3</t>
  </si>
  <si>
    <t>Ine205a14wh9</t>
  </si>
  <si>
    <t>Ine205a14wi7</t>
  </si>
  <si>
    <t>Ine205a14wg1</t>
  </si>
  <si>
    <t>Ine205a14we6</t>
  </si>
  <si>
    <t>Ine205a14wd8</t>
  </si>
  <si>
    <t>Ine205a14wc0</t>
  </si>
  <si>
    <t>Ine205a14wb2</t>
  </si>
  <si>
    <t>Ine205a14wa4</t>
  </si>
  <si>
    <t>Ine205a14vz3</t>
  </si>
  <si>
    <t>Ine205a14vx8</t>
  </si>
  <si>
    <t>Ine205a14vy6</t>
  </si>
  <si>
    <t>Ine205a14vv2</t>
  </si>
  <si>
    <t>Ine205a14vw0</t>
  </si>
  <si>
    <t>Ine205a14vt6</t>
  </si>
  <si>
    <t>Ine205a14vu4</t>
  </si>
  <si>
    <t>Ine205a07212</t>
  </si>
  <si>
    <t>Ine205a14vr0</t>
  </si>
  <si>
    <t>Ine205a14vs8</t>
  </si>
  <si>
    <t>Ine205a14vq2</t>
  </si>
  <si>
    <t>Ine205a07204</t>
  </si>
  <si>
    <t>Ine205a07196</t>
  </si>
  <si>
    <t>Ine205a07188</t>
  </si>
  <si>
    <t>Ine205a07162</t>
  </si>
  <si>
    <t>Ine205a07170</t>
  </si>
  <si>
    <t>Ine205a07154</t>
  </si>
  <si>
    <t>Nse/bse</t>
  </si>
  <si>
    <t>Ine205a07147</t>
  </si>
  <si>
    <t>Ine205a07139</t>
  </si>
  <si>
    <t>Ine205a07121</t>
  </si>
  <si>
    <t>Ine205a07113</t>
  </si>
  <si>
    <t>Ine205a04011</t>
  </si>
  <si>
    <t>Ine205a07105</t>
  </si>
  <si>
    <t>Ine205a07097</t>
  </si>
  <si>
    <t>Ine205a07089</t>
  </si>
  <si>
    <t>Ine205a07063</t>
  </si>
  <si>
    <t>Ine205a07071</t>
  </si>
  <si>
    <t>Ine205a07048</t>
  </si>
  <si>
    <t>Ine205a07055</t>
  </si>
  <si>
    <t>Ine205a07030</t>
  </si>
  <si>
    <t>Ine205a07014</t>
  </si>
  <si>
    <t>Ine205a07022</t>
  </si>
  <si>
    <t>Ine704j07017</t>
  </si>
  <si>
    <t>Ine205a14dw8</t>
  </si>
  <si>
    <t>Ine205a14ew6</t>
  </si>
  <si>
    <t>Ine205a14mv1</t>
  </si>
  <si>
    <t>Ine205a14mw9</t>
  </si>
  <si>
    <t>Ine205a14nq9</t>
  </si>
  <si>
    <t>Ine205a14ny3</t>
  </si>
  <si>
    <t>Ine205a14oc7</t>
  </si>
  <si>
    <t>Ine205a14oe3</t>
  </si>
  <si>
    <t>Ine205a14of0</t>
  </si>
  <si>
    <t>Ine205a14og8</t>
  </si>
  <si>
    <t>Ine205a14oi4</t>
  </si>
  <si>
    <t>Ine205a14ol8</t>
  </si>
  <si>
    <t>Ine205a14om6</t>
  </si>
  <si>
    <t>Ine205a14on4</t>
  </si>
  <si>
    <t>Ine205a14oo2</t>
  </si>
  <si>
    <t>Ine205a14op9</t>
  </si>
  <si>
    <t>Ine205a14oq7</t>
  </si>
  <si>
    <t>Ine205a14or5</t>
  </si>
  <si>
    <t>Ine205a14os3</t>
  </si>
  <si>
    <t>Ine205a14ot1</t>
  </si>
  <si>
    <t>Ine205a14ou9</t>
  </si>
  <si>
    <t>Ine205a14ov7</t>
  </si>
  <si>
    <t>Ine205a14ow5</t>
  </si>
  <si>
    <t>Ine205a14ox3</t>
  </si>
  <si>
    <t>Ine205a14oy1</t>
  </si>
  <si>
    <t>Ine205a14oz8</t>
  </si>
  <si>
    <t>Ine205a14pa8</t>
  </si>
  <si>
    <t>Ine205a14pb6</t>
  </si>
  <si>
    <t>Ine205a14pc4</t>
  </si>
  <si>
    <t>Ine205a14pd2</t>
  </si>
  <si>
    <t>Ine205a14pe0</t>
  </si>
  <si>
    <t>Ine205a14pf7</t>
  </si>
  <si>
    <t>Ine205a14pg5</t>
  </si>
  <si>
    <t>Ine205a14ph3</t>
  </si>
  <si>
    <t>Ine205a14pi1</t>
  </si>
  <si>
    <t>Ine205a14pj9</t>
  </si>
  <si>
    <t>Ine205a14pk7</t>
  </si>
  <si>
    <t>Ine205a14pl5</t>
  </si>
  <si>
    <t>Ine205a14pm3</t>
  </si>
  <si>
    <t>Ine205a14pn1</t>
  </si>
  <si>
    <t>Ine205a14po9</t>
  </si>
  <si>
    <t>Ine205a14pp6</t>
  </si>
  <si>
    <t>Ine205a14pq4</t>
  </si>
  <si>
    <t>Ine205a14pr2</t>
  </si>
  <si>
    <t>Ine205a14ps0</t>
  </si>
  <si>
    <t>Ine205a14pt8</t>
  </si>
  <si>
    <t>Ine205a14pu6</t>
  </si>
  <si>
    <t>Ine205a14pv4</t>
  </si>
  <si>
    <t>Ine205a14pw2</t>
  </si>
  <si>
    <t>Ine205a14px0</t>
  </si>
  <si>
    <t>Ine205a14py8</t>
  </si>
  <si>
    <t>Ine205a14pz5</t>
  </si>
  <si>
    <t>Ine205a14qa6</t>
  </si>
  <si>
    <t>Ine205a14qb4</t>
  </si>
  <si>
    <t>Ine205a14qc2</t>
  </si>
  <si>
    <t>Ine205a14qd0</t>
  </si>
  <si>
    <t>Ine205a14qe8</t>
  </si>
  <si>
    <t>Ine205a14qf5</t>
  </si>
  <si>
    <t>Ine205a14qg3</t>
  </si>
  <si>
    <t>Ine205a14qh1</t>
  </si>
  <si>
    <t>Ine205a14qi9</t>
  </si>
  <si>
    <t>Ine205a14qj7</t>
  </si>
  <si>
    <t>Ine205a14qk5</t>
  </si>
  <si>
    <t>Ine205a14ql3</t>
  </si>
  <si>
    <t>Ine205a14qm1</t>
  </si>
  <si>
    <t>Ine205a14qn9</t>
  </si>
  <si>
    <t>Ine205a14qo7</t>
  </si>
  <si>
    <t>Ine205a14qp4</t>
  </si>
  <si>
    <t>Ine205a14qq2</t>
  </si>
  <si>
    <t>Ine205a14qr0</t>
  </si>
  <si>
    <t>Ine205a14qs8</t>
  </si>
  <si>
    <t>Ine205a14qt6</t>
  </si>
  <si>
    <t>Ine205a14qu4</t>
  </si>
  <si>
    <t>Ine205a14qv2</t>
  </si>
  <si>
    <t>Ine205a14qw0</t>
  </si>
  <si>
    <t>Ine205a14qx8</t>
  </si>
  <si>
    <t>Ine205a14qy6</t>
  </si>
  <si>
    <t>Ine205a14qz3</t>
  </si>
  <si>
    <t>Ine205a14ra4</t>
  </si>
  <si>
    <t>Ine205a14rb2</t>
  </si>
  <si>
    <t>Ine205a14rc0</t>
  </si>
  <si>
    <t>Ine205a14rd8</t>
  </si>
  <si>
    <t>Ine205a14re6</t>
  </si>
  <si>
    <t>Ine205a14rf3</t>
  </si>
  <si>
    <t>Ine205a14rg1</t>
  </si>
  <si>
    <t>Ine205a14rh9</t>
  </si>
  <si>
    <t>Ine205a14ri7</t>
  </si>
  <si>
    <t>Ine205a14rj5</t>
  </si>
  <si>
    <t>Ine205a14rk3</t>
  </si>
  <si>
    <t>Ine205a14rl1</t>
  </si>
  <si>
    <t>Ine205a14rm9</t>
  </si>
  <si>
    <t>Ine205a14rn7</t>
  </si>
  <si>
    <t>Ine205a14ro5</t>
  </si>
  <si>
    <t>Ine205a14rp2</t>
  </si>
  <si>
    <t>Ine205a14rq0</t>
  </si>
  <si>
    <t>Ine205a14rr8</t>
  </si>
  <si>
    <t>Ine205a14rs6</t>
  </si>
  <si>
    <t>Ine205a14rt4</t>
  </si>
  <si>
    <t>Ine205a14ru2</t>
  </si>
  <si>
    <t>Ine205a14rv0</t>
  </si>
  <si>
    <t>Ine205a07246</t>
  </si>
  <si>
    <t>Ine205a14rw8</t>
  </si>
  <si>
    <t>Ine205a14rx6</t>
  </si>
  <si>
    <t>Ine205a14ry4</t>
  </si>
  <si>
    <t>Ine205a14rz1</t>
  </si>
  <si>
    <t>Ine205a14sa2</t>
  </si>
  <si>
    <t>Ine205a14sb0</t>
  </si>
  <si>
    <t>Ine205a14sc8</t>
  </si>
  <si>
    <t>Ine205a14sd6</t>
  </si>
  <si>
    <t>Ine205a14se4</t>
  </si>
  <si>
    <t>Ine205a14sf1</t>
  </si>
  <si>
    <t>Ine205a14sg9</t>
  </si>
  <si>
    <t>Ine205a14sh7</t>
  </si>
  <si>
    <t>Ine205a14si5</t>
  </si>
  <si>
    <t>Ine205a14sj3</t>
  </si>
  <si>
    <t>Ine205a14sk1</t>
  </si>
  <si>
    <t>Ine205a14sl9</t>
  </si>
  <si>
    <t>Ine205a14sm7</t>
  </si>
  <si>
    <t>Ine205a14sn5</t>
  </si>
  <si>
    <t>Ine205a14so3</t>
  </si>
  <si>
    <t>Ine205a14sp0</t>
  </si>
  <si>
    <t>Ine205a14sq8</t>
  </si>
  <si>
    <t>Ine205a14sr6</t>
  </si>
  <si>
    <t>Ine205a14ss4</t>
  </si>
  <si>
    <t>Ine205a14st2</t>
  </si>
  <si>
    <t>Ine205a14su0</t>
  </si>
  <si>
    <t>Ine205a14sv8</t>
  </si>
  <si>
    <t>Ine205a14sw6</t>
  </si>
  <si>
    <t>Ine205a14sx4</t>
  </si>
  <si>
    <t>Ine205a14sy2</t>
  </si>
  <si>
    <t>Ine205a14sz9</t>
  </si>
  <si>
    <t>Ine205a14ta0</t>
  </si>
  <si>
    <t>Ine205a14tb8</t>
  </si>
  <si>
    <t>Ine205a14tc6</t>
  </si>
  <si>
    <t>Ine205a14td4</t>
  </si>
  <si>
    <t>Ine205a14te2</t>
  </si>
  <si>
    <t>Ine205a14tf9</t>
  </si>
  <si>
    <t>Ine205a14tg7</t>
  </si>
  <si>
    <t>Ine205a14th5</t>
  </si>
  <si>
    <t>Ine205a14ti3</t>
  </si>
  <si>
    <t>Ine205a14tj1</t>
  </si>
  <si>
    <t>Ine205a14tk9</t>
  </si>
  <si>
    <t>Ine205a14tl7</t>
  </si>
  <si>
    <t>Ine205a14tm5</t>
  </si>
  <si>
    <t>Ine205a14tn3</t>
  </si>
  <si>
    <t>Ine205a14to1</t>
  </si>
  <si>
    <t>Ine205a14tp8</t>
  </si>
  <si>
    <t>Ine205a14tq6</t>
  </si>
  <si>
    <t>Ine205a14tr4</t>
  </si>
  <si>
    <t>Ine205a14ts2</t>
  </si>
  <si>
    <t>Ine205a14tt0</t>
  </si>
  <si>
    <t>Ine205a14tu8</t>
  </si>
  <si>
    <t>Ine205a14tv6</t>
  </si>
  <si>
    <t>Ine205a14tw4</t>
  </si>
  <si>
    <t>Ine205a14tx2</t>
  </si>
  <si>
    <t>Ine205a14ty0</t>
  </si>
  <si>
    <t>Ine205a14tz7</t>
  </si>
  <si>
    <t>Ine205a14ua8</t>
  </si>
  <si>
    <t>Ine205a14ub6</t>
  </si>
  <si>
    <t>Ine205a14uc4</t>
  </si>
  <si>
    <t>Ine205a14ud2</t>
  </si>
  <si>
    <t>Ine205a14ue0</t>
  </si>
  <si>
    <t>Ine205a14uf7</t>
  </si>
  <si>
    <t>Ine205a14ug5</t>
  </si>
  <si>
    <t>Ine205a14uh3</t>
  </si>
  <si>
    <t>Ine205a14ui1</t>
  </si>
  <si>
    <t>Ine205a14uj9</t>
  </si>
  <si>
    <t>Ine205a14uk7</t>
  </si>
  <si>
    <t>Ine205a14ul5</t>
  </si>
  <si>
    <t>Ine205a14um3</t>
  </si>
  <si>
    <t>Ine205a14un1</t>
  </si>
  <si>
    <t>Ine205a14uo9</t>
  </si>
  <si>
    <t>Ine205a14up6</t>
  </si>
  <si>
    <t>Ine205a14uq4</t>
  </si>
  <si>
    <t>Ine205a14ur2</t>
  </si>
  <si>
    <t>Ine205a14us0</t>
  </si>
  <si>
    <t>Ine205a14ut8</t>
  </si>
  <si>
    <t>Ine205a14uu6</t>
  </si>
  <si>
    <t>Ine205a14uv4</t>
  </si>
  <si>
    <t>Ine205a14uw2</t>
  </si>
  <si>
    <t>Ine205a14ux0</t>
  </si>
  <si>
    <t>Ine205a14uy8</t>
  </si>
  <si>
    <t>Ine205a14uz5</t>
  </si>
  <si>
    <t>Ine205a14va6</t>
  </si>
  <si>
    <t>Ine205a14vb4</t>
  </si>
  <si>
    <t>Ine205a14vc2</t>
  </si>
  <si>
    <t>Ine205a14vd0</t>
  </si>
  <si>
    <t>Ine205a14ve8</t>
  </si>
  <si>
    <t>Ine205a14vf5</t>
  </si>
  <si>
    <t>Ine205a14vg3</t>
  </si>
  <si>
    <t>Ine205a14vh1</t>
  </si>
  <si>
    <t>Ine205a14vi9</t>
  </si>
  <si>
    <t>Ine205a14vj7</t>
  </si>
  <si>
    <t>Ine205a14vk5</t>
  </si>
  <si>
    <t>Ine205a14vl3</t>
  </si>
  <si>
    <t>Ine205a14vm1</t>
  </si>
  <si>
    <t>Ine205a14vn9</t>
  </si>
  <si>
    <t>Ine205a14vo7</t>
  </si>
  <si>
    <t>Ine205a14vp4</t>
  </si>
  <si>
    <t>Maturity Period</t>
  </si>
  <si>
    <t>Amt Usd Mn</t>
  </si>
  <si>
    <t>Jul -25</t>
  </si>
  <si>
    <t>Overseas Investment In Jv/wos</t>
  </si>
  <si>
    <t>4 Years</t>
  </si>
  <si>
    <t xml:space="preserve">4 Years   </t>
  </si>
  <si>
    <t>Mar -25</t>
  </si>
  <si>
    <t>Refinancing Of Earlier Ecb</t>
  </si>
  <si>
    <t>Jan -25</t>
  </si>
  <si>
    <t xml:space="preserve">Overseas Ivestment In Jv/wos  </t>
  </si>
  <si>
    <t>Jan -23</t>
  </si>
  <si>
    <t xml:space="preserve">Modernisation </t>
  </si>
  <si>
    <t>5 Years 1 Month</t>
  </si>
  <si>
    <t>Oct -22</t>
  </si>
  <si>
    <t>Modernization</t>
  </si>
  <si>
    <t xml:space="preserve">4  Years </t>
  </si>
  <si>
    <t>Sep -22</t>
  </si>
  <si>
    <t xml:space="preserve">4 Years </t>
  </si>
  <si>
    <t>Jul -22</t>
  </si>
  <si>
    <t>Working Capital</t>
  </si>
  <si>
    <t>10 Years 2 Months</t>
  </si>
  <si>
    <t>Mar -22</t>
  </si>
  <si>
    <t>Modernisation</t>
  </si>
  <si>
    <t>Sep -14</t>
  </si>
  <si>
    <t>2 Years 6 Months</t>
  </si>
  <si>
    <t>Aug -14</t>
  </si>
  <si>
    <t>9 Months</t>
  </si>
  <si>
    <t>Oct -09</t>
  </si>
  <si>
    <t>5 Years</t>
  </si>
  <si>
    <t>Taxation &amp; Ordinary Matters</t>
  </si>
  <si>
    <t>Total Cases</t>
  </si>
  <si>
    <t>Court Type</t>
  </si>
  <si>
    <t>Court</t>
  </si>
  <si>
    <t>Case Subject</t>
  </si>
  <si>
    <t>Next Hearing / Disposed Date</t>
  </si>
  <si>
    <t>Highrisk</t>
  </si>
  <si>
    <t>High Court</t>
  </si>
  <si>
    <t>Bombay Hc</t>
  </si>
  <si>
    <t>Original Matters</t>
  </si>
  <si>
    <t>Civil/criminal -original Matters - Misc.</t>
  </si>
  <si>
    <t>Spma/115/2016</t>
  </si>
  <si>
    <t xml:space="preserve">Canbank Financial Services Ltd </t>
  </si>
  <si>
    <t xml:space="preserve"> Sesa Goa Ltd</t>
  </si>
  <si>
    <t>Other</t>
  </si>
  <si>
    <t>Spma/134/1994</t>
  </si>
  <si>
    <t xml:space="preserve">The   Custodian  &amp; Ors.  | Bhupendra C. Dalal  | Fairgrowth Financial Services Ltd.  | Sudhir  S. Mehta.  | Rasila Mehta  | Ashwin Mehta  | Jyoti Mehta.  | Harshad S. Mehta  | Hitesh Mehta  | Pratima Mehta  | Hiten P. Dalal  | Aryan Fine Fab Limited </t>
  </si>
  <si>
    <t>Delhi Hc</t>
  </si>
  <si>
    <t>W.p.(c)-396-2011</t>
  </si>
  <si>
    <t>Sesa Goa Ltd</t>
  </si>
  <si>
    <t>Ifci Ltd And Ors</t>
  </si>
  <si>
    <t>Andhra Pradesh Hc</t>
  </si>
  <si>
    <t>Challenged Judgment / Order Matters</t>
  </si>
  <si>
    <t>Civil -appeal Against Judgement / Order</t>
  </si>
  <si>
    <t>Cmasr 44801 / 2016</t>
  </si>
  <si>
    <t xml:space="preserve">M/s Vedanta Limited.  |</t>
  </si>
  <si>
    <t xml:space="preserve">M/s A.m.r. India Limited (formerly M/s Amr Constructions  |  2 State Bank Of Hyderabad. Industrial Finance Branch,  |  3 Icici Bank Ltd. Commercial Banking,  |  4 State Bank Of Mysore. Tfcpc-hyderabad.  |</t>
  </si>
  <si>
    <t>Goa Hc</t>
  </si>
  <si>
    <t>Mca</t>
  </si>
  <si>
    <t>Mca/173/2017</t>
  </si>
  <si>
    <t>Icici Bank Ltd Rep. Herein Thr. Its Legal Manager, Ms. Gauri Gujare</t>
  </si>
  <si>
    <t>M/s. Vedanta Ltd (formerly Known As Sesa Sterlite Ltd.), Thr. Its Aut. Sig. Mr. Sauvick Mazumdar</t>
  </si>
  <si>
    <t>Sta</t>
  </si>
  <si>
    <t>Sta/604/2017</t>
  </si>
  <si>
    <t>Spma/115/2015</t>
  </si>
  <si>
    <t xml:space="preserve"> Canbank Financial Services Ltd -  ; </t>
  </si>
  <si>
    <t>District Court</t>
  </si>
  <si>
    <t>Goa District Court</t>
  </si>
  <si>
    <t>Oa</t>
  </si>
  <si>
    <t>Oa/209/2018</t>
  </si>
  <si>
    <t xml:space="preserve"> M/s Vedanta Ltd.</t>
  </si>
  <si>
    <t xml:space="preserve"> Vishal Malleables Limited</t>
  </si>
  <si>
    <t>Tribunals</t>
  </si>
  <si>
    <t>Drt</t>
  </si>
  <si>
    <t>Oa/871/2017 - Debts Recovery Tribunal Bangalore (drt 2)</t>
  </si>
  <si>
    <t xml:space="preserve">Bharat Aluminium Company Ltd |gmr Kamalangar Energy Ltd |il And Fs Tamil Nadu Power Company Ltd |ksk Energy Ventures Ltd |ksk Mahanadi Power Company |lahmeyer Inter Nation India Pvt Ltd |sepco Electric Power Construction Corporation |sterlite Energy </t>
  </si>
  <si>
    <t>Oa/212/2018</t>
  </si>
  <si>
    <t>Oa/210/2018</t>
  </si>
  <si>
    <t>Oa/211/2018</t>
  </si>
  <si>
    <t>Oa/214/2018</t>
  </si>
  <si>
    <t>Oa/215/2018</t>
  </si>
  <si>
    <t>Oa/216/2018</t>
  </si>
  <si>
    <t>Oa/217/2018</t>
  </si>
  <si>
    <t>Oa/94/2017</t>
  </si>
  <si>
    <t xml:space="preserve"> Prateek Alloys Private Limted</t>
  </si>
  <si>
    <t>Spmp/255/1995</t>
  </si>
  <si>
    <t xml:space="preserve">P.r. Nayak  | Canara Bank  | D.m. Nanjundappa  | M.m. Khanna  | R.j. Kamath</t>
  </si>
  <si>
    <t xml:space="preserve">The Custodian  | Bombay Stock Exchange  | Hiten P. Dalal  | Larsen &amp; Toubro Ltd.  | Tata Power Co. Ltd.  | Gujrat Ambuja Cement Ltd.  | Escorts Tractors Ltd  | Apollo Tyres Ltd.  | Tata Iron &amp; Steel Company Ltd.  | Madras Cement Ltd  | Hindustan Ciba</t>
  </si>
  <si>
    <t>Spma/62/1993</t>
  </si>
  <si>
    <t xml:space="preserve">The Custodian  | Bhupendra C. Dalal  | Fairgrowth Financial Services Ltd.  | Sudhir Mehta  | Rasila Mehta  | Ashwin Mehta  | Jyoti Mehta.  | Harshad S. Mehta  | Hitesh Mehta  | Pratima Mehta  | Hiten P. Dalal  | Aryan Fine Fab Limited  | Anant Raj Cl</t>
  </si>
  <si>
    <t>Spma/203/1993</t>
  </si>
  <si>
    <t xml:space="preserve">The Custodian  | Bhupendra Champakdas Dalal  | Fairgrowth Financial Service Ltd.  | Sudhir Mehta  | Rashila Mehta  | Ashwin S. Mehta  | Jyoti H. Mehta  | Harshad Mehta  | Hitesh  Mehta  | Pratima Mehta  | Hiten  Dalal  | Aryan Fine Fab Ltd.  | Anant </t>
  </si>
  <si>
    <t>Spma/343/1996</t>
  </si>
  <si>
    <t xml:space="preserve">The Custodian  | Bhupendra Champakdas Dalal  | Fairgrowth Financial Services Ltd  | Sudhir S. Mehta  | Rashila Mehta  | Ashwin Mehta  | Jyoti H. Mehta  | Harshad Mehta  | Pratima Mehta  | Hiten  Dalal  | Aryan Fine Fab Ltd.  | Anant Raj Clay Products</t>
  </si>
  <si>
    <t>Spma/189/1993</t>
  </si>
  <si>
    <t xml:space="preserve">Custodian &amp; Others  | Mr. Bhupen C. Dalal.  | Fairgrowth Financial Services Ltd.  | Shri. Sudhir S. Mehta  | Mrs. Rasilaben S. Mehta  | Mr. Ashwin S. Mehta  | Smt. Jyoti H. Mehta.  | Shri Harshad S. Mehta.  | Mr. Hitesh S. Mehta  | Mrs. Pratima H. Me</t>
  </si>
  <si>
    <t>Spma/154/1994</t>
  </si>
  <si>
    <t xml:space="preserve">The   Custodian  &amp; Ors.  | Bhupendra C. Dalal.  | Fairgrowth Financial Services Ltd.  | Shri. Sudhir S. Mehta  | Rasila Mehta  | Shri Ashwin S. Mehta.  | Smt. Jyoti H. Mehta.  | Shri Harshad S. Mehta.  | Shri Hitesh S. Mehta.  | Smt. Pratima H. Mehta</t>
  </si>
  <si>
    <t>Spma/104/1994</t>
  </si>
  <si>
    <t xml:space="preserve">The   Custodian  And Ors.  | Bhupendra C. Dalal  | Fairgrowth Financial Services Ltd.  | Sudhir Mehta  | Rasila Mehta  | Ashwin Mehta  | Jyoti Mehta.  | Harshad S. Mehta  | Hitesh Mehta  | Pratima Mehta  | Hiten P. Dalal  | Aryan Fine Fab Limited  | </t>
  </si>
  <si>
    <t>Spma/3/1994</t>
  </si>
  <si>
    <t xml:space="preserve">A.k .menon Custodian  | Bhupendra Champakdas Dalal  | Fairgrowth Financial Service Ltd.  | Sudhir S. Mehta  | Rashila Mehta  | Ashwin Mehta  | Jyoti H. Mehta  | Harshad Mehta  | Hitesh S. Mehta  | Pratima Mehta  | Hiten  Dalal  | Aryan Fine Fab Ltd. </t>
  </si>
  <si>
    <t>Spma/155/1993</t>
  </si>
  <si>
    <t xml:space="preserve">Custodian And Others  | Bhupendra C. Dalal  | Fairgrowth Financial Services Ltd.  | Sudhir Mehta  | Rasila Mehta  | Ashwin Mehta  | Jyoti Mehta.  | Harshad S. Mehta  | Hitesh Mehta  | Pratima Mehta  | Hiten P. Dalal  | Aryan Fine Fab Limited  | Anant</t>
  </si>
  <si>
    <t>Mp Gwalior Hc</t>
  </si>
  <si>
    <t>Second Appeal (sa) 2/2020</t>
  </si>
  <si>
    <t>Mahendra Prasad</t>
  </si>
  <si>
    <t xml:space="preserve">Collector        Collector | kailash Narayan Thr. Legal Representatives Awadh Narayan  | kailash Narayan Thr. Legal Representatives Omprakash  | kailash Narayan Thr. Legal Representatives Rajkumar  | kailash Narayan Thr. Legal Representatives Suresh </t>
  </si>
  <si>
    <t>Scs</t>
  </si>
  <si>
    <t>Scs/12/2019</t>
  </si>
  <si>
    <t xml:space="preserve"> Prateek Alloys Private Limited</t>
  </si>
  <si>
    <t>Karnataka Hc</t>
  </si>
  <si>
    <t>Civil Matters</t>
  </si>
  <si>
    <t>Civil -fundamental / Legal Rights Violation Cases</t>
  </si>
  <si>
    <t>7436-wp/2011</t>
  </si>
  <si>
    <t>M/s Sesa Goa Limited</t>
  </si>
  <si>
    <t>State Of Karnataka</t>
  </si>
  <si>
    <t>7437-wp/2011</t>
  </si>
  <si>
    <t>Stamp Number (appln )</t>
  </si>
  <si>
    <t>Stamp Number (appln )/1565/2004</t>
  </si>
  <si>
    <t>M/s Sesa Goa Ltdpanaji-goa.</t>
  </si>
  <si>
    <t>Pandurang B. Parsekar, The Presiding Officer And Anr</t>
  </si>
  <si>
    <t>Wp</t>
  </si>
  <si>
    <t>Wp/298/2004</t>
  </si>
  <si>
    <t>Wp/32034/2011</t>
  </si>
  <si>
    <t xml:space="preserve"> M/s Sesa Goa Limited</t>
  </si>
  <si>
    <t xml:space="preserve"> State Of Karnataka</t>
  </si>
  <si>
    <t>32034-wp/2011</t>
  </si>
  <si>
    <t>Madras Hc</t>
  </si>
  <si>
    <t>N / A</t>
  </si>
  <si>
    <t>Other -others</t>
  </si>
  <si>
    <t>A/3153/2011</t>
  </si>
  <si>
    <t xml:space="preserve"> Board Of Trustees Of Port Of</t>
  </si>
  <si>
    <t xml:space="preserve"> M/s.sesa Goa Ltd.,</t>
  </si>
  <si>
    <t>Civil -final Order Cases</t>
  </si>
  <si>
    <t xml:space="preserve"> Application  3153  Of  2011</t>
  </si>
  <si>
    <t>Board Of Trustees Of Port Of</t>
  </si>
  <si>
    <t xml:space="preserve">  M/s.sesa Goa Ltd.,</t>
  </si>
  <si>
    <t>Supreme Court</t>
  </si>
  <si>
    <t>Mines And Minerals Matters</t>
  </si>
  <si>
    <t>Civil -minerals Related Cases</t>
  </si>
  <si>
    <t xml:space="preserve">Slp (civil)     34728/2010</t>
  </si>
  <si>
    <t>M/s Sesa Goa Ltd</t>
  </si>
  <si>
    <t>State Of Karnataka And Ors</t>
  </si>
  <si>
    <t>Civil -small Cause Cases</t>
  </si>
  <si>
    <t>Sc_34728_2010</t>
  </si>
  <si>
    <t>M/s sesa goa ltd   </t>
  </si>
  <si>
    <t>State of karnataka and ors</t>
  </si>
  <si>
    <t>Stamp Number (appln )/800/2011</t>
  </si>
  <si>
    <t>M/s. Sesa Goa Limited Through Company Secretary Chandrashekhar D. Chitnis And Anr</t>
  </si>
  <si>
    <t>State Of Goa Through Chief Secretary</t>
  </si>
  <si>
    <t>For Stay</t>
  </si>
  <si>
    <t>Ca/184/2010</t>
  </si>
  <si>
    <t>Ca/56/2011</t>
  </si>
  <si>
    <t>Ca/69/2011</t>
  </si>
  <si>
    <t>Stamp Number (appln )/768/2011</t>
  </si>
  <si>
    <t>Labour Matters</t>
  </si>
  <si>
    <t>Civil -workers Related Cases</t>
  </si>
  <si>
    <t xml:space="preserve">Slp (civil)     4858/2007</t>
  </si>
  <si>
    <t>Mormugao Waterfront Workers Union</t>
  </si>
  <si>
    <t>M/s Sesa Goa Ltd. &amp; Anr.</t>
  </si>
  <si>
    <t>Sc_4858_2007</t>
  </si>
  <si>
    <t>Mormugao waterfront workers union   </t>
  </si>
  <si>
    <t>M/s sesa goa ltd. &amp; anr.</t>
  </si>
  <si>
    <t>For Deletion Of Party</t>
  </si>
  <si>
    <t>Misc Civil Application/422/2011</t>
  </si>
  <si>
    <t>M/s. Sesa Goa Limited| Through Mr. Sauvick Mazumdar And Anr</t>
  </si>
  <si>
    <t>12822-wp/2011</t>
  </si>
  <si>
    <t>M/s.sesa Goa Limited</t>
  </si>
  <si>
    <t>Ngt Tribunal</t>
  </si>
  <si>
    <t>Goa Paryavaran Savrakshan Sangharsh Samitee</t>
  </si>
  <si>
    <t>Sesa Goa Ltd. Ors.</t>
  </si>
  <si>
    <t>Sesa Goa Ltd. &amp; Ors.</t>
  </si>
  <si>
    <t>M/s Sesa Goa Ltd. Ors.</t>
  </si>
  <si>
    <t>M/s Sesa Goa Ltd. &amp; Ors.</t>
  </si>
  <si>
    <t>Judicature At Hyderabad Hc</t>
  </si>
  <si>
    <t>Wp/2388/2006</t>
  </si>
  <si>
    <t xml:space="preserve"> M/s. Sesa Goa Limited,</t>
  </si>
  <si>
    <t xml:space="preserve"> Vice Chairman &amp;amp; Managing Director,</t>
  </si>
  <si>
    <t>Stm</t>
  </si>
  <si>
    <t>Stm/3272/2013</t>
  </si>
  <si>
    <t>Miss. Krutika Keshav Kudaskar, Daughter Of Late Shri. Keshav Kudaskar, Major Of Age Mr. Kaushik Keshav Kudaskar, Son Of Late Shri. Keshav Kudaskar, Major Of Age Smt. Vrushali Keshav Kudaskar And 2 Ors</t>
  </si>
  <si>
    <t>Miss Shraddha Prakash Kesarkar And 6 Ors, Mr. Gaurav Prakash Kesarkar, Son Of Late Shri. Prakash Sitaram Kesarkar, Student, Sesa Goa Limited, A Company Incorporated Under Indian Companies Act, 1956, Shri. Deelip Dattaram Kudaskar, Son Of Late Shri. D</t>
  </si>
  <si>
    <t>Ao</t>
  </si>
  <si>
    <t>Ao/81/2013</t>
  </si>
  <si>
    <t>M/s Sesa Goa Ltd Ors</t>
  </si>
  <si>
    <t>Fa</t>
  </si>
  <si>
    <t>Fa/90/2016</t>
  </si>
  <si>
    <t>Mr. Dilip D. Kudaskar And Anr, Mrs. Trupti Dilip Kudaskar</t>
  </si>
  <si>
    <t xml:space="preserve">Miss Kruthika Keshav Kudaskar, Miss Shraddha Prakash Kesarkar, Mr. Anant Ganpatrao Kadam, Mr. Gaurav Prakash Kesarkar, Mr. Kaushik Keshav Kudaskar, Mr. Pradeep Dattaram Kudaskar, Mr. Shankar Vasantrao Patnekar, Mr. Ulhas Ramakant Gauns Gaunkar, Mrs. </t>
  </si>
  <si>
    <t>Stm/189/2016</t>
  </si>
  <si>
    <t>Cmp/14963/2016</t>
  </si>
  <si>
    <t xml:space="preserve"> Commissioner Of Customs &amp;amp;</t>
  </si>
  <si>
    <t xml:space="preserve"> Sesa Sterlite Ltd</t>
  </si>
  <si>
    <t>Cmp/10099/2016</t>
  </si>
  <si>
    <t xml:space="preserve"> Vedanta Ltd.,</t>
  </si>
  <si>
    <t xml:space="preserve"> Roopa G Pai</t>
  </si>
  <si>
    <t>Wp/35354/2016</t>
  </si>
  <si>
    <t xml:space="preserve"> The Director Of Mines</t>
  </si>
  <si>
    <t>Wp/516/2010</t>
  </si>
  <si>
    <t>Mr. Dilip B. Mayekar And 11 Ors</t>
  </si>
  <si>
    <t>Sesa Goa Ltd And Anr</t>
  </si>
  <si>
    <t>Txa</t>
  </si>
  <si>
    <t>Txa/43/2016</t>
  </si>
  <si>
    <t>The Pr.commissioner Of Income Tax.</t>
  </si>
  <si>
    <t>M/s. Sesa Goa Ltd</t>
  </si>
  <si>
    <t>Income Tax Appeal</t>
  </si>
  <si>
    <t>Txa/27/2015</t>
  </si>
  <si>
    <t>Sesa Sterlite Limited| Erstwhile Sesa Goa Ltd..</t>
  </si>
  <si>
    <t>Txa/28/2015</t>
  </si>
  <si>
    <t>Sesa Sterlite Limited| Erstwhile Sesa Goa Ltd</t>
  </si>
  <si>
    <t>Lpa|167|2016</t>
  </si>
  <si>
    <t>Union Of India &amp; Ors</t>
  </si>
  <si>
    <t>Sesa Sterlite Limited</t>
  </si>
  <si>
    <t>Coap</t>
  </si>
  <si>
    <t>Coap/24/2016</t>
  </si>
  <si>
    <t>The Union Of India, Represented By Secretary To The Government, Ministry Of Mines, New Delhi.</t>
  </si>
  <si>
    <t>Scs/10/2016</t>
  </si>
  <si>
    <t xml:space="preserve"> M/s. Vedanta Limited</t>
  </si>
  <si>
    <t xml:space="preserve"> Shri. Shyamsundar Naik</t>
  </si>
  <si>
    <t>A/4390/2016</t>
  </si>
  <si>
    <t xml:space="preserve"> Crescent Combustion</t>
  </si>
  <si>
    <t>Cmp/13805/2016</t>
  </si>
  <si>
    <t xml:space="preserve"> Commissioner O Customs</t>
  </si>
  <si>
    <t xml:space="preserve"> M/s.sesa Sterlite Ltd.,</t>
  </si>
  <si>
    <t>Tax Appeal</t>
  </si>
  <si>
    <t>Stm/167/2016</t>
  </si>
  <si>
    <t>Vedanta Limited| Erstwhile Sesa Sterlite Ltd./sesa Goa Ltd</t>
  </si>
  <si>
    <t>Writ Petition For Quashing</t>
  </si>
  <si>
    <t>Stm/510/2015</t>
  </si>
  <si>
    <t>Sesa Sterlite Limited (formerly Known As Sesa Goa Limited)| Through P.o.a Shri Benicio Menezes.</t>
  </si>
  <si>
    <t>Wp/141/2015</t>
  </si>
  <si>
    <t>Electricity Courts</t>
  </si>
  <si>
    <t>Aptel</t>
  </si>
  <si>
    <t>Appellate Tribunal For Electricity</t>
  </si>
  <si>
    <t>A.no. 175 Of 2016 &amp; Ia No. 385 Of 2016</t>
  </si>
  <si>
    <t xml:space="preserve">-  M/s Vedanta Ltd</t>
  </si>
  <si>
    <t>Vs Odisha Electricity Regulatory Commission &amp; Ors</t>
  </si>
  <si>
    <t>Ca/166/2016</t>
  </si>
  <si>
    <t>M/s. Vedanta Ltd. (earlier Known As Sesa Goa Ltd)| Thr. Its Chief Officer Shri Sauvick Mazumder.</t>
  </si>
  <si>
    <t>Orissa Hc</t>
  </si>
  <si>
    <t>Wp(c)/3727/2016</t>
  </si>
  <si>
    <t xml:space="preserve"> M/s.vedanta Ltd.</t>
  </si>
  <si>
    <t xml:space="preserve"> Chairman-cum-m.d.,mahanadi Coalfields Ltd.</t>
  </si>
  <si>
    <t>Civil -redressal Of Law Violations Cases</t>
  </si>
  <si>
    <t>Cal/577/2016</t>
  </si>
  <si>
    <t xml:space="preserve"> Vedanta Limited Formerly Knows As Sterlite Industries (i) Ltd. -  ; </t>
  </si>
  <si>
    <t>National Securities Depositories Ltd.</t>
  </si>
  <si>
    <t>42980-wp/2016</t>
  </si>
  <si>
    <t>A.no. 30 Of 2016 &amp; Ia No. 19 Of 2016 &amp; Batch</t>
  </si>
  <si>
    <t>M/s Vedanta Ltd</t>
  </si>
  <si>
    <t>Vs Odisha Electricity Regulatory Comm &amp; Ors</t>
  </si>
  <si>
    <t>Madras Madurai Hc</t>
  </si>
  <si>
    <t xml:space="preserve"> Writ Misc. Petition(md)  10281  Of  2016</t>
  </si>
  <si>
    <t xml:space="preserve"> M/s.vedanta Limited,</t>
  </si>
  <si>
    <t xml:space="preserve">  The V.o.chidambaranar Port</t>
  </si>
  <si>
    <t xml:space="preserve"> Writ Misc. Petition(md)  10282  Of  2016</t>
  </si>
  <si>
    <t xml:space="preserve"> Writ Misc. Petition(md)  10283  Of  2016</t>
  </si>
  <si>
    <t xml:space="preserve"> Writ Petition(md)  13795  Of  2016</t>
  </si>
  <si>
    <t>Nmsl/2160/2016</t>
  </si>
  <si>
    <t xml:space="preserve"> Vedanta Limited -  ; </t>
  </si>
  <si>
    <t>Trimex International Fze Ltd</t>
  </si>
  <si>
    <t>Gujarat District Court</t>
  </si>
  <si>
    <t>Cma Sc/32/2015</t>
  </si>
  <si>
    <t xml:space="preserve"> Sesa Sterlite Ltd.</t>
  </si>
  <si>
    <t xml:space="preserve"> M/s. Climax Synthetics Private Limited</t>
  </si>
  <si>
    <t>Taxation Matters</t>
  </si>
  <si>
    <t>Civil -income Tax Cases</t>
  </si>
  <si>
    <t>Itxa/948/2016</t>
  </si>
  <si>
    <t xml:space="preserve">Sesa Goa Ltd. </t>
  </si>
  <si>
    <t xml:space="preserve"> Commissioner Of Income Tax</t>
  </si>
  <si>
    <t>Itxa/942/2016</t>
  </si>
  <si>
    <t xml:space="preserve">The Commissioner Of Income Tax </t>
  </si>
  <si>
    <t xml:space="preserve"> M/s Sesa Goa Ltd</t>
  </si>
  <si>
    <t>Itxa/957/2016</t>
  </si>
  <si>
    <t xml:space="preserve">Sesa Goa Ltd </t>
  </si>
  <si>
    <t>Itxa/943/2016</t>
  </si>
  <si>
    <t>Itxa/953/2016</t>
  </si>
  <si>
    <t>Itxa/958/2016</t>
  </si>
  <si>
    <t>Itxa/932/2016</t>
  </si>
  <si>
    <t xml:space="preserve"> M/s Sesa Goa Ltd.</t>
  </si>
  <si>
    <t>Itxa/952/2016</t>
  </si>
  <si>
    <t xml:space="preserve"> M/s. Sesa Goa Ltd</t>
  </si>
  <si>
    <t>Ia No. 320 Of 2016 In A.no. 179 Of 2014</t>
  </si>
  <si>
    <t>Gridco Ltd</t>
  </si>
  <si>
    <t>M/s Sesa Sterlite Ltd &amp; Anr</t>
  </si>
  <si>
    <t>Ia No.319 Of 2016 In A.no. 25 Of 2014</t>
  </si>
  <si>
    <t>M/s Sesa Sterlite Ltd</t>
  </si>
  <si>
    <t>Odisha Electricity Regulatory Commission &amp; Anr</t>
  </si>
  <si>
    <t>Rp No. 14 Of 2016 In A.no. 179 Of 2014</t>
  </si>
  <si>
    <t>Coap/44/2016</t>
  </si>
  <si>
    <t>---</t>
  </si>
  <si>
    <t>Sta/2388/2016</t>
  </si>
  <si>
    <t>Civil/criminal -others</t>
  </si>
  <si>
    <t>Spcs_2_2016</t>
  </si>
  <si>
    <t>Ashwin Mehta - |</t>
  </si>
  <si>
    <t>The Custodian - | Sesa Goa Ltd - | Karvy Computer Share Pvt Ltd - | Vipul Kinkhabwala - | Kishori Kinkhabwala - | Vipul Kinkhabwala - | Ishani Mehta - | Sahil Kinkhabwala - |</t>
  </si>
  <si>
    <t>Wp/417/2014</t>
  </si>
  <si>
    <t>M/s. Sesa Sterlite Ltd Rep. By Shri Mukesh Laddha</t>
  </si>
  <si>
    <t>Civil -notice Issue Cases</t>
  </si>
  <si>
    <t>S/682/2016</t>
  </si>
  <si>
    <t xml:space="preserve"> Rajotavo Dasgupta</t>
  </si>
  <si>
    <t xml:space="preserve"> Cairn India Limited And 16 Others</t>
  </si>
  <si>
    <t>Civil -employees Insurance Case</t>
  </si>
  <si>
    <t xml:space="preserve">Slp (civil)     6851/2007</t>
  </si>
  <si>
    <t>E.s.i.corporation</t>
  </si>
  <si>
    <t>M/s Sesa Goa Ltd.</t>
  </si>
  <si>
    <t>Civil -special Leave Petition Matters</t>
  </si>
  <si>
    <t xml:space="preserve">Slp (civil)     17719/2016</t>
  </si>
  <si>
    <t>Vedanta Ltd.</t>
  </si>
  <si>
    <t>Director Of Mines And Geology And Anr.</t>
  </si>
  <si>
    <t>Cestat Tribunal</t>
  </si>
  <si>
    <t>85449 Of 2016</t>
  </si>
  <si>
    <t xml:space="preserve">Commissioner Of Central Excise &amp;amp; Service Tax, Noida   2013 (31) Str 430 (tri-lb).</t>
  </si>
  <si>
    <t>85491 Of 2016</t>
  </si>
  <si>
    <t>Customs/85449/2016-mumbai</t>
  </si>
  <si>
    <t>Cce Goa</t>
  </si>
  <si>
    <t>Customs/85459/2016-mumbai</t>
  </si>
  <si>
    <t>Customs/85462/2016-mumbai</t>
  </si>
  <si>
    <t>Customs/85503/2016-mumbai</t>
  </si>
  <si>
    <t>Customs/85511/2016-mumbai</t>
  </si>
  <si>
    <t>Customs/85512/2016-mumbai</t>
  </si>
  <si>
    <t>Customs/85516/2016-mumbai</t>
  </si>
  <si>
    <t>Customs/85517/2016-mumbai</t>
  </si>
  <si>
    <t>Customs/85526/2016-mumbai</t>
  </si>
  <si>
    <t>Customs/85528/2016-mumbai</t>
  </si>
  <si>
    <t>Customs/85536/2016-mumbai</t>
  </si>
  <si>
    <t>Customs/85557/2016-mumbai</t>
  </si>
  <si>
    <t>Customs/85497/2016-mumbai</t>
  </si>
  <si>
    <t>Vedanta Ltd</t>
  </si>
  <si>
    <t>Commissioner Of Customs-goa</t>
  </si>
  <si>
    <t>Customs/85501/2016-mumbai</t>
  </si>
  <si>
    <t>Customs/85554/2016-mumbai</t>
  </si>
  <si>
    <t>Customs/85555/2016-mumbai</t>
  </si>
  <si>
    <t>Customs/85556/2016-mumbai</t>
  </si>
  <si>
    <t>Customs/85450/2016-mumbai</t>
  </si>
  <si>
    <t>Customs/85451/2016-mumbai</t>
  </si>
  <si>
    <t>Customs/85452/2016-mumbai</t>
  </si>
  <si>
    <t>Customs/85453/2016-mumbai</t>
  </si>
  <si>
    <t>Customs/85458/2016-mumbai</t>
  </si>
  <si>
    <t>Customs/85460/2016-mumbai</t>
  </si>
  <si>
    <t>Customs/85461/2016-mumbai</t>
  </si>
  <si>
    <t>Customs/85463/2016-mumbai</t>
  </si>
  <si>
    <t>Customs/85513/2016-mumbai</t>
  </si>
  <si>
    <t>Customs/85514/2016-mumbai</t>
  </si>
  <si>
    <t>Customs/85515/2016-mumbai</t>
  </si>
  <si>
    <t>Customs/85518/2016-mumbai</t>
  </si>
  <si>
    <t>Customs/85527/2016-mumbai</t>
  </si>
  <si>
    <t>Customs/85529/2016-mumbai</t>
  </si>
  <si>
    <t>Customs/85530/2016-mumbai</t>
  </si>
  <si>
    <t>Customs/85539/2016-mumbai</t>
  </si>
  <si>
    <t>Ia No. 320 Of 2016 &amp; A.no. 179 Of 2014</t>
  </si>
  <si>
    <t>Stm/1640/2010</t>
  </si>
  <si>
    <t>The Workmen Of Sesa Goa Ltd Rep. By United Mines Workers Union</t>
  </si>
  <si>
    <t>Customs/249/2011-kolkata</t>
  </si>
  <si>
    <t>C.c.(port)kol</t>
  </si>
  <si>
    <t>M/s. Sesa Goa Ltd,</t>
  </si>
  <si>
    <t>Customs/250/2011-kolkata</t>
  </si>
  <si>
    <t>Customs/253/2011-kolkata</t>
  </si>
  <si>
    <t>Wmp(md)/3273/2016</t>
  </si>
  <si>
    <t xml:space="preserve"> M/s.vedanta Limited, (earlier</t>
  </si>
  <si>
    <t xml:space="preserve"> The Assistant Commissioner,</t>
  </si>
  <si>
    <t>Wmp(md)/3267/2016</t>
  </si>
  <si>
    <t>Wmp(md)/7967/2016</t>
  </si>
  <si>
    <t xml:space="preserve"> M/s.vedanta Limited, Rep. By</t>
  </si>
  <si>
    <t xml:space="preserve"> Union Of India, Ministry Of</t>
  </si>
  <si>
    <t>Customs/30467/2016-hyderabad</t>
  </si>
  <si>
    <t>Visakhapatnam-i</t>
  </si>
  <si>
    <t>Service Tax/76091/2016-kolkata</t>
  </si>
  <si>
    <t>Bhubaneshwar-i</t>
  </si>
  <si>
    <t>Service Tax/76094/2016-kolkata</t>
  </si>
  <si>
    <t>Service Tax/76092/2016-kolkata</t>
  </si>
  <si>
    <t>36415-wp/2016</t>
  </si>
  <si>
    <t>Union Of India</t>
  </si>
  <si>
    <t>35354-wp/2016</t>
  </si>
  <si>
    <t xml:space="preserve">Vedanta Limited </t>
  </si>
  <si>
    <t xml:space="preserve">The Director Of Mines </t>
  </si>
  <si>
    <t>Sta/1921/2016</t>
  </si>
  <si>
    <t>For Speaking To The Minutes Of The Order.</t>
  </si>
  <si>
    <t>Coap/39/2016</t>
  </si>
  <si>
    <t>Cmp/8644/2016</t>
  </si>
  <si>
    <t xml:space="preserve"> M/s.vedanta Limited</t>
  </si>
  <si>
    <t xml:space="preserve"> The Additional Commissioner</t>
  </si>
  <si>
    <t>Family Law Matters</t>
  </si>
  <si>
    <t>Civil -succession Cases</t>
  </si>
  <si>
    <t>O.m.p. (t) (comm.)43/2016</t>
  </si>
  <si>
    <t>Special Cables Private Limited</t>
  </si>
  <si>
    <t xml:space="preserve">Service Tax  41992 Of 2015</t>
  </si>
  <si>
    <t>M/s. Vedanta Ltd</t>
  </si>
  <si>
    <t>Cce, Vapi</t>
  </si>
  <si>
    <t>Service Tax/41992/2015-chennai</t>
  </si>
  <si>
    <t>Tirunelveli</t>
  </si>
  <si>
    <t>A.no. 141 Of 2015 &amp; Ia No. 222 Of 2015 &amp; A.no. 283 Of 2014</t>
  </si>
  <si>
    <t xml:space="preserve">M/s Sesa Sterlite Ltd ,    M/s Vedanta Ltd</t>
  </si>
  <si>
    <t>Odisha Electricity Regulatory Commission &amp; Ors</t>
  </si>
  <si>
    <t>A.no. 30 Of 2016 &amp; Ia No. 82 Of 2016 &amp; 83 Of 2016</t>
  </si>
  <si>
    <t>Odisha Electricity Regulatory Comm &amp; Ors</t>
  </si>
  <si>
    <t>29819-wp/2016</t>
  </si>
  <si>
    <t>The Director Of Mines &amp; Geology</t>
  </si>
  <si>
    <t>A.no. 25 Of 2014,a.no. 25 Of 2014,a.no. 25 Of 2014,a.no. 25 Of 2014,a.no. 25 Of 2014,a.no. 25 Of 2014,a.no. 25 Of 2014,a.no. 25 Of 2014,a.no. 25 Of 2014,a.no. 25 Of 2014</t>
  </si>
  <si>
    <t>M/s. Sesa Sterlite Limited.</t>
  </si>
  <si>
    <t>Odisha Electricity Regulatory Commission &amp;amp; Ors.</t>
  </si>
  <si>
    <t>A.no. 179 Of 2014,a.no. 179 Of 2014,a.no. 179 Of 2014,a.no. 179 Of 2014,a.no. 179 Of 2014,a.no. 179 Of 2014,a.no. 179 Of 2014,a.no. 179 Of 2014,a.no. 179 Of 2014,a.no. 179 Of 2014</t>
  </si>
  <si>
    <t>Grid Corporation Of Orissa Limited.</t>
  </si>
  <si>
    <t>M/s. Sesa Sterlite Limited &amp;amp; Anr.</t>
  </si>
  <si>
    <t>Wp(c)/8111/2016</t>
  </si>
  <si>
    <t xml:space="preserve"> M/s.aster Pvt Ltd,cherlapally,telengana</t>
  </si>
  <si>
    <t xml:space="preserve"> M/s.vedanta Ltd,jharsuguda</t>
  </si>
  <si>
    <t>Coap/37/2016</t>
  </si>
  <si>
    <t>Sta/1604/2016</t>
  </si>
  <si>
    <t>Customs/85386/2016-mumbai</t>
  </si>
  <si>
    <t>Customs/85394/2016-mumbai</t>
  </si>
  <si>
    <t>Customs/85396/2016-mumbai</t>
  </si>
  <si>
    <t>Customs/85388/2016-mumbai</t>
  </si>
  <si>
    <t>Customs/85389/2016-mumbai</t>
  </si>
  <si>
    <t>Customs/85390/2016-mumbai</t>
  </si>
  <si>
    <t>Customs/85391/2016-mumbai</t>
  </si>
  <si>
    <t>Customs/85398/2016-mumbai</t>
  </si>
  <si>
    <t>Customs/85399/2016-mumbai</t>
  </si>
  <si>
    <t>Customs/85400/2016-mumbai</t>
  </si>
  <si>
    <t>Customs/85401/2016-mumbai</t>
  </si>
  <si>
    <t>Customs/85403/2016-mumbai</t>
  </si>
  <si>
    <t>Customs/85408/2016-mumbai</t>
  </si>
  <si>
    <t>Customs/85428/2016-mumbai</t>
  </si>
  <si>
    <t>Customs/85425/2016-mumbai</t>
  </si>
  <si>
    <t>Customs/85429/2016-mumbai</t>
  </si>
  <si>
    <t>Customs/85430/2016-mumbai</t>
  </si>
  <si>
    <t>Customs/85431/2016-mumbai</t>
  </si>
  <si>
    <t>Customs/85433/2016-mumbai</t>
  </si>
  <si>
    <t>Customs/85434/2016-mumbai</t>
  </si>
  <si>
    <t>Customs/85435/2016-mumbai</t>
  </si>
  <si>
    <t>Customs/85436/2016-mumbai</t>
  </si>
  <si>
    <t>Customs/85437/2016-mumbai</t>
  </si>
  <si>
    <t>Customs/85457/2016-mumbai</t>
  </si>
  <si>
    <t>Customs/85455/2016-mumbai</t>
  </si>
  <si>
    <t>Customs/85355/2016-mumbai</t>
  </si>
  <si>
    <t>Customs/85359/2016-mumbai</t>
  </si>
  <si>
    <t>Cc Goa</t>
  </si>
  <si>
    <t>Customs/85361/2016-mumbai</t>
  </si>
  <si>
    <t>Customs/85363/2016-mumbai</t>
  </si>
  <si>
    <t>Customs/85357/2016-mumbai</t>
  </si>
  <si>
    <t>Customs/85364/2016-mumbai</t>
  </si>
  <si>
    <t>Customs/85362/2016-mumbai</t>
  </si>
  <si>
    <t>Customs/85387/2016-mumbai</t>
  </si>
  <si>
    <t>Customs/85392/2016-mumbai</t>
  </si>
  <si>
    <t>Customs/85393/2016-mumbai</t>
  </si>
  <si>
    <t>Customs/85397/2016-mumbai</t>
  </si>
  <si>
    <t>Customs/85402/2016-mumbai</t>
  </si>
  <si>
    <t>Customs/85404/2016-mumbai</t>
  </si>
  <si>
    <t>Customs/85405/2016-mumbai</t>
  </si>
  <si>
    <t>Customs/85406/2016-mumbai</t>
  </si>
  <si>
    <t>Customs/85407/2016-mumbai</t>
  </si>
  <si>
    <t>Customs/85409/2016-mumbai</t>
  </si>
  <si>
    <t>Customs/85356/2016-mumbai</t>
  </si>
  <si>
    <t>Customs/85358/2016-mumbai</t>
  </si>
  <si>
    <t>Customs/85360/2016-mumbai</t>
  </si>
  <si>
    <t>Customs/85395/2016-mumbai</t>
  </si>
  <si>
    <t>Customs/85422/2016-mumbai</t>
  </si>
  <si>
    <t>Customs/85423/2016-mumbai</t>
  </si>
  <si>
    <t>Customs/85424/2016-mumbai</t>
  </si>
  <si>
    <t>Customs/85426/2016-mumbai</t>
  </si>
  <si>
    <t>Customs/85427/2016-mumbai</t>
  </si>
  <si>
    <t>Customs/85432/2016-mumbai</t>
  </si>
  <si>
    <t>Customs/85454/2016-mumbai</t>
  </si>
  <si>
    <t>Customs/85456/2016-mumbai</t>
  </si>
  <si>
    <t xml:space="preserve"> Civil Misc. Appeal(md)  325  Of  2016</t>
  </si>
  <si>
    <t xml:space="preserve">  The Commissioner Of Central</t>
  </si>
  <si>
    <t xml:space="preserve"> Civil Misc. Appeal(md)  324  Of  2016</t>
  </si>
  <si>
    <t xml:space="preserve"> M/s.vedanta Ltd., (formerly</t>
  </si>
  <si>
    <t xml:space="preserve"> Civil Misc.petition(md)  4521  Of  2016</t>
  </si>
  <si>
    <t xml:space="preserve"> Civil Misc.petition(md)  4525  Of  2016</t>
  </si>
  <si>
    <t xml:space="preserve"> Civil Misc.petition(md)  4526  Of  2016</t>
  </si>
  <si>
    <t xml:space="preserve"> Civil Misc. Appeal(md)  323  Of  2016</t>
  </si>
  <si>
    <t xml:space="preserve"> Civil Misc.petition(md)  4527  Of  2016</t>
  </si>
  <si>
    <t xml:space="preserve"> Civil Misc.petition(md)  4524  Of  2016</t>
  </si>
  <si>
    <t>Cra</t>
  </si>
  <si>
    <t>Cra/12/2016</t>
  </si>
  <si>
    <t>Commissioner Of Income Tax, Panaji.</t>
  </si>
  <si>
    <t>Cra/14/2016</t>
  </si>
  <si>
    <t>Coap/17/2016</t>
  </si>
  <si>
    <t>Sepco Electric Power Construction Corporation.</t>
  </si>
  <si>
    <t>Coap/18/2016</t>
  </si>
  <si>
    <t>Vedanta Limited.</t>
  </si>
  <si>
    <t>Sta/872/2016</t>
  </si>
  <si>
    <t>Stm/1059/2016</t>
  </si>
  <si>
    <t>Stm/1061/2016</t>
  </si>
  <si>
    <t>Sta/873/2016</t>
  </si>
  <si>
    <t xml:space="preserve"> Civil Misc.petition(md)  4120  Of  2016</t>
  </si>
  <si>
    <t xml:space="preserve"> Civil Misc.petition(md)  4121  Of  2016</t>
  </si>
  <si>
    <t xml:space="preserve"> Civil Misc.petition(md)  4122  Of  2016</t>
  </si>
  <si>
    <t>Wmp</t>
  </si>
  <si>
    <t>Wmp/12706/2016</t>
  </si>
  <si>
    <t xml:space="preserve"> M/s.vedanta Limited , Rep By</t>
  </si>
  <si>
    <t xml:space="preserve"> Deputy Commissioner Of Income</t>
  </si>
  <si>
    <t>0816-letter Petition &amp; Pil Matters : Slps Filed Against Judgments / Orders Passed By The High Courts In Writ Petitions Filed As Pil</t>
  </si>
  <si>
    <t>Slp(c) No. 031637 - 031641 / 2015</t>
  </si>
  <si>
    <t>M/s United Stevedores</t>
  </si>
  <si>
    <t>Avoor Muthiah Maistry Street Resi.welfar |ennore Port Trust Ltd. (r-7) In Slp No. 20658/11 |m/s Sesa Goa Ltd. ''sesa Ghor'' |repondent No. 3 In Slp (cc) 20657 Of 2011 |respondent No. 1 In Slp(c) No. 20656/11 |respondent No. 12 In Slp(c) Cc No. 20657/</t>
  </si>
  <si>
    <t>Slp(c) No. 014245 - 014251 / 2014</t>
  </si>
  <si>
    <t>Chairman Chennai Port Trust</t>
  </si>
  <si>
    <t xml:space="preserve">Avoor Muthaih Maistry St.. |m/s. Sesa Goa Ltd. (respondent No. 9 In Sc 14247 Of 2014 And R-10  In Sc 14251 Of 2014) |r-3 In Slp 14245 14248 And 14251 Of 2014 And R-4 In Slp 14249 14250 Of 2014 And R-2 In Slp 14246 &amp; 14247 Of 2014 |respondent No. 1 In</t>
  </si>
  <si>
    <t>Stm/1213/2016</t>
  </si>
  <si>
    <t>M/s. Vedanta Ltd Thr. Its Deputy Chief Financial Officer-iron Ore Business Mr. Azad Shaw And Anr</t>
  </si>
  <si>
    <t>State Of Goa, Thr. Chief Secretary And 2 Ors</t>
  </si>
  <si>
    <t>S/3581/2016</t>
  </si>
  <si>
    <t xml:space="preserve">Sunil S. Shahani </t>
  </si>
  <si>
    <t xml:space="preserve"> Vedanta Limited &amp; Anr.</t>
  </si>
  <si>
    <t>Sta/1059/2016</t>
  </si>
  <si>
    <t>M/s.sesa Goa Ltd</t>
  </si>
  <si>
    <t>Sta/1061/2016</t>
  </si>
  <si>
    <t>The Pr. Commissioner Of Income Tax, Panaji.</t>
  </si>
  <si>
    <t>18941-wp/2016</t>
  </si>
  <si>
    <t>19328-wp/2016</t>
  </si>
  <si>
    <t>19329-wp/2016</t>
  </si>
  <si>
    <t>19330-wp/2016</t>
  </si>
  <si>
    <t>19331-wp/2016</t>
  </si>
  <si>
    <t>19332-wp/2016</t>
  </si>
  <si>
    <t>19333-wp/2016</t>
  </si>
  <si>
    <t>19334-wp/2016</t>
  </si>
  <si>
    <t>19335-wp/2016</t>
  </si>
  <si>
    <t>Txa/27/2013</t>
  </si>
  <si>
    <t>The Commissioner Of Income Tax</t>
  </si>
  <si>
    <t>Sesa Goa Limited</t>
  </si>
  <si>
    <t>Electricity Matters</t>
  </si>
  <si>
    <t>Civil -electricity Cases</t>
  </si>
  <si>
    <t>Ia No._35_2014</t>
  </si>
  <si>
    <t>Orissa Electricity Regulatory Commission,gridco Limited</t>
  </si>
  <si>
    <t>Customs/21088/2014-banglore</t>
  </si>
  <si>
    <t>Mangalore-cus</t>
  </si>
  <si>
    <t>Customs/21089/2014-banglore</t>
  </si>
  <si>
    <t>Customs/21090/2014-banglore</t>
  </si>
  <si>
    <t>Customs/21091/2014-banglore</t>
  </si>
  <si>
    <t>Customs/21092/2014-banglore</t>
  </si>
  <si>
    <t>Customs/21093/2014-banglore</t>
  </si>
  <si>
    <t>Apeeal No._25_2014</t>
  </si>
  <si>
    <t>Orissa Electricity Regulatory Commission</t>
  </si>
  <si>
    <t>M/s. Sesa Goa Ltd. &amp; Ors.</t>
  </si>
  <si>
    <t>Stm/257/2014</t>
  </si>
  <si>
    <t>Commissioner Of Income Tax</t>
  </si>
  <si>
    <t>Service Tax/40354/2014-chennai</t>
  </si>
  <si>
    <t>575-wa/2014</t>
  </si>
  <si>
    <t>Civil -sales Tax Cases</t>
  </si>
  <si>
    <t xml:space="preserve">Slp (civil)     17351/2002</t>
  </si>
  <si>
    <t>Sesa Goa Ltd.</t>
  </si>
  <si>
    <t>Commnr. Of Sales Tax &amp; Anr.</t>
  </si>
  <si>
    <t xml:space="preserve">Slp (civil)     17481/2002</t>
  </si>
  <si>
    <t>Commnr. Of Sales Tax, Goa &amp; Anr.</t>
  </si>
  <si>
    <t xml:space="preserve">Civil Appeal     6823/2003</t>
  </si>
  <si>
    <t xml:space="preserve">Civil Appeal     6824/2003</t>
  </si>
  <si>
    <t>Civil -indirect Tax Cases</t>
  </si>
  <si>
    <t>Ac_6823_2003</t>
  </si>
  <si>
    <t>Sesa goa ltd.   </t>
  </si>
  <si>
    <t>Commnr. of sales tax &amp; anr.</t>
  </si>
  <si>
    <t>Ac_6824_2003</t>
  </si>
  <si>
    <t>Commnr. of sales tax, goa &amp; anr.</t>
  </si>
  <si>
    <t>Service Tax/566/2010-mumbai</t>
  </si>
  <si>
    <t xml:space="preserve">Cce  Goa</t>
  </si>
  <si>
    <t>Service Tax/567/2010-mumbai</t>
  </si>
  <si>
    <t>Service Tax/568/2010-mumbai</t>
  </si>
  <si>
    <t>Service Tax/569/2010-mumbai</t>
  </si>
  <si>
    <t>Service Tax/565/2010-mumbai</t>
  </si>
  <si>
    <t>Service Tax/570/2010-mumbai</t>
  </si>
  <si>
    <t xml:space="preserve">Writ Petition (civil)     96/2014</t>
  </si>
  <si>
    <t>Sesa Sterlite Ltd &amp; Anr</t>
  </si>
  <si>
    <t>U.o.i &amp; Ors</t>
  </si>
  <si>
    <t>Of_29180_2013</t>
  </si>
  <si>
    <t xml:space="preserve">Bangalore-560001	</t>
  </si>
  <si>
    <t xml:space="preserve">M/s Sesa Goa Ltd </t>
  </si>
  <si>
    <t>Excise/2259/2012-banglore</t>
  </si>
  <si>
    <t>Bangalore-ii</t>
  </si>
  <si>
    <t>Customs/770/2005-mumbai</t>
  </si>
  <si>
    <t>The Comm. Of Customs Goa</t>
  </si>
  <si>
    <t>Wp/7436/2011</t>
  </si>
  <si>
    <t>I.a. No._398_2013</t>
  </si>
  <si>
    <t>Service Tax/40206/2014-chennai</t>
  </si>
  <si>
    <t>Customs/35/2011-kolkata</t>
  </si>
  <si>
    <t>Coms,c.ex,cus &amp; S.tax - Bbsr-i</t>
  </si>
  <si>
    <t>Of_768_2010</t>
  </si>
  <si>
    <t>(arising Out Of Following Orders-in-appea</t>
  </si>
  <si>
    <t>M/s. Sesa Goa Ltd.</t>
  </si>
  <si>
    <t>Of_54_2012</t>
  </si>
  <si>
    <t xml:space="preserve">   </t>
  </si>
  <si>
    <t>Customs/1/2011-kolkata</t>
  </si>
  <si>
    <t>Customs/223/2011-kolkata</t>
  </si>
  <si>
    <t>Decors</t>
  </si>
  <si>
    <t>Customs/226/2011-kolkata</t>
  </si>
  <si>
    <t>Customs/224/2011-kolkata</t>
  </si>
  <si>
    <t>Customs/225/2011-kolkata</t>
  </si>
  <si>
    <t>Customs/154/2011-kolkata</t>
  </si>
  <si>
    <t>Customs/155/2011-kolkata</t>
  </si>
  <si>
    <t>Customs/156/2011-kolkata</t>
  </si>
  <si>
    <t>Customs/157/2011-kolkata</t>
  </si>
  <si>
    <t>Customs/158/2011-kolkata</t>
  </si>
  <si>
    <t>Customs/159/2011-kolkata</t>
  </si>
  <si>
    <t>Customs/160/2011-kolkata</t>
  </si>
  <si>
    <t>Customs/161/2011-kolkata</t>
  </si>
  <si>
    <t>Customs/162/2011-kolkata</t>
  </si>
  <si>
    <t>Customs/227/2011-kolkata</t>
  </si>
  <si>
    <t>Customs/228/2011-kolkata</t>
  </si>
  <si>
    <t>Customs/114/2010-kolkata</t>
  </si>
  <si>
    <t>Customs/115/2010-kolkata</t>
  </si>
  <si>
    <t>Customs/33/2011-kolkata</t>
  </si>
  <si>
    <t>Customs/31/2011-kolkata</t>
  </si>
  <si>
    <t>Customs/32/2011-kolkata</t>
  </si>
  <si>
    <t>Customs/34/2011-kolkata</t>
  </si>
  <si>
    <t>Customs/39/2011-kolkata</t>
  </si>
  <si>
    <t>Customs/40/2011-kolkata</t>
  </si>
  <si>
    <t>Customs/36/2011-kolkata</t>
  </si>
  <si>
    <t>Customs/37/2011-kolkata</t>
  </si>
  <si>
    <t>Customs/38/2011-kolkata</t>
  </si>
  <si>
    <t>Customs/172/2011-kolkata</t>
  </si>
  <si>
    <t>Customs/173/2011-kolkata</t>
  </si>
  <si>
    <t>Customs/171/2011-kolkata</t>
  </si>
  <si>
    <t>Excise/42420/2013-chennai</t>
  </si>
  <si>
    <t>Excise/42421/2013-chennai</t>
  </si>
  <si>
    <t>Excise/0042421/2013-chennai</t>
  </si>
  <si>
    <t>Sesa Sterlite Ltd</t>
  </si>
  <si>
    <t>Misc Civil Application</t>
  </si>
  <si>
    <t>Misc Civil Application/451/2013</t>
  </si>
  <si>
    <t>Mr. Bhisham Gianani, Mr. Nandalal Karlo, Mr. Sharad Kargaonkar, Mrs. Radha N. Karlo And 6 Ors, Mrs. Savita Bhisham Gianani, Mrs. Sujata Sharad Kargaonkar</t>
  </si>
  <si>
    <t xml:space="preserve">Ministry Of Environment  Forests, Pariyavran Bhavan,, Mr Rohit Raghuvir Paingankar, Mr. Rajendra Raghuvir Paingankar, Mrs. Nutan Rohit Paingankar, Mrs. Pratibha Rajendra Paingankar, Sesa Goa Ltd A Company Registered Under The Indian Companies Act, Th</t>
  </si>
  <si>
    <t>For Direction</t>
  </si>
  <si>
    <t>Stamp Number (appln )/588/2013</t>
  </si>
  <si>
    <t>Sesa Goa Limited Through Its M.d. Shri P.k. Mukherjee</t>
  </si>
  <si>
    <t>Misc Civil Application/224/2013</t>
  </si>
  <si>
    <t>_4_1309</t>
  </si>
  <si>
    <t>_8_1309</t>
  </si>
  <si>
    <t>_5_1307</t>
  </si>
  <si>
    <t>_8_1307</t>
  </si>
  <si>
    <t>_1_1308</t>
  </si>
  <si>
    <t>Misc Application No._509_2013</t>
  </si>
  <si>
    <t>Stm/2274/2013</t>
  </si>
  <si>
    <t>Others (w.p)</t>
  </si>
  <si>
    <t>Wp/233/2013</t>
  </si>
  <si>
    <t>M/s. Sesa Goa Limited And Anr.</t>
  </si>
  <si>
    <t>Stm/858/2013</t>
  </si>
  <si>
    <t>Wp/28451/2013</t>
  </si>
  <si>
    <t xml:space="preserve"> Sesa Sterlite Ltd., Formerly</t>
  </si>
  <si>
    <t xml:space="preserve"> Tamilnadu Generation And</t>
  </si>
  <si>
    <t xml:space="preserve">Writ Petition (civil)     870/2013</t>
  </si>
  <si>
    <t>Wc_870_2013</t>
  </si>
  <si>
    <t>M/s sesa sterlite ltd &amp; anr   </t>
  </si>
  <si>
    <t>U.o.i &amp; ors</t>
  </si>
  <si>
    <t>44793-wp/2013</t>
  </si>
  <si>
    <t xml:space="preserve">State Of Karnataka </t>
  </si>
  <si>
    <t>Customs/41987/2013-chennai</t>
  </si>
  <si>
    <t>Chennai(air Port &amp; Cargo)</t>
  </si>
  <si>
    <t>Stm/1903/2013</t>
  </si>
  <si>
    <t>Stm/1904/2013</t>
  </si>
  <si>
    <t>Txa/13/2013</t>
  </si>
  <si>
    <t>Txa/14/2013</t>
  </si>
  <si>
    <t>Txa/17/2013</t>
  </si>
  <si>
    <t>Sesa Goa Limited|</t>
  </si>
  <si>
    <t>Stm/1878/2013</t>
  </si>
  <si>
    <t>Stm/1879/2013</t>
  </si>
  <si>
    <t>Txa/18/2013</t>
  </si>
  <si>
    <t>Of_2043_2012</t>
  </si>
  <si>
    <t xml:space="preserve">M/s Sesa Goa Ltd. </t>
  </si>
  <si>
    <t>The Commissioner Of Service Tax, Bangalore</t>
  </si>
  <si>
    <t>Company Matters</t>
  </si>
  <si>
    <t>Civil -monopolies And Restrictive Trade Practices Cases</t>
  </si>
  <si>
    <t xml:space="preserve">Slp (civil)     26086/2013</t>
  </si>
  <si>
    <t>Shailesh H. Bajaj</t>
  </si>
  <si>
    <t>Sesa Goa Ltd &amp; Anr</t>
  </si>
  <si>
    <t xml:space="preserve">Slp (civil)     26715/2013</t>
  </si>
  <si>
    <t>Shailesh H Bajaj</t>
  </si>
  <si>
    <t>Civil -company Cases</t>
  </si>
  <si>
    <t>Sc_26086_2013</t>
  </si>
  <si>
    <t>Shailesh h. bajaj   </t>
  </si>
  <si>
    <t>Sesa goa ltd &amp; anr</t>
  </si>
  <si>
    <t>Sc_26715_2013</t>
  </si>
  <si>
    <t>Shailesh h bajaj   </t>
  </si>
  <si>
    <t>Sesa goa ltd and anr</t>
  </si>
  <si>
    <t xml:space="preserve"> Civil Suits  60  Of  2010</t>
  </si>
  <si>
    <t>M/s.sesa Goa Ltd.,</t>
  </si>
  <si>
    <t xml:space="preserve">  Board Of Trustees Of Port Of</t>
  </si>
  <si>
    <t>Misc Application No._518_2013</t>
  </si>
  <si>
    <t>Misc Application No._517_2013</t>
  </si>
  <si>
    <t>Tamil Nadu District Court</t>
  </si>
  <si>
    <t>Cmp/755/2012</t>
  </si>
  <si>
    <t xml:space="preserve"> The Sesa Goa Ltd.,  Another</t>
  </si>
  <si>
    <t xml:space="preserve"> Devendra Chandra Modi  Another</t>
  </si>
  <si>
    <t>For Extension Of Time</t>
  </si>
  <si>
    <t>Misc Civil Application/645/2013</t>
  </si>
  <si>
    <t>Coa</t>
  </si>
  <si>
    <t>Coa/5/2013</t>
  </si>
  <si>
    <t xml:space="preserve">Registrar Of Companies, Goa, Daman  Diu, Panaji Sesa Goa Ltd. And Anr</t>
  </si>
  <si>
    <t>Coa/6/2013</t>
  </si>
  <si>
    <t>Stm/980/2013</t>
  </si>
  <si>
    <t>Stm/983/2013</t>
  </si>
  <si>
    <t>Kolkata Original Hc</t>
  </si>
  <si>
    <t xml:space="preserve"> Writ Petitions (wp)  248  Of  2013</t>
  </si>
  <si>
    <t xml:space="preserve"> Sesa Goa Ltd.</t>
  </si>
  <si>
    <t xml:space="preserve">  The Commissioner Of Customs (port) &amp; Ors</t>
  </si>
  <si>
    <t>_9_1357</t>
  </si>
  <si>
    <t>_2_1358</t>
  </si>
  <si>
    <t>_5_1358</t>
  </si>
  <si>
    <t>_8_1359</t>
  </si>
  <si>
    <t>_2_1360</t>
  </si>
  <si>
    <t>Income Tax Appellate Tribunal</t>
  </si>
  <si>
    <t>Mumbai Itat</t>
  </si>
  <si>
    <t>Ita 89/pan-2012</t>
  </si>
  <si>
    <t>Joint Commissioner Of Income Tax</t>
  </si>
  <si>
    <t>_2_1375</t>
  </si>
  <si>
    <t>_5_1375</t>
  </si>
  <si>
    <t>_8_1375</t>
  </si>
  <si>
    <t>_8_1377</t>
  </si>
  <si>
    <t>_2_1378</t>
  </si>
  <si>
    <t>Coap/31/2013</t>
  </si>
  <si>
    <t>Stamp Number (appln )/981/2013</t>
  </si>
  <si>
    <t>Ita 190/pan-2011</t>
  </si>
  <si>
    <t>Addl Commissioner Of Income Tax</t>
  </si>
  <si>
    <t>Coap/30/2013</t>
  </si>
  <si>
    <t>Sesa Goa Ltd. And Anr</t>
  </si>
  <si>
    <t>Stamp Number (appln )/984/2013</t>
  </si>
  <si>
    <t>Fa/53/2013</t>
  </si>
  <si>
    <t>Bajaj Allianz General Insurance Company Ltd</t>
  </si>
  <si>
    <t>M/s Sesa Goa Limited Through Its Managing Director, Mr. Fotu Dhondu Sawant, Mr. Mahadev Ladu Ugvekar, Mr. Sunil Dhondu Sawant, Mrs. Anjusha Fotu Sawant, Mrs. Shital Sunil Sawant, Smt. Ganga Alias Gangubai Dhondu Sawant And 6 Ors</t>
  </si>
  <si>
    <t>Stm/10/2013</t>
  </si>
  <si>
    <t>Stm/548/2013</t>
  </si>
  <si>
    <t>Original Application No._49_2012</t>
  </si>
  <si>
    <t>M/s Sesa Goa Ltd. Anr.</t>
  </si>
  <si>
    <t>State Of Goa Ors.</t>
  </si>
  <si>
    <t>_49_2012</t>
  </si>
  <si>
    <t>A.no. 179 Of 2014</t>
  </si>
  <si>
    <t>A.no. 31 Of 2016 &amp; Ia No. 84 Of 2016 &amp; 85 Of 2016</t>
  </si>
  <si>
    <t>Writ Petition</t>
  </si>
  <si>
    <t>Wp/259/2014</t>
  </si>
  <si>
    <t>Sesa Sterlite Limited Through Its Attorney Mr. Benicio Menezes</t>
  </si>
  <si>
    <t>Letter Petition &amp; Pil Matter</t>
  </si>
  <si>
    <t>Civil -letter Patent Appeal Cases</t>
  </si>
  <si>
    <t xml:space="preserve"> Wp(c) - Writ Petition Under Art.226 &amp; 227.  3342  Of  2016</t>
  </si>
  <si>
    <t xml:space="preserve">  Joint Commissioner Of Sales Tax</t>
  </si>
  <si>
    <t>Wp(c)/3342/2016</t>
  </si>
  <si>
    <t xml:space="preserve"> Joint Commissioner Of Sales Tax</t>
  </si>
  <si>
    <t>Cmp/2430/2016</t>
  </si>
  <si>
    <t xml:space="preserve"> Ms.roopa G Pai</t>
  </si>
  <si>
    <t>Wmp(md)/2455/2016</t>
  </si>
  <si>
    <t>Wmp(md)/2459/2016</t>
  </si>
  <si>
    <t>16322-wp/2016</t>
  </si>
  <si>
    <t>The Director Of Mines And Geology</t>
  </si>
  <si>
    <t>A.no. 25 Of 2014 &amp; 179 Of 2014</t>
  </si>
  <si>
    <t xml:space="preserve">Gridco Ltd,  M/s Sesa Sterlite Ltd</t>
  </si>
  <si>
    <t xml:space="preserve">M/s Sesa Sterlite Ltd &amp; Anr,    Orissa Electricity Regulatory Commission &amp; Anr</t>
  </si>
  <si>
    <t>Wp(md)/1533/2016</t>
  </si>
  <si>
    <t xml:space="preserve"> The Assistant Commissioner</t>
  </si>
  <si>
    <t>Wp(md)/2769/2016</t>
  </si>
  <si>
    <t>Wp(md)/2770/2016</t>
  </si>
  <si>
    <t>Wmp(md)/1293/2016</t>
  </si>
  <si>
    <t xml:space="preserve"> The Principal Secretary &amp;amp;</t>
  </si>
  <si>
    <t>Wp(md)/2774/2016</t>
  </si>
  <si>
    <t>Wp(md)/2767/2016</t>
  </si>
  <si>
    <t>Wp(md)/2777/2016</t>
  </si>
  <si>
    <t>Wp(md)/2768/2016</t>
  </si>
  <si>
    <t>Wp(md)/2772/2016</t>
  </si>
  <si>
    <t>Wp(md)/2775/2016</t>
  </si>
  <si>
    <t>Wp(md)/2776/2016</t>
  </si>
  <si>
    <t>Wp(md)/1534/2016</t>
  </si>
  <si>
    <t>Wp(md)/2771/2016</t>
  </si>
  <si>
    <t>Wp(md)/2766/2016</t>
  </si>
  <si>
    <t>Civil -excise Cases</t>
  </si>
  <si>
    <t xml:space="preserve"> Wp(c) - Writ Petition Under Art.226 &amp; 227.  3727  Of  2016</t>
  </si>
  <si>
    <t xml:space="preserve">  Chairman-cum-m.d.,mahanadi Coalfields Lt</t>
  </si>
  <si>
    <t xml:space="preserve"> Writ Misc. Petition(md)  1289  Of  2016</t>
  </si>
  <si>
    <t xml:space="preserve">  The Principal Secretary &amp;</t>
  </si>
  <si>
    <t xml:space="preserve"> Writ Misc. Petition(md)  1290  Of  2016</t>
  </si>
  <si>
    <t xml:space="preserve"> Writ Misc. Petition(md)  1291  Of  2016</t>
  </si>
  <si>
    <t xml:space="preserve">  The Assistant Commissioner</t>
  </si>
  <si>
    <t xml:space="preserve"> Writ Misc. Petition(md)  1292  Of  2016</t>
  </si>
  <si>
    <t xml:space="preserve">  The Assistant Commissioner,</t>
  </si>
  <si>
    <t xml:space="preserve"> Writ Misc. Petition(md)  1293  Of  2016</t>
  </si>
  <si>
    <t xml:space="preserve"> Writ Misc. Petition(md)  1294  Of  2016</t>
  </si>
  <si>
    <t xml:space="preserve"> Writ Misc. Petition(md)  1295  Of  2016</t>
  </si>
  <si>
    <t xml:space="preserve"> Writ Misc. Petition(md)  1296  Of  2016</t>
  </si>
  <si>
    <t xml:space="preserve"> Writ Misc. Petition(md)  1297  Of  2016</t>
  </si>
  <si>
    <t xml:space="preserve"> Writ Misc. Petition(md)  1298  Of  2016</t>
  </si>
  <si>
    <t xml:space="preserve"> Writ Misc. Petition(md)  2452  Of  2016</t>
  </si>
  <si>
    <t xml:space="preserve"> Writ Misc. Petition(md)  2453  Of  2016</t>
  </si>
  <si>
    <t xml:space="preserve"> Writ Misc. Petition(md)  2454  Of  2016</t>
  </si>
  <si>
    <t xml:space="preserve"> Writ Misc. Petition(md)  2455  Of  2016</t>
  </si>
  <si>
    <t xml:space="preserve"> Writ Misc. Petition(md)  2456  Of  2016</t>
  </si>
  <si>
    <t xml:space="preserve"> Writ Misc. Petition(md)  2457  Of  2016</t>
  </si>
  <si>
    <t xml:space="preserve"> Writ Misc. Petition(md)  2458  Of  2016</t>
  </si>
  <si>
    <t xml:space="preserve"> Writ Misc. Petition(md)  2459  Of  2016</t>
  </si>
  <si>
    <t xml:space="preserve"> Writ Misc. Petition(md)  2460  Of  2016</t>
  </si>
  <si>
    <t xml:space="preserve"> Writ Misc. Petition(md)  2461  Of  2016</t>
  </si>
  <si>
    <t xml:space="preserve"> Writ Misc. Petition(md)  2462  Of  2016</t>
  </si>
  <si>
    <t xml:space="preserve"> Writ Misc. Petition(md)  2463  Of  2016</t>
  </si>
  <si>
    <t xml:space="preserve"> Writ Petition(md)  1529  Of  2016</t>
  </si>
  <si>
    <t xml:space="preserve"> Writ Petition(md)  1530  Of  2016</t>
  </si>
  <si>
    <t xml:space="preserve"> Writ Petition(md)  1531  Of  2016</t>
  </si>
  <si>
    <t xml:space="preserve"> Writ Petition(md)  1532  Of  2016</t>
  </si>
  <si>
    <t xml:space="preserve"> Writ Petition(md)  1533  Of  2016</t>
  </si>
  <si>
    <t xml:space="preserve"> Writ Petition(md)  1534  Of  2016</t>
  </si>
  <si>
    <t xml:space="preserve"> Writ Petition(md)  1535  Of  2016</t>
  </si>
  <si>
    <t xml:space="preserve"> Writ Petition(md)  1536  Of  2016</t>
  </si>
  <si>
    <t xml:space="preserve"> Writ Petition(md)  1537  Of  2016</t>
  </si>
  <si>
    <t xml:space="preserve"> Writ Petition(md)  2766  Of  2016</t>
  </si>
  <si>
    <t xml:space="preserve"> Writ Petition(md)  2767  Of  2016</t>
  </si>
  <si>
    <t xml:space="preserve"> Writ Petition(md)  2768  Of  2016</t>
  </si>
  <si>
    <t xml:space="preserve"> Writ Petition(md)  2769  Of  2016</t>
  </si>
  <si>
    <t xml:space="preserve"> Writ Petition(md)  2770  Of  2016</t>
  </si>
  <si>
    <t xml:space="preserve"> Writ Petition(md)  2771  Of  2016</t>
  </si>
  <si>
    <t xml:space="preserve"> Writ Petition(md)  2772  Of  2016</t>
  </si>
  <si>
    <t xml:space="preserve"> Writ Petition(md)  2773  Of  2016</t>
  </si>
  <si>
    <t xml:space="preserve"> Writ Petition(md)  2774  Of  2016</t>
  </si>
  <si>
    <t xml:space="preserve"> Writ Petition(md)  2775  Of  2016</t>
  </si>
  <si>
    <t xml:space="preserve"> Writ Petition(md)  2776  Of  2016</t>
  </si>
  <si>
    <t xml:space="preserve"> Writ Petition(md)  2777  Of  2016</t>
  </si>
  <si>
    <t xml:space="preserve">Customs  41987 Of 2013</t>
  </si>
  <si>
    <t>M/s. Sesa Sterlite Ltd</t>
  </si>
  <si>
    <t>Commissioner Of Customs (aircargo), Chennai</t>
  </si>
  <si>
    <t>Sta/879/2016</t>
  </si>
  <si>
    <t>Company Application</t>
  </si>
  <si>
    <t>Coap/19/2016</t>
  </si>
  <si>
    <t xml:space="preserve"> Writ Petition  38884  Of  2015</t>
  </si>
  <si>
    <t>M/s.sesa Sterlite Ltd., Now</t>
  </si>
  <si>
    <t xml:space="preserve">  Dispute Resolution Panel -2</t>
  </si>
  <si>
    <t xml:space="preserve"> Writ Misc. Petition  875  Of  2016</t>
  </si>
  <si>
    <t xml:space="preserve">  Dispute Resolution Panel-2</t>
  </si>
  <si>
    <t xml:space="preserve"> Writ Petition  1143  Of  2016</t>
  </si>
  <si>
    <t xml:space="preserve"> Writ Petition  1144  Of  2016</t>
  </si>
  <si>
    <t xml:space="preserve"> Civil Suits (cs)  161  Of  2009</t>
  </si>
  <si>
    <t xml:space="preserve"> Ajay Kayan &amp; Ors.</t>
  </si>
  <si>
    <t xml:space="preserve">  Sesa Sterlite Ltd &amp; Ors</t>
  </si>
  <si>
    <t>Cs 161/2009</t>
  </si>
  <si>
    <t>Ajay Kayan &amp; Ors.</t>
  </si>
  <si>
    <t>Vedanta Limited &amp; Ors</t>
  </si>
  <si>
    <t>Go Out</t>
  </si>
  <si>
    <t>Ca/17/2016</t>
  </si>
  <si>
    <t>Sta/168/2016</t>
  </si>
  <si>
    <t>A.no. 141 Of 2015 &amp; 283 Of 2014</t>
  </si>
  <si>
    <t>A.no. 30 Of 2016 &amp; Ia No. 82 Of 2013 &amp; 83 Of 2013</t>
  </si>
  <si>
    <t>Odhisha Electricity Regulatory Commission &amp; Ors</t>
  </si>
  <si>
    <t>Misc Civil Application/136/2016</t>
  </si>
  <si>
    <t>Director Of Transport Through Sunil Masurkar</t>
  </si>
  <si>
    <t>Sta/466/2016</t>
  </si>
  <si>
    <t>Mca/136/2016</t>
  </si>
  <si>
    <t>Ncdrc</t>
  </si>
  <si>
    <t>Ia</t>
  </si>
  <si>
    <t>Ia 1219/2016</t>
  </si>
  <si>
    <t>M/s. Sesa Sterlite Limited</t>
  </si>
  <si>
    <t>Vinod Kumar Garg</t>
  </si>
  <si>
    <t>Ia/1220/2016</t>
  </si>
  <si>
    <t>Narendra Kumar Garg</t>
  </si>
  <si>
    <t>W.p.(c)-1345-2015</t>
  </si>
  <si>
    <t xml:space="preserve">Union Of India </t>
  </si>
  <si>
    <t>Crma</t>
  </si>
  <si>
    <t>Crma/15/2016</t>
  </si>
  <si>
    <t xml:space="preserve"> Vedanta Limited Formerly Known As Sesa Goa Limite</t>
  </si>
  <si>
    <t xml:space="preserve"> State Represented By Police Inspector  Anr</t>
  </si>
  <si>
    <t>Crma/16/2016</t>
  </si>
  <si>
    <t xml:space="preserve"> State And Anr.</t>
  </si>
  <si>
    <t>Misc Civil Application/103/2016</t>
  </si>
  <si>
    <t>Director Of Transport,through Sunil Masurkar.</t>
  </si>
  <si>
    <t>M/s.sesa Goa Limited, Thr. Company Secretary And General Manager Chandrashekhar D. Chitnis And Anr</t>
  </si>
  <si>
    <t>Sta/447/2016</t>
  </si>
  <si>
    <t>Mca/103/2016</t>
  </si>
  <si>
    <t xml:space="preserve">Slp (civil)     31445/2013</t>
  </si>
  <si>
    <t>M/s Sesa Sterlite Ltd And Anr</t>
  </si>
  <si>
    <t>Union Of India And Ors</t>
  </si>
  <si>
    <t xml:space="preserve">Civil Appeal     649/2016</t>
  </si>
  <si>
    <t>Coap/3/2016</t>
  </si>
  <si>
    <t>Sta/249/2016</t>
  </si>
  <si>
    <t>Ia No. 221 Of 2015 In Dfr No. 1072 Of 2015</t>
  </si>
  <si>
    <t>Ia No. 238 Of 2015 In Dfr No. 1085 Of 2015</t>
  </si>
  <si>
    <t>Stamp Number (appln )/733/2002</t>
  </si>
  <si>
    <t xml:space="preserve">Laxman V.savoikar  Ors.</t>
  </si>
  <si>
    <t>Miscellaneous Civil Applications (d.b.)</t>
  </si>
  <si>
    <t>Stamp Number (appln )/345/2003</t>
  </si>
  <si>
    <t>Sesa Goa Ltd Panaji-goa.</t>
  </si>
  <si>
    <t>Misc Civil Application/96/2003</t>
  </si>
  <si>
    <t>Misc Civil Application/166/2002</t>
  </si>
  <si>
    <t>Misc Civil Application/1042/2013</t>
  </si>
  <si>
    <t>Indian Bureau Of Mines, Government Of India</t>
  </si>
  <si>
    <t xml:space="preserve">Director General Of Mines Safety, Gov. Of India Goa State Pollution Control Board, Gov. Of Goa M/s. Chowgule And Co. Pvt. Ltd, M/s. D. B. Bandodkar  Co. Pvt. Ltd M/s. Salgaonkar Mining Industries, M/s. Sodiedade De Fomento Industries Ltd, Ministry Of</t>
  </si>
  <si>
    <t>Wp/1143/2016</t>
  </si>
  <si>
    <t xml:space="preserve"> M/s.sesa Sterlite Ltd., Now</t>
  </si>
  <si>
    <t xml:space="preserve"> Dispute Resolution Panel-2</t>
  </si>
  <si>
    <t>Wp/1144/2016</t>
  </si>
  <si>
    <t>Wmp/875/2016</t>
  </si>
  <si>
    <t xml:space="preserve"> Writ Petition(md)  626  Of  2015</t>
  </si>
  <si>
    <t>M/s Sesa Sterlite Ltd.,</t>
  </si>
  <si>
    <t xml:space="preserve">  Union Of India,</t>
  </si>
  <si>
    <t>Of_40328_2014</t>
  </si>
  <si>
    <t xml:space="preserve">M/s. Sesa Sterlite Ltd.						</t>
  </si>
  <si>
    <t xml:space="preserve">Commissioner Of Customs (air), Chennai			</t>
  </si>
  <si>
    <t>Fa/131/2009</t>
  </si>
  <si>
    <t>Steel Authority Of India Limited Visvesvaraya Iron And Steel Plant</t>
  </si>
  <si>
    <t>Wp/44793/2013</t>
  </si>
  <si>
    <t>Wp/13595/2008</t>
  </si>
  <si>
    <t>Excise/0042420/2013-chennai</t>
  </si>
  <si>
    <t>S_3581_2015</t>
  </si>
  <si>
    <t>Civil -custom Tax Cases</t>
  </si>
  <si>
    <t xml:space="preserve">Civil Appeal     7625-7653 /2014</t>
  </si>
  <si>
    <t>Commissioner Of Customs (port) Kolkata &amp; Anr.</t>
  </si>
  <si>
    <t xml:space="preserve"> Civil Misc. Appeal  2427  Of  2015</t>
  </si>
  <si>
    <t>M/s. Vedanta Limited</t>
  </si>
  <si>
    <t xml:space="preserve">  Commissioner Of Central</t>
  </si>
  <si>
    <t xml:space="preserve"> Civil Misc. Appeal  2428  Of  2015</t>
  </si>
  <si>
    <t>Cma/2428/2015</t>
  </si>
  <si>
    <t xml:space="preserve"> Commissioner Of Central</t>
  </si>
  <si>
    <t>Cma/2427/2015</t>
  </si>
  <si>
    <t>Customs/22317/2014-banglore</t>
  </si>
  <si>
    <t>Visakhapatnam-cus</t>
  </si>
  <si>
    <t>Service Tax/40344/2014-chennai</t>
  </si>
  <si>
    <t>Itxa/988/2015</t>
  </si>
  <si>
    <t xml:space="preserve"> The Commissioner Of Income Tax -  ; </t>
  </si>
  <si>
    <t>Itxa_981_2015</t>
  </si>
  <si>
    <t>Gujarat Hc</t>
  </si>
  <si>
    <t>Sca/17306/2015</t>
  </si>
  <si>
    <t xml:space="preserve"> Vedanta Limited  Thro Authorized Representative Jatin Kantilal Shah</t>
  </si>
  <si>
    <t xml:space="preserve"> Gujarat Industrial Development Corporation</t>
  </si>
  <si>
    <t>Stm/1564/2010</t>
  </si>
  <si>
    <t>United Mines Workers' Union</t>
  </si>
  <si>
    <t>Wp/455/2010</t>
  </si>
  <si>
    <t>Stm/1154/2012</t>
  </si>
  <si>
    <t>United Mine Workers Union</t>
  </si>
  <si>
    <t>M/s Sesa Goa Ltd;</t>
  </si>
  <si>
    <t>Wp/467/2012</t>
  </si>
  <si>
    <t>For Amendment</t>
  </si>
  <si>
    <t>Coap/145/2015</t>
  </si>
  <si>
    <t>Sesa Sterlite Limited. Through Mr. Manoj Satapathy.</t>
  </si>
  <si>
    <t>Stamp Number (appln )/2036/2015</t>
  </si>
  <si>
    <t>Service Tax/42003/2015-chennai</t>
  </si>
  <si>
    <t>Service Tax/41995/2015-chennai</t>
  </si>
  <si>
    <t>Service Tax/41994/2015-chennai</t>
  </si>
  <si>
    <t>40192-wp/2015</t>
  </si>
  <si>
    <t>Customs/130/2011-mumbai</t>
  </si>
  <si>
    <t>Arbitration Matters</t>
  </si>
  <si>
    <t>Civil -arbitration Appeal Cases</t>
  </si>
  <si>
    <t>Arbp/1298/2015</t>
  </si>
  <si>
    <t xml:space="preserve"> Sepco Iii Electric Power Construction Corporation</t>
  </si>
  <si>
    <t xml:space="preserve"> Vedanta Ltd. And Anr.</t>
  </si>
  <si>
    <t>Of_40613_2015</t>
  </si>
  <si>
    <t xml:space="preserve">Sesa Sterlite Ltd.						applicant-</t>
  </si>
  <si>
    <t>Commissioner Of Central Excise,</t>
  </si>
  <si>
    <t>Ita 92/pan-2015</t>
  </si>
  <si>
    <t>Deputy Commissioner Of Income Tax</t>
  </si>
  <si>
    <t>Ita 107/pan-2015</t>
  </si>
  <si>
    <t>Sesa Goa Limited ( The Name Has Since Change To Sesa Sterlite Ltd.)</t>
  </si>
  <si>
    <t>Addl. Commissioner Of Income Tax</t>
  </si>
  <si>
    <t>Ita 100/pan-2015</t>
  </si>
  <si>
    <t>Sesa Sterlite Limited.( Formerly Known As Sesa Goa Ltd.)</t>
  </si>
  <si>
    <t>Misc Civil Application/559/2015</t>
  </si>
  <si>
    <t>M/s Sesa Sterlite Limited| Through Its Head-iron Ore Mr.sauvick Muzumder And Anr</t>
  </si>
  <si>
    <t>Stamp Number (appln )/2585/2015</t>
  </si>
  <si>
    <t>Itxa/947/2015</t>
  </si>
  <si>
    <t>Itxa/954/2015</t>
  </si>
  <si>
    <t>Itxa/967/2015</t>
  </si>
  <si>
    <t>The Joint Commissioner Of Incometax</t>
  </si>
  <si>
    <t>Itxa/968/2015</t>
  </si>
  <si>
    <t>The Joint Commissioner Of Income Tax</t>
  </si>
  <si>
    <t>Txa/62/2015</t>
  </si>
  <si>
    <t>The Commissioner Of Income Tax, Panaji</t>
  </si>
  <si>
    <t>Criminal -appeal Against Judgement / Order</t>
  </si>
  <si>
    <t>Cra/952/2014</t>
  </si>
  <si>
    <t xml:space="preserve"> Sesa Sterlite Limited</t>
  </si>
  <si>
    <t xml:space="preserve"> M/s. Blr Logistiks (i) Ltd.</t>
  </si>
  <si>
    <t xml:space="preserve"> Wp(c) - Writ Petition Under Art.226 &amp; 227.  14927  Of  2015</t>
  </si>
  <si>
    <t xml:space="preserve"> Vedanta Ltd.</t>
  </si>
  <si>
    <t xml:space="preserve">  State Of Orissa</t>
  </si>
  <si>
    <t>Wp(c)/14927/2015</t>
  </si>
  <si>
    <t xml:space="preserve"> State Of Orissa</t>
  </si>
  <si>
    <t>Itxa/983/2015</t>
  </si>
  <si>
    <t>Txa 61/2015</t>
  </si>
  <si>
    <t>The Commissioner Of Income Tax, Panaji.,</t>
  </si>
  <si>
    <t>M/s. Sesa Goa Ltd.,</t>
  </si>
  <si>
    <t xml:space="preserve"> Appl.und.customs Act(custa)  3  Of  2015</t>
  </si>
  <si>
    <t xml:space="preserve"> Vedanta Ltd</t>
  </si>
  <si>
    <t xml:space="preserve">  Commissioner Of Customs (port) &amp; Anr.</t>
  </si>
  <si>
    <t>Custa 3/2015</t>
  </si>
  <si>
    <t>Commissioner Of Customs (port) &amp; Anr.</t>
  </si>
  <si>
    <t xml:space="preserve"> Writ Appeal(md)  894  Of  2015</t>
  </si>
  <si>
    <t xml:space="preserve"> Writ Appeal(md)  895  Of  2015</t>
  </si>
  <si>
    <t xml:space="preserve"> Writ Appeal(md)  896  Of  2015</t>
  </si>
  <si>
    <t xml:space="preserve"> Writ Appeal(md)  897  Of  2015</t>
  </si>
  <si>
    <t>Wa(md)/895/2015</t>
  </si>
  <si>
    <t>Wp/3/2015</t>
  </si>
  <si>
    <t>Shri. Eknath Bablo Solienkar, Shri. Gopal Budho Gawde, Shri. Krishna Shamba Solienkar (since Deceased) Through His Legal Heirs, Shri. Mahadev @ Madhav Shablo Solienkar @ Gaude (since Deceased) The. Lrs. And 10 Ors Shri. Shamba Venktesh Solienkar @ Ga</t>
  </si>
  <si>
    <t xml:space="preserve">-, M/s Chowgule And Company Ltd(through Its Managing Directro), M/s Chowgule And Company Ltd(through Its Mines Directro), M/s Sesa Goa Ltd(through Its Mines Manager), M/s. Sesa Goa Ltd (through Its Managing Director) Shri. Anil Babi Solienkar, Shri. </t>
  </si>
  <si>
    <t>Of_42374_2013</t>
  </si>
  <si>
    <t xml:space="preserve">M/s.  Sesa Sterlite Ltd</t>
  </si>
  <si>
    <t xml:space="preserve">Cce &amp;amp; St, Tirunelveli					      </t>
  </si>
  <si>
    <t>Customs/86087/2015-mumbai</t>
  </si>
  <si>
    <t>Cc (nhava Sheva-ii ) Mumbai</t>
  </si>
  <si>
    <t>Wp(md)/14089/2015</t>
  </si>
  <si>
    <t xml:space="preserve"> State Load Despatch Centre</t>
  </si>
  <si>
    <t>Criminal Matters</t>
  </si>
  <si>
    <t>Criminal -crpc Cases</t>
  </si>
  <si>
    <t xml:space="preserve">Slp (criminal)     1381/2009</t>
  </si>
  <si>
    <t>Krishna H.bajaj</t>
  </si>
  <si>
    <t xml:space="preserve">Criminal Appeal     2089/2011</t>
  </si>
  <si>
    <t>Wild Life Matters</t>
  </si>
  <si>
    <t xml:space="preserve">Review Petition (civil)     692/2014</t>
  </si>
  <si>
    <t>Samaj Parivarthana Samudaya &amp; Ors</t>
  </si>
  <si>
    <t>Oa 31/2013 (wz)</t>
  </si>
  <si>
    <t>Goa Paryavaran Savrakshan Sangharsha Samitee</t>
  </si>
  <si>
    <t xml:space="preserve"> Writ Petition(md)  11878  Of  2015</t>
  </si>
  <si>
    <t>M/s.vedanta Limited</t>
  </si>
  <si>
    <t xml:space="preserve">  The Assistant Commisisoner</t>
  </si>
  <si>
    <t>Service Tax/290/2011-mumbai</t>
  </si>
  <si>
    <t>Service Tax/292/2011-mumbai</t>
  </si>
  <si>
    <t>Service Tax/291/2011-mumbai</t>
  </si>
  <si>
    <t>Service Tax/289/2011-mumbai</t>
  </si>
  <si>
    <t>Service Tax/288/2011-mumbai</t>
  </si>
  <si>
    <t>Of_40438_2015</t>
  </si>
  <si>
    <t xml:space="preserve">M/s. Vedanta Limited						 </t>
  </si>
  <si>
    <t xml:space="preserve">Cce, Tirunelveli					   		</t>
  </si>
  <si>
    <t xml:space="preserve"> Writ Petition(md)  11898  Of  2015</t>
  </si>
  <si>
    <t xml:space="preserve">  The Deputy Commissioner(smr)</t>
  </si>
  <si>
    <t xml:space="preserve"> Writ Petition(md)  11899  Of  2015</t>
  </si>
  <si>
    <t>Wp(md)/11898/2015</t>
  </si>
  <si>
    <t xml:space="preserve"> The Deputy Commissioner(smr)</t>
  </si>
  <si>
    <t>Customs/306/2012-kolkata</t>
  </si>
  <si>
    <t xml:space="preserve"> Writ Petition(md)  11879  Of  2015</t>
  </si>
  <si>
    <t>M/s. Vedanta Ltd.,</t>
  </si>
  <si>
    <t xml:space="preserve"> Writ Appeal(md)  82  Of  2015</t>
  </si>
  <si>
    <t>M/s.sesa Sterlite Ltd.,</t>
  </si>
  <si>
    <t xml:space="preserve">Civil Appeal     5576/2015</t>
  </si>
  <si>
    <t>Sesa Goa Ltd. And Ors.</t>
  </si>
  <si>
    <t xml:space="preserve"> Wp(c) - Writ Petition Under Art.226 &amp; 227.  4514  Of  2015</t>
  </si>
  <si>
    <t xml:space="preserve"> M/s.sesa Goa Ltd.</t>
  </si>
  <si>
    <t xml:space="preserve">  Sales Tax Officer</t>
  </si>
  <si>
    <t>Wp(c)/4514/2015</t>
  </si>
  <si>
    <t xml:space="preserve"> Sales Tax Officer</t>
  </si>
  <si>
    <t>Arbap/352/2014</t>
  </si>
  <si>
    <t xml:space="preserve"> M/s. Bhagheeratha Engineering Ltd.</t>
  </si>
  <si>
    <t xml:space="preserve"> M/s. Sesa Sterlite Ltd.</t>
  </si>
  <si>
    <t xml:space="preserve"> Wp(c) - Writ Petition Under Art.226 &amp; 227.  7809  Of  2015</t>
  </si>
  <si>
    <t xml:space="preserve"> M/s.sesa Sterlite Ltd.</t>
  </si>
  <si>
    <t xml:space="preserve">  Dy.commissioner Of Sales Tax</t>
  </si>
  <si>
    <t>Wp(c)/7809/2015</t>
  </si>
  <si>
    <t xml:space="preserve"> Dy.commissioner Of Sales Tax</t>
  </si>
  <si>
    <t>Excise/696/2005-chennai</t>
  </si>
  <si>
    <t>Salem</t>
  </si>
  <si>
    <t>Ao/13/2014</t>
  </si>
  <si>
    <t>Sesa Goa Limited, Vedanta Represented By Its Avp-pid, Mr. N. L. Vhatte</t>
  </si>
  <si>
    <t>Kshitij Developers Rep. By Their Constituted P. O. A. Mr. Gajanan Janardan Zarapkar And 5 Ors, Shri Dayanand Goca Tari, Shri Digambar Pandurang Gad, Smt. Deepali Dayanand Tari, Smt. Ganu Goca Tari @ Shilavati Goca Tari, Smt. Teja Digambaar Gad</t>
  </si>
  <si>
    <t>Appeals From Orders (s.j.)</t>
  </si>
  <si>
    <t>Stm/509/2014</t>
  </si>
  <si>
    <t>Sesa Goa Limited| Vedanta Represented By Its Avp-pid| Mr. N. L. Vhatte</t>
  </si>
  <si>
    <t>Of_40531_2014</t>
  </si>
  <si>
    <t xml:space="preserve">Civil Appeal     10420/2013</t>
  </si>
  <si>
    <t>Commr.of Customs &amp; Central Excise Goa</t>
  </si>
  <si>
    <t>M/s Sesa Sterlite Ltd.</t>
  </si>
  <si>
    <t>Oa 55/2012</t>
  </si>
  <si>
    <t>. Sesa Goa Ltd. &amp; Ors.</t>
  </si>
  <si>
    <t>_3_1397</t>
  </si>
  <si>
    <t>_6_1397</t>
  </si>
  <si>
    <t>_7_1397</t>
  </si>
  <si>
    <t>_0_1399</t>
  </si>
  <si>
    <t>_3_1399</t>
  </si>
  <si>
    <t>_0_1401</t>
  </si>
  <si>
    <t>16834-wp/2013</t>
  </si>
  <si>
    <t>The New Mangalore Port Trust</t>
  </si>
  <si>
    <t>Misc Civil Application/273/2013</t>
  </si>
  <si>
    <t>The Joint Commissioner Of Income Tax Range 1, And 2 Ors</t>
  </si>
  <si>
    <t>Misc Civil Application/274/2013</t>
  </si>
  <si>
    <t>Stamp Number (appln )/816/2013</t>
  </si>
  <si>
    <t>Stamp Number (appln )/817/2013</t>
  </si>
  <si>
    <t>_8_1410</t>
  </si>
  <si>
    <t>Customs/85158/2013-mumbai</t>
  </si>
  <si>
    <t>_0_1414</t>
  </si>
  <si>
    <t>_4_1414</t>
  </si>
  <si>
    <t>_9_1414</t>
  </si>
  <si>
    <t>_2_1415</t>
  </si>
  <si>
    <t>_6_1415</t>
  </si>
  <si>
    <t>Misc Civil Application/145/2013</t>
  </si>
  <si>
    <t>Anant Kumar Sinha</t>
  </si>
  <si>
    <t>Stamp Number (appln )/430/2013</t>
  </si>
  <si>
    <t>Ita 72/pan-2012</t>
  </si>
  <si>
    <t>Ita 85/pan-2012</t>
  </si>
  <si>
    <t>Asst. Commissioner Of Income Tax</t>
  </si>
  <si>
    <t>_2_1422</t>
  </si>
  <si>
    <t>_4_1422</t>
  </si>
  <si>
    <t>_9_1423</t>
  </si>
  <si>
    <t>Stm/494/2013</t>
  </si>
  <si>
    <t>Sesa Goa Limited,</t>
  </si>
  <si>
    <t>The Joint Commissioner Of Income-tax Range-1 And 8 Ors</t>
  </si>
  <si>
    <t>Stm/490/2013</t>
  </si>
  <si>
    <t>Wp/123/2013</t>
  </si>
  <si>
    <t>Wp/122/2013</t>
  </si>
  <si>
    <t>_3_1429</t>
  </si>
  <si>
    <t>_6_1429</t>
  </si>
  <si>
    <t>_7_1429</t>
  </si>
  <si>
    <t>_9_1432</t>
  </si>
  <si>
    <t>_4_1433</t>
  </si>
  <si>
    <t>Coap/83/2012</t>
  </si>
  <si>
    <t>Electrification Charpant Levage Sas, Rep; Herein By Its Duly Authorized Signatory Mr. Anish Ghoshal</t>
  </si>
  <si>
    <t>_6_1433</t>
  </si>
  <si>
    <t>Stamp Number (appln )/3376/2012</t>
  </si>
  <si>
    <t>Anand G. Verekar, Anant B. Gaonkar, Balangoda S. Patil, Dhulo D. Gawli, Hanumanth U. Chari, Mr. Dilip B. Mayekar And 11 Ors, Piedade P. Colaco, Prabhakar B. Gaonkar, Rohidas A. Mamlekar, Smt. Laxmi Shantaram Velip, Smt. Makkabi Madarsab Olekar, Vinod</t>
  </si>
  <si>
    <t>Sesa Goa Ltd And Anr, Shri. A. A. Lad</t>
  </si>
  <si>
    <t>Stm/3370/2012</t>
  </si>
  <si>
    <t>Commissioner Of Income Tax Quot;ayakaar Bhavanquot;</t>
  </si>
  <si>
    <t>Stm/3372/2012</t>
  </si>
  <si>
    <t>Stamp Number (appln )/3371/2012</t>
  </si>
  <si>
    <t>Stamp Number (appln )/3373/2012</t>
  </si>
  <si>
    <t>Coa/3/2013</t>
  </si>
  <si>
    <t>Coa/4/2013</t>
  </si>
  <si>
    <t>Coap/15/2013</t>
  </si>
  <si>
    <t>Coap/16/2013</t>
  </si>
  <si>
    <t>Of_16_2012</t>
  </si>
  <si>
    <t>.</t>
  </si>
  <si>
    <t>_1_1443</t>
  </si>
  <si>
    <t>_6_1443</t>
  </si>
  <si>
    <t>_8_1444</t>
  </si>
  <si>
    <t>Miscellaneous</t>
  </si>
  <si>
    <t>Stamp Number (appln )/1006/2011</t>
  </si>
  <si>
    <t>Sesa Goa Limited| Through Its Mines Manager| Mr. Umesh S. Kadam</t>
  </si>
  <si>
    <t>Misc Civil Application/366/2011</t>
  </si>
  <si>
    <t>For Production Of Documents</t>
  </si>
  <si>
    <t>Coap/5/2013</t>
  </si>
  <si>
    <t>Stamp Number (appln )/3314/2012</t>
  </si>
  <si>
    <t>Stamp Number (appln )/3251/2012</t>
  </si>
  <si>
    <t>Stamp Number (appln )/3253/2012</t>
  </si>
  <si>
    <t>Innovatherm Gmbh Rep. Herein By Its Duly Authorized Signatory Mr. Nimesh Doshi</t>
  </si>
  <si>
    <t>Coap/82/2012</t>
  </si>
  <si>
    <t>_4_1448</t>
  </si>
  <si>
    <t>_4_1450</t>
  </si>
  <si>
    <t>_0_1451</t>
  </si>
  <si>
    <t>Coa/14/2012</t>
  </si>
  <si>
    <t>Coa/15/2012</t>
  </si>
  <si>
    <t>Stm/3250/2012</t>
  </si>
  <si>
    <t>Stm/3252/2012</t>
  </si>
  <si>
    <t>Company Petition</t>
  </si>
  <si>
    <t>Cop/12/2012</t>
  </si>
  <si>
    <t>Cop/11/2012</t>
  </si>
  <si>
    <t>Stm/1729/2012</t>
  </si>
  <si>
    <t>Stm/1730/2012</t>
  </si>
  <si>
    <t>_6_1453</t>
  </si>
  <si>
    <t>Coap/61/2012</t>
  </si>
  <si>
    <t>M/s Asian Oilfield Services Ltd Rep By Authorized Rep. Mr. Nitin Chadha</t>
  </si>
  <si>
    <t>Coap/62/2012</t>
  </si>
  <si>
    <t>Coap/63/2012</t>
  </si>
  <si>
    <t>Cop</t>
  </si>
  <si>
    <t>Cop/19/2012</t>
  </si>
  <si>
    <t>Stamp Number (appln )/2240/2012</t>
  </si>
  <si>
    <t>Stamp Number (appln )/2241/2012</t>
  </si>
  <si>
    <t>Stamp Number (appln )/2242/2012</t>
  </si>
  <si>
    <t>Stm/2239/2012</t>
  </si>
  <si>
    <t>Coap/78/2012</t>
  </si>
  <si>
    <t>Electrification Charpente Levages S.a.s. Rep. By Mr. Anish Ghoshal</t>
  </si>
  <si>
    <t>Coap/79/2012</t>
  </si>
  <si>
    <t>Innovatherm Gmbh Rep. By Authorized Signatory Mr. Nimesh Doshi</t>
  </si>
  <si>
    <t>Stamp Number (appln )/2916/2012</t>
  </si>
  <si>
    <t>Stamp Number (appln )/2929/2012</t>
  </si>
  <si>
    <t>_6_1454</t>
  </si>
  <si>
    <t>_4_1455</t>
  </si>
  <si>
    <t>Wp/64379/2012</t>
  </si>
  <si>
    <t xml:space="preserve"> Gangamma W/o. Late Naikar Devendra17.| Gavishidda S/o.late Honnurappa 10.| H Goolappa S/o. Late Doddabasapa| J. Veeranagouda S/o. Pompanagouda 3.| K. Honnurswamy S/o. Nagappa 5.| K. Thimappa S/o. Late Honnurappa 9.| K. Thimmappa S/o. Hanumanthappa 1</t>
  </si>
  <si>
    <t xml:space="preserve"> Sesa Goa Limited,| The Assistant Secretary,| The General Manager,| The Land Acquisition Officer,| The Special Deputy Commissioner,| The State Of Karnataka</t>
  </si>
  <si>
    <t>Coap/75/2012</t>
  </si>
  <si>
    <t>Sepco Iii Electric Power Construction Corporation</t>
  </si>
  <si>
    <t>Stamp Number (appln )/2801/2012</t>
  </si>
  <si>
    <t>Itat</t>
  </si>
  <si>
    <t>Ita89/pan/2012</t>
  </si>
  <si>
    <t>Service Tax/2816/2012-banglore</t>
  </si>
  <si>
    <t>Bangalore Service Tax- I</t>
  </si>
  <si>
    <t>Coap/70/2012</t>
  </si>
  <si>
    <t>Coap/71/2012</t>
  </si>
  <si>
    <t>Stamp Number (appln )/2639/2012</t>
  </si>
  <si>
    <t>Stamp Number (appln )/2640/2012</t>
  </si>
  <si>
    <t>Wp/487/2012</t>
  </si>
  <si>
    <t>M/s Sesa Goa Limited Through Its Dy Chief Operating Officer Mr. Sauvick Mazumdar And Anr</t>
  </si>
  <si>
    <t>Stm/1776/2012</t>
  </si>
  <si>
    <t>Cusa</t>
  </si>
  <si>
    <t>Cusa/2/2012</t>
  </si>
  <si>
    <t>Commissioner Of Customs And Central Excise</t>
  </si>
  <si>
    <t>Cusa/3/2012</t>
  </si>
  <si>
    <t>Cusa/5/2012</t>
  </si>
  <si>
    <t>Cusa/7/2012</t>
  </si>
  <si>
    <t>Cusa/8/2012</t>
  </si>
  <si>
    <t>Cusa/9/2012</t>
  </si>
  <si>
    <t>Custom Appeal</t>
  </si>
  <si>
    <t>Cusa 1/2012</t>
  </si>
  <si>
    <t>Cusa 4/2012</t>
  </si>
  <si>
    <t>Cusa 6/2012</t>
  </si>
  <si>
    <t>Ita72/pan/2012</t>
  </si>
  <si>
    <t>Coap/66/2012</t>
  </si>
  <si>
    <t>Coap/67/2012</t>
  </si>
  <si>
    <t>Stamp Number (appln )/2501/2012</t>
  </si>
  <si>
    <t>Wp/169/2011</t>
  </si>
  <si>
    <t>M/s. Sesa Goa Limited Through Its Avp-iron Ore| Goa Mr. Saurick Mazumdar And Anr</t>
  </si>
  <si>
    <t>Stamp Number (appln )/2502/2012</t>
  </si>
  <si>
    <t>Wp/578/2012</t>
  </si>
  <si>
    <t>Sesa Goa Limited| Rep. By Shri Sauvick Mazumder Dy. Chief Operating Officer And Anr</t>
  </si>
  <si>
    <t>Stm/2250/2012</t>
  </si>
  <si>
    <t>Excise/2261/2012-banglore</t>
  </si>
  <si>
    <t>Of_327_2010</t>
  </si>
  <si>
    <t xml:space="preserve">                                                                      </t>
  </si>
  <si>
    <t xml:space="preserve">M/s. Sesa Goa  Ltd.</t>
  </si>
  <si>
    <t>Wp/499/2012</t>
  </si>
  <si>
    <t>M/s Sesa Goa Limited Through Its Associate Vice President| And Anr</t>
  </si>
  <si>
    <t>Stm/1860/2012</t>
  </si>
  <si>
    <t>Criminal Revision Application (s.j.)</t>
  </si>
  <si>
    <t>Stm/1249/2012</t>
  </si>
  <si>
    <t>Crir/16/2012</t>
  </si>
  <si>
    <t>Txa/49/2012</t>
  </si>
  <si>
    <t>Coap/31/2012</t>
  </si>
  <si>
    <t>Shailesh Ramniklal Shah And 3 Ors</t>
  </si>
  <si>
    <t>Coap/32/2012</t>
  </si>
  <si>
    <t>Stamp Number (appln )/1516/2012</t>
  </si>
  <si>
    <t>Stamp Number (appln )/1517/2012</t>
  </si>
  <si>
    <t>Ita 48 / Pan / 2012</t>
  </si>
  <si>
    <t>Sesa Goa Limited.</t>
  </si>
  <si>
    <t>Addl. Commissioner Of Income Tax, Range-1</t>
  </si>
  <si>
    <t>Original Application No._20_2012</t>
  </si>
  <si>
    <t>Ramesh Gauns Anr.</t>
  </si>
  <si>
    <t>Sesa Goa Ltd. Anr.</t>
  </si>
  <si>
    <t>_20_2012</t>
  </si>
  <si>
    <t>_5_1468</t>
  </si>
  <si>
    <t>Misc Civil Application/466/2012</t>
  </si>
  <si>
    <t>M/s. Sesa Goa Limited Through Its Mines Manager Mr. Umesh S. Kadam</t>
  </si>
  <si>
    <t>Stamp Number (appln )/1328/2012</t>
  </si>
  <si>
    <t>Coapm/21/2012</t>
  </si>
  <si>
    <t>Coapm/20/2012</t>
  </si>
  <si>
    <t>Stm/1137/2012</t>
  </si>
  <si>
    <t>Stm/1138/2012</t>
  </si>
  <si>
    <t>Of_810_2010</t>
  </si>
  <si>
    <t>Wp/526/2011</t>
  </si>
  <si>
    <t>M/s. Sesa Goa Limited Through Its Avp -mining Goa| Mr. Saurick Mazumdar And Anr</t>
  </si>
  <si>
    <t>Txa/24/2011</t>
  </si>
  <si>
    <t>The Additional Commissioner Of Income-tax</t>
  </si>
  <si>
    <t>Wp/726/2011</t>
  </si>
  <si>
    <t>Misc Civil Application/498/2010</t>
  </si>
  <si>
    <t>_1975_2010</t>
  </si>
  <si>
    <t>Commissioner Of Customs, Visakhapatnam. Versus M/s Sesa Goa Ltd.</t>
  </si>
  <si>
    <t>M/s Sesa Goa Ltd. Appellant</t>
  </si>
  <si>
    <t>Customs/152/2012-kolkata</t>
  </si>
  <si>
    <t>Customs/155/2012-kolkata</t>
  </si>
  <si>
    <t>Customs/156/2012-kolkata</t>
  </si>
  <si>
    <t>Customs/157/2012-kolkata</t>
  </si>
  <si>
    <t>Customs/158/2012-kolkata</t>
  </si>
  <si>
    <t>Customs/159/2012-kolkata</t>
  </si>
  <si>
    <t>Customs/160/2012-kolkata</t>
  </si>
  <si>
    <t>Customs/161/2012-kolkata</t>
  </si>
  <si>
    <t>Sa</t>
  </si>
  <si>
    <t>Sa/13/2017</t>
  </si>
  <si>
    <t xml:space="preserve">Mast. Bombi Kiru Gawade Thr Natural Guardian Smt. Karishma Gawade, Miss Sharmila Shambu Gawade, Shri Babuso Bombi Gawade The Poa Shri Vaman B. Gawade, Shri Ganpat Laxman Gawade Rep. Thr. Poa Shri Vaman B. Gawade Shri Kheri Bombi Gawade (expired) Thr </t>
  </si>
  <si>
    <t>Mr. Narayan Manohar Sardesseai, Mr. Prasad Vassudeva Keni, Mr. Rajiv Sinai Hede, Mrs. Hemal Mohan Bose, Mrs. Komal Narayan Sardessai, Mrs. Seema Rajiv Hede, Mrs. Vilasini Vassudva Quenim, Mrs. Vini Prasad Keni, Sesa Goa Ltd. And Anr, V. G. Quenim Rep</t>
  </si>
  <si>
    <t>Ca</t>
  </si>
  <si>
    <t>Ca/7/2017</t>
  </si>
  <si>
    <t>Shri. Vaman Bombi Gawade And 7 Ors</t>
  </si>
  <si>
    <t>Ca/8/2017</t>
  </si>
  <si>
    <t>Caw/3125/2016</t>
  </si>
  <si>
    <t xml:space="preserve"> State Of Maharashtra, Through Its Ministry Of Industries And Ors.</t>
  </si>
  <si>
    <t>Customs/85420/2017-mumbai</t>
  </si>
  <si>
    <t>Cmp/3805/2017</t>
  </si>
  <si>
    <t xml:space="preserve"> M/s Sesa Sterlite Limited</t>
  </si>
  <si>
    <t xml:space="preserve"> Addl Commissioner Of Income</t>
  </si>
  <si>
    <t>Nclt Tribunal</t>
  </si>
  <si>
    <t>Sp No. 251/230-232/nclt/mb/mah/2017
</t>
  </si>
  <si>
    <t>M/s. Vedanta Ltd.</t>
  </si>
  <si>
    <t>Ita/250/1990</t>
  </si>
  <si>
    <t>C.i.t. Bangalore</t>
  </si>
  <si>
    <t>Sesa Goa P. Ltd, Panaji.</t>
  </si>
  <si>
    <t>Stm/268/2017</t>
  </si>
  <si>
    <t>Vedanta Ltd (successors Of The Madras Aluminium Co. Ltd.)</t>
  </si>
  <si>
    <t>Asstt. Commissioner Of Income Tax, Circel 1(1), Panaji And Anr</t>
  </si>
  <si>
    <t>Sp No.350/(goa)/2017
</t>
  </si>
  <si>
    <t>Op/775/2016</t>
  </si>
  <si>
    <t xml:space="preserve"> Three Star Shipping Services</t>
  </si>
  <si>
    <t>Sta/422/2017</t>
  </si>
  <si>
    <t>Mca/118/2017</t>
  </si>
  <si>
    <t>Sta/337/2017</t>
  </si>
  <si>
    <t>Mca/98/2017</t>
  </si>
  <si>
    <t>Wp/116/2017</t>
  </si>
  <si>
    <t>Coms_147_2016</t>
  </si>
  <si>
    <t>Nhl Development Co Ltd - |</t>
  </si>
  <si>
    <t>M V Orissa And Anr - | Vedanta Limited - |</t>
  </si>
  <si>
    <t>Sta/229/2017</t>
  </si>
  <si>
    <t>Service Tax/40133/2017-chennai</t>
  </si>
  <si>
    <t>Sta/4194/2016</t>
  </si>
  <si>
    <t>Customs/946/2012-hyderabad</t>
  </si>
  <si>
    <t>Guntur</t>
  </si>
  <si>
    <t>Sta/3983/2016</t>
  </si>
  <si>
    <t>Coap/70/2016</t>
  </si>
  <si>
    <t>Customs/20936/2015-hyderabad</t>
  </si>
  <si>
    <t>Spma/46/2013</t>
  </si>
  <si>
    <t xml:space="preserve">Ashwin   S. Mehta.</t>
  </si>
  <si>
    <t xml:space="preserve">The Custodian.  | Sesa Goa Ltd  | Karvy Computer Share Pvt Ltd  | Vipul Kinkhabwala  | Kishori Kinkhabwala  | Vipul Kinkhabwala  | Ishani Mehta  | Sahil Kinkhabwala</t>
  </si>
  <si>
    <t>Stm/3912/2016</t>
  </si>
  <si>
    <t>Vedanta Ltd Thr. Its Aut. Rep. Mr. Azad Shaw</t>
  </si>
  <si>
    <t>The Union Of India, Thr. Ministry Of Corporate Affairs And 2 Ors</t>
  </si>
  <si>
    <t>Wp/1160/2016</t>
  </si>
  <si>
    <t>Stm/3851/2016</t>
  </si>
  <si>
    <t>M/s. Vedanta Ltd Thr. Its Aut. Sig. Mr. Navnath L. Vhatte And Anr</t>
  </si>
  <si>
    <t>State Of Goa, Thr. Chief Secretary And Anr</t>
  </si>
  <si>
    <t>Cop/28/2016</t>
  </si>
  <si>
    <t>Stm/3815/2016</t>
  </si>
  <si>
    <t>Wp/1129/2016</t>
  </si>
  <si>
    <t>M/s. Vedanta Ltd. (formerly Sesa Sterlint Ltd/ Sesa Goa Ltd.)</t>
  </si>
  <si>
    <t>Txa 44/2016</t>
  </si>
  <si>
    <t xml:space="preserve">Slp (civil)     1167/2016</t>
  </si>
  <si>
    <t>Commissioner Of Customs (port) And Anr.</t>
  </si>
  <si>
    <t xml:space="preserve">Slp (civil) [cc]     62/2016</t>
  </si>
  <si>
    <t>Special Leave To Petition (civil)... 62/2016</t>
  </si>
  <si>
    <t>Commissioner Of Customs (port) .</t>
  </si>
  <si>
    <t>0401-indirect Taxes Matters : Interpretation Of The Customs Act, Rules &amp; Regulations</t>
  </si>
  <si>
    <t>Slp(c) No. 001167 / 2016</t>
  </si>
  <si>
    <t>Excise/40153/2017-chennai</t>
  </si>
  <si>
    <t>Madurai</t>
  </si>
  <si>
    <t>Customs/76867/2016-kolkata</t>
  </si>
  <si>
    <t>Customs/0076867/2016-kolkata</t>
  </si>
  <si>
    <t>Wp(c)/20088/2016</t>
  </si>
  <si>
    <t>Customs/76833/2016-kolkata</t>
  </si>
  <si>
    <t>Customs/0076833/2016-kolkata</t>
  </si>
  <si>
    <t>Diaryno And Diaryyr</t>
  </si>
  <si>
    <t>Diaryno And Diaryyr 30264/2016</t>
  </si>
  <si>
    <t>M/s Sesa Sterlite Ltd. (now Known As Vedanta Ltd)</t>
  </si>
  <si>
    <t>Odisha Electricity Regulatory Commission &amp;amp |odisha Electricity Regulatory Commission . 2 Odisha Electricity Regulatory Commission Bidyut Niyamak Bhavan 3 Odisha Electricity Regulatory Commission &amp;amp |odisha Electricity Regulatory Commission Bidyu</t>
  </si>
  <si>
    <t>Civil Appeal 10659/2016</t>
  </si>
  <si>
    <t>Ramachandra Vaman Naik .</t>
  </si>
  <si>
    <t>M/s Sesa Goa Limited .</t>
  </si>
  <si>
    <t>C.a. No. 010659 / 2016</t>
  </si>
  <si>
    <t>Customs/453/2012-hyderabad</t>
  </si>
  <si>
    <t>Customs/945/2012-hyderabad</t>
  </si>
  <si>
    <t>Vijayawada</t>
  </si>
  <si>
    <t>Customs/947/2012-hyderabad</t>
  </si>
  <si>
    <t>Customs/948/2012-hyderabad</t>
  </si>
  <si>
    <t>Cawst/29937/2016</t>
  </si>
  <si>
    <t xml:space="preserve"> Sesa Sterlite Limited -  ; </t>
  </si>
  <si>
    <t>State Of Maharashtra, Through Its Ministry Of Industries And Ors.</t>
  </si>
  <si>
    <t>Diaryno And Diaryyr 30263/2016</t>
  </si>
  <si>
    <t>M/s. Sesa Sterlite Limited (now Known As Vedanta Ltd.)</t>
  </si>
  <si>
    <t>Odisha Electricity Regulatory Commission . 2 R-1 |r-1</t>
  </si>
  <si>
    <t>Ia No. 535 Of 2016 In A.no. 25 Of 2014,ia No. 535 Of 2016 In A.no. 25 Of 2014,ia No. 535 Of 2016 In A.no. 25 Of 2014,ia No. 535 Of 2016 In A.no. 25 Of 2014,ia No. 535 Of 2016 In A.no. 25 Of 2014,ia No</t>
  </si>
  <si>
    <t>Ia No. 535 Of 2016 In A.no. 25 Of 2014</t>
  </si>
  <si>
    <t>M/s Sesa Sterlite Limited</t>
  </si>
  <si>
    <t xml:space="preserve">Sesa Ghor 20 Edc Complex Patto, Panjim,goa Â_" 403 001     1 Odisha Electricity Regulatory Commission</t>
  </si>
  <si>
    <t>Sta/1636/2016</t>
  </si>
  <si>
    <t>Sta/1638/2016</t>
  </si>
  <si>
    <t>Stm/1635/2016</t>
  </si>
  <si>
    <t>Stm/1637/2016</t>
  </si>
  <si>
    <t>Stm/2870/2016</t>
  </si>
  <si>
    <t>Vedanta Ltd Earlier Known As Sesa Goa Ltd</t>
  </si>
  <si>
    <t>Harinarayan G. Bajaj, Krishna Harinarayan Bajaj And 5 Ors, Rahul H. Bajaj, Registrar Of Companies Goa, Shailesh H. Bajaj, Union Of India, Thr. The Ministry Of Corporate Affairs</t>
  </si>
  <si>
    <t>Stm/388/2016</t>
  </si>
  <si>
    <t>The Pr. Commissioner Of Income Tax, Panaji</t>
  </si>
  <si>
    <t>A.no. 30 Of 2016 &amp; Ia No. 82 Of 2016 &amp; 83 Of 2016 &amp; Batch</t>
  </si>
  <si>
    <t>Misc Application No._509_2012</t>
  </si>
  <si>
    <t>Misc Application No._536_2012</t>
  </si>
  <si>
    <t>Misc Application No._518_2012</t>
  </si>
  <si>
    <t>Misc Application No._517_2012</t>
  </si>
  <si>
    <t>Ma 509/2013</t>
  </si>
  <si>
    <t>Ma 536/2013</t>
  </si>
  <si>
    <t>Ma 517/2013</t>
  </si>
  <si>
    <t>Ia No._233_2014</t>
  </si>
  <si>
    <t>Stm/186/2014</t>
  </si>
  <si>
    <t>Sesa Goa Limited Rep. By Its Dy. Chief Operating Officer Shir. Sauvick Muzumdar</t>
  </si>
  <si>
    <t>Miss Shraddha Prakash Kesarkar And 8 Ors, Miss. Krutika Keshav Kudaskar Daughter Of Late Shri Keshav Kudaskar, Rep. By Smt. Vrushali Keshav Ku, Mr. Gaurav Prakash Kesarkar Son Of Late Shri. Prakash Sitaram Kesarkar, Student Mr. Kaushik Keshav Kudaska</t>
  </si>
  <si>
    <t>Ao/4/2014</t>
  </si>
  <si>
    <t>35626-wp/2014</t>
  </si>
  <si>
    <t>The Monitoring Committee</t>
  </si>
  <si>
    <t>Ita 364/pan-2013</t>
  </si>
  <si>
    <t>Ita 48/pan-2012</t>
  </si>
  <si>
    <t>Ita 82/pan-2012</t>
  </si>
  <si>
    <t>Ita 386/pan-2013</t>
  </si>
  <si>
    <t>Ac_10420_2013</t>
  </si>
  <si>
    <t>Commr.of customs &amp; central excise goa   </t>
  </si>
  <si>
    <t>M/s sesa sterlite ltd.</t>
  </si>
  <si>
    <t>Pc_15294_2013</t>
  </si>
  <si>
    <t>Commissioner of income tax   </t>
  </si>
  <si>
    <t>Sesa goa ltd</t>
  </si>
  <si>
    <t>Scr.a/2647/2014</t>
  </si>
  <si>
    <t xml:space="preserve"> Vikas Road Carriers Ltd.</t>
  </si>
  <si>
    <t xml:space="preserve"> State Of Gujarat</t>
  </si>
  <si>
    <t>Writ Petition For Direction</t>
  </si>
  <si>
    <t>Wp/366/2014</t>
  </si>
  <si>
    <t>Sesa Sterlite Limited Rep. Thr. Its General Manager Mukesh Laddha</t>
  </si>
  <si>
    <t>Wp/368/2014</t>
  </si>
  <si>
    <t>Sesa Sterlite Limited Rep. Thr. P.o.a. General Manager| Mukesh Laddha</t>
  </si>
  <si>
    <t>Ia No._259_2014</t>
  </si>
  <si>
    <t>Grid Corporation Of Orissa Limited</t>
  </si>
  <si>
    <t>Wa/575/2014</t>
  </si>
  <si>
    <t>Dfr_1312_2014</t>
  </si>
  <si>
    <t>Customs/254/2011-kolkata</t>
  </si>
  <si>
    <t>Customs/255/2011-kolkata</t>
  </si>
  <si>
    <t>Customs/256/2011-kolkata</t>
  </si>
  <si>
    <t>Customs/257/2011-kolkata</t>
  </si>
  <si>
    <t>Customs/258/2011-kolkata</t>
  </si>
  <si>
    <t>Customs/259/2011-kolkata</t>
  </si>
  <si>
    <t>Customs/260/2011-kolkata</t>
  </si>
  <si>
    <t>Customs/261/2011-kolkata</t>
  </si>
  <si>
    <t>Customs/262/2011-kolkata</t>
  </si>
  <si>
    <t>Sesa Goa Ltd,</t>
  </si>
  <si>
    <t>Customs/263/2011-kolkata</t>
  </si>
  <si>
    <t>Customs/264/2011-kolkata</t>
  </si>
  <si>
    <t>Customs/285/2010-kolkata</t>
  </si>
  <si>
    <t>Customs/287/2010-kolkata</t>
  </si>
  <si>
    <t>Customs/288/2010-kolkata</t>
  </si>
  <si>
    <t>Customs/289/2010-kolkata</t>
  </si>
  <si>
    <t>Customs/290/2010-kolkata</t>
  </si>
  <si>
    <t>Customs/291/2010-kolkata</t>
  </si>
  <si>
    <t>Customs/302/2010-kolkata</t>
  </si>
  <si>
    <t>Customs/303/2010-kolkata</t>
  </si>
  <si>
    <t>Customs/304/2010-kolkata</t>
  </si>
  <si>
    <t>Customs/305/2010-kolkata</t>
  </si>
  <si>
    <t>Customs/306/2010-kolkata</t>
  </si>
  <si>
    <t>Customs/307/2010-kolkata</t>
  </si>
  <si>
    <t>Customs/308/2010-kolkata</t>
  </si>
  <si>
    <t>Customs/309/2010-kolkata</t>
  </si>
  <si>
    <t>Customs/310/2010-kolkata</t>
  </si>
  <si>
    <t>Customs/311/2010-kolkata</t>
  </si>
  <si>
    <t>Customs/312/2012-kolkata</t>
  </si>
  <si>
    <t>Customs/313/2012-kolkata</t>
  </si>
  <si>
    <t>Customs/314/2012-kolkata</t>
  </si>
  <si>
    <t>Customs/318/2010-kolkata</t>
  </si>
  <si>
    <t>Customs/367/2011-kolkata</t>
  </si>
  <si>
    <t>Customs/85/2011-kolkata</t>
  </si>
  <si>
    <t>Ca/38/2014</t>
  </si>
  <si>
    <t>M/s Sesa Goa Limited Through Company Secretary And Avp Legal Mr. Chandrashekhar D. Chitnis And Anr</t>
  </si>
  <si>
    <t>State Of Goa Through Its Chief Secretary</t>
  </si>
  <si>
    <t>For Correction Of Name</t>
  </si>
  <si>
    <t>Misc Civil Application/173/2014</t>
  </si>
  <si>
    <t>Excise/41192/2014-chennai</t>
  </si>
  <si>
    <t>Of_40321_2014</t>
  </si>
  <si>
    <t>Commissioner Of Central Excise, Madurai</t>
  </si>
  <si>
    <t>Dfr No._1165_2014</t>
  </si>
  <si>
    <t>Civil -tender Appeal Cases</t>
  </si>
  <si>
    <t xml:space="preserve">Slp (civil)     12687-12688 /2014</t>
  </si>
  <si>
    <t>Sesa Sterlite Ltd.</t>
  </si>
  <si>
    <t>Emirates Trading Agency Llc</t>
  </si>
  <si>
    <t>Sc_12687_2014</t>
  </si>
  <si>
    <t>Sesa sterlite ltd.   </t>
  </si>
  <si>
    <t>Emirates trading agency llc</t>
  </si>
  <si>
    <t>Customs/108/2011-kolkata</t>
  </si>
  <si>
    <t>Customs/219/2011-kolkata</t>
  </si>
  <si>
    <t>Of_423_2011</t>
  </si>
  <si>
    <t>Applican</t>
  </si>
  <si>
    <t>_43_2011</t>
  </si>
  <si>
    <t>Commissioner</t>
  </si>
  <si>
    <t>M/s. Sesa Goa Ltd. ...</t>
  </si>
  <si>
    <t>_73_2011</t>
  </si>
  <si>
    <t>Commissioner Of Customs (port), Kolkata _x0005_</t>
  </si>
  <si>
    <t>Customs/189/2011-kolkata</t>
  </si>
  <si>
    <t>Customs/190/2011-kolkata</t>
  </si>
  <si>
    <t>Customs/217/2011-kolkata</t>
  </si>
  <si>
    <t>Customs/218/2011-kolkata</t>
  </si>
  <si>
    <t>Customs/220/2011-kolkata</t>
  </si>
  <si>
    <t>Customs/221/2011-kolkata</t>
  </si>
  <si>
    <t>Customs/222/2011-kolkata</t>
  </si>
  <si>
    <t>Customs/102/2011-kolkata</t>
  </si>
  <si>
    <t>Customs/70205/2013-kolkata</t>
  </si>
  <si>
    <t>Customs/165/2011-kolkata</t>
  </si>
  <si>
    <t>Customs/236/2011-kolkata</t>
  </si>
  <si>
    <t>Customs/237/2011-kolkata</t>
  </si>
  <si>
    <t>The Commissioner Of Customs Kol</t>
  </si>
  <si>
    <t>Customs/265/2011-kolkata</t>
  </si>
  <si>
    <t>Customs/266/2011-kolkata</t>
  </si>
  <si>
    <t>Customs/267/2011-kolkata</t>
  </si>
  <si>
    <t>Customs/268/2011-kolkata</t>
  </si>
  <si>
    <t>Customs/269/2011-kolkata</t>
  </si>
  <si>
    <t>Customs/270/2011-kolkata</t>
  </si>
  <si>
    <t>Customs/271/2011-kolkata</t>
  </si>
  <si>
    <t>Customs/272/2011-kolkata</t>
  </si>
  <si>
    <t>Customs/273/2011-kolkata</t>
  </si>
  <si>
    <t>Customs/274/2011-kolkata</t>
  </si>
  <si>
    <t>Customs/292/2011-kolkata</t>
  </si>
  <si>
    <t>Customs/293/2011-kolkata</t>
  </si>
  <si>
    <t>Customs/317/2012-kolkata</t>
  </si>
  <si>
    <t>Customs/318/2012-kolkata</t>
  </si>
  <si>
    <t>Customs/319/2012-kolkata</t>
  </si>
  <si>
    <t>Customs/332/2011-kolkata</t>
  </si>
  <si>
    <t>Customs/45/2011-kolkata</t>
  </si>
  <si>
    <t>Customs/48/2011-kolkata</t>
  </si>
  <si>
    <t>Customs/49/2011-kolkata</t>
  </si>
  <si>
    <t>Customs/46/2011-kolkata</t>
  </si>
  <si>
    <t>Customs/47/2011-kolkata</t>
  </si>
  <si>
    <t>Customs/43/2011-kolkata</t>
  </si>
  <si>
    <t>Customs/44/2011-kolkata</t>
  </si>
  <si>
    <t>Customs/50/2011-kolkata</t>
  </si>
  <si>
    <t>Customs/98/2011-kolkata</t>
  </si>
  <si>
    <t>Customs/99/2011-kolkata</t>
  </si>
  <si>
    <t>Customs/73/2011-kolkata</t>
  </si>
  <si>
    <t>Customs/86/2011-kolkata</t>
  </si>
  <si>
    <t>Customs/166/2011-kolkata</t>
  </si>
  <si>
    <t>Customs/167/2011-kolkata</t>
  </si>
  <si>
    <t>Customs/177/2011-kolkata</t>
  </si>
  <si>
    <t>Customs/185/2011-kolkata</t>
  </si>
  <si>
    <t>Customs/186/2011-kolkata</t>
  </si>
  <si>
    <t>Customs/187/2011-kolkata</t>
  </si>
  <si>
    <t>Customs/188/2011-kolkata</t>
  </si>
  <si>
    <t>Customs/148/2011-kolkata</t>
  </si>
  <si>
    <t>20271-wp/2014</t>
  </si>
  <si>
    <t>26782-wp/2014</t>
  </si>
  <si>
    <t xml:space="preserve">Civil Appeal     5479/2013</t>
  </si>
  <si>
    <t>M/s. Sesa Sterlite Ltd.</t>
  </si>
  <si>
    <t>Orissa Electricity Regulatory Comm &amp; Ors</t>
  </si>
  <si>
    <t>Appeal_5479_2013</t>
  </si>
  <si>
    <t xml:space="preserve">M/s. Sesa Sterlite Ltd. </t>
  </si>
  <si>
    <t xml:space="preserve"> Orissa Electricity Regulatory Comm &amp; Ors</t>
  </si>
  <si>
    <t>Ac_5479_2013</t>
  </si>
  <si>
    <t>M/s. sesa sterlite ltd.   </t>
  </si>
  <si>
    <t>Orissa electricity regulatory comm &amp; ors</t>
  </si>
  <si>
    <t>Ia/2187/2014</t>
  </si>
  <si>
    <t>Ia/2186/2014</t>
  </si>
  <si>
    <t>Stm/2638/2013</t>
  </si>
  <si>
    <t>Cusa/1/2012</t>
  </si>
  <si>
    <t xml:space="preserve"> Commissioner Of Customs And Central Excise</t>
  </si>
  <si>
    <t xml:space="preserve"> Sesa Goa Limited</t>
  </si>
  <si>
    <t>Cusa/6/2012</t>
  </si>
  <si>
    <t>Coapm</t>
  </si>
  <si>
    <t xml:space="preserve"> Sesa Goa Limited,</t>
  </si>
  <si>
    <t xml:space="preserve"> .</t>
  </si>
  <si>
    <t>Coapm/168/2015</t>
  </si>
  <si>
    <t xml:space="preserve"> Vedanta Limited.,</t>
  </si>
  <si>
    <t xml:space="preserve"> ---</t>
  </si>
  <si>
    <t>Wp(c)/5504/2022</t>
  </si>
  <si>
    <t xml:space="preserve"> Ferro Alloys Corporation Ltd.    Dhananjaya Mishra, S.k.sahu,s.sahu| M/s Vedanta Limited| Sterlite Power Transmission  Ltd</t>
  </si>
  <si>
    <t xml:space="preserve"> State Of Odisha| Union Of India</t>
  </si>
  <si>
    <t>Sta/29/2017</t>
  </si>
  <si>
    <t>Wp/25861/2018</t>
  </si>
  <si>
    <t xml:space="preserve"> Pavaman Ispat Private Limited</t>
  </si>
  <si>
    <t>Wp/109630/2019</t>
  </si>
  <si>
    <t xml:space="preserve"> 1(a) Late B M Maralu Siddaiah155.| 10 Sunkanna S/o Late Ramaiah22.| 100.1. Mallappa Gouda109.| 101.1 Mallappa Gouda (1.16110.| 102.y Sanna Bhemappa S/o Kalappa 111.| 103.1 Lingappa Halarvigangappa (late) (4.| 104 Bherappana (late) Wofe Shivamma113.|</t>
  </si>
  <si>
    <t xml:space="preserve"> Sesa Goa Limited| The Assistant Secretary| The Authorised Officer| The General Manager| The Land Acquisition Officer| The Special Deputy Commissioner| The State Of Karnataka</t>
  </si>
  <si>
    <t xml:space="preserve"> Commissioner Of Income Tax ""ayakaar Bhavan""</t>
  </si>
  <si>
    <t xml:space="preserve"> Shailesh Ramniklal Shah And 3 Ors.,</t>
  </si>
  <si>
    <t xml:space="preserve"> Electrification Charpant Levage Sas,  Rep Herein By Its Duly Authorized Signatory Mr. Anish Ghosha</t>
  </si>
  <si>
    <t>Criminal -family Maintenance Cases</t>
  </si>
  <si>
    <t>Mca/273/2013</t>
  </si>
  <si>
    <t xml:space="preserve"> The Joint Commissioner Of Income Tax Range 1, And 2 Ors.,</t>
  </si>
  <si>
    <t>Mca/773/2014</t>
  </si>
  <si>
    <t xml:space="preserve"> The Assistant Commissioner Of Customs. Minor Pod, Panaji.</t>
  </si>
  <si>
    <t xml:space="preserve"> Sesa Sterlite Limited.</t>
  </si>
  <si>
    <t>Pilwp</t>
  </si>
  <si>
    <t>Pilwp/30/2017</t>
  </si>
  <si>
    <t xml:space="preserve"> The Goa Foundation Thr. Its Secretary, Dr. Claude Alvares.,</t>
  </si>
  <si>
    <t xml:space="preserve"> State Of Goa Thr. Its Chief Secretary And 13 Ors.,</t>
  </si>
  <si>
    <t xml:space="preserve"> Vedanta Ltd. (formerly Sesa Sterlint Ltd/ Sesa Goa Ltd.).,</t>
  </si>
  <si>
    <t xml:space="preserve"> Asstt. Commissioner Of Income Tax Circle 1(1), Panaji And Anr.,</t>
  </si>
  <si>
    <t>Cusa/4/2012</t>
  </si>
  <si>
    <t>Wp/16834/2013</t>
  </si>
  <si>
    <t xml:space="preserve"> The New Mangalore Port Trust</t>
  </si>
  <si>
    <t>Wp/18739/2022</t>
  </si>
  <si>
    <t xml:space="preserve"> The Union Of India</t>
  </si>
  <si>
    <t>Wp(md)/18139/2017</t>
  </si>
  <si>
    <t>Wmp(md)/1294/2016</t>
  </si>
  <si>
    <t>Wa(md)/897/2015</t>
  </si>
  <si>
    <t>Wmp(md)/9342/2017</t>
  </si>
  <si>
    <t xml:space="preserve"> The State Of Tamil Nadu,</t>
  </si>
  <si>
    <t>Wmp(md)/6325/2021</t>
  </si>
  <si>
    <t xml:space="preserve"> Deputy Commissioner Of Income Tax(international Taxation)</t>
  </si>
  <si>
    <t>Cmp(md)/447/2019</t>
  </si>
  <si>
    <t xml:space="preserve"> Union Of India</t>
  </si>
  <si>
    <t>Wp(md)/1955/2014</t>
  </si>
  <si>
    <t xml:space="preserve"> M/s.sesa Sterlite Limited</t>
  </si>
  <si>
    <t xml:space="preserve"> Union Of India,</t>
  </si>
  <si>
    <t>Wmp(md)/10219/2018</t>
  </si>
  <si>
    <t xml:space="preserve"> Vedanta Limited,</t>
  </si>
  <si>
    <t xml:space="preserve"> The Destrict Collector,</t>
  </si>
  <si>
    <t>Wp(md)/3653/2016</t>
  </si>
  <si>
    <t>Civil -re-examination Cases</t>
  </si>
  <si>
    <t>Crp(md)/208/2015</t>
  </si>
  <si>
    <t xml:space="preserve"> M/s.sesa Sterlite Limited,</t>
  </si>
  <si>
    <t xml:space="preserve"> Dreymoor Fertilizers</t>
  </si>
  <si>
    <t>Wmp(md)/7003/2018</t>
  </si>
  <si>
    <t xml:space="preserve"> The Inspector General Of</t>
  </si>
  <si>
    <t>Wp(md)/18438/2018</t>
  </si>
  <si>
    <t>Wmp(md)/1298/2016</t>
  </si>
  <si>
    <t>Wp(md)/13324/2015</t>
  </si>
  <si>
    <t xml:space="preserve"> M/s. Vedanta Ltd.</t>
  </si>
  <si>
    <t>Wmp(md)/2453/2016</t>
  </si>
  <si>
    <t>Wp(md)/2773/2016</t>
  </si>
  <si>
    <t>Cma(md)/325/2016</t>
  </si>
  <si>
    <t xml:space="preserve"> The Commissioner Of Central</t>
  </si>
  <si>
    <t>Wmp(md)/1291/2016</t>
  </si>
  <si>
    <t>Wp(md)/8269/2017</t>
  </si>
  <si>
    <t xml:space="preserve"> Deputy Commissioner Of</t>
  </si>
  <si>
    <t>Wmp(md)/8950/2019</t>
  </si>
  <si>
    <t>Wmp(md)/5253/2019</t>
  </si>
  <si>
    <t xml:space="preserve"> Vedanta Limited(formerly Known</t>
  </si>
  <si>
    <t>Wp(md)/8344/2021</t>
  </si>
  <si>
    <t xml:space="preserve"> Deputy Commissioner Of Income Tax (international Taxation)</t>
  </si>
  <si>
    <t>Wmp(md)/23090/2018</t>
  </si>
  <si>
    <t xml:space="preserve"> Fatima</t>
  </si>
  <si>
    <t xml:space="preserve"> M/s.vedanta Ltd (formerly</t>
  </si>
  <si>
    <t>Wp(md)/1956/2014</t>
  </si>
  <si>
    <t>Wp(md)/6982/2014</t>
  </si>
  <si>
    <t>Wmp(md)/2458/2016</t>
  </si>
  <si>
    <t>Rajasthan Hc</t>
  </si>
  <si>
    <t>Civil -stay On Proceedings</t>
  </si>
  <si>
    <t>Cms/4326/2018</t>
  </si>
  <si>
    <t xml:space="preserve"> State Of Rajasthan And Ors.</t>
  </si>
  <si>
    <t>Wmp(md)/14604/2017</t>
  </si>
  <si>
    <t>Wmp(md)/1296/2016</t>
  </si>
  <si>
    <t>Wmp(md)/12731/2019</t>
  </si>
  <si>
    <t xml:space="preserve"> Sesa Sterlite Ltd.,</t>
  </si>
  <si>
    <t xml:space="preserve"> The State Of Tamilnadu</t>
  </si>
  <si>
    <t>Cmp(md)/4525/2016</t>
  </si>
  <si>
    <t>Wmp(md)/2461/2016</t>
  </si>
  <si>
    <t>Wmp(md)/3270/2016</t>
  </si>
  <si>
    <t>Wp(md)/25495/2018</t>
  </si>
  <si>
    <t>Wmp(md)/16321/2018</t>
  </si>
  <si>
    <t>Cmp(md)/4521/2016</t>
  </si>
  <si>
    <t>Wmp(md)/2457/2016</t>
  </si>
  <si>
    <t>Wp(md)/6209/2019</t>
  </si>
  <si>
    <t xml:space="preserve"> The Commissioner Of Customs</t>
  </si>
  <si>
    <t>Wmp(md)/2462/2016</t>
  </si>
  <si>
    <t>Wp(md)/6051/2017</t>
  </si>
  <si>
    <t xml:space="preserve"> M/s.vedanta Ltd., (earlier</t>
  </si>
  <si>
    <t>Wmp(md)/16320/2018</t>
  </si>
  <si>
    <t>Wmp(md)/16319/2018</t>
  </si>
  <si>
    <t>Wmp(md)/9343/2017</t>
  </si>
  <si>
    <t>Wmp(md)/1290/2016</t>
  </si>
  <si>
    <t>Wa(md)/896/2015</t>
  </si>
  <si>
    <t>Cms/11063/2019</t>
  </si>
  <si>
    <t xml:space="preserve"> State Of Rajasthan</t>
  </si>
  <si>
    <t>Wa(md)/82/2019</t>
  </si>
  <si>
    <t>Wp(md)/11878/2015</t>
  </si>
  <si>
    <t xml:space="preserve"> The Assistant Commisisoner</t>
  </si>
  <si>
    <t>Wp(md)/13323/2015</t>
  </si>
  <si>
    <t xml:space="preserve"> M/s.vedanta Limited(earlier</t>
  </si>
  <si>
    <t>Wp(md)/1531/2016</t>
  </si>
  <si>
    <t>Wp(md)/6980/2014</t>
  </si>
  <si>
    <t>Wp(md)/18435/2018</t>
  </si>
  <si>
    <t>Wp(md)/7313/2018</t>
  </si>
  <si>
    <t>Cmp(md)/4121/2016</t>
  </si>
  <si>
    <t>Wp(md)/626/2015</t>
  </si>
  <si>
    <t xml:space="preserve"> M/s Sesa Sterlite Ltd.,</t>
  </si>
  <si>
    <t>Cmp(md)/7936/2017</t>
  </si>
  <si>
    <t xml:space="preserve"> Dreymoor Fertilizers Overseas</t>
  </si>
  <si>
    <t>Wp(md)/11190/2018</t>
  </si>
  <si>
    <t>Wp(md)/11899/2015</t>
  </si>
  <si>
    <t>Wmp(md)/10218/2018</t>
  </si>
  <si>
    <t>Wp(md)/1532/2016</t>
  </si>
  <si>
    <t>Wp(md)/1536/2016</t>
  </si>
  <si>
    <t>Wp(md)/10201/2016</t>
  </si>
  <si>
    <t>Wmp(md)/1289/2016</t>
  </si>
  <si>
    <t>Wp(md)/1530/2016</t>
  </si>
  <si>
    <t>Criminal -criminal Cases - Misc.</t>
  </si>
  <si>
    <t>Crl Op(md)/20713/2014</t>
  </si>
  <si>
    <t xml:space="preserve"> M/s. Sesa Sterlite Ltd.,</t>
  </si>
  <si>
    <t xml:space="preserve"> The Inspector Of Police</t>
  </si>
  <si>
    <t>Wmp(md)/9340/2017</t>
  </si>
  <si>
    <t>Cmp(md)/4526/2016</t>
  </si>
  <si>
    <t>Wmp(md)/7004/2018</t>
  </si>
  <si>
    <t>Wp(md)/1954/2014</t>
  </si>
  <si>
    <t>Wmp(md)/9341/2017</t>
  </si>
  <si>
    <t>Wp(md)/11879/2015</t>
  </si>
  <si>
    <t xml:space="preserve"> M/s. Vedanta Ltd.,</t>
  </si>
  <si>
    <t>Wmp(md)/10281/2016</t>
  </si>
  <si>
    <t xml:space="preserve"> The V.o.chidambaranar Port</t>
  </si>
  <si>
    <t>Wmp(md)/2452/2016</t>
  </si>
  <si>
    <t>Wmp(md)/2463/2016</t>
  </si>
  <si>
    <t>Cmp(md)/4895/2019</t>
  </si>
  <si>
    <t>Wp(md)/13144/2018</t>
  </si>
  <si>
    <t xml:space="preserve"> Vedanta Limited, Unit:sterlite</t>
  </si>
  <si>
    <t xml:space="preserve"> State Of Tamil Nadu</t>
  </si>
  <si>
    <t>Wmp(md)/1297/2016</t>
  </si>
  <si>
    <t>Wmp(md)/23088/2018</t>
  </si>
  <si>
    <t>Wmp(md)/2454/2016</t>
  </si>
  <si>
    <t>Cmp(md)/4527/2016</t>
  </si>
  <si>
    <t>Wp(md)/6978/2014</t>
  </si>
  <si>
    <t>Wmp(md)/12729/2019</t>
  </si>
  <si>
    <t>Wmp(md)/16318/2018</t>
  </si>
  <si>
    <t>Wmp(md)/12730/2019</t>
  </si>
  <si>
    <t>Wmp(md)/12732/2019</t>
  </si>
  <si>
    <t>Wp(md)/6979/2014</t>
  </si>
  <si>
    <t>Wmp(md)/23089/2018</t>
  </si>
  <si>
    <t>Cma(md)/80/2019</t>
  </si>
  <si>
    <t>Wmp(md)/12733/2019</t>
  </si>
  <si>
    <t>Wp(md)/18436/2018</t>
  </si>
  <si>
    <t>Wp(md)/3656/2016</t>
  </si>
  <si>
    <t>Wp(md)/18437/2018</t>
  </si>
  <si>
    <t>Wp(md)/1535/2016</t>
  </si>
  <si>
    <t>Wp(md)/1537/2016</t>
  </si>
  <si>
    <t>Wp(md)/16005/2018</t>
  </si>
  <si>
    <t xml:space="preserve"> A.prince Cardoza</t>
  </si>
  <si>
    <t xml:space="preserve"> The Ministry Of Environment,, M/s.vedanta Ltd</t>
  </si>
  <si>
    <t>Wmp(md)/2456/2016</t>
  </si>
  <si>
    <t>Wmp(md)/4779/2017</t>
  </si>
  <si>
    <t>Wp(md)/3650/2016</t>
  </si>
  <si>
    <t>Wmp(md)/6324/2021</t>
  </si>
  <si>
    <t>Wa(md)/82/2015</t>
  </si>
  <si>
    <t xml:space="preserve"> Union  Of India,</t>
  </si>
  <si>
    <t>Cmp(md)/4120/2016</t>
  </si>
  <si>
    <t>Cmp(md)/445/2019</t>
  </si>
  <si>
    <t>Wmp(md)/1295/2016</t>
  </si>
  <si>
    <t>Wmp(md)/8951/2019</t>
  </si>
  <si>
    <t>Wmp(md)/2460/2016</t>
  </si>
  <si>
    <t>Wmp(md)/6322/2021</t>
  </si>
  <si>
    <t>Wmp(md)/14603/2017</t>
  </si>
  <si>
    <t>Cmp(md)/4122/2016</t>
  </si>
  <si>
    <t>Wp(md)/1529/2016</t>
  </si>
  <si>
    <t>Wp(md)/3659/2016</t>
  </si>
  <si>
    <t>Wmp(md)/3276/2016</t>
  </si>
  <si>
    <t>Wa(md)/894/2015</t>
  </si>
  <si>
    <t>Cma(md)/323/2016</t>
  </si>
  <si>
    <t>Wmp(md)/1292/2016</t>
  </si>
  <si>
    <t>Wmp(md)/6321/2021</t>
  </si>
  <si>
    <t>Wp(md)/6981/2014</t>
  </si>
  <si>
    <t>Wmp(md)/18169/2018</t>
  </si>
  <si>
    <t>Wmp(md)/12008/2018</t>
  </si>
  <si>
    <t>Cma(md)/650/2018</t>
  </si>
  <si>
    <t xml:space="preserve"> M/s.vedanta Ltd.,</t>
  </si>
  <si>
    <t xml:space="preserve"> The Commissioner Of Customs,</t>
  </si>
  <si>
    <t>Wmp(md)/4780/2017</t>
  </si>
  <si>
    <t>Wmp(md)/16322/2018</t>
  </si>
  <si>
    <t>Wmp(md)/9339/2017</t>
  </si>
  <si>
    <t>Ita-364-2019</t>
  </si>
  <si>
    <t>The Pr. Commissioner Of Income Tax -9</t>
  </si>
  <si>
    <t>Calcutta High Court</t>
  </si>
  <si>
    <t>Custa</t>
  </si>
  <si>
    <t>Custa/2/2023</t>
  </si>
  <si>
    <t xml:space="preserve"> Commissioner Of Customs Export Kolkata</t>
  </si>
  <si>
    <t xml:space="preserve"> M/s Vedanta Ltd</t>
  </si>
  <si>
    <t>Ia/1575/2022</t>
  </si>
  <si>
    <t xml:space="preserve"> M/s. Sesa Sterlite Limited</t>
  </si>
  <si>
    <t xml:space="preserve"> State Of Maharashtra And Anr</t>
  </si>
  <si>
    <t>Ca/9/2023</t>
  </si>
  <si>
    <t xml:space="preserve"> Goa Mining Association, Thr. Its Secretary, Glenn Kalavampara And Anr</t>
  </si>
  <si>
    <t xml:space="preserve"> Union Of India, Thr. Its Secretary (finance), Govt. Of Goa And 3 Ors</t>
  </si>
  <si>
    <t>Mca/41/2023</t>
  </si>
  <si>
    <t>Wp/244/2009</t>
  </si>
  <si>
    <t xml:space="preserve"> Sesa Sterlite Limited Through Company Secretary Chandrashekhar D. Chitnis And Anr</t>
  </si>
  <si>
    <t xml:space="preserve"> State Of Goa Through Chief Secretary</t>
  </si>
  <si>
    <t>Wp/1076/2016</t>
  </si>
  <si>
    <t xml:space="preserve"> Goa Mining Association, Thr. Its Secretary, Glenn Kalavampara And Anr.,</t>
  </si>
  <si>
    <t xml:space="preserve"> Union Of India, Thr. Its Secretary (finance), Govt. Of Goa And 3 Ors.,</t>
  </si>
  <si>
    <t>Wp/7716/2014</t>
  </si>
  <si>
    <t xml:space="preserve"> State Of Maharashtra, Through Ministry Of Industries And Ors</t>
  </si>
  <si>
    <t>Pilwp/23/2022</t>
  </si>
  <si>
    <t xml:space="preserve"> The Mulakh Khajan Farmers Association, Thr. Its Sec. Sakharam Anant Pednekar And Anr</t>
  </si>
  <si>
    <t xml:space="preserve"> The  Directorate Of Mines And Geology Thr, Its Director  And 15 Ors</t>
  </si>
  <si>
    <t>Rvwpet/28/2023</t>
  </si>
  <si>
    <t>Rvwpet/29/2023</t>
  </si>
  <si>
    <t>Rvwpet/30/2023</t>
  </si>
  <si>
    <t>Cmp(md)/3692/2023</t>
  </si>
  <si>
    <t xml:space="preserve"> The Deputy Commissioner Of Income Tax</t>
  </si>
  <si>
    <t>Wpo</t>
  </si>
  <si>
    <t>Wpo/636/2023</t>
  </si>
  <si>
    <t xml:space="preserve"> The Union Of India And Ors</t>
  </si>
  <si>
    <t>Wmp(md)/6937/2023</t>
  </si>
  <si>
    <t xml:space="preserve"> S.p.muthu Raman    M/s.anand.r, Saravanan.p,balasubramanian.n</t>
  </si>
  <si>
    <t xml:space="preserve"> M/s.vedanta Ltd.,(previously| Tamil Nadu Pollution Control| The District Collector,| The District Environmental</t>
  </si>
  <si>
    <t>Punjab Hc</t>
  </si>
  <si>
    <t>Ita</t>
  </si>
  <si>
    <t>Ita/77/2023</t>
  </si>
  <si>
    <t xml:space="preserve"> Principal Commissioner Of Income Tax 9 New Delhi</t>
  </si>
  <si>
    <t>Wa(md)/413/2023</t>
  </si>
  <si>
    <t xml:space="preserve"> The Deputy Commissioner Of Income Tax,</t>
  </si>
  <si>
    <t>Wa(md)/415/2023</t>
  </si>
  <si>
    <t>Ita/79/2023</t>
  </si>
  <si>
    <t xml:space="preserve"> Principal Commissioner Of Income Tax, Delhi-7</t>
  </si>
  <si>
    <t xml:space="preserve"> M/s Vedanta Ltd. (successor To M/s Cairn India Ltd.)</t>
  </si>
  <si>
    <t>Chandigarh Hc</t>
  </si>
  <si>
    <t>96-statutory Appeals Income Tax (direct)</t>
  </si>
  <si>
    <t>Ita 68/2023</t>
  </si>
  <si>
    <t>Principal Commissioner Of Income Tax, Delhi-7</t>
  </si>
  <si>
    <t>M/s Vedanta Ltd. (successor To M/s Cairn India Ltd.)</t>
  </si>
  <si>
    <t>Ita 79/2023</t>
  </si>
  <si>
    <t>Ita 65/2023</t>
  </si>
  <si>
    <t>Principal Commissioner Of Income Tax 9 New Delhi</t>
  </si>
  <si>
    <t>Ita 77/2023</t>
  </si>
  <si>
    <t>Chattisgarh Hc</t>
  </si>
  <si>
    <t>Wpc/2306/2023</t>
  </si>
  <si>
    <t xml:space="preserve"> Vedanta Limited Through</t>
  </si>
  <si>
    <t xml:space="preserve"> State Of Chhattisgarh</t>
  </si>
  <si>
    <t>Wp/1616/2023</t>
  </si>
  <si>
    <t xml:space="preserve"> Assistant Commissioner Of Income Tax Circle 3(2) (1) And 3 Others</t>
  </si>
  <si>
    <t>Ita/119/2023</t>
  </si>
  <si>
    <t xml:space="preserve"> Principal Commissioner Of Income Tax</t>
  </si>
  <si>
    <t>Ita/120/2023</t>
  </si>
  <si>
    <t xml:space="preserve"> Vedanta Ltd (earlier Known As Cairn India Ltd.)</t>
  </si>
  <si>
    <t>Wa/1228/2023</t>
  </si>
  <si>
    <t>Wmp(md)/12249/2023</t>
  </si>
  <si>
    <t>Ita/128/2023</t>
  </si>
  <si>
    <t>Ita 114/2023</t>
  </si>
  <si>
    <t>Principal Commissioner Of Income Tax</t>
  </si>
  <si>
    <t>Ita 119/2023</t>
  </si>
  <si>
    <t>Ita 120/2023</t>
  </si>
  <si>
    <t>Vedanta Ltd (earlier Known As Cairn India Ltd.)</t>
  </si>
  <si>
    <t>Ita 128/2023</t>
  </si>
  <si>
    <t>Wp(c)/20437/2023</t>
  </si>
  <si>
    <t xml:space="preserve"> M/s Vedanta Ltd., Kalahandi</t>
  </si>
  <si>
    <t xml:space="preserve"> State Of Odisha</t>
  </si>
  <si>
    <t>O.m.p.(i) (comm.)-208-2023</t>
  </si>
  <si>
    <t>Gujarat State Petroleum Corporation Ltd.</t>
  </si>
  <si>
    <t>Wp(c)/21287/2023</t>
  </si>
  <si>
    <t xml:space="preserve"> Vedanta Ltd., Bbsr</t>
  </si>
  <si>
    <t>Wp/15822/2023</t>
  </si>
  <si>
    <t xml:space="preserve"> Mr. Sirajuddin</t>
  </si>
  <si>
    <t xml:space="preserve"> M/s Nimeral Enterprises Ltd| M/s Vedanta Limited| S Saravanan</t>
  </si>
  <si>
    <t>Bombay At Goa</t>
  </si>
  <si>
    <t>Ao/24/2017</t>
  </si>
  <si>
    <t xml:space="preserve"> Vinayak G. Desai.,</t>
  </si>
  <si>
    <t>Mca/28/2015</t>
  </si>
  <si>
    <t xml:space="preserve"> Commissioner Of Customs.</t>
  </si>
  <si>
    <t>O.m.p.(i) (comm.)-295-2023</t>
  </si>
  <si>
    <t>Matrix Gas And Renewables Limited</t>
  </si>
  <si>
    <t>Coap/8/2018</t>
  </si>
  <si>
    <t xml:space="preserve"> Global Energy Pvt. Ltd.,</t>
  </si>
  <si>
    <t>Comap</t>
  </si>
  <si>
    <t>Comap/3/2019</t>
  </si>
  <si>
    <t xml:space="preserve"> Board Of Trustees Of Mormugao Port Trust, Thr. Santosh Naik And 2 Ors.,</t>
  </si>
  <si>
    <t xml:space="preserve"> Vedanta Ltd., Thr. Its Chief Operating Off. And Auth. Sign., Azad Shaw.,</t>
  </si>
  <si>
    <t>Fao(os) (comm)-213-2023</t>
  </si>
  <si>
    <t>Matrix Gas &amp; Renewables Ltd.</t>
  </si>
  <si>
    <t>Mca/246/2022</t>
  </si>
  <si>
    <t xml:space="preserve"> The Goa Foundation, Thr. Its Secretary Dr. Claude Alvares</t>
  </si>
  <si>
    <t xml:space="preserve"> The Directorate Of Mines And Geology, Thr. Its Director And 9 Ors</t>
  </si>
  <si>
    <t>Mca/534/2023</t>
  </si>
  <si>
    <t xml:space="preserve"> Sesa Resources Limited Thr Dhirajkumar N. Jagdish</t>
  </si>
  <si>
    <t xml:space="preserve"> The Directorate Of Mines And Geology And 9 Ors</t>
  </si>
  <si>
    <t>Mca/539/2023</t>
  </si>
  <si>
    <t xml:space="preserve"> Suresh Zantye And 3 Ors</t>
  </si>
  <si>
    <t xml:space="preserve"> State Of Goa And 5  Ors</t>
  </si>
  <si>
    <t>Pilwp/28/2022</t>
  </si>
  <si>
    <t xml:space="preserve"> The Goa Foundation Thr. Its Secretary Dr. Claude Alvares</t>
  </si>
  <si>
    <t xml:space="preserve"> The Directorate Of Mines And Geology Thr. Its Director And 9 Ors</t>
  </si>
  <si>
    <t>Wp/888/2023</t>
  </si>
  <si>
    <t xml:space="preserve"> Sesa Goa Workers Union Rep. By Its General Secretary Ramesh Sinari</t>
  </si>
  <si>
    <t xml:space="preserve"> Ministry Of Labour And Employment  And 2 Ors</t>
  </si>
  <si>
    <t>Cont.cas(c)-1448-2023</t>
  </si>
  <si>
    <t>Matrix Gas And Renewables Limited.</t>
  </si>
  <si>
    <t>1100-arbitration Matters : Slps Challenging Arbitration Matters</t>
  </si>
  <si>
    <t>Slp(c) No. 014273 - 014274 / 2019</t>
  </si>
  <si>
    <t>M/s Vedanta Ltd. Formerly Known As M/s Sesa Sterlite Ltd.</t>
  </si>
  <si>
    <t>Dreymoor Fertilizers Overseas Pvt. Ltd.</t>
  </si>
  <si>
    <t>Wp(c)/10048/2019</t>
  </si>
  <si>
    <t xml:space="preserve"> Subhadra Pradhan</t>
  </si>
  <si>
    <t xml:space="preserve"> Commissioner,labour And Employment Govt Of Goa, M/s.vedanta Ltd.,m/s.sesa Goa Ltd.</t>
  </si>
  <si>
    <t>For Interim Relief</t>
  </si>
  <si>
    <t>Ca 80/2019</t>
  </si>
  <si>
    <t>Board Of Trustees Of Mormugao Port Trust, Thr. Santosh Naik And 2 Ors.,</t>
  </si>
  <si>
    <t>Vedanta Ltd., Thr. Its Chief Operationg Off. And Auth. Sign., Azad Shaw.,</t>
  </si>
  <si>
    <t>Special Civil Suit</t>
  </si>
  <si>
    <t>Comap 3/2019</t>
  </si>
  <si>
    <t>Arun Kumar. | Board Of Trustees Of Mormugao Port Trust, Thr. Santosh Naik And 2 Ors., | Vipin R. Menoth.</t>
  </si>
  <si>
    <t>Vedanta Ltd., Thr. Its Chief Operating Off. And Auth. Sign., Azad Shaw.,</t>
  </si>
  <si>
    <t>Excise/41412/2018-chennai</t>
  </si>
  <si>
    <t>Commissioner Of Gst&amp;cce(madurai)</t>
  </si>
  <si>
    <t>0432-indirect Taxes Matters : Appeals U/s 130 E Of Customs Act, 1962</t>
  </si>
  <si>
    <t xml:space="preserve">C.a. No. 005106 -  / 2019</t>
  </si>
  <si>
    <t>Commissioner Of Customs Pune</t>
  </si>
  <si>
    <t xml:space="preserve">C.a. No. 005323 -  / 2019</t>
  </si>
  <si>
    <t>Sesa Sterlite Ltd. (now Known As Vedanta Ltd.) Thru Its Power Of Attorney Holder Mr. Benicio Menezes</t>
  </si>
  <si>
    <t>Commissioner Of Customs</t>
  </si>
  <si>
    <t>Ra 38/2019</t>
  </si>
  <si>
    <t>Prafulla Samantra</t>
  </si>
  <si>
    <t>Vedanta Ltd. &amp; Ors</t>
  </si>
  <si>
    <t>0303-direct Taxes Matter : Other Matters Under Income Tax Act, 1961</t>
  </si>
  <si>
    <t>C.a. No. 018480 - 018481 / 2017</t>
  </si>
  <si>
    <t>C.a. No. 018482 - 018483 / 2017</t>
  </si>
  <si>
    <t>Cit-central-iiigoa</t>
  </si>
  <si>
    <t>Wmp(md)/7968/2016</t>
  </si>
  <si>
    <t>Wmp/16848/2019</t>
  </si>
  <si>
    <t xml:space="preserve"> S.esakki Durai</t>
  </si>
  <si>
    <t>Cmp(md)/10822/2018</t>
  </si>
  <si>
    <t xml:space="preserve"> M/s. Vedanta Limited,</t>
  </si>
  <si>
    <t>Ita 5367 / Del / 2019</t>
  </si>
  <si>
    <t xml:space="preserve">Vedanta Ltd (formerly Known As Sesa Sterlite  Ltd.)</t>
  </si>
  <si>
    <t>Acit, Circle- 26(1)</t>
  </si>
  <si>
    <t>Wmp/8296/2019</t>
  </si>
  <si>
    <t xml:space="preserve"> K.s.arjunan</t>
  </si>
  <si>
    <t>Wmp/8298/2019</t>
  </si>
  <si>
    <t>Wmp/8848/2019</t>
  </si>
  <si>
    <t xml:space="preserve"> Vaiko,</t>
  </si>
  <si>
    <t>Wmp/9371/2019</t>
  </si>
  <si>
    <t xml:space="preserve"> Vaiko</t>
  </si>
  <si>
    <t>Wmp/9373/2019</t>
  </si>
  <si>
    <t>Wmp/9375/2019</t>
  </si>
  <si>
    <t>Wmp/9377/2019</t>
  </si>
  <si>
    <t>Wmp/9379/2019</t>
  </si>
  <si>
    <t>Wmp/9661/2019</t>
  </si>
  <si>
    <t xml:space="preserve"> K.ashok Kumar</t>
  </si>
  <si>
    <t>Wmp/9668/2019</t>
  </si>
  <si>
    <t>Wmp/9676/2019</t>
  </si>
  <si>
    <t>Wmp/9678/2019</t>
  </si>
  <si>
    <t>Wmp/9681/2019</t>
  </si>
  <si>
    <t>Wmp/9699/2019</t>
  </si>
  <si>
    <t xml:space="preserve"> S.thiyagarajan</t>
  </si>
  <si>
    <t>Wmp/9707/2019</t>
  </si>
  <si>
    <t>Wmp/9711/2019</t>
  </si>
  <si>
    <t>Wmp/9719/2019</t>
  </si>
  <si>
    <t>Wmp/9724/2019</t>
  </si>
  <si>
    <t>Wmp/9801/2019</t>
  </si>
  <si>
    <t xml:space="preserve"> I.lenin</t>
  </si>
  <si>
    <t>Wmp/9803/2019</t>
  </si>
  <si>
    <t>Wmp/9811/2019</t>
  </si>
  <si>
    <t>Wmp/9815/2019</t>
  </si>
  <si>
    <t>Wmp/9820/2019</t>
  </si>
  <si>
    <t>Wmp/9834/2019</t>
  </si>
  <si>
    <t xml:space="preserve"> S.raju</t>
  </si>
  <si>
    <t>Wmp/9836/2019</t>
  </si>
  <si>
    <t xml:space="preserve"> G.hariraghavan</t>
  </si>
  <si>
    <t>Wmp/9846/2019</t>
  </si>
  <si>
    <t>Wmp/9850/2019</t>
  </si>
  <si>
    <t>Wmp/9870/2019</t>
  </si>
  <si>
    <t xml:space="preserve"> Sonica Muraleedharan</t>
  </si>
  <si>
    <t>Wmp/9877/2019</t>
  </si>
  <si>
    <t>Wmp/9879/2019</t>
  </si>
  <si>
    <t>Wmp/9881/2019</t>
  </si>
  <si>
    <t>Wmp/9892/2019</t>
  </si>
  <si>
    <t xml:space="preserve"> T.velsankar</t>
  </si>
  <si>
    <t>Wmp/9895/2019</t>
  </si>
  <si>
    <t>Wmp/9898/2019</t>
  </si>
  <si>
    <t>Wmp/9901/2019</t>
  </si>
  <si>
    <t>Wmp/9903/2019</t>
  </si>
  <si>
    <t>Wmp/6575/2019</t>
  </si>
  <si>
    <t xml:space="preserve"> State Of Tamil Nadu,</t>
  </si>
  <si>
    <t>Wmp/6590/2019</t>
  </si>
  <si>
    <t>Wmp/6598/2019</t>
  </si>
  <si>
    <t>Wmp/6602/2019</t>
  </si>
  <si>
    <t>Wmp/6628/2019</t>
  </si>
  <si>
    <t>Wmp/6703/2019</t>
  </si>
  <si>
    <t>Wmp/12284/2019</t>
  </si>
  <si>
    <t xml:space="preserve"> R.jesudason, Director</t>
  </si>
  <si>
    <t>Wmp/12287/2019</t>
  </si>
  <si>
    <t xml:space="preserve"> Thoothukudi Makkal Vazhvaathara</t>
  </si>
  <si>
    <t>Wmp/12294/2019</t>
  </si>
  <si>
    <t>Wmp/12300/2019</t>
  </si>
  <si>
    <t>Wmp/12305/2019</t>
  </si>
  <si>
    <t>Wmp/12308/2019</t>
  </si>
  <si>
    <t>Wmp/12310/2019</t>
  </si>
  <si>
    <t>Wmp/12316/2019</t>
  </si>
  <si>
    <t xml:space="preserve"> R.jesudason</t>
  </si>
  <si>
    <t>Wmp/12322/2019</t>
  </si>
  <si>
    <t>Wmp/12325/2019</t>
  </si>
  <si>
    <t>Wmp/9992/2019</t>
  </si>
  <si>
    <t xml:space="preserve"> Ponraj</t>
  </si>
  <si>
    <t>Wmp/10000/2019</t>
  </si>
  <si>
    <t>Wmp/10005/2019</t>
  </si>
  <si>
    <t xml:space="preserve"> Ramasamy</t>
  </si>
  <si>
    <t>Wmp/10009/2019</t>
  </si>
  <si>
    <t xml:space="preserve"> Muthuraj</t>
  </si>
  <si>
    <t>Wmp/10017/2019</t>
  </si>
  <si>
    <t xml:space="preserve"> Ganesan</t>
  </si>
  <si>
    <t>Wmp/10020/2019</t>
  </si>
  <si>
    <t xml:space="preserve"> Alagiri</t>
  </si>
  <si>
    <t>Wmp/10023/2019</t>
  </si>
  <si>
    <t xml:space="preserve"> Ashok Kumar</t>
  </si>
  <si>
    <t>Wmp/10025/2019</t>
  </si>
  <si>
    <t>Wmp/10027/2019</t>
  </si>
  <si>
    <t>Wmp/10031/2019</t>
  </si>
  <si>
    <t xml:space="preserve"> Athisayaraj</t>
  </si>
  <si>
    <t>Wmp/10035/2019</t>
  </si>
  <si>
    <t>Wmp/10038/2019</t>
  </si>
  <si>
    <t>Wmp/10040/2019</t>
  </si>
  <si>
    <t>Wmp/10043/2019</t>
  </si>
  <si>
    <t>Wmp/10060/2019</t>
  </si>
  <si>
    <t>Wmp/10065/2019</t>
  </si>
  <si>
    <t>Wmp/10067/2019</t>
  </si>
  <si>
    <t xml:space="preserve"> T.rajkumar,</t>
  </si>
  <si>
    <t>Wmp/10077/2019</t>
  </si>
  <si>
    <t>Wmp/10079/2019</t>
  </si>
  <si>
    <t>Wmp/10082/2019</t>
  </si>
  <si>
    <t>Wmp/10086/2019</t>
  </si>
  <si>
    <t>Wmp/10088/2019</t>
  </si>
  <si>
    <t>Wmp/10090/2019</t>
  </si>
  <si>
    <t>Wmp/10092/2019</t>
  </si>
  <si>
    <t>Wmp/10094/2019</t>
  </si>
  <si>
    <t>Wmp/10096/2019</t>
  </si>
  <si>
    <t>Wmp/10099/2019</t>
  </si>
  <si>
    <t>Wmp/10101/2019</t>
  </si>
  <si>
    <t>Wmp/10105/2019</t>
  </si>
  <si>
    <t>Wmp/10109/2019</t>
  </si>
  <si>
    <t>Wmp/10111/2019</t>
  </si>
  <si>
    <t>Wmp/10113/2019</t>
  </si>
  <si>
    <t>Wmp/10115/2019</t>
  </si>
  <si>
    <t>Wmp/10117/2019</t>
  </si>
  <si>
    <t xml:space="preserve"> Palanikumar</t>
  </si>
  <si>
    <t>Wmp/10119/2019</t>
  </si>
  <si>
    <t>Wmp/10121/2019</t>
  </si>
  <si>
    <t>Wmp/10123/2019</t>
  </si>
  <si>
    <t>Wmp/8288/2019</t>
  </si>
  <si>
    <t xml:space="preserve"> K.s.arjunan,</t>
  </si>
  <si>
    <t>Wmp/8297/2019</t>
  </si>
  <si>
    <t>Wmp/8299/2019</t>
  </si>
  <si>
    <t>Wmp/9372/2019</t>
  </si>
  <si>
    <t>Wmp/9374/2019</t>
  </si>
  <si>
    <t>Wmp/9376/2019</t>
  </si>
  <si>
    <t>Wmp/9378/2019</t>
  </si>
  <si>
    <t>Wmp/9665/2019</t>
  </si>
  <si>
    <t>Wmp/9672/2019</t>
  </si>
  <si>
    <t>Wmp/9677/2019</t>
  </si>
  <si>
    <t>Wmp/9680/2019</t>
  </si>
  <si>
    <t>Wmp/9685/2019</t>
  </si>
  <si>
    <t>Wmp/9703/2019</t>
  </si>
  <si>
    <t>Wmp/9709/2019</t>
  </si>
  <si>
    <t>Wmp/9713/2019</t>
  </si>
  <si>
    <t>Wmp/9715/2019</t>
  </si>
  <si>
    <t>Wmp/9720/2019</t>
  </si>
  <si>
    <t>Wmp/9796/2019</t>
  </si>
  <si>
    <t xml:space="preserve"> Amrita Chemicals Private Ltd.,</t>
  </si>
  <si>
    <t>Wmp/9802/2019</t>
  </si>
  <si>
    <t>Wmp/9810/2019</t>
  </si>
  <si>
    <t>Wmp/9812/2019</t>
  </si>
  <si>
    <t>Wmp/9818/2019</t>
  </si>
  <si>
    <t>Wmp/9822/2019</t>
  </si>
  <si>
    <t>Wmp/9832/2019</t>
  </si>
  <si>
    <t>Wmp/9835/2019</t>
  </si>
  <si>
    <t>Wmp/9842/2019</t>
  </si>
  <si>
    <t>Wmp/9848/2019</t>
  </si>
  <si>
    <t>Wmp/9856/2019</t>
  </si>
  <si>
    <t>Wmp/9859/2019</t>
  </si>
  <si>
    <t>Wmp/9869/2019</t>
  </si>
  <si>
    <t>Wmp/9876/2019</t>
  </si>
  <si>
    <t>Wmp/9878/2019</t>
  </si>
  <si>
    <t>Wmp/9880/2019</t>
  </si>
  <si>
    <t>Wmp/9890/2019</t>
  </si>
  <si>
    <t>Wmp/9894/2019</t>
  </si>
  <si>
    <t>Wmp/9897/2019</t>
  </si>
  <si>
    <t>Wmp/9899/2019</t>
  </si>
  <si>
    <t>Wmp/9902/2019</t>
  </si>
  <si>
    <t>Wmp/6630/2019</t>
  </si>
  <si>
    <t>Wmp/6634/2019</t>
  </si>
  <si>
    <t>Wmp/12272/2019</t>
  </si>
  <si>
    <t>Wmp/12286/2019</t>
  </si>
  <si>
    <t xml:space="preserve"> R.jesudason, Director,</t>
  </si>
  <si>
    <t>Wmp/12293/2019</t>
  </si>
  <si>
    <t>Wmp/12298/2019</t>
  </si>
  <si>
    <t>Wmp/12303/2019</t>
  </si>
  <si>
    <t>Wmp/12307/2019</t>
  </si>
  <si>
    <t>Wmp/12309/2019</t>
  </si>
  <si>
    <t>Wmp/12311/2019</t>
  </si>
  <si>
    <t>Wmp/12321/2019</t>
  </si>
  <si>
    <t>Wmp/12324/2019</t>
  </si>
  <si>
    <t>Wmp/9994/2019</t>
  </si>
  <si>
    <t>Wmp/10004/2019</t>
  </si>
  <si>
    <t>Wmp/10006/2019</t>
  </si>
  <si>
    <t>Wmp/10014/2019</t>
  </si>
  <si>
    <t>Wmp/10016/2019</t>
  </si>
  <si>
    <t>Wmp/10019/2019</t>
  </si>
  <si>
    <t>Wmp/10021/2019</t>
  </si>
  <si>
    <t>Wmp/10024/2019</t>
  </si>
  <si>
    <t>Wmp/10026/2019</t>
  </si>
  <si>
    <t>Wmp/10030/2019</t>
  </si>
  <si>
    <t>Wmp/10033/2019</t>
  </si>
  <si>
    <t>Wmp/10036/2019</t>
  </si>
  <si>
    <t>Wmp/10039/2019</t>
  </si>
  <si>
    <t>Wmp/10042/2019</t>
  </si>
  <si>
    <t>Wmp/10051/2019</t>
  </si>
  <si>
    <t>Wmp/10059/2019</t>
  </si>
  <si>
    <t>Wmp/10063/2019</t>
  </si>
  <si>
    <t>Wmp/10066/2019</t>
  </si>
  <si>
    <t>Wmp/10076/2019</t>
  </si>
  <si>
    <t>Wmp/10078/2019</t>
  </si>
  <si>
    <t>Wmp/10080/2019</t>
  </si>
  <si>
    <t>Wmp/10087/2019</t>
  </si>
  <si>
    <t>Wmp/10089/2019</t>
  </si>
  <si>
    <t>Wmp/10091/2019</t>
  </si>
  <si>
    <t>Wmp/10093/2019</t>
  </si>
  <si>
    <t>Wmp/10095/2019</t>
  </si>
  <si>
    <t>Wmp/10098/2019</t>
  </si>
  <si>
    <t>Wmp/10100/2019</t>
  </si>
  <si>
    <t>Wmp/10104/2019</t>
  </si>
  <si>
    <t>Wmp/10108/2019</t>
  </si>
  <si>
    <t>Wmp/10110/2019</t>
  </si>
  <si>
    <t>Wmp/10112/2019</t>
  </si>
  <si>
    <t>Wmp/10114/2019</t>
  </si>
  <si>
    <t>Wmp/10116/2019</t>
  </si>
  <si>
    <t>Wmp/10118/2019</t>
  </si>
  <si>
    <t>Wmp/10120/2019</t>
  </si>
  <si>
    <t>Wmp/10122/2019</t>
  </si>
  <si>
    <t>Wmp/9451/2019</t>
  </si>
  <si>
    <t xml:space="preserve"> S.raja</t>
  </si>
  <si>
    <t>Wmp/9827/2019</t>
  </si>
  <si>
    <t>Wmp/10084/2019</t>
  </si>
  <si>
    <t>Wmp/6596/2019</t>
  </si>
  <si>
    <t>Wmp/9858/2019</t>
  </si>
  <si>
    <t>Wmp/9867/2019</t>
  </si>
  <si>
    <t>Wmp/9999/2019</t>
  </si>
  <si>
    <t>Wmp/10056/2019</t>
  </si>
  <si>
    <t>Karnataka District Court</t>
  </si>
  <si>
    <t>Civil -original Suits</t>
  </si>
  <si>
    <t>O.s./363/2017</t>
  </si>
  <si>
    <t xml:space="preserve"> M/s Vedanta Limited</t>
  </si>
  <si>
    <t xml:space="preserve"> G.s.manjunath</t>
  </si>
  <si>
    <t>Wmp/6625/2019</t>
  </si>
  <si>
    <t>Wmp/6632/2019</t>
  </si>
  <si>
    <t>Wmp/6574/2019</t>
  </si>
  <si>
    <t>Wmp/6589/2019</t>
  </si>
  <si>
    <t>Wmp/6595/2019</t>
  </si>
  <si>
    <t>Wmp/6597/2019</t>
  </si>
  <si>
    <t>Wmp/6600/2019</t>
  </si>
  <si>
    <t>Wmp/6623/2019</t>
  </si>
  <si>
    <t>Wmp/6626/2019</t>
  </si>
  <si>
    <t>Wp/29819/2016</t>
  </si>
  <si>
    <t xml:space="preserve"> The Director Of Mines &amp;amp; Geology</t>
  </si>
  <si>
    <t>Jharkhand Hc</t>
  </si>
  <si>
    <t>Wpc</t>
  </si>
  <si>
    <t>Wpc/1763/2019</t>
  </si>
  <si>
    <t xml:space="preserve"> Ms Vedanta Limited Through Its Authorised Signatory Jasmeet Wadehra</t>
  </si>
  <si>
    <t xml:space="preserve"> National Sales Through Sole Proprietor Shri Naresh Kumar Gupta</t>
  </si>
  <si>
    <t>Wp(c)/15484/2017</t>
  </si>
  <si>
    <t>Service Tax/40349/2013-chennai</t>
  </si>
  <si>
    <t>Wp(md)/6563/2019</t>
  </si>
  <si>
    <t>Wp(md)/6562/2019</t>
  </si>
  <si>
    <t>0-1100-arbitration Matters : Slps Challenging Arbitration Matters,| For Judgement</t>
  </si>
  <si>
    <t xml:space="preserve">Ma 000227 -  / 2019</t>
  </si>
  <si>
    <t>Shenzhen Shandong Nuclear Power Construction Company Limited</t>
  </si>
  <si>
    <t>1807-ordinary Civil Matters : Others</t>
  </si>
  <si>
    <t xml:space="preserve">Slp(c) No. 008899 -  / 2019</t>
  </si>
  <si>
    <t>Director Of Boilers |director/ Dgp Tamil Nadu Fire And Rescue Services |joint Director Industrial Safety And Health |tamil Nadu Electricity Board |tamil Nadu Pollution Control Board |the District Collector Thoothukudi |the State Of Tamil Nadu |town W</t>
  </si>
  <si>
    <t xml:space="preserve">Slp(c) No. 009923 -  / 2019</t>
  </si>
  <si>
    <t>National Aluminium Company Ltd</t>
  </si>
  <si>
    <t xml:space="preserve">Abhijit Pati  |m/s Vedanta Ltd</t>
  </si>
  <si>
    <t>Sta / 1394 / 2019 Enter123enter123</t>
  </si>
  <si>
    <t xml:space="preserve"> Vedanta Ltd., (earlier Known As Sesa Goa Ltd./sesa Sterlite Ltd).,</t>
  </si>
  <si>
    <t xml:space="preserve"> Vijay Subrai Fatrekar And 15 Ors.,</t>
  </si>
  <si>
    <t>Stm / 1393 / 2019 Enter123enter123</t>
  </si>
  <si>
    <t>Sta 1394/2019</t>
  </si>
  <si>
    <t>Vedanta Ltd., (earlier Known As Sesa Goa Ltd./sesa Sterlite Ltd).,</t>
  </si>
  <si>
    <t>Vijay Subrai Fatrekar And 15 Ors.,</t>
  </si>
  <si>
    <t>Stm 1393/2019</t>
  </si>
  <si>
    <t>W.p.(c)-11541-2017</t>
  </si>
  <si>
    <t>Vedanta Ltd. (successor Of Sterlite Industries (in</t>
  </si>
  <si>
    <t>Asst. Commissioner Of Income Tax, Circle-26 (1), N</t>
  </si>
  <si>
    <t>Service Tax/86453/2014-mumbai</t>
  </si>
  <si>
    <t>Wp(c)/3634/2019</t>
  </si>
  <si>
    <t xml:space="preserve"> Nalco</t>
  </si>
  <si>
    <t>Ita 2406 / Del / 2019</t>
  </si>
  <si>
    <t>Vedanta Ltd (earlier Known As Madras Aluminium Co. Ltd.)</t>
  </si>
  <si>
    <t>Fixed</t>
  </si>
  <si>
    <t>Ita 2407 / Del / 2019</t>
  </si>
  <si>
    <t>Ita 2403 / Del / 2019</t>
  </si>
  <si>
    <t>Ita 2405 / Del / 2019</t>
  </si>
  <si>
    <t>Ita 2404 / Del / 2019</t>
  </si>
  <si>
    <t>Ita 2408 / Del / 2019</t>
  </si>
  <si>
    <t>Wp(c)/6087/2019</t>
  </si>
  <si>
    <t>Ita 2250 / Del / 2019</t>
  </si>
  <si>
    <t>Ita 2249 / Del / 2019</t>
  </si>
  <si>
    <t>Ita 2247 / Del / 2019</t>
  </si>
  <si>
    <t>Vedanta Ltd (earlier Known As Sesa Goa.ltd.)</t>
  </si>
  <si>
    <t>Ita 2248 / Del / 2019</t>
  </si>
  <si>
    <t>Ita 2251 / Del / 2019</t>
  </si>
  <si>
    <t>Ibbi</t>
  </si>
  <si>
    <t>In The Matter Of Vedanta Limited C.p. 1926-i&amp;bp-2018</t>
  </si>
  <si>
    <t>Service Tax/40369/2019-chennai</t>
  </si>
  <si>
    <t>Ita|303|2018</t>
  </si>
  <si>
    <t>Vedanta Limited (successor To Cairn India Limited)</t>
  </si>
  <si>
    <t>Principal Commissioner Of Income Tax-9, New Delhi</t>
  </si>
  <si>
    <t>Service Tax/40357/2019-chennai</t>
  </si>
  <si>
    <t>Commissioner Of Gst&amp;cce(chennai North)</t>
  </si>
  <si>
    <t>Sa 185 / Del / 2019</t>
  </si>
  <si>
    <t>Vedanta Ltd (earlier Known As Sterlite Industries (india) Ltd.)</t>
  </si>
  <si>
    <t>Haryana District Court</t>
  </si>
  <si>
    <t>App/179/2019</t>
  </si>
  <si>
    <t xml:space="preserve"> M/s Lakshmi Precision Screws Ltd.</t>
  </si>
  <si>
    <t>Slp(c) No. 000129 - 000131 / 2019</t>
  </si>
  <si>
    <t>M/s Vedanta Limited</t>
  </si>
  <si>
    <t xml:space="preserve">Fatima  |periyakadai Street   District: Thoothukudi Thoothukkudi           Tamil Nadu          |tamil Nadu Pollution Control Board Chairman And Member Secretary |the Member Secretary Tamil Nadu Pollution Control Board |the State Of Tamil Nadu Princip</t>
  </si>
  <si>
    <t>1503-appeal Against Orders Of Statutory Bodies : Tribunals</t>
  </si>
  <si>
    <t xml:space="preserve">C.a. No. 000023 -  / 2019</t>
  </si>
  <si>
    <t xml:space="preserve">Tamil Nadu Pollution Control |tamil Nadu Pollution Control Board |the State Of Tamil Nadu |the Superintending Engineer  Tamil Nadu Electricity Board</t>
  </si>
  <si>
    <t>C.a. No. 001862 / 2014</t>
  </si>
  <si>
    <t>Mmtc Ltd.</t>
  </si>
  <si>
    <t xml:space="preserve">Floor 718 Tulsiani Chambers Nariman Point   District: Mumbai Mumbai           Maharashtra           |m/s.vedanta Ltd.</t>
  </si>
  <si>
    <t>C.a. No. 001552 - 001554 / 2019</t>
  </si>
  <si>
    <t>Service Tax/75397/2019-kolkata</t>
  </si>
  <si>
    <t>Bbsr Commissionerate</t>
  </si>
  <si>
    <t>2405-indirect Taxation : Service Tax</t>
  </si>
  <si>
    <t>C.a. No. 010575 - 010576 / 2025</t>
  </si>
  <si>
    <t>Central Board Of Indirect Taxes And Customs |principal Additional Director General |principal Commissioner/ Commissioner Of Central Tax |union Of India</t>
  </si>
  <si>
    <t>Vedanta Limited (formerly Cairn India Ltd)</t>
  </si>
  <si>
    <t xml:space="preserve">Recalled[] </t>
  </si>
  <si>
    <t>Ita 7684 / Del / 2018</t>
  </si>
  <si>
    <t>Vedanta Ltd (successor To Cairn India Ltd)</t>
  </si>
  <si>
    <t>Civil -chamber Summons Cases</t>
  </si>
  <si>
    <t>Chol/69/2018</t>
  </si>
  <si>
    <t xml:space="preserve"> Vedanta Limited Formerly Knows As Sterlite Industries (i) Ltd.</t>
  </si>
  <si>
    <t xml:space="preserve"> National Securities Depositories Ltd.</t>
  </si>
  <si>
    <t>Scs/10/2018</t>
  </si>
  <si>
    <t xml:space="preserve"> Mr. Nizam Shamshuddin Ladji</t>
  </si>
  <si>
    <t xml:space="preserve"> M/s. Vedanta Ltd</t>
  </si>
  <si>
    <t>Itxa/962/2015 (1) 26/07/2016</t>
  </si>
  <si>
    <t xml:space="preserve"> Commisioner Of Income Tax</t>
  </si>
  <si>
    <t>Itxa/934/2015 (1) 26/07/2016</t>
  </si>
  <si>
    <t>Kerala Hc</t>
  </si>
  <si>
    <t>Wp(c)/40955/2018</t>
  </si>
  <si>
    <t xml:space="preserve"> M/s. Vedanta Ltd,</t>
  </si>
  <si>
    <t xml:space="preserve"> The State Tax Officer (enquiry)</t>
  </si>
  <si>
    <t>1006-company Law, Mrtp, Trai, Sebi, Idrai &amp; Rbi : Others</t>
  </si>
  <si>
    <t xml:space="preserve">C.a. No. 001737 -  / 2019</t>
  </si>
  <si>
    <t>Royal Construction</t>
  </si>
  <si>
    <t>Committee Of Creditors |dhaivat Anjaria |electrosteel Steels Limited |vedanta Limited</t>
  </si>
  <si>
    <t>Customs/10065/2019-ahmadabad</t>
  </si>
  <si>
    <t>Jamnagar(prev)</t>
  </si>
  <si>
    <t>Itxa/980/2015 (1) 26/07/2016</t>
  </si>
  <si>
    <t>Itxa/960/2015 (1) 26/07/2016</t>
  </si>
  <si>
    <t>Itxa/978/2015 (1) 26/07/2016</t>
  </si>
  <si>
    <t>Itxa/978/2015 (2) 18/04/2016</t>
  </si>
  <si>
    <t>Itxa/937/2015 (1) 26/07/2016</t>
  </si>
  <si>
    <t xml:space="preserve"> M/s. Sesa Goa Ltd.</t>
  </si>
  <si>
    <t xml:space="preserve">C.a. No. 001582 -  / 2019</t>
  </si>
  <si>
    <t>Vaiko</t>
  </si>
  <si>
    <t>Member Secretary |superintending Engineer |tamil Nadu Pollution Control Board |the State Of Tamil Nadu |vedanta Limited</t>
  </si>
  <si>
    <t>Itxa/966/2015</t>
  </si>
  <si>
    <t>Ma 1741/2018</t>
  </si>
  <si>
    <t>State Of Tamil Nadu &amp; Or</t>
  </si>
  <si>
    <t>Service Tax/42714/2018-chennai</t>
  </si>
  <si>
    <t>Wp(c)/21330/2017</t>
  </si>
  <si>
    <t xml:space="preserve"> Commissioner Of Sales Tax</t>
  </si>
  <si>
    <t>Excise/prohibition/customs</t>
  </si>
  <si>
    <t xml:space="preserve">Writ Misc. Petition(md)  16321  Of  2018</t>
  </si>
  <si>
    <t>M/s.vedanta Limited|</t>
  </si>
  <si>
    <t xml:space="preserve">  Union Of India|</t>
  </si>
  <si>
    <t>Carev</t>
  </si>
  <si>
    <t>Carev/3/2024</t>
  </si>
  <si>
    <t xml:space="preserve"> Vedanta Limited Thr. Its Auth. Sig. Benicio Menezes</t>
  </si>
  <si>
    <t>Wp/163/2024</t>
  </si>
  <si>
    <t xml:space="preserve"> Vedanta Limited Rep. Thr. Its Auth. Sig. Benecio Menezes And Anr</t>
  </si>
  <si>
    <t xml:space="preserve"> State Of Goa Thr Its Chief Secretary And Anr</t>
  </si>
  <si>
    <t>Wp/170/2024</t>
  </si>
  <si>
    <t xml:space="preserve"> Vedanta Limited Value Addition Business Thr, Auth. Sig. Benicio Menezes</t>
  </si>
  <si>
    <t xml:space="preserve"> Farmers Of Amona And Anr</t>
  </si>
  <si>
    <t>Wp/3777/2024</t>
  </si>
  <si>
    <t xml:space="preserve"> Assistant Commissioner Of Customs (export)</t>
  </si>
  <si>
    <t>Wp/4341/2024</t>
  </si>
  <si>
    <t>Wp(c)/37854/2023</t>
  </si>
  <si>
    <t xml:space="preserve"> Abhimanyu Khilari</t>
  </si>
  <si>
    <t>Wp(c)/37856/2023</t>
  </si>
  <si>
    <t xml:space="preserve"> Birat Kawar</t>
  </si>
  <si>
    <t>Wp(c)/37857/2023</t>
  </si>
  <si>
    <t xml:space="preserve"> Ratanmati Luhar</t>
  </si>
  <si>
    <t>Cms/2765/2024</t>
  </si>
  <si>
    <t>Wp(c)/37870/2023</t>
  </si>
  <si>
    <t xml:space="preserve"> Anil Kawar</t>
  </si>
  <si>
    <t>Wp/6815/2024</t>
  </si>
  <si>
    <t>Wmp/7208/2024</t>
  </si>
  <si>
    <t>Ca/2/2024</t>
  </si>
  <si>
    <t>Otapl/4/2024</t>
  </si>
  <si>
    <t xml:space="preserve"> Commissioner Of Customs(preventative),bhubaneswar</t>
  </si>
  <si>
    <t>Wp/9710/2024</t>
  </si>
  <si>
    <t>Arb. A. (comm.)-31-2024</t>
  </si>
  <si>
    <t>Odisha District Court</t>
  </si>
  <si>
    <t>Fao</t>
  </si>
  <si>
    <t>Fao/3/2024</t>
  </si>
  <si>
    <t xml:space="preserve"> Nazma Begam</t>
  </si>
  <si>
    <t>Civil -first Appeal Cases</t>
  </si>
  <si>
    <t>Cao/478/2024</t>
  </si>
  <si>
    <t xml:space="preserve"> M/s Sunflag Iron And Steel Co. Ltd. Nagpur Through Its Authorised Signatory, Mr. Bhushan Tembhekar</t>
  </si>
  <si>
    <t xml:space="preserve"> M/s Vedanta Ltd. Andheri (east), Mumbai</t>
  </si>
  <si>
    <t>Mca/215/2024</t>
  </si>
  <si>
    <t xml:space="preserve"> Vedanta Limited Rep. Thr. Its Auth. Signatory Benecio Menezes</t>
  </si>
  <si>
    <t xml:space="preserve"> The Mulakh Khajan Farmers Association Thr. Its Secretary Sakharam Anant Pednekar  And Anr</t>
  </si>
  <si>
    <t>Mca/239/2024</t>
  </si>
  <si>
    <t>Pilwp/27/2024</t>
  </si>
  <si>
    <t xml:space="preserve"> The Goa Foundation Thr Its Secretary, Dr. Claude Alvares</t>
  </si>
  <si>
    <t xml:space="preserve"> The Chief Wildlife Warden And 8 Ors</t>
  </si>
  <si>
    <t>Wp/418/2024</t>
  </si>
  <si>
    <t xml:space="preserve"> Vedanta Limited Rep. By Auth. Signatory Dhirajkumar Namdeo Jagdish</t>
  </si>
  <si>
    <t xml:space="preserve"> State Of Goa Thr. The Chief Secretary And Anr</t>
  </si>
  <si>
    <t>I.a.</t>
  </si>
  <si>
    <t>I.a./52/2024</t>
  </si>
  <si>
    <t xml:space="preserve"> Sachin Meher And Others</t>
  </si>
  <si>
    <t>Arp</t>
  </si>
  <si>
    <t>Arp/5/2024</t>
  </si>
  <si>
    <t xml:space="preserve"> M/s. Prowess International Pvt. Ltd.,|</t>
  </si>
  <si>
    <t>Caveat Petition</t>
  </si>
  <si>
    <t>Caveat Petition/8/2024</t>
  </si>
  <si>
    <t xml:space="preserve"> Vedanta Limited|</t>
  </si>
  <si>
    <t xml:space="preserve"> Sachin Mehera And Others</t>
  </si>
  <si>
    <t>Wppil</t>
  </si>
  <si>
    <t>Wppil/24/2025</t>
  </si>
  <si>
    <t xml:space="preserve"> Jitendra Kumar Sahu</t>
  </si>
  <si>
    <t xml:space="preserve"> Bharat Aluminium Company Ltd.| Municipal Corporation Korba, Chhattisgarh| State Of Chhattisgarh| Union Of India| Vedanta Limited</t>
  </si>
  <si>
    <t>Wpt</t>
  </si>
  <si>
    <t>Wpt/82/2025</t>
  </si>
  <si>
    <t xml:space="preserve"> Assistant Commissioner,</t>
  </si>
  <si>
    <t>O.m.p. (misc.)-1-2025</t>
  </si>
  <si>
    <t>Dale Robert Brown</t>
  </si>
  <si>
    <t>D</t>
  </si>
  <si>
    <t>W.p.(c)-1107-2025</t>
  </si>
  <si>
    <t>Vedanta Limited &amp; Anr.</t>
  </si>
  <si>
    <t>O.m.p. (comm)-95-2025</t>
  </si>
  <si>
    <t>Shreeji Shipping Global Limited (formerly Known As Shreeji Shipping Global Pvt. Ltd.)</t>
  </si>
  <si>
    <t>Cont.cas(c)-897-2025</t>
  </si>
  <si>
    <t>P</t>
  </si>
  <si>
    <t>W.p.(c)-3675-2025</t>
  </si>
  <si>
    <t xml:space="preserve">Central Board Of Indirect Taxes And Customs </t>
  </si>
  <si>
    <t>69.4-arbitration U/s 11 (claim Value Less Than Rs. 10 Crore)</t>
  </si>
  <si>
    <t>Arb 416/2025</t>
  </si>
  <si>
    <t>Sirion Labs Private Limited</t>
  </si>
  <si>
    <t>Vedanta Limited ( Cairn Oil And Gas Division)</t>
  </si>
  <si>
    <t>O.m.p. (misc.)-27-2025</t>
  </si>
  <si>
    <t>O.m.p. (comm)-329-2025</t>
  </si>
  <si>
    <t>Gujarat Gas Limited</t>
  </si>
  <si>
    <t>O.m.p. (comm)-334-2025</t>
  </si>
  <si>
    <t>Vedanta Limited &amp; Ors.</t>
  </si>
  <si>
    <t xml:space="preserve">Gujarat Gas Limited </t>
  </si>
  <si>
    <t>O.m.p.(misc.)(comm.)-764-2025</t>
  </si>
  <si>
    <t>W.p.(c)-10686-2025</t>
  </si>
  <si>
    <t xml:space="preserve">The Nominated Authority Ministry Of Coal  Government Of India </t>
  </si>
  <si>
    <t>Wp(c)/14010/2024</t>
  </si>
  <si>
    <t xml:space="preserve"> M/s. Vedanta Ltd., Jharsuguda</t>
  </si>
  <si>
    <t>Wp(c)/31576/2024</t>
  </si>
  <si>
    <t>Cmp(md)/10820/2025</t>
  </si>
  <si>
    <t xml:space="preserve"> The Commissioner Of Customs -tuticorin</t>
  </si>
  <si>
    <t>Cms/9949/2025</t>
  </si>
  <si>
    <t xml:space="preserve"> Vedanta Ltd. (cairn Oil And Gas)</t>
  </si>
  <si>
    <t xml:space="preserve"> The State Of Rajasthan</t>
  </si>
  <si>
    <t>O.m.p.(i) (comm.)-534-2025</t>
  </si>
  <si>
    <t>Cms/14684/2024</t>
  </si>
  <si>
    <t xml:space="preserve"> M/s. Vedanta Ltd (cairn Oil And Gas)</t>
  </si>
  <si>
    <t>Pilwp/31/2023</t>
  </si>
  <si>
    <t xml:space="preserve"> Suresh Govind Gaonkar And 4 Ors</t>
  </si>
  <si>
    <t xml:space="preserve"> The Directorate Of Mines And Geology Thr Its Director And 3 Ors</t>
  </si>
  <si>
    <t>Fao(os) (comm)-16-2026</t>
  </si>
  <si>
    <t>The Union Of India</t>
  </si>
  <si>
    <t>O.m.p.(misc.)(comm.)-155-2026</t>
  </si>
  <si>
    <t>W.p.(c)-14738-2025</t>
  </si>
  <si>
    <t>Wp/4866/2026</t>
  </si>
  <si>
    <t xml:space="preserve"> Tamilnadu Pollution Control Board (tnpcb),</t>
  </si>
  <si>
    <t>Wmp/3455/2026</t>
  </si>
  <si>
    <t xml:space="preserve"> Punitha Anthoniyar Thenbagam Meenvar Sangam</t>
  </si>
  <si>
    <t>W.p.(c)-1664-2026</t>
  </si>
  <si>
    <t>Arb</t>
  </si>
  <si>
    <t>Arb/143/2026</t>
  </si>
  <si>
    <t xml:space="preserve"> Sirion Labs Private Limited</t>
  </si>
  <si>
    <t xml:space="preserve"> Vedanta Limited ( Cairn Oil And  Gas Division)</t>
  </si>
  <si>
    <t>W.p.(c)-16378-2025</t>
  </si>
  <si>
    <t xml:space="preserve">Assistant Commissioner Of Income Tax  Circle 25(1) Delhi </t>
  </si>
  <si>
    <t>O.m.p. (t) (comm.)-38-2026</t>
  </si>
  <si>
    <t>Vedanta Ltd. Divisioncairn Oil And Gas</t>
  </si>
  <si>
    <t>Itxa/964/2015 (1) 26/07/2016</t>
  </si>
  <si>
    <t>Itxa/961/2015 (1) 26/07/2016</t>
  </si>
  <si>
    <t>Sa 910 / Del / 2018</t>
  </si>
  <si>
    <t>Wp 716/2018</t>
  </si>
  <si>
    <t>Goa Energy Ltd., Since Merged With Vedanta Ltd., Thr. Managing Director. | Vedanta Ltd. Formerly Known As Sesa Goa Pvt. Ltd., Thr. Managing Director And Anr.,</t>
  </si>
  <si>
    <t>Comunidade Of Amona, Thr. Its Special Attorney, Raghuvir Surya Sinari And 3 Ors., | State Of Goa, Thr. Revenue Secretary. | The Administrator Of Comunidades, North Goa Zone. | The Collector, North Goa District.</t>
  </si>
  <si>
    <t>Appeal 87/2018</t>
  </si>
  <si>
    <t>. State Of Tamil Nadu &amp; Ors.</t>
  </si>
  <si>
    <t xml:space="preserve">Slp(c) No. 033538 -  / 2018</t>
  </si>
  <si>
    <t>Karvy Computer Share Pvt. Ltd. |ms. Roopa G. Pai</t>
  </si>
  <si>
    <t>Pending
</t>
  </si>
  <si>
    <t>Excise/75997/2018-kolkata</t>
  </si>
  <si>
    <t>Wp/16322/2016</t>
  </si>
  <si>
    <t>Scs..</t>
  </si>
  <si>
    <t>Scs../27/2017</t>
  </si>
  <si>
    <t xml:space="preserve"> The Board Of Trustees Of Mormugao Port Trust</t>
  </si>
  <si>
    <t>A/8686/2018</t>
  </si>
  <si>
    <t xml:space="preserve"> Sgs India Private Limited</t>
  </si>
  <si>
    <t>Customs/89765/2014-mumbai</t>
  </si>
  <si>
    <t>Cc Pune</t>
  </si>
  <si>
    <t>Customs/90086/2014-mumbai</t>
  </si>
  <si>
    <t>Civil -civil Cases - Misc.</t>
  </si>
  <si>
    <t>Nmcd/1719/2018</t>
  </si>
  <si>
    <t xml:space="preserve"> Nhl Development Co Ltd</t>
  </si>
  <si>
    <t xml:space="preserve"> M V Orissa And Anr</t>
  </si>
  <si>
    <t>Comas</t>
  </si>
  <si>
    <t>Comas/147/2016</t>
  </si>
  <si>
    <t>Wmp(md)/16317/2018</t>
  </si>
  <si>
    <t>Os/700266/2018</t>
  </si>
  <si>
    <t xml:space="preserve"> United India Insurance Co Ltd Branch Office No.1, Rep By Its Branch Manager</t>
  </si>
  <si>
    <t xml:space="preserve"> Sankari Road Ways, Rep By Its Branch Manager</t>
  </si>
  <si>
    <t>Punjab District Court</t>
  </si>
  <si>
    <t>Contempt Of Court Matters</t>
  </si>
  <si>
    <t>Civil -contempt Cases</t>
  </si>
  <si>
    <t>Cm/237/2018</t>
  </si>
  <si>
    <t xml:space="preserve"> M/s Supreme Industrial Corporation</t>
  </si>
  <si>
    <t>Service Tax/0078800/2018-kolkata</t>
  </si>
  <si>
    <t>Rourkela Commissionerate</t>
  </si>
  <si>
    <t>C.a. No. 010394 / 2018</t>
  </si>
  <si>
    <t xml:space="preserve">Writ Misc. Petition(md)  16317  Of  2018</t>
  </si>
  <si>
    <t xml:space="preserve">Writ Misc. Petition(md)  16320  Of  2018</t>
  </si>
  <si>
    <t xml:space="preserve">Writ Petition(md)  18435  Of  2018</t>
  </si>
  <si>
    <t xml:space="preserve">Writ Petition(md)  18436  Of  2018</t>
  </si>
  <si>
    <t xml:space="preserve">Writ Misc. Petition(md)  16322  Of  2018</t>
  </si>
  <si>
    <t xml:space="preserve">Writ Petition(md)  18437  Of  2018</t>
  </si>
  <si>
    <t xml:space="preserve">Writ Misc. Petition(md)  16318  Of  2018</t>
  </si>
  <si>
    <t xml:space="preserve">Writ Misc. Petition(md)  16319  Of  2018</t>
  </si>
  <si>
    <t xml:space="preserve">Writ Petition(md)  18438  Of  2018</t>
  </si>
  <si>
    <t>Excise/0012630/2018-ahmedabad</t>
  </si>
  <si>
    <t>Daman</t>
  </si>
  <si>
    <t xml:space="preserve">Writ Petition(md)  20788  Of  2018</t>
  </si>
  <si>
    <t xml:space="preserve">  State Of Tamil Nadu|</t>
  </si>
  <si>
    <t>Customs/79383/2018-kolkata</t>
  </si>
  <si>
    <t>Fao(os) (comm)-35-2018</t>
  </si>
  <si>
    <t>Shenzhen Shandong Nuclear Power Construction Compa</t>
  </si>
  <si>
    <t>Nmca</t>
  </si>
  <si>
    <t>Nmca/179/2018</t>
  </si>
  <si>
    <t xml:space="preserve"> Reliance Capital Limited</t>
  </si>
  <si>
    <t xml:space="preserve"> Harinarayan G. Bajaj And 4 Ors</t>
  </si>
  <si>
    <t>Regular Civil Appeal</t>
  </si>
  <si>
    <t>Sa 12/2017</t>
  </si>
  <si>
    <t>Mast. Bombi Kiru Gawade Thr Natural Guardian Smt. Karishma Gawade | Miss Sharmila Shambu Gawade | Shri Babuso Bombi Gawade The Poa Shri Vaman B. Gawade | Shri Ganpat Laxman Gawade Rep. Thr. Poa Shri Vaman B. Gawade. | Shri Kheri Bombi Gawade (expired</t>
  </si>
  <si>
    <t xml:space="preserve">Mr. Mohan Bose | Mr. Narayan Manohar Sardesseai | Mr. Prasad Vassudeva Keni | Mr. Rajiv Sinai Hede | Mrs. Hemal Mohan Bose | Mrs. Komal Narayan Sardessai | Mrs. Seema Rajiv Hede | Mrs. Vilasini Vassudva Quenim | Mrs. Vini Prasad Keni | Sesa Goa Ltd. </t>
  </si>
  <si>
    <t>Ma 1340/2018</t>
  </si>
  <si>
    <t>Ma 1342/2018</t>
  </si>
  <si>
    <t>Wp/14934/2017</t>
  </si>
  <si>
    <t>Wp/23409/2014</t>
  </si>
  <si>
    <t xml:space="preserve"> Tamil Nadu Generation And</t>
  </si>
  <si>
    <t xml:space="preserve">R.p.(c) No. 003421 -  / 2018</t>
  </si>
  <si>
    <t>The State Of Tamil Nadu</t>
  </si>
  <si>
    <t xml:space="preserve">C.a. No. 009098 -  / 2018</t>
  </si>
  <si>
    <t>Member Secretary |superintending Engineer |tamil Nadu Pollution Control Board |the State Of Tamil Nadu</t>
  </si>
  <si>
    <t>Cmp/16602/2016</t>
  </si>
  <si>
    <t>Cma/2384/2016</t>
  </si>
  <si>
    <t>Itxa/932/2015</t>
  </si>
  <si>
    <t>Itxa/934/2015</t>
  </si>
  <si>
    <t>Itxa/980/2015</t>
  </si>
  <si>
    <t>Itxa/943/2015</t>
  </si>
  <si>
    <t>Itxa/952/2015</t>
  </si>
  <si>
    <t>Itxa/953/2015</t>
  </si>
  <si>
    <t xml:space="preserve">M/s Sesa Goa  Ltd</t>
  </si>
  <si>
    <t>Itxa/958/2015</t>
  </si>
  <si>
    <t>Itxa/960/2015</t>
  </si>
  <si>
    <t>Itxa/961/2015</t>
  </si>
  <si>
    <t>Itxa/942/2015</t>
  </si>
  <si>
    <t>Itxa/937/2015</t>
  </si>
  <si>
    <t>Customs Act, 1962 (52 Of 1962)</t>
  </si>
  <si>
    <t>Civil Misc. Appeal(md)/650/2018</t>
  </si>
  <si>
    <t>M/s.vedanta Ltd</t>
  </si>
  <si>
    <t>The Commissioner Of Customs</t>
  </si>
  <si>
    <t xml:space="preserve">Slp(c) No. 024830 -  / 2018</t>
  </si>
  <si>
    <t>M/s Minescape And Kadar Ores Pvt Ltd</t>
  </si>
  <si>
    <t xml:space="preserve">Board Of Trustee Of The Posrt Of  Mormugao |chowgule And Company Pvt Ltd |department Of Mines And Geology |directorate General Of Mines Safety |fomento Resources Pvt Ltd |m/s Minescape Minerals  Pvt Ltd |mr Ambar Timbolo |mr Partha Banerjee |regional</t>
  </si>
  <si>
    <t xml:space="preserve">Civil Misc. Appeal(md)  650  Of  2018</t>
  </si>
  <si>
    <t>M/s.vedanta Ltd.|</t>
  </si>
  <si>
    <t xml:space="preserve">  The Commissioner Of Customs|</t>
  </si>
  <si>
    <t>In The Matter Of Saraogi Udyog Pvt. Ltd. Vs. Vedanta Ltd. &amp; Ors. Ca (at) Nos. 265, 361-363, 399, 402, 414, 418, 419, 421 &amp; 422-2018</t>
  </si>
  <si>
    <t>Saraogi Udyog Pvt. Ltd.</t>
  </si>
  <si>
    <t>Ma 1150/2018</t>
  </si>
  <si>
    <t xml:space="preserve">C.a. No. 008250 -  / 2018</t>
  </si>
  <si>
    <t>Tamil Nadu Pollution Control Board Chairman |the Member Secretary Tamil Nadu Pollution Control Board |the State Of Tamil Nadu |the Superintending Engineer Tamil Nadu Electricity Board (presently Tamil Nadu Generation And Distribution Company Tangedco</t>
  </si>
  <si>
    <t>Customs/40273/2015-chennai</t>
  </si>
  <si>
    <t>Tuticorin</t>
  </si>
  <si>
    <t>Wp(c)/14340/2018</t>
  </si>
  <si>
    <t xml:space="preserve"> M/s.vedanta Ltd</t>
  </si>
  <si>
    <t xml:space="preserve"> State Of Odisha,home Dept</t>
  </si>
  <si>
    <t>Wp(c)/6568/2018</t>
  </si>
  <si>
    <t xml:space="preserve"> Assistant Commissioner Of Gst,central Excise And Customs</t>
  </si>
  <si>
    <t>Wp(c)/3490/2018</t>
  </si>
  <si>
    <t xml:space="preserve"> Asst.commissioner Of Gst,jharsuguda</t>
  </si>
  <si>
    <t>Lpa|48|2017</t>
  </si>
  <si>
    <t>Directorate General Of Foreign Trade &amp; Ors</t>
  </si>
  <si>
    <t>Civil Suit</t>
  </si>
  <si>
    <t>Civil Suit/7393/2015</t>
  </si>
  <si>
    <t xml:space="preserve"> Union Of India And Others</t>
  </si>
  <si>
    <t>Ma 1151/2018</t>
  </si>
  <si>
    <t>Itxa/948/2015</t>
  </si>
  <si>
    <t>Itxa/957/2015</t>
  </si>
  <si>
    <t>Itxa/978/2015</t>
  </si>
  <si>
    <t>Motor Vehicle Matters</t>
  </si>
  <si>
    <t>Civil -accident And Compensation Cases</t>
  </si>
  <si>
    <t>Mcop/9000116/2016</t>
  </si>
  <si>
    <t xml:space="preserve"> Revathy And 3 Others</t>
  </si>
  <si>
    <t xml:space="preserve"> M/s, Vedanta Limited Industrial Complex, Tuticorin And One Another</t>
  </si>
  <si>
    <t>Itxa/966/2015 (1) 26/07/2016</t>
  </si>
  <si>
    <t>Ma 1073/2018</t>
  </si>
  <si>
    <t>Ca/135/2018</t>
  </si>
  <si>
    <t xml:space="preserve"> Vedanta Ltd Thr. Its Chief Officer, Sauvick Mazumder</t>
  </si>
  <si>
    <t xml:space="preserve"> State Of Goa, Thr. Chief Secretary And Anr</t>
  </si>
  <si>
    <t>For Condonation Of Delay</t>
  </si>
  <si>
    <t>Customs/41814/2018-chennai</t>
  </si>
  <si>
    <t>Customs/77008/2016-kolkata</t>
  </si>
  <si>
    <t>Rourkela</t>
  </si>
  <si>
    <t>Ma 982/2018</t>
  </si>
  <si>
    <t>Service Tax/41662/2018-chennai</t>
  </si>
  <si>
    <t>Customs/41615/2018-chennai</t>
  </si>
  <si>
    <t>Customs/30753/2018-hyderabad</t>
  </si>
  <si>
    <t>Sta/1962/2018</t>
  </si>
  <si>
    <t xml:space="preserve"> Global Energy Pvt. Ltd</t>
  </si>
  <si>
    <t>Cmp/351/2017</t>
  </si>
  <si>
    <t xml:space="preserve"> South Western Railway</t>
  </si>
  <si>
    <t>Wa/1355/2015</t>
  </si>
  <si>
    <t xml:space="preserve"> Aluminium Thozhilalar Sangam,</t>
  </si>
  <si>
    <t xml:space="preserve"> Malco Energy Ltd.,, Sesa Sterlite Ltd.,</t>
  </si>
  <si>
    <t>Aptel Judgement</t>
  </si>
  <si>
    <t>A.no. 283 Of 2014 &amp; 141 Of 2015 &amp; A.no. 30 Of 2016 &amp; Ia No. 82 Of 2016 &amp; A.no. 31 Of 2016 &amp; Ia No. 84 Of 2016</t>
  </si>
  <si>
    <t>Odisha Electricity Regulatory Commission &amp; Ors.</t>
  </si>
  <si>
    <t>Excise/76651/2018-kolkata</t>
  </si>
  <si>
    <t xml:space="preserve">Writ Misc. Petition(md)  10219  Of  2018</t>
  </si>
  <si>
    <t>Vedanta Limited|</t>
  </si>
  <si>
    <t xml:space="preserve">  The Destrict Collector|</t>
  </si>
  <si>
    <t xml:space="preserve">Writ Misc. Petition(md)  10218  Of  2018</t>
  </si>
  <si>
    <t>Wmp(md)/10256/2018</t>
  </si>
  <si>
    <t xml:space="preserve"> Fatima,    M/s.b.poongkhulali, R.karunanidhi,g.annapoorani</t>
  </si>
  <si>
    <t xml:space="preserve"> M/s.vedanta Ltd.,| State Industries Promotion| Tamil Nadu Pollution Control| The Secretary To Govt.| The Secretary,</t>
  </si>
  <si>
    <t>W.p.(c)|11599|2015</t>
  </si>
  <si>
    <t>Sca/7551/2018</t>
  </si>
  <si>
    <t xml:space="preserve"> Hansrajbhai Jadavjibhai Patel</t>
  </si>
  <si>
    <t>Sca/7553/2018</t>
  </si>
  <si>
    <t xml:space="preserve"> L H Of Dced Bhikhubhai Prabhubhai Hansrajbhai Bhikhubhai Dalvadi</t>
  </si>
  <si>
    <t>Sca/7554/2018</t>
  </si>
  <si>
    <t xml:space="preserve"> Chandubhai Thakershibhai Patel</t>
  </si>
  <si>
    <t>Sca/7555/2018</t>
  </si>
  <si>
    <t xml:space="preserve"> L H Of Ced Nathabhai Bhikhubhai</t>
  </si>
  <si>
    <t>Sca/7559/2018</t>
  </si>
  <si>
    <t xml:space="preserve"> Babubhai Jadavjibhai Patel</t>
  </si>
  <si>
    <t>Sca/7562/2018</t>
  </si>
  <si>
    <t xml:space="preserve"> Hasmukhbhai Shivabhai Patel</t>
  </si>
  <si>
    <t>Sca/7570/2018</t>
  </si>
  <si>
    <t xml:space="preserve"> Ramjibhai Mahadevbhai Patel</t>
  </si>
  <si>
    <t>Sca/7571/2018</t>
  </si>
  <si>
    <t xml:space="preserve"> Bhikhabhai Jadavjibhai Patel</t>
  </si>
  <si>
    <t>Sca/7574/2018</t>
  </si>
  <si>
    <t xml:space="preserve"> Bhimabhai Bijalbhai Rabari</t>
  </si>
  <si>
    <t>Sca/7577/2018</t>
  </si>
  <si>
    <t xml:space="preserve"> Kantilal Rmajibhai Patel</t>
  </si>
  <si>
    <t>Sca/7552/2018</t>
  </si>
  <si>
    <t xml:space="preserve"> Chamanbhai Lalubhai Patel</t>
  </si>
  <si>
    <t>Sca/7556/2018</t>
  </si>
  <si>
    <t xml:space="preserve"> Ratilal Muljibhai Patel</t>
  </si>
  <si>
    <t>Sca/7557/2018</t>
  </si>
  <si>
    <t xml:space="preserve"> L H Of Dced Nathabhai Bhikhubhai, Chetanbhai Nathabhai Dalvadi</t>
  </si>
  <si>
    <t>Sca/7558/2018</t>
  </si>
  <si>
    <t>Sca/7561/2018</t>
  </si>
  <si>
    <t>Sca/7563/2018</t>
  </si>
  <si>
    <t xml:space="preserve"> Ishwarbhai Mahadevbhai Bhut</t>
  </si>
  <si>
    <t>Sca/7564/2018</t>
  </si>
  <si>
    <t xml:space="preserve"> Laxmanbhai Harkhabhai Dalvadi</t>
  </si>
  <si>
    <t>Sca/7568/2018</t>
  </si>
  <si>
    <t xml:space="preserve"> Vithalbhai Ambarambhai Patel</t>
  </si>
  <si>
    <t>Sca/7569/2018</t>
  </si>
  <si>
    <t>Sca/7572/2018</t>
  </si>
  <si>
    <t xml:space="preserve"> Akbarbhai Usmanbhai</t>
  </si>
  <si>
    <t>Sca/7573/2018</t>
  </si>
  <si>
    <t xml:space="preserve"> Legal Heir Of Deceased Shamlajibhai Panchabhai Ranchodbhai Shamlajibhai</t>
  </si>
  <si>
    <t>Sca/7575/2018</t>
  </si>
  <si>
    <t xml:space="preserve"> Kantilal Ramjibhai Patel</t>
  </si>
  <si>
    <t>Sca/7550/2018</t>
  </si>
  <si>
    <t xml:space="preserve"> Vedanta Ltd (erstwhile Cairn India Ltd Pre Merger)</t>
  </si>
  <si>
    <t xml:space="preserve"> Babubhai Karshanbhai Patel</t>
  </si>
  <si>
    <t>Sca/7585/2018</t>
  </si>
  <si>
    <t xml:space="preserve"> Manojbhai Chaturbhai Patel</t>
  </si>
  <si>
    <t>Sca/7590/2018</t>
  </si>
  <si>
    <t xml:space="preserve"> Lh Of Decd Bhikhubhai Prabhubhai</t>
  </si>
  <si>
    <t>Sca/7594/2018</t>
  </si>
  <si>
    <t xml:space="preserve"> Chetanbhai Nathabhai Dalvadi Lh Of Decd Nathabhai Bhikhubhai</t>
  </si>
  <si>
    <t>Sca/7596/2018</t>
  </si>
  <si>
    <t>Sca/7599/2018</t>
  </si>
  <si>
    <t>Sca/7602/2018</t>
  </si>
  <si>
    <t xml:space="preserve"> Bhagvanbhai Vithalbhai Patel</t>
  </si>
  <si>
    <t>Sca/7609/2018</t>
  </si>
  <si>
    <t>Sca/7548/2018</t>
  </si>
  <si>
    <t>Sca/7584/2018</t>
  </si>
  <si>
    <t xml:space="preserve"> Kantibhai Ramjibhai Patel</t>
  </si>
  <si>
    <t>Sca/7588/2018</t>
  </si>
  <si>
    <t xml:space="preserve"> Babubhai Karsanbhai Patel</t>
  </si>
  <si>
    <t>Sca/7591/2018</t>
  </si>
  <si>
    <t xml:space="preserve"> Chamanbhai Lalubhai Pate</t>
  </si>
  <si>
    <t>Sca/7597/2018</t>
  </si>
  <si>
    <t>Sca/7600/2018</t>
  </si>
  <si>
    <t xml:space="preserve"> Arjanbhai Harkhabhai Dalvadi</t>
  </si>
  <si>
    <t>Sca/7604/2018</t>
  </si>
  <si>
    <t>Sca/7607/2018</t>
  </si>
  <si>
    <t>Sca/7610/2018</t>
  </si>
  <si>
    <t>Sca/7547/2018</t>
  </si>
  <si>
    <t xml:space="preserve"> Chaturbhai Mohanbhai Patel</t>
  </si>
  <si>
    <t>Sca/7586/2018</t>
  </si>
  <si>
    <t xml:space="preserve"> Chaturbhai Mohanbhai Kavad</t>
  </si>
  <si>
    <t>Sca/7592/2018</t>
  </si>
  <si>
    <t>Sca/7595/2018</t>
  </si>
  <si>
    <t>Sca/7601/2018</t>
  </si>
  <si>
    <t xml:space="preserve"> Champaben Vitthalbhai Patel</t>
  </si>
  <si>
    <t>Sca/7605/2018</t>
  </si>
  <si>
    <t>Sca/7549/2018</t>
  </si>
  <si>
    <t xml:space="preserve"> Prakashbhai Dayabhai Patel</t>
  </si>
  <si>
    <t>Sca/7583/2018</t>
  </si>
  <si>
    <t>Sca/7587/2018</t>
  </si>
  <si>
    <t xml:space="preserve"> Prakashbhai Dayabhai Pate</t>
  </si>
  <si>
    <t>Sca/7589/2018</t>
  </si>
  <si>
    <t>Sca/7593/2018</t>
  </si>
  <si>
    <t>Sca/7598/2018</t>
  </si>
  <si>
    <t>Sca/7603/2018</t>
  </si>
  <si>
    <t>Sca/7606/2018</t>
  </si>
  <si>
    <t xml:space="preserve"> Bhikhbhai Jadavjibhai Patel</t>
  </si>
  <si>
    <t>Sca/7608/2018</t>
  </si>
  <si>
    <t xml:space="preserve"> Lh Of Decd Shamlajibhai Panchabhai</t>
  </si>
  <si>
    <t>Service Tax/76207/2018-kolkata</t>
  </si>
  <si>
    <t>Slp(c) No. 008445 - 008446 / 2018</t>
  </si>
  <si>
    <t xml:space="preserve">Department Of Mines And Geology Director |directorate General Of Mines Safety Director Goa Region |goa Foundation |regional Controller Of Mines India Bureau Of Mines |the Secretary To The Government  Of Goa (mines) |the State Of Goa Chief Secretary</t>
  </si>
  <si>
    <t xml:space="preserve">M/s Sesa Sterlite Ltd ,   M/s Vedanta Ltd</t>
  </si>
  <si>
    <t>2018_cms_4326</t>
  </si>
  <si>
    <t>State Of Rajasthan &amp; Ors.</t>
  </si>
  <si>
    <t>2018_cw_4349</t>
  </si>
  <si>
    <t>Stm/1008/2018</t>
  </si>
  <si>
    <t>Ca/58/2018</t>
  </si>
  <si>
    <t>Vedanta Limited| Thr. Its Aut. Sign Benicio Menezes</t>
  </si>
  <si>
    <t>W.p.(c)|12220|2016</t>
  </si>
  <si>
    <t>Misc/24/2016</t>
  </si>
  <si>
    <t xml:space="preserve"> G. Jayaprakash, Vedanta Limited</t>
  </si>
  <si>
    <t xml:space="preserve"> N.r. Venkatesh</t>
  </si>
  <si>
    <t>Com Apel/11/2016</t>
  </si>
  <si>
    <t>Cmp/15986/2016</t>
  </si>
  <si>
    <t>A.no. 52 Of 2018 &amp; Ia No. 1176 Of 2017 &amp; Ia No. 1175 Of 2017</t>
  </si>
  <si>
    <t>Central Electricity Regulatory Commission &amp; Ors</t>
  </si>
  <si>
    <t>Customs/180/2011-chennai</t>
  </si>
  <si>
    <t>Customs/181/2011-chennai</t>
  </si>
  <si>
    <t>Customs/105/2012-chennai</t>
  </si>
  <si>
    <t xml:space="preserve">Writ Petition Under Art.226 &amp; 227.  3490  Of  2018</t>
  </si>
  <si>
    <t xml:space="preserve">  Asst.commissioner Of Gst,jharsuguda</t>
  </si>
  <si>
    <t>Customs/572/2010-mumbai</t>
  </si>
  <si>
    <t>Customs/554/2010-mumbai</t>
  </si>
  <si>
    <t>Customs/582/2010-mumbai</t>
  </si>
  <si>
    <t>Customs/584/2010-mumbai</t>
  </si>
  <si>
    <t>Customs/574/2010-mumbai</t>
  </si>
  <si>
    <t>Customs/589/2010-mumbai</t>
  </si>
  <si>
    <t>Customs/577/2010-mumbai</t>
  </si>
  <si>
    <t>Customs/579/2010-mumbai</t>
  </si>
  <si>
    <t>Customs/576/2010-mumbai</t>
  </si>
  <si>
    <t>Customs/588/2010-mumbai</t>
  </si>
  <si>
    <t>Customs/575/2010-mumbai</t>
  </si>
  <si>
    <t>Customs/583/2010-mumbai</t>
  </si>
  <si>
    <t>Customs/561/2010-mumbai</t>
  </si>
  <si>
    <t>Customs/562/2010-mumbai</t>
  </si>
  <si>
    <t>Customs/563/2010-mumbai</t>
  </si>
  <si>
    <t>Customs/585/2010-mumbai</t>
  </si>
  <si>
    <t>Customs/560/2010-mumbai</t>
  </si>
  <si>
    <t>Customs/591/2010-mumbai</t>
  </si>
  <si>
    <t>Customs/570/2010-mumbai</t>
  </si>
  <si>
    <t>Customs/559/2010-mumbai</t>
  </si>
  <si>
    <t>Customs/590/2010-mumbai</t>
  </si>
  <si>
    <t>Customs/568/2010-mumbai</t>
  </si>
  <si>
    <t>Customs/567/2010-mumbai</t>
  </si>
  <si>
    <t>Customs/566/2010-mumbai</t>
  </si>
  <si>
    <t>Customs/565/2010-mumbai</t>
  </si>
  <si>
    <t>Customs/564/2010-mumbai</t>
  </si>
  <si>
    <t>Customs/569/2010-mumbai</t>
  </si>
  <si>
    <t>Customs/571/2010-mumbai</t>
  </si>
  <si>
    <t>Customs/580/2010-mumbai</t>
  </si>
  <si>
    <t>Customs/558/2010-mumbai</t>
  </si>
  <si>
    <t>Customs/556/2010-mumbai</t>
  </si>
  <si>
    <t>Customs/557/2010-mumbai</t>
  </si>
  <si>
    <t>Customs/573/2010-mumbai</t>
  </si>
  <si>
    <t>Customs/586/2010-mumbai</t>
  </si>
  <si>
    <t>Customs/581/2010-mumbai</t>
  </si>
  <si>
    <t>Customs/578/2010-mumbai</t>
  </si>
  <si>
    <t>Ia No. 1174 Of 2017 In Dfr No. 3655 Of 2017</t>
  </si>
  <si>
    <t>A.no. 283 Of 2014 &amp; 141 Of 2015 &amp; 30 Of 2016 &amp; Ia No. 82 Of 2016 &amp; A.no. 31 Of 2016 &amp; Ia No. 84 Of 2016</t>
  </si>
  <si>
    <t>Wp(c)/22810/2017</t>
  </si>
  <si>
    <t>Crma/265/2015</t>
  </si>
  <si>
    <t>Crma/266/2015</t>
  </si>
  <si>
    <t>Crma/267/2015</t>
  </si>
  <si>
    <t>Crma/268/2015</t>
  </si>
  <si>
    <t>Crma/269/2015</t>
  </si>
  <si>
    <t>Crma/270/2015</t>
  </si>
  <si>
    <t>Crma/271/2015</t>
  </si>
  <si>
    <t>Crma/272/2015</t>
  </si>
  <si>
    <t>Itxa/962/2015</t>
  </si>
  <si>
    <t>Commisioner Of Income Tax</t>
  </si>
  <si>
    <t>Itxa/963/2015</t>
  </si>
  <si>
    <t>Itxa/964/2015</t>
  </si>
  <si>
    <t>A.no. 175 Of 2016</t>
  </si>
  <si>
    <t>Odisha Electricity Regulatory Commission &amp;</t>
  </si>
  <si>
    <t>Civil Appeal 839/2018</t>
  </si>
  <si>
    <t>M/s Sequel Alloys And Wires Private Limited</t>
  </si>
  <si>
    <t>Special Leave Petition (civil) 718/2018</t>
  </si>
  <si>
    <t>In The Matter Of Sequel Alloys And Wires Private Limited Vs. Vedanta Limited Civil Appeal No. 839-2018</t>
  </si>
  <si>
    <t>Op/59/2018</t>
  </si>
  <si>
    <t xml:space="preserve"> M/s.sgs India Pvt.ltd.</t>
  </si>
  <si>
    <t xml:space="preserve"> M/s.vedanta  Limited</t>
  </si>
  <si>
    <t>Wp(c)/1330/2018</t>
  </si>
  <si>
    <t>Wp/12822/2011</t>
  </si>
  <si>
    <t xml:space="preserve"> M/s.sesa Goa Limited</t>
  </si>
  <si>
    <t>Rca</t>
  </si>
  <si>
    <t>Rca/75/2016</t>
  </si>
  <si>
    <t xml:space="preserve"> Kshitij Developers</t>
  </si>
  <si>
    <t xml:space="preserve"> Smt. Ganu Goca Tari @ Shilavati Goca Tari, Vedanta Limited</t>
  </si>
  <si>
    <t>Sta/106/2018</t>
  </si>
  <si>
    <t xml:space="preserve"> Vedanta Ltd Thr. Its Aut. Sig. Navnath L. Vhatte And Anr</t>
  </si>
  <si>
    <t>O.m.p.(misc.)(comm.)-69-2017</t>
  </si>
  <si>
    <t xml:space="preserve">Vs.   Leighton India Contractors Pvt Ltd</t>
  </si>
  <si>
    <t>Service Tax/77023/2016-kolkata</t>
  </si>
  <si>
    <t xml:space="preserve">Writ Petition(md)  18139  Of  2017</t>
  </si>
  <si>
    <t>Vedanta Ltd.,</t>
  </si>
  <si>
    <t>Ma 145/2016</t>
  </si>
  <si>
    <t>Shri Ramchandra Alias Raghunath Saunsthan/devasthan &amp; Anr.</t>
  </si>
  <si>
    <t>M/s. Sesa Goa Ltd. &amp; Ors</t>
  </si>
  <si>
    <t>Oa 111/2017</t>
  </si>
  <si>
    <t>Ramchandra Vaman</t>
  </si>
  <si>
    <t>. M/s. Sesa Goa Ltd. &amp; Ors.</t>
  </si>
  <si>
    <t>Rp/1634-1635/2014</t>
  </si>
  <si>
    <t>Rp/1632-1633/2014</t>
  </si>
  <si>
    <t>Vinod Kumar Garg &amp; Anr.</t>
  </si>
  <si>
    <t>A.no. 175 Of 2016 &amp; Ia No. 873 Of 2017</t>
  </si>
  <si>
    <t>A.no._25_2014</t>
  </si>
  <si>
    <t xml:space="preserve">-  Gridco Ltd ,  -  M/s Sesa Sterlite Ltd</t>
  </si>
  <si>
    <t xml:space="preserve">M/s Sesa Sterlite Ltd &amp; Anr,   Oerc &amp; Anr</t>
  </si>
  <si>
    <t>Customs/20936/2015-banglore</t>
  </si>
  <si>
    <t>Wp/219/2014</t>
  </si>
  <si>
    <t>M/s Sesa Sterlite Ltd Rep. By Its Authorised Representative Shri. Sauvick Mazumder</t>
  </si>
  <si>
    <t>Sesa Goa Workers Union Rep. Mr. Ramesh Sinari, General Secretary And 2 Ors</t>
  </si>
  <si>
    <t>Wp/216/2014</t>
  </si>
  <si>
    <t>M/s Sesa Sterlite Ltd Rep. By Its Authorised Rep. Shri. Sauvick Mazumder</t>
  </si>
  <si>
    <t>Stm/720/2014</t>
  </si>
  <si>
    <t>Stm/721/2014</t>
  </si>
  <si>
    <t>Wp(c)/13097/2014</t>
  </si>
  <si>
    <t xml:space="preserve"> Orissa Electricity</t>
  </si>
  <si>
    <t xml:space="preserve"> Writ Petition(md)  5643  Of  2015</t>
  </si>
  <si>
    <t xml:space="preserve">  Union Of India, Repd. By The</t>
  </si>
  <si>
    <t>Wp(md)/5643/2015</t>
  </si>
  <si>
    <t xml:space="preserve"> Union Of India, Repd. By The</t>
  </si>
  <si>
    <t>Customs/40724/2015-chennai</t>
  </si>
  <si>
    <t>Tiruchirapalli</t>
  </si>
  <si>
    <t>Wp_13097_2014</t>
  </si>
  <si>
    <t>Sesa sterlite ltd.v</t>
  </si>
  <si>
    <t xml:space="preserve"> Orissa electricity</t>
  </si>
  <si>
    <t xml:space="preserve"> Writ Petition  8583  Of  2015</t>
  </si>
  <si>
    <t>M/s.sesa Sterlite Limited</t>
  </si>
  <si>
    <t xml:space="preserve">  Deputy Commissioner Of</t>
  </si>
  <si>
    <t>Wp_8583_2015</t>
  </si>
  <si>
    <t>A.no._283_2014</t>
  </si>
  <si>
    <t>W.p.(c)-1735-2014</t>
  </si>
  <si>
    <t>W.p.(c)-1730-2014</t>
  </si>
  <si>
    <t xml:space="preserve"> Writ Petition(md)  1954  Of  2014</t>
  </si>
  <si>
    <t xml:space="preserve"> Writ Petition(md)  1955  Of  2014</t>
  </si>
  <si>
    <t xml:space="preserve"> Writ Petition(md)  1956  Of  2014</t>
  </si>
  <si>
    <t>Customs/235/2009-kolkata</t>
  </si>
  <si>
    <t>Customs/112/2010-kolkata</t>
  </si>
  <si>
    <t>Customs/91/2010-kolkata</t>
  </si>
  <si>
    <t>Wp/165/2002</t>
  </si>
  <si>
    <t xml:space="preserve">Civil Appeal     1376-1378 /2015</t>
  </si>
  <si>
    <t>Sesa Sterlite Ltd And Ors</t>
  </si>
  <si>
    <t>Of_41081_2014</t>
  </si>
  <si>
    <t>Commissioner Of Central Excise</t>
  </si>
  <si>
    <t>Ita92/pan/2015</t>
  </si>
  <si>
    <t>Deputy Commissioner Of Income Tax, Circle- 1 (1), Panaji.</t>
  </si>
  <si>
    <t xml:space="preserve">M/s  Sesa Goa Ltd.</t>
  </si>
  <si>
    <t>Of_98108_2014</t>
  </si>
  <si>
    <t>Commissioner Of Customs, Pune</t>
  </si>
  <si>
    <t xml:space="preserve"> Civil Revision Petition(md)  208  Of  2015</t>
  </si>
  <si>
    <t>M/s.sesa Sterlite Limited,</t>
  </si>
  <si>
    <t xml:space="preserve">  Dreymoor</t>
  </si>
  <si>
    <t xml:space="preserve"> Civil Misc. Appeal(md)  266  Of  2015</t>
  </si>
  <si>
    <t>M/s.sesasterlite Ltd.,</t>
  </si>
  <si>
    <t xml:space="preserve">  Commissioner Of Central Excise</t>
  </si>
  <si>
    <t>Stm/1835/2013</t>
  </si>
  <si>
    <t>Mr. G. Laxminarayan</t>
  </si>
  <si>
    <t>Sesa Goa Limited Through Its Director Production And Logistic Mr. A. K. Rai And Anr</t>
  </si>
  <si>
    <t>Wp/520/2013</t>
  </si>
  <si>
    <t>7668-wp/2015</t>
  </si>
  <si>
    <t xml:space="preserve">Sesa Sterlite Limited </t>
  </si>
  <si>
    <t>Of_40521_2014</t>
  </si>
  <si>
    <t xml:space="preserve">Cce, Tirunelveli	            					</t>
  </si>
  <si>
    <t xml:space="preserve"> Writ Petition(md)  434  Of  2015</t>
  </si>
  <si>
    <t>M/s. Sesa Sterlite Ltd.,</t>
  </si>
  <si>
    <t>Wp(md)/434/2015</t>
  </si>
  <si>
    <t>W.p.(c)-1491-2015</t>
  </si>
  <si>
    <t>Union Of India &amp; Anr</t>
  </si>
  <si>
    <t xml:space="preserve"> Writ Petition(md)  6978  Of  2014</t>
  </si>
  <si>
    <t xml:space="preserve">  The State Of Tamil Nadu,</t>
  </si>
  <si>
    <t>Spma/111/2013</t>
  </si>
  <si>
    <t xml:space="preserve">.jyoti  H  Mehta And Ors  | Deepika Mehta  | Hitesh Mehta  | Pratima Mehta  | Sudhir Mehta  | Rina Mehta  | Rasila Mehta</t>
  </si>
  <si>
    <t xml:space="preserve">The Custodian And Anr  | Sesa Goa Ltd</t>
  </si>
  <si>
    <t xml:space="preserve"> Writ Petition(md)  1409  Of  2015</t>
  </si>
  <si>
    <t xml:space="preserve">  Union Of India</t>
  </si>
  <si>
    <t>Wp(md)/1409/2015</t>
  </si>
  <si>
    <t>Of_40348_2014</t>
  </si>
  <si>
    <t xml:space="preserve">Sesa Sterlite Ltd.				  Applicant-</t>
  </si>
  <si>
    <t>Wp/70/2015</t>
  </si>
  <si>
    <t>Sesa Sterlite Limited (formerly Known As Sesa Goa Limited) Rep. By P.o.a. Shri Benicio Menezes.</t>
  </si>
  <si>
    <t>Stm/206/2015</t>
  </si>
  <si>
    <t>Of_40373_2014</t>
  </si>
  <si>
    <t>Commissioner Of Central Excise, Tirunelveli</t>
  </si>
  <si>
    <t>Appeal Nos._25_2014</t>
  </si>
  <si>
    <t>Gridco Ltd,m/s Sesa Sterlite Ltd</t>
  </si>
  <si>
    <t>M/s Sesa Sterlite Ltd &amp; Anr,orissa Electricity Regulatory Commission &amp; Anr</t>
  </si>
  <si>
    <t>Appeal No._25_2014</t>
  </si>
  <si>
    <t>Oerc &amp; Anr</t>
  </si>
  <si>
    <t>Customs/19/2011-kolkata</t>
  </si>
  <si>
    <t>Customs/20/2011-kolkata</t>
  </si>
  <si>
    <t>Customs/21/2011-kolkata</t>
  </si>
  <si>
    <t>Customs/22/2011-kolkata</t>
  </si>
  <si>
    <t>Customs/16/2011-kolkata</t>
  </si>
  <si>
    <t>Customs/23/2011-kolkata</t>
  </si>
  <si>
    <t>Customs/24/2011-kolkata</t>
  </si>
  <si>
    <t>Customs/25/2011-kolkata</t>
  </si>
  <si>
    <t>Customs/26/2011-kolkata</t>
  </si>
  <si>
    <t>Customs/27/2011-kolkata</t>
  </si>
  <si>
    <t>Customs/28/2011-kolkata</t>
  </si>
  <si>
    <t>Customs/29/2011-kolkata</t>
  </si>
  <si>
    <t>Customs/30/2011-kolkata</t>
  </si>
  <si>
    <t>Customs/13/2011-kolkata</t>
  </si>
  <si>
    <t>Customs/18/2011-kolkata</t>
  </si>
  <si>
    <t>Customs/17/2011-kolkata</t>
  </si>
  <si>
    <t>Customs/267/2010-kolkata</t>
  </si>
  <si>
    <t>Cra_952_2015</t>
  </si>
  <si>
    <t>Sesa sterlite limited </t>
  </si>
  <si>
    <t>/s. blr logistiks (i) ltd.</t>
  </si>
  <si>
    <t>Excise/10258/2015-ahmadabad</t>
  </si>
  <si>
    <t>Vapi</t>
  </si>
  <si>
    <t>Appeal No._283_2014</t>
  </si>
  <si>
    <t>Misc Civil Application/28/2015</t>
  </si>
  <si>
    <t>Commissioner Of Customs.</t>
  </si>
  <si>
    <t>Sesa Sterlite Limited.</t>
  </si>
  <si>
    <t>Stamp Number (appln )/86/2015</t>
  </si>
  <si>
    <t>_133_2012</t>
  </si>
  <si>
    <t>_71_2012</t>
  </si>
  <si>
    <t>_55_2012</t>
  </si>
  <si>
    <t>_130_2012</t>
  </si>
  <si>
    <t>_136_2012</t>
  </si>
  <si>
    <t>Misc Civil Application/900/2014</t>
  </si>
  <si>
    <t>Mr. G. Laxminarayan.</t>
  </si>
  <si>
    <t>M/s. Sesa Goa Limited Through Its Director Production And Logistic Mr. A. K. Rai And Anr</t>
  </si>
  <si>
    <t>Customs/131/2012-kolkata</t>
  </si>
  <si>
    <t>Ma 30/pan-2014</t>
  </si>
  <si>
    <t>Assistant Commissioner Of Income Tax</t>
  </si>
  <si>
    <t>. Sesa Goa Ltd. &amp; Ors</t>
  </si>
  <si>
    <t>Oa 136/2012</t>
  </si>
  <si>
    <t>Oa 133/2012</t>
  </si>
  <si>
    <t>Oa 130/2012</t>
  </si>
  <si>
    <t>Oa 71/2012</t>
  </si>
  <si>
    <t>Of_40349_2014</t>
  </si>
  <si>
    <t xml:space="preserve">Sesa Sterlite Ltd.					applicant-</t>
  </si>
  <si>
    <t xml:space="preserve">Commissioner Of Central Excise </t>
  </si>
  <si>
    <t>Ita 187/pan-2014</t>
  </si>
  <si>
    <t>_719_2014</t>
  </si>
  <si>
    <t>_518_2013</t>
  </si>
  <si>
    <t>_9_1902</t>
  </si>
  <si>
    <t>_0_1903</t>
  </si>
  <si>
    <t>_520_2013</t>
  </si>
  <si>
    <t>_7_1903</t>
  </si>
  <si>
    <t>_8_1903</t>
  </si>
  <si>
    <t>_4_1898</t>
  </si>
  <si>
    <t>_0_1899</t>
  </si>
  <si>
    <t>_1_1899</t>
  </si>
  <si>
    <t>Ma 520/2013</t>
  </si>
  <si>
    <t>Ma 518/2013</t>
  </si>
  <si>
    <t>Ma 719/2014</t>
  </si>
  <si>
    <t>Wp/20271/2014</t>
  </si>
  <si>
    <t xml:space="preserve"> The Director Of Mines And Geology</t>
  </si>
  <si>
    <t>Wp/164/2002</t>
  </si>
  <si>
    <t>Sesa Goa Limited| Panaji</t>
  </si>
  <si>
    <t>Stamp Number (appln )/1212/2002</t>
  </si>
  <si>
    <t>Stamp Number (appln )/1213/2002</t>
  </si>
  <si>
    <t>_9_1918</t>
  </si>
  <si>
    <t>_2_1919</t>
  </si>
  <si>
    <t>_5_1919</t>
  </si>
  <si>
    <t>_6_1921</t>
  </si>
  <si>
    <t>/ M/s Sesa Goa Ltd. &amp; Ors.</t>
  </si>
  <si>
    <t>Wp/218/2014</t>
  </si>
  <si>
    <t>M/s Sesa Sterlite Ltdrep. By Its Authorised Representative Shri. Sauvick Mazumder</t>
  </si>
  <si>
    <t>Sesa Goa Workers Union Rep. By Mr. Ramesh Sinari, General Secretary And 2 Ors</t>
  </si>
  <si>
    <t>Stm/718/2014</t>
  </si>
  <si>
    <t>Excise/42275/2014-chennai</t>
  </si>
  <si>
    <t>Original Application No._130_2012</t>
  </si>
  <si>
    <t>Original Application No._71_2012</t>
  </si>
  <si>
    <t>Original Application No._55_2012</t>
  </si>
  <si>
    <t>Original Application No._136_2012</t>
  </si>
  <si>
    <t>Original Application No._133_2012</t>
  </si>
  <si>
    <t>Misc Civil Application/773/2014</t>
  </si>
  <si>
    <t>The Assistant Commissioner Of Customs. Minor Pod, Panaji.</t>
  </si>
  <si>
    <t>Customs/292/2010-kolkata</t>
  </si>
  <si>
    <t>Stm/719/2014</t>
  </si>
  <si>
    <t>M/s Sesa Sterlite Ltd. Rep.by Its Representative Shri. Sauvick Mazumder</t>
  </si>
  <si>
    <t>Wp/217/2014</t>
  </si>
  <si>
    <t>Application In Writ Petition</t>
  </si>
  <si>
    <t>Misc Civil Application/761/2014</t>
  </si>
  <si>
    <t>Txa/66/2002</t>
  </si>
  <si>
    <t>The Commissioner Of Income Tax,panaji,goa.</t>
  </si>
  <si>
    <t>M/s.sesa Goa Ltd.panaji,goa.</t>
  </si>
  <si>
    <t>Stamp Number (appln )/2113/2002</t>
  </si>
  <si>
    <t>Ma 21/pan-2013</t>
  </si>
  <si>
    <t>Sesa Sterlite Ltd. (formerly Known As Sesa Goa Ltd.)</t>
  </si>
  <si>
    <t>Joint Commistioner Of Income-tax</t>
  </si>
  <si>
    <t>Original Application No._31_2013</t>
  </si>
  <si>
    <t>Wz_31_2013</t>
  </si>
  <si>
    <t xml:space="preserve"> Writ Petition  28451  Of  2013</t>
  </si>
  <si>
    <t>Sesa Sterlite Ltd., Formerly</t>
  </si>
  <si>
    <t xml:space="preserve">  Tamilnadu Generation And</t>
  </si>
  <si>
    <t>Stm/3473/2013</t>
  </si>
  <si>
    <t>Village Panchayat Of Sanvordem Through Its Sarpanch Shri. Sashikant Vishwanath Naik</t>
  </si>
  <si>
    <t>M/s Sesa Goa Ltd State Of Goa Through The Chief Secretary, Government Of Goa And 3 Ors, The Collector, The Deputy Collector And Land Acquisition Officer</t>
  </si>
  <si>
    <t>Wp/156/2014</t>
  </si>
  <si>
    <t>Wp/335/2014</t>
  </si>
  <si>
    <t>M/s. Sesa Sterlite Limited Thr. Its Deputy Chief Operating Officer Mr. Sauvick Mazumder And Anr</t>
  </si>
  <si>
    <t>Appeal No._179_2014</t>
  </si>
  <si>
    <t>Gridco Limited</t>
  </si>
  <si>
    <t>M/s Sesa Sterlite Ltd. &amp; Anr.</t>
  </si>
  <si>
    <t>Excise/2260/2012-banglore</t>
  </si>
  <si>
    <t>Bangalore-iv</t>
  </si>
  <si>
    <t>Of_40720_2014</t>
  </si>
  <si>
    <t xml:space="preserve">Cce (st), Tirunelveli					           </t>
  </si>
  <si>
    <t xml:space="preserve">Slp (civil)     20478-20479 /2014</t>
  </si>
  <si>
    <t>Dreymoor Fertilizers Overseas Pte Ltd</t>
  </si>
  <si>
    <t xml:space="preserve">Civil Appeal     7781-7782 /2014</t>
  </si>
  <si>
    <t>Criminal -act Against Community / State</t>
  </si>
  <si>
    <t>Ar_2089_2011</t>
  </si>
  <si>
    <t>Krishna h.bajaj   </t>
  </si>
  <si>
    <t>Sesa goa ltd. &amp; ors.</t>
  </si>
  <si>
    <t>_517_2013</t>
  </si>
  <si>
    <t>_536_2013</t>
  </si>
  <si>
    <t>_509_2013</t>
  </si>
  <si>
    <t>Misc Application No._520_2012</t>
  </si>
  <si>
    <t>A.no. 283 Of 2014 &amp; Batch</t>
  </si>
  <si>
    <t>Ita6937/del/2017</t>
  </si>
  <si>
    <t>Acit, Circle-26(1)</t>
  </si>
  <si>
    <t>Sa675/del/2017</t>
  </si>
  <si>
    <t>Criminal -commital Proceeding Cases</t>
  </si>
  <si>
    <t>Cp/638/2016</t>
  </si>
  <si>
    <t xml:space="preserve"> Videocon Industries Limited Cin Nol99999mh1986plc103624</t>
  </si>
  <si>
    <t>Excise/42295/2017-chennai</t>
  </si>
  <si>
    <t>Vedanta Limited Formerly Known As Sterlite Industries India Ltd</t>
  </si>
  <si>
    <t>Excise/42255/2017-chennai</t>
  </si>
  <si>
    <t>Service Tax/42271/2017-chennai</t>
  </si>
  <si>
    <t>Civil Appeal 18482/2017</t>
  </si>
  <si>
    <t>Cit-central-iii,goa</t>
  </si>
  <si>
    <t>Civil Appeal 18480/2017</t>
  </si>
  <si>
    <t>Civil Appeal 18481/2017</t>
  </si>
  <si>
    <t>Civil Appeal 18483/2017</t>
  </si>
  <si>
    <t>Oa 151/2016/ez</t>
  </si>
  <si>
    <t>Non-violence Again &amp; Anr</t>
  </si>
  <si>
    <t>Excise/192/2009-chennai</t>
  </si>
  <si>
    <t xml:space="preserve">Service Tax  77024 Of 2016</t>
  </si>
  <si>
    <t>Commissioner Of Central Excise &amp;amp; Service Tax, Bbsr-i</t>
  </si>
  <si>
    <t>10694 Of 2017</t>
  </si>
  <si>
    <t>Commissioner Of Central Excise And</t>
  </si>
  <si>
    <t>Excise/10125/2015-ahmadabad</t>
  </si>
  <si>
    <t>Service Tax/77024/2016-kolkata</t>
  </si>
  <si>
    <t xml:space="preserve">Service Tax  76500 Of 2016</t>
  </si>
  <si>
    <t xml:space="preserve">Anant Commodities Pvt. Ltd. Reported In 2010 (18) S.t.r. 214 (tri.-del)  Has Held In Identical Circumstances That Service  Tax Assessment Of The Service Providers Cannot Be Reopened At The Service Recipient S End And The Refund In Such A Scenario Wou</t>
  </si>
  <si>
    <t>Service Tax/76500/2016-kolkata</t>
  </si>
  <si>
    <t>Cwp</t>
  </si>
  <si>
    <t>Cwp/12022/2017</t>
  </si>
  <si>
    <t xml:space="preserve"> Income Tax Appellate Tribunal And Anr</t>
  </si>
  <si>
    <t>6.19-income Tax Act 1961 (direct)</t>
  </si>
  <si>
    <t>Cwp 12022/2017</t>
  </si>
  <si>
    <t>Income Tax Appellate Tribunal And Anr</t>
  </si>
  <si>
    <t>O.s./922/2017</t>
  </si>
  <si>
    <t xml:space="preserve"> Ullal Chandrashekar Nayak</t>
  </si>
  <si>
    <t xml:space="preserve"> S Vijaya Kamath Alias U Mohini Bai, Vedanta Ltd.,</t>
  </si>
  <si>
    <t>Customs/42158/2017-chennai</t>
  </si>
  <si>
    <t>Service Tax/40563/2013-chennai</t>
  </si>
  <si>
    <t xml:space="preserve">Writ Petition Under Art.226 &amp; 227.  21330  Of  2017</t>
  </si>
  <si>
    <t xml:space="preserve">  Commissioner Of Sales Tax</t>
  </si>
  <si>
    <t>Excise/76778/2017-kolkata</t>
  </si>
  <si>
    <t>For Substitute Service</t>
  </si>
  <si>
    <t>Mca 805/2017</t>
  </si>
  <si>
    <t>Vaman Bombi Gawade And 7 Ors.,</t>
  </si>
  <si>
    <t>Sesa Goa Ltd. And Anr.,</t>
  </si>
  <si>
    <t>Sta/3149/2017</t>
  </si>
  <si>
    <t xml:space="preserve"> Vaman Bombi Gawade And 7 Ors</t>
  </si>
  <si>
    <t xml:space="preserve"> Sesa Goa Ltd. And Anr</t>
  </si>
  <si>
    <t>Mca/804/2017</t>
  </si>
  <si>
    <t>Chs/951/2017</t>
  </si>
  <si>
    <t xml:space="preserve">Creative Garments Pvt. Ltd. And Another  | Sesa Goa Ltd.</t>
  </si>
  <si>
    <t>Chs/948/2017</t>
  </si>
  <si>
    <t>Sta/3148/2017</t>
  </si>
  <si>
    <t>Service Tax/40826/2014-chennai</t>
  </si>
  <si>
    <t>Coap 23/2016</t>
  </si>
  <si>
    <t>The Union Of India, Represented By Secretary To The Government, Ministry Of Mines, New Delhi.,</t>
  </si>
  <si>
    <t>Sesa Goa Ltd.,</t>
  </si>
  <si>
    <t>For Quashing U/s 482</t>
  </si>
  <si>
    <t>Wpcr 148/2017</t>
  </si>
  <si>
    <t>Vedanta Ltd. (formerly Known As Sesa Sterlite Ltd.), Thr. Its Chief Financial, Azad Shaw And Anr.,</t>
  </si>
  <si>
    <t>State Of Goa, Thr. Its Chief Secretary And 7 Ors.,</t>
  </si>
  <si>
    <t>Customs/452/2012-hyderabad</t>
  </si>
  <si>
    <t>Customs/31033/2017-hyderabad</t>
  </si>
  <si>
    <t>Visakhapatnam - G S T</t>
  </si>
  <si>
    <t>Ma 1078/2017</t>
  </si>
  <si>
    <t>A.no. 283 Of 2014 &amp; 141 Of 2015 &amp; Ia No. 222 Of 2015 &amp; Batch</t>
  </si>
  <si>
    <t>Wmp/25403/2017</t>
  </si>
  <si>
    <t>Wp/24085/2017</t>
  </si>
  <si>
    <t>Wmp/25404/2017</t>
  </si>
  <si>
    <t>Ita5594/del/2017</t>
  </si>
  <si>
    <t>Vedanta Ltd. (successor To Cairn India Ltd.)</t>
  </si>
  <si>
    <t>Dcit, International Taxation</t>
  </si>
  <si>
    <t>A.no. 175 Of 2016 &amp; Ia No. 385 Of 2016 &amp; 519 Of 2016</t>
  </si>
  <si>
    <t>A/4843/2017</t>
  </si>
  <si>
    <t xml:space="preserve"> Masyc Projects Pvt.ltd.</t>
  </si>
  <si>
    <t>Rajasthan Jaipur Hc</t>
  </si>
  <si>
    <t>2017_cw_10125</t>
  </si>
  <si>
    <t>State Of Raj And Ors</t>
  </si>
  <si>
    <t>Op/651/2016</t>
  </si>
  <si>
    <t>A/4643/2016</t>
  </si>
  <si>
    <t>Wp/712/2017</t>
  </si>
  <si>
    <t xml:space="preserve"> M/s. Vedanta Ltd (for. Known As Sesa Sterlite Ltd.), Thr. Aut. Sig Mr. Sauvick Mazumdar And Anr.</t>
  </si>
  <si>
    <t xml:space="preserve"> Board Of Trustees Of Mormugao Port Trust And 2 Ors</t>
  </si>
  <si>
    <t>Sca/11027/2017</t>
  </si>
  <si>
    <t xml:space="preserve"> Vedanta Ltd.  (erstwhile Cairn India Ltd.)</t>
  </si>
  <si>
    <t xml:space="preserve"> Income Tax Appellate Tribunal</t>
  </si>
  <si>
    <t>O.s./258/2017</t>
  </si>
  <si>
    <t xml:space="preserve"> Vedanta Limited Authorised Signatory And Poa Holder  Chandrakanth S. Patil</t>
  </si>
  <si>
    <t xml:space="preserve"> M.c.jagadeesh</t>
  </si>
  <si>
    <t>Excise/41695/2017-chennai</t>
  </si>
  <si>
    <t>Excise/41696/2017-chennai</t>
  </si>
  <si>
    <t>Aar</t>
  </si>
  <si>
    <t>Aar/16/2017</t>
  </si>
  <si>
    <t xml:space="preserve"> Goa Ore Transport Pvt. Ltd Rep. By Its Aut. Rep. Mr. Mukesh Mathuradas Saglani And Anr</t>
  </si>
  <si>
    <t xml:space="preserve"> Sesa Goa Ltd Thr. Its General Manager And 2 Ors</t>
  </si>
  <si>
    <t xml:space="preserve">Slp (civil)     6928/2007</t>
  </si>
  <si>
    <t>R.natesan &amp; Ors.</t>
  </si>
  <si>
    <t xml:space="preserve">Civil Appeal     7764/2012</t>
  </si>
  <si>
    <t>Wp/18941/2016</t>
  </si>
  <si>
    <t>Ca/340/2017</t>
  </si>
  <si>
    <t>Civil -admiralty Cases</t>
  </si>
  <si>
    <t>As/291/2013</t>
  </si>
  <si>
    <t xml:space="preserve"> The Sesa Goa Ltd., Karvy Computrshare Pvt. Ltd.</t>
  </si>
  <si>
    <t xml:space="preserve"> Devendra Chandra Modi</t>
  </si>
  <si>
    <t>Cms/9203/2017</t>
  </si>
  <si>
    <t xml:space="preserve"> State Of Raj And Ors</t>
  </si>
  <si>
    <t>Excise/40712/2016-chennai</t>
  </si>
  <si>
    <t>Customs/22317/2014-hyderabad</t>
  </si>
  <si>
    <t>Scs/28/2016</t>
  </si>
  <si>
    <t xml:space="preserve"> M/s Global Energy Pvt. Ltd.</t>
  </si>
  <si>
    <t xml:space="preserve"> Mr. Vinayak G. Desai</t>
  </si>
  <si>
    <t xml:space="preserve"> Writ Misc. Petition(md)  6337  Of  2017</t>
  </si>
  <si>
    <t xml:space="preserve"> Writ Misc. Petition(md)  6338  Of  2017</t>
  </si>
  <si>
    <t>Vedanta Ltd, (successor Of</t>
  </si>
  <si>
    <t xml:space="preserve">  Deputy Commissioner Of Income</t>
  </si>
  <si>
    <t>Excise/90192/2014-mumbai</t>
  </si>
  <si>
    <t>Wp 439/2017</t>
  </si>
  <si>
    <t>Asst. Commissioner Of Income Tax Circel 1(1), Panaji And 2 Ors.,</t>
  </si>
  <si>
    <t>Mca 163/2017</t>
  </si>
  <si>
    <t>Noble Resources International Pte. Ltd., Thr. Its Aut. Sig., Mr. Nilesh Pathak.,</t>
  </si>
  <si>
    <t>M/s. Vedanta Ltd., (formerly Known As Sesa Sterlite Ltd.), Thr. Its Aut. Sig. Mr. Sauvick Mazumdar.,</t>
  </si>
  <si>
    <t>Labour (w.p)</t>
  </si>
  <si>
    <t>Wp 496/2010</t>
  </si>
  <si>
    <t>Sesa Goa Ltd And Anr.,</t>
  </si>
  <si>
    <t>Sta/1793/2017</t>
  </si>
  <si>
    <t xml:space="preserve"> M/s. Vedanta Ltd (formerly Known As Sesa Sterlite Ltd.), Thr. Its Aut. Sig. Mr. Azad Shaw</t>
  </si>
  <si>
    <t xml:space="preserve"> Noble Resources International Pte. Ltd. And Anr</t>
  </si>
  <si>
    <t>Ca/101/2017</t>
  </si>
  <si>
    <t>Service Tax/75281/2017-kolkata</t>
  </si>
  <si>
    <t>Service Tax/89560/2013-mumbai</t>
  </si>
  <si>
    <t>Service Tax/89561/2013-mumbai</t>
  </si>
  <si>
    <t>Service Tax/89563/2013-mumbai</t>
  </si>
  <si>
    <t>Service Tax/89564/2013-mumbai</t>
  </si>
  <si>
    <t>Service Tax/89558/2013-mumbai</t>
  </si>
  <si>
    <t>Service Tax/89562/2013-mumbai</t>
  </si>
  <si>
    <t>Service Tax/89272/2013-mumbai</t>
  </si>
  <si>
    <t>Ita165/pan/2017</t>
  </si>
  <si>
    <t>M/s Vedanta Limited. ( Formerlly Sterlite Industries (india) Ltd.)</t>
  </si>
  <si>
    <t>The Principal Commissioner Of Income Tax, Panaji.</t>
  </si>
  <si>
    <t>Oa 8/2016</t>
  </si>
  <si>
    <t>Shri Ramchandra Alias Raghunath Saunsthan/devasthan &amp; Anr</t>
  </si>
  <si>
    <t>M/s. Sesa Goa Ltd Through Its Director &amp; Ors</t>
  </si>
  <si>
    <t>Smst R/265/2017</t>
  </si>
  <si>
    <t xml:space="preserve"> Vadilal Chemicals Ltd. Through His Legal Officer Bharatbhai P. Parikh</t>
  </si>
  <si>
    <t>Chennai Itat</t>
  </si>
  <si>
    <t>Income Tax_1145_2017</t>
  </si>
  <si>
    <t>Vedanta Ltd., Gurgaon</t>
  </si>
  <si>
    <t>Jdit, Chennai</t>
  </si>
  <si>
    <t>Income Tax_1144_2017</t>
  </si>
  <si>
    <t>Civil Appeal 766/2017</t>
  </si>
  <si>
    <t>Ita1144/chny/2017</t>
  </si>
  <si>
    <t>Jdit</t>
  </si>
  <si>
    <t>Ita1145/chny/2017</t>
  </si>
  <si>
    <t>Excise/87296/2015-mumbai</t>
  </si>
  <si>
    <t>Customs/85209/2015-mumbai</t>
  </si>
  <si>
    <t>Arp 1/2017</t>
  </si>
  <si>
    <t>Noble Resources International Pte. Ltd. And Anr.,</t>
  </si>
  <si>
    <t>Ita139/pan/2017</t>
  </si>
  <si>
    <t>The Assistant Commissioner Of Income Tax, Circle-1 (1), Panaji.</t>
  </si>
  <si>
    <t>Oa 8/2016 Wz</t>
  </si>
  <si>
    <t>4205-matters Relating To Leases, Govt. Contracts &amp; Contracts By Local Bodies : Others</t>
  </si>
  <si>
    <t>C.a. No. 005448 - 005449 / 2017</t>
  </si>
  <si>
    <t>M/s. Vedanta Limited (formerly Known As Sesa Sterlite Limited And Successor In Interest Of Erstwhile Sterlite Industries (india) Ltd)</t>
  </si>
  <si>
    <t>M/s Emirates Trading Agency Llc</t>
  </si>
  <si>
    <t>Special Leave Petition (civil) 7362/2017</t>
  </si>
  <si>
    <t>Stm/296/2017</t>
  </si>
  <si>
    <t>Noble Resources International Pte. Ltd. And Anr</t>
  </si>
  <si>
    <t>Sta/643/2017</t>
  </si>
  <si>
    <t xml:space="preserve"> Writ Misc. Petition(md)  4779  Of  2017</t>
  </si>
  <si>
    <t>M/s.vedanta Ltd., (earlier</t>
  </si>
  <si>
    <t xml:space="preserve"> Writ Misc. Petition(md)  4780  Of  2017</t>
  </si>
  <si>
    <t>Sta/913/2017</t>
  </si>
  <si>
    <t>Sta/914/2017</t>
  </si>
  <si>
    <t>Sta/915/2017</t>
  </si>
  <si>
    <t>Sta/916/2017</t>
  </si>
  <si>
    <t>Sta/917/2017</t>
  </si>
  <si>
    <t>Sta/918/2017</t>
  </si>
  <si>
    <t>Sta/919/2017</t>
  </si>
  <si>
    <t>Sta/920/2017</t>
  </si>
  <si>
    <t>Sta/921/2017</t>
  </si>
  <si>
    <t>Ita111/pan/2017</t>
  </si>
  <si>
    <t>The Assistant Commissioner Of Income Tax, Circle-1(1), Panaji.</t>
  </si>
  <si>
    <t>Vedanta Ltd. (earlier Known As The Madras Alluminium Co. Ltd.)</t>
  </si>
  <si>
    <t>Mca/247/2017</t>
  </si>
  <si>
    <t>Mca/248/2017</t>
  </si>
  <si>
    <t>Mca/249/2017</t>
  </si>
  <si>
    <t>Mca/246/2017</t>
  </si>
  <si>
    <t>Mca/251/2017</t>
  </si>
  <si>
    <t>Mca/252/2017</t>
  </si>
  <si>
    <t>Mca/253/2017</t>
  </si>
  <si>
    <t xml:space="preserve">T.c.s.p. No. 350/(mah)/2017 | </t>
  </si>
  <si>
    <t>M/s Vedanta Limited.</t>
  </si>
  <si>
    <t>Tcsp No. 251 Of 2017 | Csp No. 765 Of 2016 | Csd No. 1 Of 2016</t>
  </si>
  <si>
    <t>Cairn India Limited|vedanta Limited</t>
  </si>
  <si>
    <t>M/s Cairn India Ltd.</t>
  </si>
  <si>
    <t>Mca/250/2017</t>
  </si>
  <si>
    <t>Mca/245/2017</t>
  </si>
  <si>
    <t>Cs/60/2010</t>
  </si>
  <si>
    <t>Txa 68/2016</t>
  </si>
  <si>
    <t>The Pr. Commissioner Of Income Tax, Panaji.,</t>
  </si>
  <si>
    <t>40036 Of 2017</t>
  </si>
  <si>
    <t>Arbp/76/2016</t>
  </si>
  <si>
    <t xml:space="preserve"> Trimex International Fze Ltd</t>
  </si>
  <si>
    <t xml:space="preserve">Civil Appeal     4425/2017</t>
  </si>
  <si>
    <t>M/s Sesa Sterlite Ltd. (now Known As Ve</t>
  </si>
  <si>
    <t>Odisha Electricity Regulatory Commissio</t>
  </si>
  <si>
    <t xml:space="preserve"> /td  /tr  /tbody </t>
  </si>
  <si>
    <t xml:space="preserve">Civil Appeal     4426/2017</t>
  </si>
  <si>
    <t>M/s. Sesa Sterlite Limited (now Known A</t>
  </si>
  <si>
    <t>-company Law, Mrtp, Trai, Sebi, Idrai &amp; Rbi : Matters Pertaining To Trai / Sebi / Idrai And Rbi Including Appeals U/s 18 Of Trai Act, Indian Electricity Act, 1910 And 2003, Electricity Supply Act, 194</t>
  </si>
  <si>
    <t>C.a. No. 004426 / 2017</t>
  </si>
  <si>
    <t>Odisha Electricity Regulatory Commission . |r-1</t>
  </si>
  <si>
    <t>C.a. No. 004425 / 2017</t>
  </si>
  <si>
    <t xml:space="preserve">Odisha Electricity Regulatory Commission &amp;amp; Ors. |odisha Electricity Regulatory Commission . |odisha Electricity Regulatory Commission Bidyut Niyamak Bhavan  |r-1</t>
  </si>
  <si>
    <t>Special Leave Petition (civil) 7363/2017</t>
  </si>
  <si>
    <t>Sta/581/2017</t>
  </si>
  <si>
    <t>Noble Resources International Pte. Ltd Thr. Its Aut. Sig Mr. Nilesh Pathak</t>
  </si>
  <si>
    <t>Ita 12 / Del / 2020</t>
  </si>
  <si>
    <t>Acit, Circle- 26(2)</t>
  </si>
  <si>
    <t>Scs/16/2019</t>
  </si>
  <si>
    <t xml:space="preserve"> R. M. Enterprises</t>
  </si>
  <si>
    <t>Cr.ra/192/2017</t>
  </si>
  <si>
    <t xml:space="preserve"> Vikas Road Carriers Ltd Through Manojkumar Bhogendra Choudhary, Vedanta Ltd Through Manojkumar Bhogendra Choudhari</t>
  </si>
  <si>
    <t>Scs/22/2019</t>
  </si>
  <si>
    <t xml:space="preserve"> M/s Tirupati Fuels Private Limited</t>
  </si>
  <si>
    <t>Customs/30203/2020</t>
  </si>
  <si>
    <t>Sesa Sterlite Limited &amp; Vedanta Limited</t>
  </si>
  <si>
    <t>Commissioner Of Customs-visakhapatnam-cus</t>
  </si>
  <si>
    <t>Customs/30204/2020</t>
  </si>
  <si>
    <t>Cmp(md)/2424/2020</t>
  </si>
  <si>
    <t>4202-matters Relating To Leases, Govt. Contracts &amp; Contracts By Local Bodies : Tenders Invited Or Contracts Awarded/leases Granted Or Determined By Public Sector Undertaking</t>
  </si>
  <si>
    <t xml:space="preserve">Conmt.pet.(c) No. 000466 -  / 2020</t>
  </si>
  <si>
    <t>R. N. Mohapatra |reena Nayak |saswat Mohan Patnaik |tapan Kumar Chand</t>
  </si>
  <si>
    <t>Wp/5764/2019</t>
  </si>
  <si>
    <t>Wp/5774/2019</t>
  </si>
  <si>
    <t>Wp/5801/2019</t>
  </si>
  <si>
    <t>Wp/5756/2019</t>
  </si>
  <si>
    <t>Wp/5793/2019</t>
  </si>
  <si>
    <t>0817-letter Petition &amp; Pil Matters : Writ Petitions (criminal) And Writ Petitions Filed As Pil Pertaining To Criminal Investigations/prosecution</t>
  </si>
  <si>
    <t xml:space="preserve">W.p.(crl.) No. 000199 -  / 2020</t>
  </si>
  <si>
    <t>Manohar Lal Sharma</t>
  </si>
  <si>
    <t xml:space="preserve">Anil Agrawal |central Bureau Of Investigation (c.b.i.) Through Director |naveen Agarwal |state Bank Of India Through Chairman |union Of India |vedanta Ltd.  Through Chairman</t>
  </si>
  <si>
    <t>Sa 247 / Del / 2020</t>
  </si>
  <si>
    <t>Vedanta Ltd ( Successor To Cairn India Ltd.)</t>
  </si>
  <si>
    <t>Dcit</t>
  </si>
  <si>
    <t>Ca 104/2016</t>
  </si>
  <si>
    <t>Vedanta Ltd. (formerly Known As Sterlite Industries (india) Ltd. Rep. By Benicio Menezes.</t>
  </si>
  <si>
    <t>Asstt. Commissioner Of Income Tax Circle 1(1), Panaji And Anr.</t>
  </si>
  <si>
    <t xml:space="preserve">Ma 001010 -  / 2020</t>
  </si>
  <si>
    <t xml:space="preserve">Ma 001011 -  / 2020</t>
  </si>
  <si>
    <t>O.m.p.(i) (comm.)-88-2020</t>
  </si>
  <si>
    <t>M/s Haliburton Offshore Services Inc.</t>
  </si>
  <si>
    <t>O.m.p.(i) (comm.)-95-2020</t>
  </si>
  <si>
    <t>Weatherford Oil Tool Middle East Limited</t>
  </si>
  <si>
    <t>O.m.p.(i) (comm.)-96-2020</t>
  </si>
  <si>
    <t xml:space="preserve">Ao  1 /2020</t>
  </si>
  <si>
    <t>Vedanta Ltd., (earlier Known As Sesa Goa Ltd./sesa Sterlite Ltd), Thr. Its Aut. Sign., Joseph Coelho</t>
  </si>
  <si>
    <t>Ajit Tukaram Xete Parkar. | Amita Pandharinath Shet Talaulikar. | Amresh Manohar Mahalaxmikar. | Anil Vilas Natekar. | Anuradha Ajit Xete Parkar. | Avadut Mangaldas Shet Narvekar. | Avantika Avadut Shet Narvekar. | Babuli Gaude. | Bhavanidas Nagesh X</t>
  </si>
  <si>
    <t>Service Tax/78801/2018-kolkata</t>
  </si>
  <si>
    <t>Service Tax/78800/2018-kolkata</t>
  </si>
  <si>
    <t>Service Tax/78738/2018-kolkata</t>
  </si>
  <si>
    <t>Service Tax/78739/2018-kolkata</t>
  </si>
  <si>
    <t>Service Tax/78740/2018-kolkata</t>
  </si>
  <si>
    <t>Service Tax/78741/2018-kolkata</t>
  </si>
  <si>
    <t>Service Tax/78742/2018-kolkata</t>
  </si>
  <si>
    <t>Civil/criminal -miscellaneous Cases</t>
  </si>
  <si>
    <t>Ex.c/194/2016</t>
  </si>
  <si>
    <t xml:space="preserve"> Ms Standard Industrial Engineering Co  Rep By Its M.p. Sri K Bhagath Singh</t>
  </si>
  <si>
    <t xml:space="preserve"> Ms Ballari Steels And Alloys Ltd Rep By Its M.d. Ballari, Vedanta Ltd Rep By Its Chair Person Of Mumbai</t>
  </si>
  <si>
    <t>Service Tax/78843/2018-kolkata</t>
  </si>
  <si>
    <t>Service Tax/78839/2018-kolkata</t>
  </si>
  <si>
    <t>Service Tax/78842/2018-kolkata</t>
  </si>
  <si>
    <t>Service Tax/78840/2018-kolkata</t>
  </si>
  <si>
    <t>Service Tax/78841/2018-kolkata</t>
  </si>
  <si>
    <t>Customs/236/2011-hyderabad</t>
  </si>
  <si>
    <t>Customs/237/2011-hyderabad</t>
  </si>
  <si>
    <t>Customs/238/2011-hyderabad</t>
  </si>
  <si>
    <t>Customs/239/2011-hyderabad</t>
  </si>
  <si>
    <t>Customs/238/2011</t>
  </si>
  <si>
    <t>Customs/236/2011</t>
  </si>
  <si>
    <t>Customs/237/2011</t>
  </si>
  <si>
    <t>Customs/239/2011</t>
  </si>
  <si>
    <t>Delhi District Court</t>
  </si>
  <si>
    <t>Omp (comm.)</t>
  </si>
  <si>
    <t>Omp (comm.)/45/2020</t>
  </si>
  <si>
    <t xml:space="preserve"> M/s Kannade Anand Udyog Pvt Ltd</t>
  </si>
  <si>
    <t>Crol/20/2018</t>
  </si>
  <si>
    <t xml:space="preserve"> Harinarayan G. Bajaj And 3 Others| Krishna H Bajaj| Rahul H Bajaj| Shailesh H Bajaj</t>
  </si>
  <si>
    <t xml:space="preserve"> Reliance Capitl Ltd. And Another| Sesa Sterlite Ltd.</t>
  </si>
  <si>
    <t>Cmp(md) 2424/2020</t>
  </si>
  <si>
    <t>Service Tax/20021/2019-banglore</t>
  </si>
  <si>
    <t>Commissioner Of Central Tax, Bangalore North West Commissionerate</t>
  </si>
  <si>
    <t>Service Tax/20357/2015-banglore</t>
  </si>
  <si>
    <t>Service Tax/20756/2018-banglore</t>
  </si>
  <si>
    <t>Commissioner Of Central Tax, Bengaluru North West</t>
  </si>
  <si>
    <t>Cmp(md)/449/2019</t>
  </si>
  <si>
    <t>Cmp(md)/448/2019</t>
  </si>
  <si>
    <t>Cmp(md)/444/2019</t>
  </si>
  <si>
    <t>Cmp(md)/443/2019</t>
  </si>
  <si>
    <t>Cmp(md)/450/2019</t>
  </si>
  <si>
    <t>Cmp(md)/446/2019</t>
  </si>
  <si>
    <t>For Fixing Early Hearing Date</t>
  </si>
  <si>
    <t xml:space="preserve">Mca  40 /2020</t>
  </si>
  <si>
    <t>Pundalik Raghoba Shirgaonkar.,</t>
  </si>
  <si>
    <t>Chowgule And Company Pvt. Ltd. Thr. General Manager,. | Mamlatdar Of Bicholim. | Rajaram Bandekar (sirigao) Mines Pvt. Ltd., Thr. Managing Director. | Sesa Goa Private Ltd., | State Of Goa, Thr. The Chief Secretary And 5 Ors., | The Zonal Agricultura</t>
  </si>
  <si>
    <t>Mca 40/2019</t>
  </si>
  <si>
    <t>W.p.(c)-852-2017</t>
  </si>
  <si>
    <t>0435-indirect Taxes Matters : Value Added Tax</t>
  </si>
  <si>
    <t>C.a. No. 002015 / 2020</t>
  </si>
  <si>
    <t>Assistant Commissioner |the Commisisioner |the Deputy Secretary |the State Of Rajasthan</t>
  </si>
  <si>
    <t>Shri Inderjit Banerjee (director) |union Of India |vedanta Limited Formerly Known As Cairn India Limited</t>
  </si>
  <si>
    <t>Txa 19/2013</t>
  </si>
  <si>
    <t>Osa/306/2019</t>
  </si>
  <si>
    <t xml:space="preserve"> M/s.sgs India Pvt Ltd</t>
  </si>
  <si>
    <t>Cma(md) 80/2019</t>
  </si>
  <si>
    <t>Vedanta Limited,</t>
  </si>
  <si>
    <t>The Commissioner Of Central</t>
  </si>
  <si>
    <t>Cma(md)/324/2016</t>
  </si>
  <si>
    <t>Wa(md) 82/2019</t>
  </si>
  <si>
    <t>Wa(md) 80/2019</t>
  </si>
  <si>
    <t>Wa(md) 79/2019</t>
  </si>
  <si>
    <t>Wa(md) 81/2019</t>
  </si>
  <si>
    <t xml:space="preserve">R.p.(c) No. 000292 -  / 2020</t>
  </si>
  <si>
    <t>Fa 96/2019</t>
  </si>
  <si>
    <t>Gaurav Prakash Kesarkar. | Shraddha Prakash Kesarkar And Anr.,</t>
  </si>
  <si>
    <t>Deelip Dattaram Kudaskar. | Kaushik Keshav Kudaskar. | Krutika Keshav Kudaskar, Rep. By Vrushali Keshav Kudaskar. | Pradeep Dattaram Kudaskar. | Pratima Pradeep Kudaskar. | Sesa Goa Ltd., Rep. By Sauvick Mazumdar. | Trupti Deelip Kudaskar. | Vrushali</t>
  </si>
  <si>
    <t>Service Tax/78799/2018</t>
  </si>
  <si>
    <t>Wp(c)/14745/2018</t>
  </si>
  <si>
    <t>Slp(c) No. 025711 - 025713 / 2018</t>
  </si>
  <si>
    <t xml:space="preserve">Mr. Shivanand C Salgaocar  |v.m. Salgaocar Sales International</t>
  </si>
  <si>
    <t xml:space="preserve">Chowgule And Company Pvt Ltd |department Of Mines And Geolog |directorate General Mines Safety |fomento Resource Pvt Ltd |indian Bureau Of Mines  Regional Controller Of Mines |m/s Minescape And Kadar Ores Pvt Ltd |m/s Minescape Minerals Pvt Ltd |mr P</t>
  </si>
  <si>
    <t>0-for Judgement</t>
  </si>
  <si>
    <t>C.a. No. 000839 / 2020</t>
  </si>
  <si>
    <t>Chowgule And Company Private Limited</t>
  </si>
  <si>
    <t>Ambar Timblo |board Of Trustees Of The Port Of Mormugao |department Of Mines And Geology Director |directorate General Of Mines Safety Director |fomento Resources Pvt. Ltd. Th. Director |goa Foundation |m/s Minescape And Kadar Ores Pvt. Ltd. Authoris</t>
  </si>
  <si>
    <t>C.a. No. 000848 / 2020</t>
  </si>
  <si>
    <t>C.a. No. 000844 - 000846 / 2020</t>
  </si>
  <si>
    <t xml:space="preserve">Nd Floor Casa Del Sol Casa Iii Next To Goa Marriot    Goa           |chowgule And Company Pvt Ltd |department Of Mines And Geolog |directorate General Mines Safety |fomento Resource Pvt Ltd |indian Bureau Of Mines  Regional Controller Of Mines |m/s M</t>
  </si>
  <si>
    <t>C.a. No. 000847 / 2020</t>
  </si>
  <si>
    <t>M/s Minescape Minerals Pvt.ltd</t>
  </si>
  <si>
    <t xml:space="preserve">Nd Floor Casa Del Sol Casa Iii Next To Goa Marriot Miramar    Goa           |board Of Trustee Of The Posrt Of  Mormugao Through Its Law Officer Grade Ii And Duly Constituted Attorney Santosh Anand Naik |chowgule And Company Pvt Ltd General Manager Su</t>
  </si>
  <si>
    <t>Excise/41999/2018-chennai</t>
  </si>
  <si>
    <t>Wp 1044/2019</t>
  </si>
  <si>
    <t>Vedanta Limited, Thr. Its Aut. Signatory, Benicio Menezes.,</t>
  </si>
  <si>
    <t>Union Of India, Through The Secretary And 3 Ors.,</t>
  </si>
  <si>
    <t xml:space="preserve">Ca  2 /2020</t>
  </si>
  <si>
    <t>C.a. No. 000262 / 2020</t>
  </si>
  <si>
    <t xml:space="preserve">Slp (civil)     31361/2009</t>
  </si>
  <si>
    <t>State Of Karnataka &amp; Anr.</t>
  </si>
  <si>
    <t>3400-mines, Minerals And Mining Leases</t>
  </si>
  <si>
    <t>Slp(c) No. 031361 / 2009</t>
  </si>
  <si>
    <t>State Of Karnataka .</t>
  </si>
  <si>
    <t>Sa 2 / Del / 2020</t>
  </si>
  <si>
    <t>Sa 1113 / Del / 2019</t>
  </si>
  <si>
    <t>Vedanta Ltd ( Successor To Cairn India Limited)</t>
  </si>
  <si>
    <t xml:space="preserve">Curative Pet(c) No. 000110 -  / 2020</t>
  </si>
  <si>
    <t>Sesa Sterlite Ltd. (now Known As Vedanta Ltd.)</t>
  </si>
  <si>
    <t>W.p.(c)-13036-2019</t>
  </si>
  <si>
    <t>Assistant Commissioner Of Income Tax, Circle 26(1)</t>
  </si>
  <si>
    <t>Sa1112/del/2019</t>
  </si>
  <si>
    <t>Vedanta Ltd (successor To Cairn India Limited)</t>
  </si>
  <si>
    <t>Sa1111/del/2019</t>
  </si>
  <si>
    <t>The Adit., (intl.taxn.)</t>
  </si>
  <si>
    <t>Sa1109/del/2019</t>
  </si>
  <si>
    <t>Sa1110/del/2019</t>
  </si>
  <si>
    <t>Sa 1107 / Del / 2019</t>
  </si>
  <si>
    <t>Acit, Circle-26(2)</t>
  </si>
  <si>
    <t>Excise/79056/2018-kolkata</t>
  </si>
  <si>
    <t>W.p.(c)-13048-2019</t>
  </si>
  <si>
    <t xml:space="preserve">Assistant Commissioner Of Income-tax </t>
  </si>
  <si>
    <t>W.p.(c)-13030-2019</t>
  </si>
  <si>
    <t>Wp 1043/2019</t>
  </si>
  <si>
    <t>Vedanta Ltd., Thr. Its Aut. Rep., Benicio Menezes.,</t>
  </si>
  <si>
    <t>Union Of India, Thr. The Secretary, Dept. Of Revenue Ministry Of Finance, Govt. Of India And 3 Ors.,</t>
  </si>
  <si>
    <t>Arb.p.-788-2019</t>
  </si>
  <si>
    <t>Shree Cement Limited</t>
  </si>
  <si>
    <t>Excise/50574/2019-delhi</t>
  </si>
  <si>
    <t>Jodhpur 1</t>
  </si>
  <si>
    <t>C.a. No. 009074 / 2019</t>
  </si>
  <si>
    <t>Dhaivat Anjaria |state Bank Of India Through Branch Manager |vedanta Ltd.</t>
  </si>
  <si>
    <t xml:space="preserve">C.a. No. 001133 -  / 2019</t>
  </si>
  <si>
    <t>M/s Sp Enterprises</t>
  </si>
  <si>
    <t xml:space="preserve">Committee Of Creditors |floor C Wing Unit 103 Corporate Avenue Atul Projects Chakala Andheri (east) Mumbai   District: Mumbai Mumbai           Maharashtra           |m/s Electrosteel Steels Limited |shri Daivat Anjaria |vedanta Limited</t>
  </si>
  <si>
    <t xml:space="preserve">C.a. No. 001629 -  / 2019</t>
  </si>
  <si>
    <t>A.r. Services Private Limited</t>
  </si>
  <si>
    <t xml:space="preserve">C.a. No. 001631 -  / 2019</t>
  </si>
  <si>
    <t xml:space="preserve">Committee Of Creditors Through State Bank Of India |dhaivat Anjaria |electrosteel Steels Limited |jawaharlal Nehru Road   District: Kolkata Kolkata          West Bengal         |vedanta Limited</t>
  </si>
  <si>
    <t xml:space="preserve">C.a. No. 001627 -  / 2019</t>
  </si>
  <si>
    <t>Committee Of Creditors |dhaivat Anjaria Resolution Professional |electrosteel Steels Ltd. |vedanta Limited</t>
  </si>
  <si>
    <t xml:space="preserve">C.a. No. 001626 -  / 2019</t>
  </si>
  <si>
    <t>N.r. Construction Pvt. Limited</t>
  </si>
  <si>
    <t>Committee Of Creditors |dhaivat Anjaria Resoulution Professional |electrosteel Steels Limited |vedanta Limited Director</t>
  </si>
  <si>
    <t xml:space="preserve">C.a. No. 001600 -  / 2019</t>
  </si>
  <si>
    <t>Royal Infra And Logs</t>
  </si>
  <si>
    <t>Committee Of Creditors |dhaivat Anjaria |electrosteel Steels Limited |vedanta Limited Through Director</t>
  </si>
  <si>
    <t xml:space="preserve">C.a. No. 001630 -  / 2019</t>
  </si>
  <si>
    <t>Spachetech Equipments And Structural Pvt. Ltd.</t>
  </si>
  <si>
    <t>Committee Of Creditors State Bank Of India |dhaivat Anjaria Resolution Professional |electrosteel Steels Ltd. |vedanta Limited Director</t>
  </si>
  <si>
    <t>C.a. No. 009080 / 2019</t>
  </si>
  <si>
    <t>Navsagar Steel And Alloys</t>
  </si>
  <si>
    <t>Committee Of Creditors |dhaivat Anjaia |electrosteel Steels Limited |saaraogi Udyog Pvt. Ltd. |vedanta Limited</t>
  </si>
  <si>
    <t>C.a. No. 009079 / 2019</t>
  </si>
  <si>
    <t>Poonam Enterprise</t>
  </si>
  <si>
    <t>Committee Of Creditors Through State Bank Of India |dhaivat Anjaria |electrosteel Steels Limited |sarogi Udyog Pvt. Ltd. |vedanta Limited Director</t>
  </si>
  <si>
    <t>C.a. No. 009081 / 2019</t>
  </si>
  <si>
    <t>Triveni Engicons Private Limited</t>
  </si>
  <si>
    <t xml:space="preserve">Committee Of Creditors Through State Bank Of India |electrosteel Steels Limited |jawaharlal Nehru Road Kolkata   District: Kolkata Kolkata          West Bengal         |shri Dhaivat Anjaria |vedanta Limited</t>
  </si>
  <si>
    <t>Wp 1005/2019</t>
  </si>
  <si>
    <t>Vedanta Ltd., Thr. Its Aut. Sign., Sauvick Mazumdar And Anr.,</t>
  </si>
  <si>
    <t>Director Of Mines And Geology, Govt. Of Goa And 2 Ors.,</t>
  </si>
  <si>
    <t>Stxa 2/2019</t>
  </si>
  <si>
    <t>Vedanta Ltd., (formerly Known As Sesa Sterlite Ltd.) Thr. Its Aut. Sign., Benicio Menezes.,</t>
  </si>
  <si>
    <t>Assistant Commissioner Of Central, Excise And Service Tax Div-i, Panaji.,</t>
  </si>
  <si>
    <t>Stxa 4/2019</t>
  </si>
  <si>
    <t>Stxa 7/2019</t>
  </si>
  <si>
    <t>Stxa 8/2019</t>
  </si>
  <si>
    <t>Stxa 5/2019</t>
  </si>
  <si>
    <t>Stxa 6/2019</t>
  </si>
  <si>
    <t>Service Tax/78799/2018-kolkata</t>
  </si>
  <si>
    <t>Excise/12051/2018-ahmadabad</t>
  </si>
  <si>
    <t>Excise/12052/2018-ahmadabad</t>
  </si>
  <si>
    <t>Excise/12050/2018-ahmadabad</t>
  </si>
  <si>
    <t>Excise/12053/2018-ahmadabad</t>
  </si>
  <si>
    <t>Excise/12054/2018-ahmadabad</t>
  </si>
  <si>
    <t>Service Tax/87431/2015-mumbai</t>
  </si>
  <si>
    <t>Wp/1729/2011</t>
  </si>
  <si>
    <t xml:space="preserve"> M/s.sterlite Industries, M/s.vedanta Ltd</t>
  </si>
  <si>
    <t xml:space="preserve"> Assistant Commissioner Of</t>
  </si>
  <si>
    <t xml:space="preserve">Ma 001925 -  / 2019</t>
  </si>
  <si>
    <t>The State Of Rajasthan</t>
  </si>
  <si>
    <t>Vedanta Limited Formerly Known As Cairn India Limited</t>
  </si>
  <si>
    <t xml:space="preserve">R.p.(c) No. 002184 -  / 2019</t>
  </si>
  <si>
    <t>A/3007/2017</t>
  </si>
  <si>
    <t xml:space="preserve"> Masyc Projects Pvt.ltd.,</t>
  </si>
  <si>
    <t>Op/517/2016</t>
  </si>
  <si>
    <t>Service Tax/77167/2019-kolkata</t>
  </si>
  <si>
    <t>Service Tax/77167/2019</t>
  </si>
  <si>
    <t xml:space="preserve">C.a. No. 010954 -  / 2018</t>
  </si>
  <si>
    <t>Deys Steel Fabricator (india) Pvt Ltd</t>
  </si>
  <si>
    <t>Committee Of Creditor |dhaivat Anjaria Resolution Professional |electrosteel Steels Limited |vedanta Limited</t>
  </si>
  <si>
    <t>C.a. No. 009844 - 009888 / 2010</t>
  </si>
  <si>
    <t>Commr.of Cus.cen.exc.&amp; Ser Tax</t>
  </si>
  <si>
    <t>Ita-873-2019</t>
  </si>
  <si>
    <t>Pr. Commissioner Of Income Tax-09 New Delhi</t>
  </si>
  <si>
    <t>M/s. Vedanta Ltd. (successor To Cairn India Ltd)</t>
  </si>
  <si>
    <t>Regular</t>
  </si>
  <si>
    <t>Stxa 3/2019</t>
  </si>
  <si>
    <t>Nms/2183/2019</t>
  </si>
  <si>
    <t xml:space="preserve">Creative Outerwear Ltd &amp; Anr  | Sesa Goa Ltd.</t>
  </si>
  <si>
    <t>Uttar Pradesh District Court</t>
  </si>
  <si>
    <t>Mv</t>
  </si>
  <si>
    <t>Mv/9506/2019</t>
  </si>
  <si>
    <t xml:space="preserve"> Up State</t>
  </si>
  <si>
    <t>Sa 889 / Del / 2019</t>
  </si>
  <si>
    <t>O.s./25/2017</t>
  </si>
  <si>
    <t xml:space="preserve"> Srinivasa</t>
  </si>
  <si>
    <t xml:space="preserve"> The General Manager M/s Sesa Sterlite Ltd</t>
  </si>
  <si>
    <t>Cma/3199/2019</t>
  </si>
  <si>
    <t xml:space="preserve"> The Commissioner Of Central Excise</t>
  </si>
  <si>
    <t>Cmp/18229/2019</t>
  </si>
  <si>
    <t>Nms/2096/2019</t>
  </si>
  <si>
    <t xml:space="preserve">Creative Outerwear Ltd &amp; Anr  | Sesa Goa Ltd</t>
  </si>
  <si>
    <t>Ita 6091 / Del / 2018</t>
  </si>
  <si>
    <t>Wp 1123/2016</t>
  </si>
  <si>
    <t>Vedanta Ltd., Thr. Its Aut. Sig. Navnath L. Vhatte And Anr.,</t>
  </si>
  <si>
    <t>State Of Goa, Thr. Chief Secretary And Anr.,</t>
  </si>
  <si>
    <t>Excise/77072/2019-kolkata</t>
  </si>
  <si>
    <t>Excise/77074/2019-kolkata</t>
  </si>
  <si>
    <t>Wp(c)/2365/2019</t>
  </si>
  <si>
    <t>Excise/77074/2019</t>
  </si>
  <si>
    <t>Excise/77072/2019</t>
  </si>
  <si>
    <t>Op/1115/2018</t>
  </si>
  <si>
    <t xml:space="preserve"> M/s.sgs India Private Limited</t>
  </si>
  <si>
    <t>A/9660/2018</t>
  </si>
  <si>
    <t>A/2220/2019</t>
  </si>
  <si>
    <t>Ita-700-2019</t>
  </si>
  <si>
    <t>Wp(c)/3771/2019</t>
  </si>
  <si>
    <t xml:space="preserve"> Vedanta Limited.</t>
  </si>
  <si>
    <t xml:space="preserve">R.p.(c) No. 001783 -  / 2019</t>
  </si>
  <si>
    <t>Wp(c)/9926/2019</t>
  </si>
  <si>
    <t>P.c.r./442/2017</t>
  </si>
  <si>
    <t xml:space="preserve"> Jayaprathibha</t>
  </si>
  <si>
    <t>M.a./30/2016</t>
  </si>
  <si>
    <t xml:space="preserve"> M/s Mineral Enterprises Ltd.,, Vedanta Limited</t>
  </si>
  <si>
    <t xml:space="preserve"> Rajappa</t>
  </si>
  <si>
    <t>Wp/27396/2019</t>
  </si>
  <si>
    <t xml:space="preserve"> The Deputy Commissioner</t>
  </si>
  <si>
    <t>Cw/10125/2017</t>
  </si>
  <si>
    <t>Company Appeal</t>
  </si>
  <si>
    <t>Coa 1/2019</t>
  </si>
  <si>
    <t>Vedanta Ltd., Thr. Poa, Nabal Kishor Sharma.,</t>
  </si>
  <si>
    <t>Global Energy Pvt. Ltd.,</t>
  </si>
  <si>
    <t>Maharashtra District Court</t>
  </si>
  <si>
    <t>Notice Of Motion/101888/2019</t>
  </si>
  <si>
    <t xml:space="preserve"> Ms  Rushabh  Sealink Pvt Ltd</t>
  </si>
  <si>
    <t xml:space="preserve"> Vedanta Limited And Anr</t>
  </si>
  <si>
    <t>Cw/12635/2021</t>
  </si>
  <si>
    <t xml:space="preserve"> Jobner Private Industrial Training Institute</t>
  </si>
  <si>
    <t>Ca/2/2020</t>
  </si>
  <si>
    <t xml:space="preserve"> Vedanta Ltd., (earlier Known As Sesa Goa Ltd./sesa Sterlite Ltd), Thr. Its Aut. Sign., Joseph Coelh</t>
  </si>
  <si>
    <t>C.r.p.-260-1993</t>
  </si>
  <si>
    <t>Tapati Basu</t>
  </si>
  <si>
    <t>Crl.p/9612/2021</t>
  </si>
  <si>
    <t>Warrant Or Summons Criminal Case</t>
  </si>
  <si>
    <t>Warrant Or Summons Criminal Case/2191/2022</t>
  </si>
  <si>
    <t xml:space="preserve"> U.p. State</t>
  </si>
  <si>
    <t>Wp/34892/2007</t>
  </si>
  <si>
    <t xml:space="preserve"> M/s.  Cairn Energy India Pty, M/s.  Vedanta Limited,</t>
  </si>
  <si>
    <t xml:space="preserve"> Assistant Dirctor Of Income</t>
  </si>
  <si>
    <t>Crma/66/2022</t>
  </si>
  <si>
    <t xml:space="preserve"> The Police Inspector</t>
  </si>
  <si>
    <t>Wp(md)/7939/2022</t>
  </si>
  <si>
    <t>Wmp(md)/5958/2022</t>
  </si>
  <si>
    <t>Cmp/7157/2022</t>
  </si>
  <si>
    <t xml:space="preserve"> Board Of Trustees Of Port Of Chennai</t>
  </si>
  <si>
    <t>Crma/101/2022</t>
  </si>
  <si>
    <t xml:space="preserve"> State Of Goa</t>
  </si>
  <si>
    <t>Wp/6451/2022</t>
  </si>
  <si>
    <t xml:space="preserve"> Vedanta Ltd And Anr</t>
  </si>
  <si>
    <t xml:space="preserve"> Government Of Maharashtra Thr. Principal Secretary And Ors</t>
  </si>
  <si>
    <t>Fao(os) (comm)-179-2022</t>
  </si>
  <si>
    <t>Ca/104/2016</t>
  </si>
  <si>
    <t xml:space="preserve"> Vedanta Ltd. (formerly Known As Sterlite Industries (india) Ltd. Rep. By Benicio Menezes.</t>
  </si>
  <si>
    <t xml:space="preserve"> Asstt. Commissioner Of Income Tax Circle 1(1), Panaji And Anr.</t>
  </si>
  <si>
    <t>Wp/305/2019</t>
  </si>
  <si>
    <t xml:space="preserve"> Vedanta Ltd., Rep. By Poa, Nabal Kishor Sharma.,</t>
  </si>
  <si>
    <t>Wp/484/2016</t>
  </si>
  <si>
    <t>Cra/41/2016</t>
  </si>
  <si>
    <t xml:space="preserve"> Vedanta Ltd., Earlier Known As Sesa Goa Ltd.,</t>
  </si>
  <si>
    <t xml:space="preserve"> Krishna Harinarayan Bajaj And 5 Ors.,</t>
  </si>
  <si>
    <t>Mfa/8346/2017</t>
  </si>
  <si>
    <t xml:space="preserve"> Smt. Yashodamma</t>
  </si>
  <si>
    <t>Mfa/8449/2019</t>
  </si>
  <si>
    <t xml:space="preserve"> Sri N R Venkatesh</t>
  </si>
  <si>
    <t>Wp/36415/2016</t>
  </si>
  <si>
    <t>Crl.p/7827/2018</t>
  </si>
  <si>
    <t xml:space="preserve"> Central Bureau Of Investigation</t>
  </si>
  <si>
    <t>Mfa/8344/2017</t>
  </si>
  <si>
    <t xml:space="preserve"> Smt G S Murigemma</t>
  </si>
  <si>
    <t>Wp/42980/2016</t>
  </si>
  <si>
    <t>Crl.p/11244/2011</t>
  </si>
  <si>
    <t xml:space="preserve"> Sepco Electric Power Construction Corporation.</t>
  </si>
  <si>
    <t xml:space="preserve"> Vedanta Ltd., (successors Of The Madras Aluminium Co. Ltd.).,</t>
  </si>
  <si>
    <t xml:space="preserve"> Asstt. Commissioner Of Income Tax, Circel 1(1), Panaji And Anr.,</t>
  </si>
  <si>
    <t xml:space="preserve"> Vedanta Limited, Erstwhile Sesa Sterlite Ltd./sesa Goa Ltd.,</t>
  </si>
  <si>
    <t xml:space="preserve"> The Commissioner Of Income Tax, Panaji, Goa.</t>
  </si>
  <si>
    <t xml:space="preserve"> M/s Asian Oilfield Services Ltd Rep By Authorized Rep. Mr. Nitin Chadha</t>
  </si>
  <si>
    <t xml:space="preserve"> Sesa Goa Limited.,</t>
  </si>
  <si>
    <t xml:space="preserve"> -</t>
  </si>
  <si>
    <t xml:space="preserve"> Commissioner Of Customs And Central Excise.,</t>
  </si>
  <si>
    <t>Wp/439/2017</t>
  </si>
  <si>
    <t xml:space="preserve"> Asst. Commissioner Of Income Tax Circel 1(1), Panaji And 2 Ors.,</t>
  </si>
  <si>
    <t>Wp/703/2017</t>
  </si>
  <si>
    <t xml:space="preserve"> Pundalik Raghoba Shirgaonkar @ Pundalik Raghoba Gaonkar.,</t>
  </si>
  <si>
    <t xml:space="preserve"> State Of Goa Thr. Its Chief Secretary And 5 Ors.,</t>
  </si>
  <si>
    <t>Ea</t>
  </si>
  <si>
    <t>Ea/1/2016</t>
  </si>
  <si>
    <t xml:space="preserve"> Masyc Projects Private Limited.</t>
  </si>
  <si>
    <t xml:space="preserve"> Vedanta Limited @ Sesa Goa Limited.</t>
  </si>
  <si>
    <t>Txa/1/2016</t>
  </si>
  <si>
    <t xml:space="preserve"> Commissioner Of Income Tax, Panaji, Goa.</t>
  </si>
  <si>
    <t>Wp/7668/2015</t>
  </si>
  <si>
    <t>Crl.p/11376/2011</t>
  </si>
  <si>
    <t xml:space="preserve"> M/s Sesa Goa Limited,</t>
  </si>
  <si>
    <t xml:space="preserve"> State Of Karnataka,</t>
  </si>
  <si>
    <t>Ca/139/2018</t>
  </si>
  <si>
    <t xml:space="preserve"> Sanjay Ankush Redkar.,</t>
  </si>
  <si>
    <t xml:space="preserve"> Goa State Pollution Control Board And 8 Ors.,</t>
  </si>
  <si>
    <t xml:space="preserve"> Innovatherm Gmbh Rep. Herein By Its Duly Authorized Signatory Mr. Nimesh Doshi</t>
  </si>
  <si>
    <t xml:space="preserve"> Electrification Charpente Levages S.a.s. Rep. By Mr. Anish Ghoshal</t>
  </si>
  <si>
    <t xml:space="preserve"> Innovatherm Gmbh Rep. By Authorized Signatory  Mr. Nimesh Doshi</t>
  </si>
  <si>
    <t>Mca/274/2013</t>
  </si>
  <si>
    <t xml:space="preserve"> The Joint Commissioner Of Income-tax Range-1 And 2 Ors.,</t>
  </si>
  <si>
    <t>Mca/640/2019</t>
  </si>
  <si>
    <t xml:space="preserve"> Sherwyn Filipe Francisco Correia.,</t>
  </si>
  <si>
    <t>Mca/1042/2013</t>
  </si>
  <si>
    <t xml:space="preserve"> Indian Bureau Of Mines, Government Of India</t>
  </si>
  <si>
    <t xml:space="preserve"> State Of Goa Through Its Chief Secretary And  18 Ors.,</t>
  </si>
  <si>
    <t>Pilwp/24/2018</t>
  </si>
  <si>
    <t xml:space="preserve"> Sherwyn Filipe Francisco Correia And 5 Ors.,</t>
  </si>
  <si>
    <t xml:space="preserve"> The Joint Commissioner Of Income Tax</t>
  </si>
  <si>
    <t xml:space="preserve"> The Additional Commissioner Of Income-tax</t>
  </si>
  <si>
    <t xml:space="preserve"> The Commissioner Of Income Tax</t>
  </si>
  <si>
    <t xml:space="preserve"> The Joint Commissioner Of Income Tax Range 1, And 8 Ors.,</t>
  </si>
  <si>
    <t xml:space="preserve"> The Joint Commissioner Of Income-tax Range-1 And 8 Ors.,</t>
  </si>
  <si>
    <t xml:space="preserve"> The Union Of India Through The Ministry Of Finance And Anr.,</t>
  </si>
  <si>
    <t>Civil -cross Objection Cases</t>
  </si>
  <si>
    <t>Xob/20/2013</t>
  </si>
  <si>
    <t xml:space="preserve"> The New India Assurance Com. Ltd.,</t>
  </si>
  <si>
    <t xml:space="preserve">Writ Petition Under Art.226 &amp; 227.  22810  Of  2017</t>
  </si>
  <si>
    <t xml:space="preserve">Writ Petition Under Art.226 &amp; 227.  1330  Of  2018</t>
  </si>
  <si>
    <t>M/s.vedanta Ltd.</t>
  </si>
  <si>
    <t>Chandigarh District Court</t>
  </si>
  <si>
    <t>Cs Cj</t>
  </si>
  <si>
    <t>Cs Cj/2425/2018</t>
  </si>
  <si>
    <t xml:space="preserve"> Defence Secretary, Union Of India</t>
  </si>
  <si>
    <t>Rajasthan District Court</t>
  </si>
  <si>
    <t>Civil Misc. Connected (41)</t>
  </si>
  <si>
    <t>Civil Misc. Connected (41)/81/2018</t>
  </si>
  <si>
    <t xml:space="preserve"> Vedanta Limited Nagana Barmer</t>
  </si>
  <si>
    <t xml:space="preserve"> Aanjna Construction Compnay</t>
  </si>
  <si>
    <t>Civil Misc. Connected (41)/82/2018</t>
  </si>
  <si>
    <t>2 (c)c.c.</t>
  </si>
  <si>
    <t>2 (c)c.c./8/2017</t>
  </si>
  <si>
    <t xml:space="preserve"> Pradeep Kumar Mohanty</t>
  </si>
  <si>
    <t xml:space="preserve"> Wartsila India Pvt Ltd., Vedanta Ltd. Lanjigarh</t>
  </si>
  <si>
    <t>Civil -caveat Cases</t>
  </si>
  <si>
    <t>Ca/290/2018</t>
  </si>
  <si>
    <t>Mv/6168/2019</t>
  </si>
  <si>
    <t xml:space="preserve"> Writ Petition(md)  6979  Of  2014</t>
  </si>
  <si>
    <t xml:space="preserve"> Writ Petition(md)  6980  Of  2014</t>
  </si>
  <si>
    <t xml:space="preserve"> Writ Petition(md)  6981  Of  2014</t>
  </si>
  <si>
    <t xml:space="preserve"> Writ Petition(md)  6982  Of  2014</t>
  </si>
  <si>
    <t xml:space="preserve"> Writ Petition(md)  13324  Of  2015</t>
  </si>
  <si>
    <t xml:space="preserve">Civil Appeal     9844-9888 /2010</t>
  </si>
  <si>
    <t xml:space="preserve">Slp (civil)     31647/2012</t>
  </si>
  <si>
    <t>Ramachandra Vaman Naik &amp; Ors.</t>
  </si>
  <si>
    <t>M/s Sesa Goa Limited &amp; Ors.</t>
  </si>
  <si>
    <t xml:space="preserve">Civil Appeal     10753-10770 /2014</t>
  </si>
  <si>
    <t>Commissioner Of Customs (port), Kolkata</t>
  </si>
  <si>
    <t xml:space="preserve">Civil Appeal     10832-10833 /2014</t>
  </si>
  <si>
    <t xml:space="preserve">Civil Appeal     10872-10890 /2014</t>
  </si>
  <si>
    <t xml:space="preserve">Civil Appeal     5791-5821 /2014</t>
  </si>
  <si>
    <t>M/s.sesa Sterlite Ltd.</t>
  </si>
  <si>
    <t>C.c.e.,customs &amp; S.tax, Bhubaneshwar</t>
  </si>
  <si>
    <t xml:space="preserve"> Wp(c) - Writ Petition Under Art.226 &amp; 227.  5540  Of  2016</t>
  </si>
  <si>
    <t xml:space="preserve"> Tax Case Appeal  230  Of  2014</t>
  </si>
  <si>
    <t xml:space="preserve">  Addl Commissioner Of Income</t>
  </si>
  <si>
    <t xml:space="preserve"> Civil Misc. Petition  2430  Of  2016</t>
  </si>
  <si>
    <t xml:space="preserve">  Ms.roopa G Pai</t>
  </si>
  <si>
    <t xml:space="preserve"> Writ Misc. Petition  876  Of  2016</t>
  </si>
  <si>
    <t>Pc_9691_2006</t>
  </si>
  <si>
    <t>M/s sesa goa ltd. &amp; ors.</t>
  </si>
  <si>
    <t>Pc_15002_2012</t>
  </si>
  <si>
    <t>Ramachandra vaman naik &amp; ors.   </t>
  </si>
  <si>
    <t>M/s sesa goa limited &amp; ors.</t>
  </si>
  <si>
    <t>Pc_9599_2014</t>
  </si>
  <si>
    <t>Ministry of corporate affairs   </t>
  </si>
  <si>
    <t>Sesa goa ltd &amp; ors</t>
  </si>
  <si>
    <t>Ac_9844_2010</t>
  </si>
  <si>
    <t>M/s sesa goa ltd.   </t>
  </si>
  <si>
    <t>Commr.of cus.cen.exc.&amp; ser tax</t>
  </si>
  <si>
    <t>Sc_31361_2009</t>
  </si>
  <si>
    <t>M/s sesa goa limited   </t>
  </si>
  <si>
    <t>State of karnataka &amp; ors.</t>
  </si>
  <si>
    <t>Sc_6851_2007</t>
  </si>
  <si>
    <t>E.s.i.corporation   </t>
  </si>
  <si>
    <t>M/s sesa goa ltd.</t>
  </si>
  <si>
    <t>Sc_31647_2012</t>
  </si>
  <si>
    <t>Pc_967_2007</t>
  </si>
  <si>
    <t>Commissioner of income tax,panji &amp; ors.   </t>
  </si>
  <si>
    <t>Sesa goa ltd.</t>
  </si>
  <si>
    <t>Sc_31445_2013</t>
  </si>
  <si>
    <t>M/s sesa sterlite ltd and anr   </t>
  </si>
  <si>
    <t>Union of india and ors</t>
  </si>
  <si>
    <t>Rc_692_2014</t>
  </si>
  <si>
    <t>Sesa sterlite ltd   </t>
  </si>
  <si>
    <t>Samaj parivarthana samudaya &amp; ors</t>
  </si>
  <si>
    <t>Acd_30203_2013</t>
  </si>
  <si>
    <t>Ac_5791_2014</t>
  </si>
  <si>
    <t>M/s.sesa sterlite ltd.   </t>
  </si>
  <si>
    <t>C.c.e.,customs &amp; s.tax, bhubaneshwar</t>
  </si>
  <si>
    <t>Pc_1922_2007</t>
  </si>
  <si>
    <t>Commnr. of income tax, panaji &amp; ors.   </t>
  </si>
  <si>
    <t>Pc_2970_2007</t>
  </si>
  <si>
    <t>Pc_821_2007</t>
  </si>
  <si>
    <t>Dy. commr. of income tax, goa &amp; anr.   </t>
  </si>
  <si>
    <t>M/s. sesa goa ltd.</t>
  </si>
  <si>
    <t>Sr_1381_2009</t>
  </si>
  <si>
    <t>Pc_18902_2013</t>
  </si>
  <si>
    <t>Cit-central-iii,goa   </t>
  </si>
  <si>
    <t xml:space="preserve"> Civil Misc. Appeal  2384  Of  2016</t>
  </si>
  <si>
    <t xml:space="preserve"> Commissioner Of Customs &amp;</t>
  </si>
  <si>
    <t xml:space="preserve">  M/s Sesa Sterlite Ltd.,</t>
  </si>
  <si>
    <t xml:space="preserve"> Original Petition  775  Of  2016</t>
  </si>
  <si>
    <t xml:space="preserve">  Three Star Shipping Services</t>
  </si>
  <si>
    <t xml:space="preserve"> Wp(c) - Writ Petition Under Art.226 &amp; 227.  20088  Of  2016</t>
  </si>
  <si>
    <t xml:space="preserve">Civil Appeal     12362/2016</t>
  </si>
  <si>
    <t>Sesa Sterlite Limited (now Known As Ved</t>
  </si>
  <si>
    <t xml:space="preserve">Civil Appeal     5448-5449 /2017</t>
  </si>
  <si>
    <t>M/s. Vedanta Limited (formerly Known As</t>
  </si>
  <si>
    <t xml:space="preserve">Application  5866  Of  2017</t>
  </si>
  <si>
    <t xml:space="preserve">  M/s.sesa Goa Limited</t>
  </si>
  <si>
    <t xml:space="preserve">Application  4843  Of  2017</t>
  </si>
  <si>
    <t>Masyc Projects Pvt.ltd.</t>
  </si>
  <si>
    <t xml:space="preserve">  Vedanta Limited</t>
  </si>
  <si>
    <t xml:space="preserve">Civil Misc.petition(md)  7936  Of  2017</t>
  </si>
  <si>
    <t>Dreymoor Fertilizers Overseas</t>
  </si>
  <si>
    <t xml:space="preserve">  M/s.sesa Sterlite Limited</t>
  </si>
  <si>
    <t xml:space="preserve">Writ Misc. Petition(md)  14603  Of  2017</t>
  </si>
  <si>
    <t xml:space="preserve">Writ Misc. Petition(md)  14604  Of  2017</t>
  </si>
  <si>
    <t>Section 34</t>
  </si>
  <si>
    <t xml:space="preserve">Original Petition  59  Of  2018</t>
  </si>
  <si>
    <t>M/s.sgs India Pvt.ltd.</t>
  </si>
  <si>
    <t xml:space="preserve">  M/s.vedanta Limited</t>
  </si>
  <si>
    <t>Cma</t>
  </si>
  <si>
    <t>Cma/9/2015</t>
  </si>
  <si>
    <t xml:space="preserve"> Vinayakrao Dessai</t>
  </si>
  <si>
    <t>Os/4212/2008</t>
  </si>
  <si>
    <t xml:space="preserve"> Heritage Investments, The Sesa Goa Ltd</t>
  </si>
  <si>
    <t xml:space="preserve">Writ Misc. Petition(md)  12008  Of  2018</t>
  </si>
  <si>
    <t>Vedanta Limited| Unit:sterlite</t>
  </si>
  <si>
    <t xml:space="preserve">  State Of Tamil Nadu</t>
  </si>
  <si>
    <t>Gauhati Hc</t>
  </si>
  <si>
    <t>Rfa/40/2015</t>
  </si>
  <si>
    <t xml:space="preserve"> Ms Poonam Gattani</t>
  </si>
  <si>
    <t xml:space="preserve"> Sesa Sterlite Limited And 4 Ors</t>
  </si>
  <si>
    <t>Tca</t>
  </si>
  <si>
    <t>Tca/402/2018</t>
  </si>
  <si>
    <t xml:space="preserve"> The Assistant Commissioner Of</t>
  </si>
  <si>
    <t>Tca/404/2018</t>
  </si>
  <si>
    <t>Cmp/9285/2018</t>
  </si>
  <si>
    <t>Wp(c)/6060/2018</t>
  </si>
  <si>
    <t>Wmp/8290/2018</t>
  </si>
  <si>
    <t>Tca/401/2018</t>
  </si>
  <si>
    <t>Tca/403/2018</t>
  </si>
  <si>
    <t xml:space="preserve"> The Deputy Commissioner Of</t>
  </si>
  <si>
    <t>Cmp/9283/2018</t>
  </si>
  <si>
    <t>Cmp/9284/2018</t>
  </si>
  <si>
    <t xml:space="preserve">Writ Misc. Petition(md)  18169  Of  2018</t>
  </si>
  <si>
    <t xml:space="preserve">  Fatima</t>
  </si>
  <si>
    <t>O.m.p. (comm)-70-2018</t>
  </si>
  <si>
    <t>Shenzhen Shandong Nulcear Power Construction Compa</t>
  </si>
  <si>
    <t>Wmp/876/2016</t>
  </si>
  <si>
    <t>Wp/5772/2019</t>
  </si>
  <si>
    <t>Wp/5792/2019</t>
  </si>
  <si>
    <t>Wp(c)/17332/2019</t>
  </si>
  <si>
    <t>Wmp/9996/2019</t>
  </si>
  <si>
    <t>Wmp/10003/2019</t>
  </si>
  <si>
    <t>Wmp/35571/2019</t>
  </si>
  <si>
    <t xml:space="preserve"> Deputy Commissioner Of Income Tax</t>
  </si>
  <si>
    <t>Tca/400/2017</t>
  </si>
  <si>
    <t xml:space="preserve"> Vedanta Ltd, The Successor In</t>
  </si>
  <si>
    <t xml:space="preserve"> The Asst.commissioner Of</t>
  </si>
  <si>
    <t>Wp/5771/2019</t>
  </si>
  <si>
    <t>Wp/5773/2019</t>
  </si>
  <si>
    <t>Wp/5776/2019</t>
  </si>
  <si>
    <t>I.a.(civil)</t>
  </si>
  <si>
    <t>I.a.(civil)/1373/2019</t>
  </si>
  <si>
    <t xml:space="preserve"> Ms. Poonam Gattani</t>
  </si>
  <si>
    <t xml:space="preserve"> Vedanta Limited And 4 Ors</t>
  </si>
  <si>
    <t>A/9732/2019</t>
  </si>
  <si>
    <t>Wmp/10002/2019</t>
  </si>
  <si>
    <t>Cmp(md)/4159/2020</t>
  </si>
  <si>
    <t>Wp(md)/12969/2020</t>
  </si>
  <si>
    <t xml:space="preserve"> The Assistant Commissioner Of Customs</t>
  </si>
  <si>
    <t>Kolkata Appellate Hc</t>
  </si>
  <si>
    <t>Custa/3/2015</t>
  </si>
  <si>
    <t xml:space="preserve"> Commissioner Of Customs (port) &amp;amp; Anr.</t>
  </si>
  <si>
    <t>Wp(c)/24503/2020</t>
  </si>
  <si>
    <t xml:space="preserve"> Mahanadi Coalfields Ltd.</t>
  </si>
  <si>
    <t>Criminal -fundamental / Legal Rights Violation Cases</t>
  </si>
  <si>
    <t>Crlmp/3688/2021</t>
  </si>
  <si>
    <t xml:space="preserve"> Muthuraman</t>
  </si>
  <si>
    <t xml:space="preserve"> Vedanta Limited, Thoothukudi</t>
  </si>
  <si>
    <t>Wpc/1792/2020</t>
  </si>
  <si>
    <t xml:space="preserve"> Ms Vedanta Limited Represented Through Mr Ashutosh Guru</t>
  </si>
  <si>
    <t xml:space="preserve"> The State Of Jharkhand Through Secretary Mines And Geology</t>
  </si>
  <si>
    <t>Wp(c)/13111/2020</t>
  </si>
  <si>
    <t xml:space="preserve"> Bimal Majhi</t>
  </si>
  <si>
    <t>Wp(c)/10280/2021</t>
  </si>
  <si>
    <t xml:space="preserve"> Odisha Mining Corporation Ltd.</t>
  </si>
  <si>
    <t>Cmp(md)/1152/2021</t>
  </si>
  <si>
    <t xml:space="preserve"> Vedanta Limited, Rrep.by A.sumathi,</t>
  </si>
  <si>
    <t xml:space="preserve"> T.leelavathi,</t>
  </si>
  <si>
    <t>Wp(c)/11180/2020</t>
  </si>
  <si>
    <t>Wpc/951/2021</t>
  </si>
  <si>
    <t xml:space="preserve"> Vedanta Limited Through Vivek Nigam Assoicate General Manager</t>
  </si>
  <si>
    <t xml:space="preserve"> Union Of India Through Secretary Of Mines</t>
  </si>
  <si>
    <t>Cmp(md)/1606/2021</t>
  </si>
  <si>
    <t>Wpa</t>
  </si>
  <si>
    <t>Wpa/16472/2010</t>
  </si>
  <si>
    <t xml:space="preserve"> Sesa Goa Ltd. &amp;amp; Anr.</t>
  </si>
  <si>
    <t xml:space="preserve"> Union Of India &amp;amp; Ors.</t>
  </si>
  <si>
    <t>Wpa/16524/2010</t>
  </si>
  <si>
    <t xml:space="preserve"> Sesa Goa Ltd &amp;amp; Ors</t>
  </si>
  <si>
    <t xml:space="preserve"> Union Of India &amp;amp; Ors</t>
  </si>
  <si>
    <t>Telangana Hc</t>
  </si>
  <si>
    <t>Wpa/9346/2013</t>
  </si>
  <si>
    <t xml:space="preserve"> Commissioner Of Customs (port), Kolkata</t>
  </si>
  <si>
    <t xml:space="preserve"> M/s Sesa Goa Ltd &amp;amp; Anr</t>
  </si>
  <si>
    <t>Wpa/9348/2013</t>
  </si>
  <si>
    <t xml:space="preserve"> Commissioner Of Customs (port),kolkata</t>
  </si>
  <si>
    <t>Wpa/9354/2013</t>
  </si>
  <si>
    <t xml:space="preserve"> Commissioner Of Customs (port) Kolkata</t>
  </si>
  <si>
    <t xml:space="preserve"> M/s. Sesa Goa Ltd &amp;amp; Ors</t>
  </si>
  <si>
    <t>Wp(c)/31616/2020</t>
  </si>
  <si>
    <t>Wp(c)/24789/2020</t>
  </si>
  <si>
    <t xml:space="preserve"> Subrat Bhoi</t>
  </si>
  <si>
    <t>Wp/34891/2007</t>
  </si>
  <si>
    <t xml:space="preserve"> M/s.  Cairn Energy India Pty, M/s. Vedanta Limited,</t>
  </si>
  <si>
    <t>Crlmp/4647/2021</t>
  </si>
  <si>
    <t xml:space="preserve"> Vedanta Ltd.through Its Agm (finance)formerly Konwn As Sterlite Indus.india Ltd Sipcot Complex Tuty</t>
  </si>
  <si>
    <t xml:space="preserve"> None</t>
  </si>
  <si>
    <t>Ex</t>
  </si>
  <si>
    <t>Ex/184/2021</t>
  </si>
  <si>
    <t xml:space="preserve"> Vedanta Limited Formerly Cairns India Limited</t>
  </si>
  <si>
    <t>Ao/1/2020</t>
  </si>
  <si>
    <t>Wa/711/2021</t>
  </si>
  <si>
    <t xml:space="preserve"> State Of Odisha, M/s. Vedanta Limited, Jharsuguda</t>
  </si>
  <si>
    <t>Wp/5154/2021</t>
  </si>
  <si>
    <t>Wp/13274/2020</t>
  </si>
  <si>
    <t xml:space="preserve"> Shri A K Verma</t>
  </si>
  <si>
    <t xml:space="preserve"> Ministry Of Labour And Employment, M/s Sesa Sterlite Ltd</t>
  </si>
  <si>
    <t>Wp/13179/2021</t>
  </si>
  <si>
    <t xml:space="preserve"> Vedanta Limited (formerly Known As Sesa Goa Ltd And Sesa Sterlite Ltd)</t>
  </si>
  <si>
    <t>Wp(c)/28088/2021</t>
  </si>
  <si>
    <t xml:space="preserve"> Susanta Harijan</t>
  </si>
  <si>
    <t xml:space="preserve"> State Of Odisha, Vedanta Ltd</t>
  </si>
  <si>
    <t>Wp/10/2021</t>
  </si>
  <si>
    <t xml:space="preserve"> Sidhesh Gawas And Anr| Viraj Naik</t>
  </si>
  <si>
    <t xml:space="preserve"> State Of Goa, Thr. Its Chief Secretary And 5 Ors| The Collector| The Member Secretary, Goa State Pollution Control Board| The Ministry Of Environment And Forest And Climate Change, Thr. Its Secretary| The Secretary, Village Panchayat Of Navelim| The</t>
  </si>
  <si>
    <t>Wp/2370/2021</t>
  </si>
  <si>
    <t>Wp/3/2021</t>
  </si>
  <si>
    <t xml:space="preserve"> Pravir P. Fadte</t>
  </si>
  <si>
    <t xml:space="preserve"> State Of Goa, Thr. The Chief Secretary And 3 Ors| The District Magistrate/collector (north Goa)| The Goa State Pollution Control Board, Thr. Its Chairman.| Vedanta Ltd. (sesa Goa Ltd.)</t>
  </si>
  <si>
    <t>Ita-43-2019</t>
  </si>
  <si>
    <t xml:space="preserve">Vs.   Principal Commissioner Of Income Tax-9, New Delhi</t>
  </si>
  <si>
    <t>Excise/42296/2017-chennai</t>
  </si>
  <si>
    <t>Wp/3477/2013</t>
  </si>
  <si>
    <t xml:space="preserve"> M/s.vedanta Limited,, The Madras Aluminium Company</t>
  </si>
  <si>
    <t>Wp/3674/2021</t>
  </si>
  <si>
    <t xml:space="preserve"> Karnataka Lokayukta</t>
  </si>
  <si>
    <t>Wp(c)/22397/2020</t>
  </si>
  <si>
    <t xml:space="preserve"> Odisha Mineral Corporation Ltd.</t>
  </si>
  <si>
    <t>Wp(c)/9926/2020</t>
  </si>
  <si>
    <t xml:space="preserve"> The Odisha Mining Corporation Limited</t>
  </si>
  <si>
    <t>Excise/76296/2018-kolkata</t>
  </si>
  <si>
    <t>Excise/76296/2018</t>
  </si>
  <si>
    <t>Service Tax/40516/2014-chennai</t>
  </si>
  <si>
    <t>Service Tax/40933/2016-chennai</t>
  </si>
  <si>
    <t>Service Tax/40229/2014-chennai</t>
  </si>
  <si>
    <t>Lpa-346-2018</t>
  </si>
  <si>
    <t>Union Of Inida &amp; Anr</t>
  </si>
  <si>
    <t>Vedanta Ltd &amp; Ors</t>
  </si>
  <si>
    <t>Slp(c) No. 010159 - 010168 / 2020</t>
  </si>
  <si>
    <t xml:space="preserve">St Street Koilpillai Nagarenter123therman Nagarenter123thoothikudi-628006enter123tamil Nadu  Thoothukkudi           Tamil Nadu          |director Of Boilers |director/ Dgp |fatima  |g. Hariraghavan  |joint Director |k. S. Arjunan  |opp To Alagar Scho</t>
  </si>
  <si>
    <t>Arb.p.-462-2020</t>
  </si>
  <si>
    <t>Criminal -re-examination Cases</t>
  </si>
  <si>
    <t>Crl.r.p./2/2021</t>
  </si>
  <si>
    <t xml:space="preserve"> The State Of Karnataka</t>
  </si>
  <si>
    <t xml:space="preserve"> Port Conservator Belekeri Port</t>
  </si>
  <si>
    <t>Ita 9495 / Del / 2019</t>
  </si>
  <si>
    <t>Sa 248 / Del / 2020</t>
  </si>
  <si>
    <t>Scs/84/2017</t>
  </si>
  <si>
    <t>Scs/8/2019</t>
  </si>
  <si>
    <t>0320-direct Taxes Matter : Re-assessment/revisional Power/rectification</t>
  </si>
  <si>
    <t xml:space="preserve">Slp(c) No. 005482 -  / 2020</t>
  </si>
  <si>
    <t>Assistant Commissioner Of Income Tax |pr. Commissioner Of Income Tax |union Of India Ministry Of Finance</t>
  </si>
  <si>
    <t>Sesa Sterlite Limited (formerly Known As Sesa Goa Limited)</t>
  </si>
  <si>
    <t>O.m.p.(i)-7-2020</t>
  </si>
  <si>
    <t>Scs/5/2020</t>
  </si>
  <si>
    <t xml:space="preserve"> Resources International</t>
  </si>
  <si>
    <t xml:space="preserve">Slp(c) No. 015873 -  / 2020</t>
  </si>
  <si>
    <t>Assistant Commissioner Of Income Tax Company Circle V (4) |commissioner Of Income Tax Iii</t>
  </si>
  <si>
    <t>Sta 1738/2020</t>
  </si>
  <si>
    <t>Vedanta Limited Thr. Its Aut. Sign., Benicio Menezes And Anr.,</t>
  </si>
  <si>
    <t>Union Of India, Thr. The Secretary, Dept. Of Revenue And 3 Ors.,</t>
  </si>
  <si>
    <t>Stm 1721/2020</t>
  </si>
  <si>
    <t>Vedanta Ltd.,thr.its Aut. Sign., Benicio Menezes/.</t>
  </si>
  <si>
    <t>Union Of India, Thr. The Secretary, Dept. Of Revenue, Ministry Of Finance, Govt. Of Goa And 3 Ors.,</t>
  </si>
  <si>
    <t xml:space="preserve">C.a. No. 010067 -  / 2018</t>
  </si>
  <si>
    <t>Renaissance Steel India Pvt. Ltd.</t>
  </si>
  <si>
    <t>Dhaivat Anjaria Resolution Professional Electrosteel Steels Ltd. |electroseel Steels Ltd. |the State Bank Of India |vedanta Ltd.</t>
  </si>
  <si>
    <t>Wp(c)/454/2020</t>
  </si>
  <si>
    <t xml:space="preserve"> Dasarath Patel</t>
  </si>
  <si>
    <t xml:space="preserve"> The Collector Cum Dm, Jharsuguda, Vedanta Ltd.,</t>
  </si>
  <si>
    <t>W.p.(c)-3823-2020</t>
  </si>
  <si>
    <t>Assistant Commissioner Of Income Tax Tds Circle 78</t>
  </si>
  <si>
    <t>Txa 1/2016</t>
  </si>
  <si>
    <t>Vedanta Limited, Erstwhile Sesa Sterlite Ltd./sesa Goa Ltd.,</t>
  </si>
  <si>
    <t>Commissioner Of Income Tax, Panaji, Goa.</t>
  </si>
  <si>
    <t>Txa 25/2014</t>
  </si>
  <si>
    <t>Excise/51264/2017-delhi</t>
  </si>
  <si>
    <t>Raipur</t>
  </si>
  <si>
    <t>Spma/20/1996</t>
  </si>
  <si>
    <t>A.k. Menon, Custodian</t>
  </si>
  <si>
    <t xml:space="preserve">Harshad S Mehta  | Sesa Goa Limited,  | Reg. Of Companies</t>
  </si>
  <si>
    <t>Spmp/156/1995</t>
  </si>
  <si>
    <t xml:space="preserve">Mr. A.k.  Menon, Custodian</t>
  </si>
  <si>
    <t xml:space="preserve">Harshad Shantilal Mehta  | Sesa Goa Ltd  | The Registar Of Companies</t>
  </si>
  <si>
    <t>Spma/516/1995</t>
  </si>
  <si>
    <t>Hitesh S. Mehta</t>
  </si>
  <si>
    <t xml:space="preserve">M/s Sesa Goa Ltd. &amp; Anr.  | The   Custodian .</t>
  </si>
  <si>
    <t>Spma/495/1995</t>
  </si>
  <si>
    <t>Sudhir S Mehta</t>
  </si>
  <si>
    <t>Spma/493/1995</t>
  </si>
  <si>
    <t>Harshad S Mehta</t>
  </si>
  <si>
    <t>Spma/496/1995</t>
  </si>
  <si>
    <t>Jyoti H. Mehta</t>
  </si>
  <si>
    <t>Spma/498/1995</t>
  </si>
  <si>
    <t>Deepika A. Mehta</t>
  </si>
  <si>
    <t>Spma/494/1995</t>
  </si>
  <si>
    <t>Ashwin S Mehta</t>
  </si>
  <si>
    <t>Spma/497/1995</t>
  </si>
  <si>
    <t>Pratima H. Mehta</t>
  </si>
  <si>
    <t>Spma/442/1995</t>
  </si>
  <si>
    <t>Fairgrowth Financial Services Ltd</t>
  </si>
  <si>
    <t xml:space="preserve">M/s Sesa Goa Ltd.  | The Custodian</t>
  </si>
  <si>
    <t>Spma/466/1995</t>
  </si>
  <si>
    <t>Dhanraj Mills Pvt. Ltd.</t>
  </si>
  <si>
    <t xml:space="preserve">Central Bureau Of Investigation  | The Custodian  | Sesa Goa Limited,</t>
  </si>
  <si>
    <t>Excise/125/1995-mumbai</t>
  </si>
  <si>
    <t>Stamp Number (appln )/400/2003</t>
  </si>
  <si>
    <t>Coap/32/2003</t>
  </si>
  <si>
    <t>Ao/74/2002</t>
  </si>
  <si>
    <t xml:space="preserve">Shri Vaman Bombi Gawade,sattari  Ors.</t>
  </si>
  <si>
    <t>Sesa Goa Ltd.sattari,goa And Anr.</t>
  </si>
  <si>
    <t>Stamp Number (appln )/2104/2002</t>
  </si>
  <si>
    <t>Company Application (d.b.)</t>
  </si>
  <si>
    <t>Stamp Number (appln )/2431/2002</t>
  </si>
  <si>
    <t>Sesa Goa Ltd.panaji-goa.</t>
  </si>
  <si>
    <t>Coap/65/2002</t>
  </si>
  <si>
    <t>Misc Civil Application/496/2001</t>
  </si>
  <si>
    <t>Stamp Number (appln )/2313/2001</t>
  </si>
  <si>
    <t>Stamp Number (appln )/2103/2002</t>
  </si>
  <si>
    <t xml:space="preserve">Shri Vaman Bombi Gawade, Sattari-goa  Ors</t>
  </si>
  <si>
    <t>Sesa Goa Ltdsattari-goa And Anr</t>
  </si>
  <si>
    <t>Ca/369/2002</t>
  </si>
  <si>
    <t>Stamp Number (appln )/1223/2002</t>
  </si>
  <si>
    <t>Misc Civil Application/298/2002</t>
  </si>
  <si>
    <t>Misc Civil Application/103/2002</t>
  </si>
  <si>
    <t>Stamp Number (appln )/338/2002</t>
  </si>
  <si>
    <t>Wp/404/2001</t>
  </si>
  <si>
    <t>Wp/406/2001</t>
  </si>
  <si>
    <t>Stamp Number (appln )/2579/2001</t>
  </si>
  <si>
    <t>Stamp Number (appln )/2581/2001</t>
  </si>
  <si>
    <t>Rfa_168_1998</t>
  </si>
  <si>
    <t>New mangalore port trust, panambur</t>
  </si>
  <si>
    <t>Sesa goa ltd., goa</t>
  </si>
  <si>
    <t>Spma/545/1997</t>
  </si>
  <si>
    <t xml:space="preserve">Stock  Holding   Corporation  Of India Ltd.</t>
  </si>
  <si>
    <t xml:space="preserve">The   Custodian  | The Astt. Commissioner Of Income Tax  | The Bombay Stock Exchange.  | The Calcutta Stock Exch.. Association Ltd.  | The Madras Stock Exchange Ltd.  | The Delhi Stock Exchange Assoc. Ltd.  | Harshad Mehta  | Ashwin S. Mehta  | Jyoti</t>
  </si>
  <si>
    <t>Sc_15485_1997</t>
  </si>
  <si>
    <t>Sesa goa ltd   </t>
  </si>
  <si>
    <t>Cent.inland water tpt corpn &amp; anr</t>
  </si>
  <si>
    <t>Customs/707/1997-mumbai</t>
  </si>
  <si>
    <t>Sc_8900_1997</t>
  </si>
  <si>
    <t>State of goa &amp; ors</t>
  </si>
  <si>
    <t xml:space="preserve"> Writ Misc. Petition  877  Of  2016</t>
  </si>
  <si>
    <t>Spma/53/1994</t>
  </si>
  <si>
    <t>Assistant Commisioner Of Income Tax</t>
  </si>
  <si>
    <t xml:space="preserve">The Custodian  | The Bombay Stock Exchange.  | The Calcutta Stock Exch.. Association Ltd.  | The Delhi Stock Exchange Assoc. Ltd.  | The Madras Stock Exchange Ltd.  | Harshad Mehta  | Ashwin S. Mehta  | Jyoti H Mehta  | Sudhir Mehta  | The Associated</t>
  </si>
  <si>
    <t>Cmp(md)/3985/2023</t>
  </si>
  <si>
    <t>Cmp(md)/3988/2023</t>
  </si>
  <si>
    <t>Cmp(md)/3990/2023</t>
  </si>
  <si>
    <t>Sa159/del/2023</t>
  </si>
  <si>
    <t>Vedanta Ltd ( Succossor To Cairn India Limited (application Of Cairn Energy Cambay Bv-allowed To Be Continued By Erstwhile Cairn India Ltd Under Scheme Of Arrangeme Appoved B Ho''le Bombay High Cour)</t>
  </si>
  <si>
    <t>Acit, Circle 26(2), Inernaional Axation</t>
  </si>
  <si>
    <t>Sa160/del/2023</t>
  </si>
  <si>
    <t>Vedanta Ltd (successor To Cairn India Limited (application Of Cairn Energy Cambay Bv-allowed To Be Continued By Erstwhile Cairn India Ltd. Under Scheme Of Arrangement Approved By Hon</t>
  </si>
  <si>
    <t>Acit, Circle-26(2), International Taxation</t>
  </si>
  <si>
    <t>Ita-104-2020</t>
  </si>
  <si>
    <t>Principal Commissioner Of Income Tax, Delhi- 9</t>
  </si>
  <si>
    <t>M/s Vedanta Ltd. (successor To M/s. Cairn India Lt</t>
  </si>
  <si>
    <t>Sa158/del/2023</t>
  </si>
  <si>
    <t xml:space="preserve">Vedanta Ltd (successor To Cairn India Limited (application Of Cairn Energy Gujarat Bv-allowed To Be Continued By Erstwhile Cairn India Ltd. Under Scheme Of Arrangement Appoved  Ho''ble Bombay High Court)</t>
  </si>
  <si>
    <t xml:space="preserve">Acit, Circle 26(2),  International Taxation</t>
  </si>
  <si>
    <t>Sa157/del/2023</t>
  </si>
  <si>
    <t>Vedanta Ltd (successor To Cairn India Limited (application Of Cairn Energy Gujarat Bv-allowed To Be Continued By Erstwhile Cairn India Ltd. Under Scheme Of Arrangement Approved By Hon''ble Bombay High Court)</t>
  </si>
  <si>
    <t>Acit, Circle 26(2) International Taxation</t>
  </si>
  <si>
    <t>Sa156/del/2023</t>
  </si>
  <si>
    <t>Vedanta Ltd (successor To Cairn India Ltd. (appeal Of Cairn Energy India West Bv Continued By Erstwhile Cairn India Ltd. Under Scheme Of Arrangement Approved By Hon""ble Bombay High Court)</t>
  </si>
  <si>
    <t>Acit, Circle 26(2), International Taxation</t>
  </si>
  <si>
    <t>Sa161/del/2023</t>
  </si>
  <si>
    <t>Vedanta Ltd (succossor To Cairn India Limited ( Application Of Cairn Energy India West Bv-allowed To Be Continued By Erstwhile Cairn India Ltd. Under Scheme Of Arrangement Approved By Hon''ble Bombay High Court)</t>
  </si>
  <si>
    <t>Cmp(md)/3693/2023</t>
  </si>
  <si>
    <t>Cmp(md)/3694/2023</t>
  </si>
  <si>
    <t>2401-indirect Taxation : Customs Act, Customs Tariff Act, Export, Import And Anti-dumping Duty</t>
  </si>
  <si>
    <t>C.a. No. 007625 - 007653 / 2014</t>
  </si>
  <si>
    <t>Commissioner Of Coustoms(port) |commissioner Of Customs |commissioner Of Customs (port) Kolkata Etc.</t>
  </si>
  <si>
    <t>Ita759/del/2023</t>
  </si>
  <si>
    <t>Acit, Circle-25(1)</t>
  </si>
  <si>
    <t>Excise/0040103/2023-chennai</t>
  </si>
  <si>
    <t>Vedanta Ltd Formerly Sesa Sterlite Limited</t>
  </si>
  <si>
    <t>Customs/0075127/2023-kolkata</t>
  </si>
  <si>
    <t>Kolkata-port</t>
  </si>
  <si>
    <t>Ita83/pan/2017</t>
  </si>
  <si>
    <t>0318-direct Taxes Matter : Deductions/exemptions</t>
  </si>
  <si>
    <t>Vedanta Ltd. (erstwhile Cairn India Ltd.)</t>
  </si>
  <si>
    <t>Wmp(md)/5956/2022</t>
  </si>
  <si>
    <t>Wmp(md)/6337/2017</t>
  </si>
  <si>
    <t>Wp(md)/11831/2019</t>
  </si>
  <si>
    <t>Wp(md)/8351/2021</t>
  </si>
  <si>
    <t>Wmp(md)/6338/2017</t>
  </si>
  <si>
    <t xml:space="preserve"> Vedanta Ltd, (successor Of</t>
  </si>
  <si>
    <t>Mca/60/2023</t>
  </si>
  <si>
    <t xml:space="preserve"> The Goa Foundation Thr Its Secretary Dr. Claude Alvares</t>
  </si>
  <si>
    <t xml:space="preserve">2402-indirect Taxation : Central Excise Act, Central Excise Tariff Act </t>
  </si>
  <si>
    <t>C.a. No. 001223 - 001241 / 2016</t>
  </si>
  <si>
    <t>Commissioner Of Customs Tuticorin</t>
  </si>
  <si>
    <t>Andhra Pradesh District Court</t>
  </si>
  <si>
    <t>S.o.p/4/2022</t>
  </si>
  <si>
    <t xml:space="preserve"> Gollapalli  Venkata  Mutyam</t>
  </si>
  <si>
    <t xml:space="preserve"> M/s  Vedanta Limited  A Regd.company Mumbai</t>
  </si>
  <si>
    <t>Wp(c)/14030/2017</t>
  </si>
  <si>
    <t>O.s./370/2019</t>
  </si>
  <si>
    <t>Wp(c)/33278/2020</t>
  </si>
  <si>
    <t>Wp(c)/24499/2020</t>
  </si>
  <si>
    <t>Excise/12630/2018-ahmadabad</t>
  </si>
  <si>
    <t>Wp(c)/32720/2022</t>
  </si>
  <si>
    <t xml:space="preserve"> M/s Vedanta Ltd., Mumbai</t>
  </si>
  <si>
    <t xml:space="preserve"> The Addl. Commnr. Office Of Commnr. Of Gst, Bbsr</t>
  </si>
  <si>
    <t>O.m.p.(efa)(comm.)-5-2017</t>
  </si>
  <si>
    <t xml:space="preserve">Vedanta Limited,  &amp; Anr.</t>
  </si>
  <si>
    <t>Government Of India, Through Jt. Secretary, Minist</t>
  </si>
  <si>
    <t>Omp (enf.) (comm.)-225-2018</t>
  </si>
  <si>
    <t>Wp(md)/8270/2017</t>
  </si>
  <si>
    <t>O.s./434/2017</t>
  </si>
  <si>
    <t xml:space="preserve"> Vedanta Limited  Formerly Known As Sesa Goa  And Sesa  Sterlite</t>
  </si>
  <si>
    <t xml:space="preserve"> G.s. Bhadrappa</t>
  </si>
  <si>
    <t>C.a. No. 000991 - 000992 / 2021</t>
  </si>
  <si>
    <t>Ministry Of Environment Forest And Climate Change |the Department Of Mines And Geology Through Its Director |the Goa Foundation |the Goa State Pollution Control Board |the State Of Goa Through Its Chief Secretary</t>
  </si>
  <si>
    <t>Wmp/25401/2017</t>
  </si>
  <si>
    <t>Wmp/25402/2017</t>
  </si>
  <si>
    <t>Wp(c)/11646/2022</t>
  </si>
  <si>
    <t>Ita-384-2019</t>
  </si>
  <si>
    <t>Ita-259-2019</t>
  </si>
  <si>
    <t>The Pr. Commissoner Of Income Tax -9</t>
  </si>
  <si>
    <t>Ita-347-2019</t>
  </si>
  <si>
    <t>Arbp/38/2022</t>
  </si>
  <si>
    <t xml:space="preserve"> M/s. Alex Stewart International (india) Pvt. Ltd.</t>
  </si>
  <si>
    <t xml:space="preserve"> M/s. Vedanta Ltd. Aluminium And Power, M/s. Sesa Sterlite Ltd.</t>
  </si>
  <si>
    <t>Wp/455/2009</t>
  </si>
  <si>
    <t xml:space="preserve"> Sesa Goa Limited Through Company Secretary And General Manager Chandrashekhar D. Chitnis And An</t>
  </si>
  <si>
    <t>Wp(c)/2220/2021</t>
  </si>
  <si>
    <t xml:space="preserve"> Odisha Electricity Regulatory Commission</t>
  </si>
  <si>
    <t>Ia/3673/2019</t>
  </si>
  <si>
    <t xml:space="preserve"> The Special Director, Enforcement Directorate Mumbai</t>
  </si>
  <si>
    <t>Ca/334/2018</t>
  </si>
  <si>
    <t>Arb. A. (comm.)-1-2021</t>
  </si>
  <si>
    <t>Union Of India Through Ministry Of Petroleum And N</t>
  </si>
  <si>
    <t xml:space="preserve">Vedanta Ltd </t>
  </si>
  <si>
    <t>O.m.p.(i) (comm.)-307-2020</t>
  </si>
  <si>
    <t>Union Of India Ministry Of Petroleum And Natural G</t>
  </si>
  <si>
    <t xml:space="preserve">Vedanta Ltd. </t>
  </si>
  <si>
    <t>Sat Tribunal</t>
  </si>
  <si>
    <t>Ra 21/2022</t>
  </si>
  <si>
    <t>Sa 331 / Del / 2022</t>
  </si>
  <si>
    <t>O.m.p. (comm)-471-2019</t>
  </si>
  <si>
    <t>Leighton India Contractors Private Limited</t>
  </si>
  <si>
    <t>Vedanta Limited [formerly Cairn India Limited)</t>
  </si>
  <si>
    <t>Ita/68/2023</t>
  </si>
  <si>
    <t>Ita/114/2023</t>
  </si>
  <si>
    <t>Land / Property Matters</t>
  </si>
  <si>
    <t>Civil -land Acquisition Cases</t>
  </si>
  <si>
    <t>Laa/8/2026</t>
  </si>
  <si>
    <t xml:space="preserve"> Vedanta Ltd.,jharsuguda</t>
  </si>
  <si>
    <t xml:space="preserve"> Pradeep Kumar Awasti</t>
  </si>
  <si>
    <t>O.s./326/2023</t>
  </si>
  <si>
    <t xml:space="preserve"> Sirajuddin</t>
  </si>
  <si>
    <t xml:space="preserve"> M/s Mineral Enterprises Ltd| M/s Vedanta Limited</t>
  </si>
  <si>
    <t>O.s./328/2023</t>
  </si>
  <si>
    <t xml:space="preserve"> M/s Mineral Enterprises Ltd, M/s Vedanta Limited</t>
  </si>
  <si>
    <t>Cw/16731/2024</t>
  </si>
  <si>
    <t xml:space="preserve"> Oil And Natural Gas Corporation Ltd.</t>
  </si>
  <si>
    <t xml:space="preserve"> Central Board Of Indirect Taxes And Customs| Goods And Services Tax Council| State Of Rajasthan| The Joint Commissioner (state Tax)| Union Of India| Vedanta Ltd.</t>
  </si>
  <si>
    <t>Wp(md)/24204/2025</t>
  </si>
  <si>
    <t xml:space="preserve"> Tamil Nadu Power Distribution Corporation Ltd.,(tnpdcl)</t>
  </si>
  <si>
    <t>Wmp(md)/18998/2025</t>
  </si>
  <si>
    <t>Wmp(md)/18999/2025</t>
  </si>
  <si>
    <t>Wmp(md)/19000/2025</t>
  </si>
  <si>
    <t>Wmp(md)/19003/2025</t>
  </si>
  <si>
    <t>Cma(md)/64/2026</t>
  </si>
  <si>
    <t xml:space="preserve"> Commissioner Of Customs (import)</t>
  </si>
  <si>
    <t>Wmp/9185/2026</t>
  </si>
  <si>
    <t xml:space="preserve"> National Railways Export And Import Labour Union</t>
  </si>
  <si>
    <t>Wmp/8855/2026</t>
  </si>
  <si>
    <t>Wp(c)/1005/2026</t>
  </si>
  <si>
    <t xml:space="preserve"> Vedanta Limited, Jharsuguda</t>
  </si>
  <si>
    <t>Lpa-83-2026</t>
  </si>
  <si>
    <t>J</t>
  </si>
  <si>
    <t>Cs</t>
  </si>
  <si>
    <t>Cs/6/2025</t>
  </si>
  <si>
    <t xml:space="preserve"> The Communidade Of Bordem</t>
  </si>
  <si>
    <t>Scs/6/2017</t>
  </si>
  <si>
    <t xml:space="preserve"> Vishwanath S.hinde</t>
  </si>
  <si>
    <t xml:space="preserve"> Goa Energy Private Limited| M/s Vedanta Ltd.</t>
  </si>
  <si>
    <t>Rent Matters</t>
  </si>
  <si>
    <t>Civil -rent Control Cases</t>
  </si>
  <si>
    <t>R.c.a./24/2024</t>
  </si>
  <si>
    <t xml:space="preserve"> Vedanta Ltd Alias Starlite Industries Ltd Through Siddesh Bhalchandra Ghadi Associate Manager</t>
  </si>
  <si>
    <t xml:space="preserve"> Maharashtra Industrial Development Corporation Ratnagiri  Regional Officer</t>
  </si>
  <si>
    <t>Wmp/7467/2026</t>
  </si>
  <si>
    <t xml:space="preserve"> Ponraj Subramanian</t>
  </si>
  <si>
    <t>Wmp/7776/2026</t>
  </si>
  <si>
    <t>Wmp/7789/2026</t>
  </si>
  <si>
    <t xml:space="preserve"> Thoothukudi Makkal Valvathara Pathugappu Iyakkam</t>
  </si>
  <si>
    <t>Wp/665/2026</t>
  </si>
  <si>
    <t xml:space="preserve"> M/s Vedanta Ltd., Mumbai, Thr. P.o.a., Mr. Karni Singh Rajora</t>
  </si>
  <si>
    <t xml:space="preserve"> M/s Sunflag Iron And Steel Co. Ltd., Nagpur</t>
  </si>
  <si>
    <t>Coms</t>
  </si>
  <si>
    <t>Coms/32/2020</t>
  </si>
  <si>
    <t>Wp(c)/4971/2026</t>
  </si>
  <si>
    <t xml:space="preserve"> M/s.vedanta Ltd, Mumbai</t>
  </si>
  <si>
    <t xml:space="preserve"> Commissioner Of Commercial Taxes, Odisha, Cuttack</t>
  </si>
  <si>
    <t>Wp/21547/2019</t>
  </si>
  <si>
    <t xml:space="preserve"> Fatima    M/s.a.yogeshwaran, B.poongkhulai,g.annapoorani,v.chethana,anush Shetty</t>
  </si>
  <si>
    <t xml:space="preserve"> 112| State Of Tamil Nadu,| Tamil Nadu Pollution Control Board,| The Central Pollution Control Board| The District Collector,| Vedanta Limited,</t>
  </si>
  <si>
    <t>Wmp/5437/2026</t>
  </si>
  <si>
    <t>Wmp/5439/2026</t>
  </si>
  <si>
    <t>Wmp/3450/2026</t>
  </si>
  <si>
    <t xml:space="preserve"> Mr. Ponraj Subramanian</t>
  </si>
  <si>
    <t>Wmp/3459/2026</t>
  </si>
  <si>
    <t>West Bengal District Court</t>
  </si>
  <si>
    <t>Civil -marriage Cases</t>
  </si>
  <si>
    <t>Ms/146/2023</t>
  </si>
  <si>
    <t xml:space="preserve"> Assam Kerala Roadways Private Limited</t>
  </si>
  <si>
    <t>Civil -property Disputes</t>
  </si>
  <si>
    <t>Title Suit/322/2024</t>
  </si>
  <si>
    <t xml:space="preserve"> Baharat Aluminium Company Limited</t>
  </si>
  <si>
    <t xml:space="preserve"> The Secretary, Navneet Club</t>
  </si>
  <si>
    <t>O.s./597/2024</t>
  </si>
  <si>
    <t xml:space="preserve"> Sriram</t>
  </si>
  <si>
    <t>Scs/23/2014</t>
  </si>
  <si>
    <t xml:space="preserve"> Mr. Vinayak @ Vinayakrao Dessai</t>
  </si>
  <si>
    <t>Cwp/27829/2025</t>
  </si>
  <si>
    <t xml:space="preserve"> Nawal Kishore    Petitioner In Person| Presiding Officer , Labour Court-2, Gurugram</t>
  </si>
  <si>
    <t xml:space="preserve"> Presiding Officer , Labour Court-2, Gurugram| Vedanta Limited</t>
  </si>
  <si>
    <t>Ts/363/2018</t>
  </si>
  <si>
    <t xml:space="preserve"> Savita Patwari</t>
  </si>
  <si>
    <t>Cw/9641/2025</t>
  </si>
  <si>
    <t>O.s./18/2023</t>
  </si>
  <si>
    <t xml:space="preserve"> Chitradurga Adiru Mattu Saraku Samagrigala Saganike Lorry Malikara Sangha(r)</t>
  </si>
  <si>
    <t>Cw/4349/2018</t>
  </si>
  <si>
    <t xml:space="preserve"> Vedanta Limited    Varun Singhvi, Abhishek Mehta| Vedanta Limited Registered Office First Floor,</t>
  </si>
  <si>
    <t xml:space="preserve"> Collector Stamps,| Inspector General Stamps,| State Of Rajasthan And Ors.| The State Of Rajasthan Through Secretary,</t>
  </si>
  <si>
    <t>Os/105/2024</t>
  </si>
  <si>
    <t xml:space="preserve"> Murali Karthik| Padmavathy And 2 Others| Saraswathy</t>
  </si>
  <si>
    <t xml:space="preserve"> Apcotex Industries Limited.,| Ashok Layland Limited.,| Chambal Fertilisers And Chemicals Ltd.,| Digjam Ltd.,| Itc Limited| Jsw Steel Ltd.,| Larsen And Toubro Ltd.,| Raymond Ltd.,| Reliance Capital| Reliance Industries Limited.,| Saurashtra Chemicals</t>
  </si>
  <si>
    <t>Civil Suit/128/2024</t>
  </si>
  <si>
    <t>Rcs</t>
  </si>
  <si>
    <t>Rcs/22/2021</t>
  </si>
  <si>
    <t xml:space="preserve"> Narayan S. Patil</t>
  </si>
  <si>
    <t>Coms/11/2020</t>
  </si>
  <si>
    <t xml:space="preserve"> M/s. Tirupati Fuels Private Limited</t>
  </si>
  <si>
    <t>Ts/364/2018</t>
  </si>
  <si>
    <t xml:space="preserve"> Ganesh Patwari</t>
  </si>
  <si>
    <t>O.s./319/2023</t>
  </si>
  <si>
    <t xml:space="preserve"> Geethamma</t>
  </si>
  <si>
    <t>Succ. Court</t>
  </si>
  <si>
    <t>Succ. Court/100/2024</t>
  </si>
  <si>
    <t xml:space="preserve"> Narayan Krishnamurthy</t>
  </si>
  <si>
    <t xml:space="preserve"> Bala Krishnamurty| Bihar Sponge Iron Limited| Chemplast Sanmar Limited| Itc Ltd.| Jayshree Motwani| Sterlite Technologies Limited| The State And Ors.| Vedanta Ltd.| Vegepro Foods And Feeds Limited</t>
  </si>
  <si>
    <t>Succ. Court/102/2024</t>
  </si>
  <si>
    <t xml:space="preserve"> Vinod Kumar Ahuja</t>
  </si>
  <si>
    <t xml:space="preserve"> Abb Limited| Alkyl Amines Chemicals Limited| Apcotex Industries Ltd| Apm Inustriea Limited| Benares Hotels Limited| Castrol India Ltd| Ceat Limited| Dcm Shriram Industries Ltd| Dcm Srhiram Limited| Garware Shipping Corporation| Gillanders Arbuthnot </t>
  </si>
  <si>
    <t>Cwp/38066/2025</t>
  </si>
  <si>
    <t xml:space="preserve"> Excise And Taxation Officer</t>
  </si>
  <si>
    <t>Wmap/368/2024</t>
  </si>
  <si>
    <t xml:space="preserve"> Durga Ram</t>
  </si>
  <si>
    <t xml:space="preserve"> Assistant Manager| Chief C.s.r. Office| M/s Vedanta Ltd. (cairn Oil And Gas)| Manager| State Of Rajasthan| The District Collector| The Sub-divisional Officer| The Tehsildar</t>
  </si>
  <si>
    <t>Cw/11157/2019</t>
  </si>
  <si>
    <t>Wp/35870/2025</t>
  </si>
  <si>
    <t>Cs/161/2009</t>
  </si>
  <si>
    <t xml:space="preserve"> Ajay Kayan &amp;amp; Ors.</t>
  </si>
  <si>
    <t xml:space="preserve"> Vedanta Limited &amp;amp; Ors</t>
  </si>
  <si>
    <t>Cw/10618/2025</t>
  </si>
  <si>
    <t>Rcs/49/2022</t>
  </si>
  <si>
    <t xml:space="preserve"> Mangesh Naik</t>
  </si>
  <si>
    <t>Wp(c)/30914/2025</t>
  </si>
  <si>
    <t xml:space="preserve"> Mahatma Gandhi Smruti Sadan Gandhinagar, Belpahar,jharsuguda</t>
  </si>
  <si>
    <t xml:space="preserve"> Executive Officer, Belpahar Muniipality, Belpahar,jharsuguda| M/s Vedanta Ltd.,mumbai| State Of Odisha| State Pollution Control Board,bbsr| The General Manager, M/s Vedanta Ltd.,jharsuguda| Union Of India</t>
  </si>
  <si>
    <t>Cw/12377/2025</t>
  </si>
  <si>
    <t xml:space="preserve"> M/s Vedanta Limited,</t>
  </si>
  <si>
    <t>Scs/15/2021</t>
  </si>
  <si>
    <t xml:space="preserve"> Rohan Lobo</t>
  </si>
  <si>
    <t>Cw/3480/2024</t>
  </si>
  <si>
    <t xml:space="preserve"> Gena Ram</t>
  </si>
  <si>
    <t xml:space="preserve"> Chief Executive Officer| District Collector| Land Acquition Officer Cum Competent Authority| M/s Vedanta Limited| Manager (land Acquition)| Site Officer| State Of Rajasthan</t>
  </si>
  <si>
    <t>Spl.c.s./104/2024</t>
  </si>
  <si>
    <t xml:space="preserve"> Vedanta Limited Karita Mukhtyar Siddhesh Bhalchandra Ghadi|</t>
  </si>
  <si>
    <t xml:space="preserve"> Regional Officer For Maharashtra Industrial Development Corporation</t>
  </si>
  <si>
    <t>Mca/12/2015</t>
  </si>
  <si>
    <t xml:space="preserve"> Vedanta Limited, Autho. Resp. Mr. Jatin Kantilal Shah</t>
  </si>
  <si>
    <t xml:space="preserve"> Gujarat Industrial Development Coporation</t>
  </si>
  <si>
    <t>Cw/14647/2024</t>
  </si>
  <si>
    <t>Coms/3/2023</t>
  </si>
  <si>
    <t xml:space="preserve"> Directorate Of Mines And Geology</t>
  </si>
  <si>
    <t>Wp/49715/2025</t>
  </si>
  <si>
    <t xml:space="preserve"> State Of Tamilnadu,</t>
  </si>
  <si>
    <t>Wmp/17363/2024</t>
  </si>
  <si>
    <t>Op/212/2022</t>
  </si>
  <si>
    <t xml:space="preserve"> S.karthikeyan| S.selvaraj</t>
  </si>
  <si>
    <t xml:space="preserve"> Adani Enterprises Ltd| Adani Gas Ltd| Adani Green Energy Ltd| Adani Power Ltd| Adithya Birla Capital Ltd,| Ambuja Cements Ltd| Apollo Tyres Ltd| Ashok Leyland Ltd| Asian Hotel (north) Ltd,| Asian Hotels (east) Ltd.| Asian Hotels (west) Ltd| Bank Of </t>
  </si>
  <si>
    <t>Suit</t>
  </si>
  <si>
    <t>Suit/102640/2024</t>
  </si>
  <si>
    <t xml:space="preserve"> Sunil S.  Shahani</t>
  </si>
  <si>
    <t xml:space="preserve"> Vedanta Limited And Anr.</t>
  </si>
  <si>
    <t>Tca/230/2014</t>
  </si>
  <si>
    <t>O.s./70/2024</t>
  </si>
  <si>
    <t xml:space="preserve"> The Mine Manager</t>
  </si>
  <si>
    <t>Sca/11624/2021</t>
  </si>
  <si>
    <t>Arbap/24/2023</t>
  </si>
  <si>
    <t xml:space="preserve"> Narendra Road Lines</t>
  </si>
  <si>
    <t>Telangana District Court</t>
  </si>
  <si>
    <t>S.o.p</t>
  </si>
  <si>
    <t>S.o.p/102/2022</t>
  </si>
  <si>
    <t xml:space="preserve"> Bhanwarlal Byas| Bharath Bhushan Vyas| Madan Gopal Vyas| Madhav Byas| Motital Vyas</t>
  </si>
  <si>
    <t xml:space="preserve"> Aditya Birla Money Limited| Aftek Limited| Alok Industries Limited| Amar Raja Batteries Limited| Ashok Leyland Limited| Coal India Limited| Dhani Services Limited| Gammon India Limited| Gammon Infrastructures Projects Limted| Gold Stone Technologies</t>
  </si>
  <si>
    <t>Wp(c)/9617/2023</t>
  </si>
  <si>
    <t xml:space="preserve"> Vedanta Ltd., Mumbai</t>
  </si>
  <si>
    <t xml:space="preserve"> Odisha Mining Corp. Ltd., Bbsr</t>
  </si>
  <si>
    <t>69.4-arbitration U/s 11 (claim Value Less Than Rs. 15 Crore)</t>
  </si>
  <si>
    <t>Arb 143/2026</t>
  </si>
  <si>
    <t xml:space="preserve">Vedanta Limited ( Cairn Oil And  Gas Division)</t>
  </si>
  <si>
    <t>Tc/499/2008</t>
  </si>
  <si>
    <t xml:space="preserve"> The Asst. Commr. Of I.t</t>
  </si>
  <si>
    <t>Rcs/48/2022</t>
  </si>
  <si>
    <t xml:space="preserve"> Vinod Borkar</t>
  </si>
  <si>
    <t>Ms/2277/2022</t>
  </si>
  <si>
    <t xml:space="preserve"> M/s Assam Kerala Rodways Private Limited</t>
  </si>
  <si>
    <t>Wp/8568/2026</t>
  </si>
  <si>
    <t xml:space="preserve"> Assistant Commissioner Of Commercial Tax</t>
  </si>
  <si>
    <t>Crlmp/20432/2024</t>
  </si>
  <si>
    <t xml:space="preserve"> Vedanta Ltd|</t>
  </si>
  <si>
    <t xml:space="preserve"> Amr India Ltd And 5 Others</t>
  </si>
  <si>
    <t>Coms/10/2025</t>
  </si>
  <si>
    <t xml:space="preserve"> Directorate Of Mines And Geology| Public Work Department| State Of Goa</t>
  </si>
  <si>
    <t>Wp(c)/7413/2026</t>
  </si>
  <si>
    <t xml:space="preserve"> Vedanta Ltd. Sez., Jharsuguda</t>
  </si>
  <si>
    <t>Wp/9112/2016</t>
  </si>
  <si>
    <t>Wmp/8115/2016</t>
  </si>
  <si>
    <t>Wmp/8116/2016</t>
  </si>
  <si>
    <t>Wmp/8130/2016</t>
  </si>
  <si>
    <t>Sa 330 / Del / 2022</t>
  </si>
  <si>
    <t>Sa 332 / Del / 2022</t>
  </si>
  <si>
    <t>Sa 329 / Del / 2022</t>
  </si>
  <si>
    <t>Sa333/del/2022</t>
  </si>
  <si>
    <t>Ita-63-2021</t>
  </si>
  <si>
    <t xml:space="preserve">Assistant Commissioner Of Income Tax </t>
  </si>
  <si>
    <t>Wp(md)/23837/2018</t>
  </si>
  <si>
    <t xml:space="preserve"> S.p.muthu Raman</t>
  </si>
  <si>
    <t xml:space="preserve"> The District Collector,,  M/s.vedanta Ltd.,(previously</t>
  </si>
  <si>
    <t>Ra No. 21 Of 2022</t>
  </si>
  <si>
    <t xml:space="preserve">Slp(c) No. 016977 -  / 2018</t>
  </si>
  <si>
    <t>The Principal Commissioner Of Income Tax</t>
  </si>
  <si>
    <t>Fao/9/2019</t>
  </si>
  <si>
    <t xml:space="preserve"> Pradeep Kumar  Mohanty  A.l.c,bhawanipatna</t>
  </si>
  <si>
    <t xml:space="preserve"> Wartsila  India Pvt .ltd ,., Vedanta Ltd</t>
  </si>
  <si>
    <t xml:space="preserve">Ma 001760 -  / 2020</t>
  </si>
  <si>
    <t>R. N. Mohapatra</t>
  </si>
  <si>
    <t>0427-indirect Taxes Matters : Import/export Policy</t>
  </si>
  <si>
    <t xml:space="preserve">Slp(c) No. 009731 -  / 2019</t>
  </si>
  <si>
    <t>Ananthakrishnan B |cairn Energy Hydrocarbons Ltd. |vedanta Limited</t>
  </si>
  <si>
    <t>Directorate General Of Foreign Trade |indian Oil Corporation Limited |union Of India</t>
  </si>
  <si>
    <t>Sa259/del/2022</t>
  </si>
  <si>
    <t>Dcit,circle ,25 (1)</t>
  </si>
  <si>
    <t>Ngt</t>
  </si>
  <si>
    <t>Appeal 24/2022 - Eastern Zone</t>
  </si>
  <si>
    <t>Enter123</t>
  </si>
  <si>
    <t>Ita-109-2020</t>
  </si>
  <si>
    <t>Pr. Commissioner Of Income Tax, Delhi-9,</t>
  </si>
  <si>
    <t>Vedanta Ltd (successor To M/s Cairn India Ltd.)</t>
  </si>
  <si>
    <t>Customs/76401/2016-kolkata</t>
  </si>
  <si>
    <t>Kolkata(port)</t>
  </si>
  <si>
    <t>Wp(md)/1019/2019</t>
  </si>
  <si>
    <t xml:space="preserve"> E.athisayakumar,</t>
  </si>
  <si>
    <t xml:space="preserve"> State Of Tamil  Nadu,</t>
  </si>
  <si>
    <t>Wmp(md)/921/2022</t>
  </si>
  <si>
    <t xml:space="preserve"> The State Of Tamil Nadu</t>
  </si>
  <si>
    <t>Wp(md)/13993/2021</t>
  </si>
  <si>
    <t>Wmp(md)/10965/2021</t>
  </si>
  <si>
    <t>Cmp/607/2022</t>
  </si>
  <si>
    <t xml:space="preserve"> Ray Ramananda Mohapatra| Shyamananda @ Shyam Mohapatra    Prasanna Panda</t>
  </si>
  <si>
    <t xml:space="preserve"> M/s Fero Alloys Corporation Ltd.| Managing Director ,vedanta Ltd| Manoj Saraf| Vedanta Ltd ,dlf Apria Jacarnanda Marg Dlf| Vedanta Resources</t>
  </si>
  <si>
    <t>Wa/335/2022</t>
  </si>
  <si>
    <t xml:space="preserve"> The Board Of Trustees Of Visakhapatnam Port Trust</t>
  </si>
  <si>
    <t>Tca/575/2017</t>
  </si>
  <si>
    <t xml:space="preserve"> Income Tax Officer</t>
  </si>
  <si>
    <t>Service Tax/78736/2018-kolkata</t>
  </si>
  <si>
    <t>Service Tax/78733/2018-kolkata</t>
  </si>
  <si>
    <t>Service Tax/78734/2018-kolkata</t>
  </si>
  <si>
    <t>Service Tax/78735/2018-kolkata</t>
  </si>
  <si>
    <t>Service Tax/78737/2018-kolkata</t>
  </si>
  <si>
    <t>Appeal 18/2022 - Western Zone</t>
  </si>
  <si>
    <t>Pravir Prabhakar Fadte|sameer Babla Bhagat|devanand Sagun Sinari|narayan Raghunath Sawant|the Goa Foundation Thr Its Secretary Dr Claude Alvares</t>
  </si>
  <si>
    <t>Goa State Pollution Control Board|vedanta Limited - Value Addition Businesstab123|ministry Of Environment Forest And Climate Change|state Of Goa|</t>
  </si>
  <si>
    <t>Spl.c.s./25/2021</t>
  </si>
  <si>
    <t xml:space="preserve"> Fouress Engineering (india) Pvt. Ltd.</t>
  </si>
  <si>
    <t xml:space="preserve">C.a. No. 000225 -  / 2021</t>
  </si>
  <si>
    <t xml:space="preserve">Chhattisgarh State  Power Generation Co. Ltd.</t>
  </si>
  <si>
    <t xml:space="preserve">Bharat Aluminium Company Ltd. |central Public Works Department |chairman |chairman Cum Managing Director |chairman Cum Managing Director  Central Mine Planning And Design Institute |chairman Cum Managing Director National Buildings Construction Corpo</t>
  </si>
  <si>
    <t xml:space="preserve">C.a. No. 003237 -  / 2020</t>
  </si>
  <si>
    <t xml:space="preserve">Central Mine Planning And Design Institute Ltd. |central Public Works Department |chief  Secretary Government Of  Uttar Pradesh |chief  Secretary Government Of Andhra Pradesh |chief  Secretary Government Of Assam |chief  Secretary Government Of Bihar</t>
  </si>
  <si>
    <t xml:space="preserve">Conmt.pet.(c) No. 000691 -  / 2020</t>
  </si>
  <si>
    <t>M/s Vedanta Ltd.</t>
  </si>
  <si>
    <t>P. K. Mishra |r. N. Mohapatra |reena Nayak |saswat Mohan Patnaik |shri Sridhar Patra</t>
  </si>
  <si>
    <t>O.m.p.(i) (comm.)-125-2022</t>
  </si>
  <si>
    <t>Wp/11113/2022</t>
  </si>
  <si>
    <t xml:space="preserve"> The Board  Of Trustees Of Visakhapatnam Prot Trust</t>
  </si>
  <si>
    <t>Omp (enf.) (comm.)-7-2020</t>
  </si>
  <si>
    <t>Vedanta Limited (formerly Known As Cairn India Lim</t>
  </si>
  <si>
    <t>Criminal -complaint Cases</t>
  </si>
  <si>
    <t>Complaint Cases/2700005/2019</t>
  </si>
  <si>
    <t xml:space="preserve"> Vinay Kumar  Umar</t>
  </si>
  <si>
    <t>Cmp/1442/2022</t>
  </si>
  <si>
    <t>1010-company Law, Mrtp, Trai, Sebi, Idrai &amp; Rbi : Matters Pertaining To Trai / Sebi / Idrai And Rbi Including Appeals U/s 18 Of Trai Act, Indian Electricity Act, 1910 And 2003, Electricity Supply Act,</t>
  </si>
  <si>
    <t xml:space="preserve">C.a. No. 002388 -  / 2022</t>
  </si>
  <si>
    <t>Gridco |odisha Electricity Regulatory Commission |the Chief Executive Office Tpwodl |the Chief Load Despatcher State Load Despatch Centre |the Managing Director Odisha Power Transmission Corpoation Limited |the Principal Secretary Department Of Energ</t>
  </si>
  <si>
    <t>Cma(md)/214/2022</t>
  </si>
  <si>
    <t xml:space="preserve">R.p.(c) No. 000339 -  / 2022</t>
  </si>
  <si>
    <t>Director Of Mines And Geology</t>
  </si>
  <si>
    <t>Sa 19 / Del / 2022</t>
  </si>
  <si>
    <t>Vedanta Limited (successor To Cairn India Ltd.)</t>
  </si>
  <si>
    <t>Sa 21 / Del / 2022</t>
  </si>
  <si>
    <t>Vedanta Ltd. (successor To Cairn India Limited)</t>
  </si>
  <si>
    <t>Acit, Circle - 26(2)</t>
  </si>
  <si>
    <t>Sa 20 / Del / 2022</t>
  </si>
  <si>
    <t>Sa 22 / Del / 2022</t>
  </si>
  <si>
    <t>Sa 23 / Del / 2022</t>
  </si>
  <si>
    <t>Sa 24 / Del / 2022</t>
  </si>
  <si>
    <t>Wp(c)/9281/2019</t>
  </si>
  <si>
    <t>Wp(c)/25109/2021</t>
  </si>
  <si>
    <t xml:space="preserve"> Hara Majhi</t>
  </si>
  <si>
    <t>Wp/242/2022</t>
  </si>
  <si>
    <t xml:space="preserve"> The Board Of Trustees Of Visakhapatnam Port</t>
  </si>
  <si>
    <t>Cmp(md)/6996/2017</t>
  </si>
  <si>
    <t xml:space="preserve"> Commissioner Of Cental</t>
  </si>
  <si>
    <t>Wp(c)/23687/2021</t>
  </si>
  <si>
    <t xml:space="preserve"> Dhrubanti Naik</t>
  </si>
  <si>
    <t>Customs/894/2012-banglore</t>
  </si>
  <si>
    <t>Spl.c.s./29/2021</t>
  </si>
  <si>
    <t>A.p.</t>
  </si>
  <si>
    <t>A.p./73/2020</t>
  </si>
  <si>
    <t xml:space="preserve"> South Western Railway, Hubli R/by Its Ccm, Hubballi</t>
  </si>
  <si>
    <t xml:space="preserve"> Vedanta Limited (formerly Known As Sesa Sterlite Limited And Sesa Goa Limited),  Mumbai</t>
  </si>
  <si>
    <t>Service Tax/75038/2022-kolkata</t>
  </si>
  <si>
    <t>-rourkela Commissionerate</t>
  </si>
  <si>
    <t>Wp/40192/2015</t>
  </si>
  <si>
    <t>S.o.p/40/2020</t>
  </si>
  <si>
    <t xml:space="preserve"> Adibhatla Vimala Rao</t>
  </si>
  <si>
    <t xml:space="preserve"> M/s Adani Green Energy Ltd, M/s. Hindustan Unilever Limited</t>
  </si>
  <si>
    <t>Wa-595-2020</t>
  </si>
  <si>
    <t>Ita 5368 / Del / 2019</t>
  </si>
  <si>
    <t>O.m.p. (comm)-504-2019</t>
  </si>
  <si>
    <t>Leighton India Contractors Private Ltd.</t>
  </si>
  <si>
    <t>1101-arbitration Matters : Arbitration Petitions Under Section 11 Of Arbitration &amp; Conciliation Act, 1996</t>
  </si>
  <si>
    <t xml:space="preserve">Arbit.case(c) No. 000009 -  / 2021</t>
  </si>
  <si>
    <t>Baker Hughes Singapore Pte</t>
  </si>
  <si>
    <t>Vedanta Limited (division Cairn Oil And Gas)</t>
  </si>
  <si>
    <t xml:space="preserve">Arbit.case(c) No. 000010 -  / 2021</t>
  </si>
  <si>
    <t>Baker Hughes Asia Pacific Ltd.</t>
  </si>
  <si>
    <t>420_/2021</t>
  </si>
  <si>
    <t>Vedanta Ltd. &amp; Ors.</t>
  </si>
  <si>
    <t>Crlmp/609/2021</t>
  </si>
  <si>
    <t xml:space="preserve"> Sub Inspector Of Police,district Crime Branch</t>
  </si>
  <si>
    <t>Cmp/14618/2021</t>
  </si>
  <si>
    <t xml:space="preserve"> The Assistant Commissioner Of Income Tax</t>
  </si>
  <si>
    <t>Cmp/14668/2021</t>
  </si>
  <si>
    <t>Wp/29418/2013</t>
  </si>
  <si>
    <t xml:space="preserve"> State Of Tamilnadu</t>
  </si>
  <si>
    <t>O.m.p.(i)-9-2021</t>
  </si>
  <si>
    <t>Dr. Alistair John Alexander Bent</t>
  </si>
  <si>
    <t>Tca/401/2016</t>
  </si>
  <si>
    <t>Tca/402/2016</t>
  </si>
  <si>
    <t>Wa/574/2020</t>
  </si>
  <si>
    <t>Excise/76109/2017-kolkata</t>
  </si>
  <si>
    <t>Omp (comm.)/59/2020</t>
  </si>
  <si>
    <t>Wp/38884/2015</t>
  </si>
  <si>
    <t xml:space="preserve"> Dispute Resolution Panel -2</t>
  </si>
  <si>
    <t>Wmp/877/2016</t>
  </si>
  <si>
    <t xml:space="preserve">Slp(c) No. 005140 -  / 2021</t>
  </si>
  <si>
    <t xml:space="preserve">Subrat Bhoi  |tejraj Kumura</t>
  </si>
  <si>
    <t>M/s Vedanta Limited |the Collector |the Member Secretary |the State Of Odisha</t>
  </si>
  <si>
    <t>Wp/14544/2016</t>
  </si>
  <si>
    <t>Wp/1535/2012</t>
  </si>
  <si>
    <t xml:space="preserve"> M/s.sterlite Industries, M/s.vedanta Limited,</t>
  </si>
  <si>
    <t>Wp(md)/9574/2021</t>
  </si>
  <si>
    <t xml:space="preserve"> The Asst.commissioner Of Customs</t>
  </si>
  <si>
    <t>Wp(c)/7423/2018</t>
  </si>
  <si>
    <t xml:space="preserve"> Secy</t>
  </si>
  <si>
    <t>Wp(c)/7424/2018</t>
  </si>
  <si>
    <t>Customs/40406/2021-chennai</t>
  </si>
  <si>
    <t>Commissioner Of Customs - Tuticorin-tuticorin</t>
  </si>
  <si>
    <t>Misc Civil Application/398/2006</t>
  </si>
  <si>
    <t>The Regional Director, Employees' State Insurance Corporation</t>
  </si>
  <si>
    <t>M/s. Sesa Goa Ltd Rep. By Its General Manager</t>
  </si>
  <si>
    <t>Misc Civil Application/240/2006</t>
  </si>
  <si>
    <t>Shri Pandurang B. Parsekar, Parra, Bardez Goa.</t>
  </si>
  <si>
    <t>M/s. Sesa Goa Ltd And Anr, The Presiding Officer, Central Govt. Industrial Tribunal No.1</t>
  </si>
  <si>
    <t>Wp/283/2001</t>
  </si>
  <si>
    <t xml:space="preserve">The Jt.commissioner Of I.t.(assessment)  Ors.</t>
  </si>
  <si>
    <t>Stamp Number (appln )/1929/2001</t>
  </si>
  <si>
    <t>Stamp Number (appln )/2580/2001</t>
  </si>
  <si>
    <t>Wp/405/2001</t>
  </si>
  <si>
    <t>Stamp Number (appln )/939/2004</t>
  </si>
  <si>
    <t>The Mormugao Waterfront Workers Union And 3 Ors</t>
  </si>
  <si>
    <t>Wp/182/2004</t>
  </si>
  <si>
    <t>Wpcr</t>
  </si>
  <si>
    <t>Wpcr/6/2005</t>
  </si>
  <si>
    <t>Mr. Shailesh H. Bajaj</t>
  </si>
  <si>
    <t xml:space="preserve">Sesa Goa Limited Rep. By Mr. D. K. Chodankar, Manager - Legal  Anr, State Of Goa Through P. P Panaji-goa.</t>
  </si>
  <si>
    <t>Coap/21/2006</t>
  </si>
  <si>
    <t>Sesa Goa Limited| Panaji Goa.</t>
  </si>
  <si>
    <t>Coap/2/2006</t>
  </si>
  <si>
    <t>Stm/111/2006</t>
  </si>
  <si>
    <t>Wp/462/2005</t>
  </si>
  <si>
    <t>M/s Sesa Goa Ltd. And Ors.</t>
  </si>
  <si>
    <t>The State Of Maharashtra And Anr</t>
  </si>
  <si>
    <t>Appln/2664/2004</t>
  </si>
  <si>
    <t>The State Of Maharashtra</t>
  </si>
  <si>
    <t>Coap/6/2005</t>
  </si>
  <si>
    <t>M/s Goa Handicrafts Rural And Small Scale Indust</t>
  </si>
  <si>
    <t>Sesa Goa Ltdpanaji Goa.</t>
  </si>
  <si>
    <t>Stamp Number (appln )/280/2005</t>
  </si>
  <si>
    <t>Strp_47_2005</t>
  </si>
  <si>
    <t>M/s sesa goa ltd</t>
  </si>
  <si>
    <t>The state of karnataka through the commr of comml</t>
  </si>
  <si>
    <t>Stamp Number (appln )/2901/2004</t>
  </si>
  <si>
    <t>M/s Sesa Goa Ltdpanaji Goa</t>
  </si>
  <si>
    <t>The Regional Provident Fund Commissioner And 2 Ors</t>
  </si>
  <si>
    <t>Wp/542/2004</t>
  </si>
  <si>
    <t>47-strp/2005</t>
  </si>
  <si>
    <t>The State Of Karnataka Through The Commr Of Comml</t>
  </si>
  <si>
    <t>48-strp/2005</t>
  </si>
  <si>
    <t>49-strp/2005</t>
  </si>
  <si>
    <t>50-strp/2005</t>
  </si>
  <si>
    <t>Customs/70/2005-mumbai</t>
  </si>
  <si>
    <t>Comm. Of Customs (export) Mumbai</t>
  </si>
  <si>
    <t xml:space="preserve">Civil Appeal     7456/2004</t>
  </si>
  <si>
    <t>Commnr. Of Income Tax, Goa</t>
  </si>
  <si>
    <t>Ac_7456_2004</t>
  </si>
  <si>
    <t>Commnr. of income tax, goa   </t>
  </si>
  <si>
    <t>Cop/18/2004</t>
  </si>
  <si>
    <t>Stamp Number (appln )/2619/2004</t>
  </si>
  <si>
    <t>Misc Civil Application/455/2004</t>
  </si>
  <si>
    <t>The Mormugoa Waterfront Work Union Rep.by Its Gen.</t>
  </si>
  <si>
    <t>M/s Sesa Goa Ltd Panaji-goa.</t>
  </si>
  <si>
    <t>Stamp Number (appln )/1564/2004</t>
  </si>
  <si>
    <t>Txa/65/2002</t>
  </si>
  <si>
    <t>Stamp Number (appln )/2114/2002</t>
  </si>
  <si>
    <t>Coap/46/2004</t>
  </si>
  <si>
    <t>Sesa Goa Ltd Panaji Goa.</t>
  </si>
  <si>
    <t>Stamp Number (appln )/1969/2004</t>
  </si>
  <si>
    <t>Stamp Number (appln )/1928/2001</t>
  </si>
  <si>
    <t>Wp/282/2001</t>
  </si>
  <si>
    <t>Wp/75/2004</t>
  </si>
  <si>
    <t>Shri Shiva B.kamat, Bicholim-goa.</t>
  </si>
  <si>
    <t>Writ Petition (s.j.)</t>
  </si>
  <si>
    <t>Stamp Number (appln )/437/2004</t>
  </si>
  <si>
    <t>Wp/76/2004</t>
  </si>
  <si>
    <t>Shri Vasant A.dessai(sin.dec.) Through L.rs</t>
  </si>
  <si>
    <t>Stamp Number (appln )/438/2004</t>
  </si>
  <si>
    <t>Spmp/155/1999</t>
  </si>
  <si>
    <t>The Custodian</t>
  </si>
  <si>
    <t xml:space="preserve">Smt Jyoti Harshad Mehta  | Harshad Shantilal Mehta  | Mr. Aatur H. Mehta  | Smt. Rasila S. Mehta  | Reliance Industries Ltd  | G.e. Shipping Ltd.  | A.c.c. Ltd  | Nocil Ltd  | Sesa Goa Ltd.  | Mysore Cements Ltd  | Tata Tea Ltd.  | I.t.c Limited  | C</t>
  </si>
  <si>
    <t>Stamp Number (appln )/979/2003</t>
  </si>
  <si>
    <t>Shri Vaman B. Gawade And 7 Ors</t>
  </si>
  <si>
    <t>Fa/290/2003</t>
  </si>
  <si>
    <t>Stamp Number (appln )/187/2003</t>
  </si>
  <si>
    <t>Sesa Goa Ltdpanaji-goa.</t>
  </si>
  <si>
    <t>Cop/6/2003</t>
  </si>
  <si>
    <t>Stamp Number (appln )/1027/2003</t>
  </si>
  <si>
    <t>Sesa Goa Limited| Patto| Panaji Goa</t>
  </si>
  <si>
    <t>Wp/223/2003</t>
  </si>
  <si>
    <t>Wp/195/2003</t>
  </si>
  <si>
    <t>Vasant Arjun Desai(sin.dec.) Through L.rs.</t>
  </si>
  <si>
    <t>Stamp Number (appln )/908/2003</t>
  </si>
  <si>
    <t>Wp/196/2003</t>
  </si>
  <si>
    <t>Stamp Number (appln )/909/2003</t>
  </si>
  <si>
    <t>Op/365/2022</t>
  </si>
  <si>
    <t xml:space="preserve"> Jawahar Babu</t>
  </si>
  <si>
    <t xml:space="preserve"> Larsen And Toubro Limited, Tube Investments Of India Limited And Cholamandalam Financial Holdings Limited</t>
  </si>
  <si>
    <t>Wa(md)/80/2019</t>
  </si>
  <si>
    <t>Wa(md)/81/2019</t>
  </si>
  <si>
    <t>Wa(md)/79/2019</t>
  </si>
  <si>
    <t>Wps/12476/2025</t>
  </si>
  <si>
    <t xml:space="preserve"> Vishnu Prasad Kanthe</t>
  </si>
  <si>
    <t xml:space="preserve"> Vedanta Limited (balco Division)</t>
  </si>
  <si>
    <t>Wa/1160/2019</t>
  </si>
  <si>
    <t xml:space="preserve"> Tamil Nadu Generation And Distribution Corporation Limited</t>
  </si>
  <si>
    <t>Lpa-759-2025</t>
  </si>
  <si>
    <t xml:space="preserve">The Nominated Authority Ministry Of Coal Government Of India And Ors </t>
  </si>
  <si>
    <t>Civil Regular Appeal/12/2025</t>
  </si>
  <si>
    <t xml:space="preserve"> Sourav Bansal|</t>
  </si>
  <si>
    <t>Civil Regular Appeal/11/2025</t>
  </si>
  <si>
    <t xml:space="preserve"> Rampartap Etc|</t>
  </si>
  <si>
    <t>Civil Regular Appeal/10/2025</t>
  </si>
  <si>
    <t xml:space="preserve"> Rampartap|</t>
  </si>
  <si>
    <t>Cw/18030/2025</t>
  </si>
  <si>
    <t xml:space="preserve"> Manish Kumar Meghwal</t>
  </si>
  <si>
    <t xml:space="preserve"> Chief Human Resources Officer| Hindustan Zinc Limited| Union Of India| Vedanta Limited</t>
  </si>
  <si>
    <t>Lpa-742-2025</t>
  </si>
  <si>
    <t>The Nominated Authority, Ministry Of Coal, Government Of India &amp; Anr.</t>
  </si>
  <si>
    <t>Rca/40/2021</t>
  </si>
  <si>
    <t xml:space="preserve"> Mr. Atul Patnekar| Mr. Sadanand Vinayak Bondre(legal Heir)3.| Mr. Sandeep Jaywant Natekar1.| Mr. Vallabh Sadanand Bondre3.| Mrs. Prema Lata Jaywant Natekar Alias Viman Vinayak Sete Manerkar| Mrs. Savita Sadanand Bondre Alias Gulab Vinayak Sete Mandr</t>
  </si>
  <si>
    <t xml:space="preserve"> M/s. Damodar Mangali Co-pvt. Ltd. Goa| M/s. V. S. Dempo And Co. Pvt. Ltd.,| Mr. Ajit Yeshwant Pangam(legal Heir)5.| Mr. Dattaprasad Ajit Pangam5.| Mr. Deepak Jaywant Natekar| Mr. Jagannath Vinayak Manerkar| Mr. Mahesh Verekar| Mr. Rudran Ajit Pangam</t>
  </si>
  <si>
    <t>Cao/1259/2025</t>
  </si>
  <si>
    <t>Cmp/550/2025</t>
  </si>
  <si>
    <t xml:space="preserve"> Mineral Enterprises Private Limited</t>
  </si>
  <si>
    <t>Arb/416/2025</t>
  </si>
  <si>
    <t xml:space="preserve"> Vedanta Limited ( Cairn Oil And Gas Division)</t>
  </si>
  <si>
    <t>Cmp/8155/2019</t>
  </si>
  <si>
    <t>Cmp/8156/2019</t>
  </si>
  <si>
    <t>Wp/4519/2024</t>
  </si>
  <si>
    <t>Cao/1125/2025</t>
  </si>
  <si>
    <t>Wp(md)/20788/2018</t>
  </si>
  <si>
    <t>Wmp(md)/18548/2018</t>
  </si>
  <si>
    <t>Wmp(md)/18549/2018</t>
  </si>
  <si>
    <t>Wmp(md)/18550/2018</t>
  </si>
  <si>
    <t>Wp(c)/23286/2025</t>
  </si>
  <si>
    <t xml:space="preserve"> Vedanta  Ltd., Mumbai</t>
  </si>
  <si>
    <t>Otapl/51/2025</t>
  </si>
  <si>
    <t xml:space="preserve"> Commissioner Of Customs(preventive) Bhubaneswar</t>
  </si>
  <si>
    <t>Otapl/53/2025</t>
  </si>
  <si>
    <t xml:space="preserve"> Commissioner Of Customs (preventive ),bhubaneswar</t>
  </si>
  <si>
    <t>Otapl/54/2025</t>
  </si>
  <si>
    <t xml:space="preserve"> Commissioner Of Customs (preventive),bhubaneswar</t>
  </si>
  <si>
    <t>Otapl/55/2025</t>
  </si>
  <si>
    <t>Otapl/60/2025</t>
  </si>
  <si>
    <t xml:space="preserve"> Commissioner Of Customs (preventive), Bhubaneswar</t>
  </si>
  <si>
    <t>Otapl/62/2025</t>
  </si>
  <si>
    <t xml:space="preserve"> Commissioner Of Customs(preventive), Bhubaneswar</t>
  </si>
  <si>
    <t>Otapl/64/2025</t>
  </si>
  <si>
    <t xml:space="preserve"> Commissioner Of Customs, (preventive), Bhubaneswar</t>
  </si>
  <si>
    <t>Otapl/65/2025</t>
  </si>
  <si>
    <t>Otapl/67/2025</t>
  </si>
  <si>
    <t>Otapl/49/2025</t>
  </si>
  <si>
    <t xml:space="preserve"> Commissioner Of Customs (preventive),bbsr</t>
  </si>
  <si>
    <t>Otapl/52/2025</t>
  </si>
  <si>
    <t xml:space="preserve"> Commissioner Of Customs(preventive),bhubaneswar</t>
  </si>
  <si>
    <t>Otapl/56/2025</t>
  </si>
  <si>
    <t>Otapl/57/2025</t>
  </si>
  <si>
    <t>Otapl/66/2025</t>
  </si>
  <si>
    <t>Wp/19744/2025</t>
  </si>
  <si>
    <t xml:space="preserve"> Vedanta Limited, (formerly Known As Sesa Sterlite Limited  And Sesa Goa Limited),</t>
  </si>
  <si>
    <t>Cs/42/2024</t>
  </si>
  <si>
    <t xml:space="preserve"> Shri. Dayanand Datta Kawlekar|</t>
  </si>
  <si>
    <t>Wp/35626/2014</t>
  </si>
  <si>
    <t xml:space="preserve"> The Monitoring Committee</t>
  </si>
  <si>
    <t>Ita5632/del/2025</t>
  </si>
  <si>
    <t>Cmp/12436/2023</t>
  </si>
  <si>
    <t>Wmp/4673/2024</t>
  </si>
  <si>
    <t>Wmp/4675/2024</t>
  </si>
  <si>
    <t>Wmp/4677/2024</t>
  </si>
  <si>
    <t>Wmp/4680/2024</t>
  </si>
  <si>
    <t>Wp(c)/24664/2025</t>
  </si>
  <si>
    <t xml:space="preserve"> Rahul Kanwar @ Rathiya</t>
  </si>
  <si>
    <t xml:space="preserve"> M/s. Vedanta Limited, Sundargarh| Revenue Divisional Commissioner, Sambalpur| State Of Odisha| The Collector, Sundargarh| The Land Acquisition Officer (mendal, Jharpalang, Girisuan, Jamtangi, Jharpalang Mining Area)| The Tahasildar, Hemagiri</t>
  </si>
  <si>
    <t>Wp(c)/24820/2025</t>
  </si>
  <si>
    <t xml:space="preserve"> Namita Sidar</t>
  </si>
  <si>
    <t xml:space="preserve"> M/s Vedanta Ltd., Sundargarh| Revenue Divisional Commissioner, Sambalpur| State Of Odisha| The Collector, Sundargarh| The Land Acquisition Officer, Sundargarh| The Tahasildar, Hemagiri</t>
  </si>
  <si>
    <t>Cmp(md)/4105/2023</t>
  </si>
  <si>
    <t xml:space="preserve"> The Deputy Commissioner Of Income Tax, (international Taxation),</t>
  </si>
  <si>
    <t>Cmp(md)/4111/2023</t>
  </si>
  <si>
    <t>Cmp(md)/4112/2023</t>
  </si>
  <si>
    <t>Cmp(md)/4114/2023</t>
  </si>
  <si>
    <t>Cmp(md)/4117/2023</t>
  </si>
  <si>
    <t>Cmp(md)/4118/2023</t>
  </si>
  <si>
    <t>Wa(md)/373/2023</t>
  </si>
  <si>
    <t>Wa(md)/374/2023</t>
  </si>
  <si>
    <t>Wa(md)/375/2023</t>
  </si>
  <si>
    <t>Wa(md)/414/2023</t>
  </si>
  <si>
    <t>Cmp(md)/4513/2023</t>
  </si>
  <si>
    <t>Cmp(md)/4514/2023</t>
  </si>
  <si>
    <t>Cmp(md)/4516/2023</t>
  </si>
  <si>
    <t>Cmp(md)/4517/2023</t>
  </si>
  <si>
    <t>Cmp(md)/4522/2023</t>
  </si>
  <si>
    <t>Cmp(md)/4523/2023</t>
  </si>
  <si>
    <t>Cmp(md)/14413/2023</t>
  </si>
  <si>
    <t>Cmp(md)/14414/2023</t>
  </si>
  <si>
    <t>Cmp(md)/14415/2023</t>
  </si>
  <si>
    <t>Cmp(md)/14416/2023</t>
  </si>
  <si>
    <t>Cmp(md)/14418/2023</t>
  </si>
  <si>
    <t>Cmp(md)/14419/2023</t>
  </si>
  <si>
    <t>Cmp(md)/14420/2023</t>
  </si>
  <si>
    <t>Cmp(md)/14421/2023</t>
  </si>
  <si>
    <t>Cmp(md)/14422/2023</t>
  </si>
  <si>
    <t>Cmp(md)/14423/2023</t>
  </si>
  <si>
    <t>Cmp(md)/14424/2023</t>
  </si>
  <si>
    <t>Cmp(md)/14425/2023</t>
  </si>
  <si>
    <t>Cmp(md)/14542/2023</t>
  </si>
  <si>
    <t>Cmp(md)/14543/2023</t>
  </si>
  <si>
    <t>Cmp(md)/14544/2023</t>
  </si>
  <si>
    <t>Cmp(md)/14545/2023</t>
  </si>
  <si>
    <t>Cmp(md)/14546/2023</t>
  </si>
  <si>
    <t>Cmp(md)/14547/2023</t>
  </si>
  <si>
    <t>Rfa/891/2017</t>
  </si>
  <si>
    <t xml:space="preserve"> Sri Hiriadka Shankar Rao</t>
  </si>
  <si>
    <t>Arb O.p(com.div.)</t>
  </si>
  <si>
    <t>Arb O.p(com.div.)/204/2025</t>
  </si>
  <si>
    <t xml:space="preserve"> Gea Process Engineering (india) Private Limited</t>
  </si>
  <si>
    <t>Ia/9503/2025</t>
  </si>
  <si>
    <t xml:space="preserve"> Vedanta Limited Mumbai</t>
  </si>
  <si>
    <t xml:space="preserve"> The Special Director, Directorate Of Enforcement Mumbai</t>
  </si>
  <si>
    <t>Ita-602-2023</t>
  </si>
  <si>
    <t>Pr. Commissioner Of Income Tax -7</t>
  </si>
  <si>
    <t>R</t>
  </si>
  <si>
    <t>Arb O.p(com.div.)/224/2025</t>
  </si>
  <si>
    <t xml:space="preserve"> South Ganga Water Technologies Pvt Ltd</t>
  </si>
  <si>
    <t>Wp(c)/20324/2025</t>
  </si>
  <si>
    <t xml:space="preserve"> Gopinath Majhi| Jeetendra Kumar Pradhan| Mukteswar Badhei| Muralidhar Majhi| Samkirtan Kumura</t>
  </si>
  <si>
    <t xml:space="preserve"> Collector And Dist. Magistrate,jharsuguda| Land Acquisition Officer,jharsuguda| M/s Vedanta Ltd.,mumbai| State Of Odisha| Tahasildar,lakhanpur| Union Of India</t>
  </si>
  <si>
    <t>F A O</t>
  </si>
  <si>
    <t>F A O/19/2024</t>
  </si>
  <si>
    <t xml:space="preserve"> Samari Bhoi|</t>
  </si>
  <si>
    <t>Wp(c)/19485/2025</t>
  </si>
  <si>
    <t xml:space="preserve"> Rajesh Parida</t>
  </si>
  <si>
    <t xml:space="preserve"> Chief General Manager, Odisha Mining Corporation| Odisha Mining Corporation, Bbsr| State Of Odisha| Union Of India| Vedanta Ltd.,mumbai</t>
  </si>
  <si>
    <t>Wp(c)/17828/2025</t>
  </si>
  <si>
    <t xml:space="preserve"> Ghanashyam Sa</t>
  </si>
  <si>
    <t xml:space="preserve"> M/s Vedanta Ltd., Sundargarh| Revenue Divisonal Commissioner, Sambalpur| State Of Odisha| The Collector, Sundargarh| The Land Acquisition Officer Mendal Jharpalang| The Tahasildar, Hemagiri</t>
  </si>
  <si>
    <t>Wp(c)/17835/2025</t>
  </si>
  <si>
    <t xml:space="preserve"> Jayanand Kawr</t>
  </si>
  <si>
    <t xml:space="preserve"> M/s Vedanta Ltd., Sundargarh| Revenue Divisional Commissioner, Sambalpur| State Of Odisha| The Collector, Sundargarh| The Land Acquisition Officer, Mendal, Jharpalang, Girisuan, Jamtangi, Jharpalang, Mining Area| The Tahasildar, Hemagiri</t>
  </si>
  <si>
    <t>Wp(md)/8815/2019</t>
  </si>
  <si>
    <t xml:space="preserve"> Fatima, D/o.m.g. Rodriguez,</t>
  </si>
  <si>
    <t xml:space="preserve"> Tamil Nadu Pollution Control, M/s.vedanta Ltd., Rep. By Its</t>
  </si>
  <si>
    <t>Wp/19705/2025</t>
  </si>
  <si>
    <t xml:space="preserve"> Principal Commissioner</t>
  </si>
  <si>
    <t>Cmp(md)/9349/2025</t>
  </si>
  <si>
    <t xml:space="preserve"> The Commissioner Of Customs-tuticorin</t>
  </si>
  <si>
    <t>Sa317/del/2025</t>
  </si>
  <si>
    <t>Acit</t>
  </si>
  <si>
    <t>Sa318/del/2025</t>
  </si>
  <si>
    <t>Sa319/del/2025</t>
  </si>
  <si>
    <t>Sa320/del/2025</t>
  </si>
  <si>
    <t>Sa321/del/2025</t>
  </si>
  <si>
    <t>Sa322/del/2025</t>
  </si>
  <si>
    <t>Wp(c)/13136/2025</t>
  </si>
  <si>
    <t xml:space="preserve"> M/s Vedanta Limited, Mumbai</t>
  </si>
  <si>
    <t xml:space="preserve"> The Collector And D.m.,jharshuguda</t>
  </si>
  <si>
    <t>Cmp/25739/2019</t>
  </si>
  <si>
    <t xml:space="preserve"> Masyc Projects Pvt Ltd</t>
  </si>
  <si>
    <t>Osa/315/2019</t>
  </si>
  <si>
    <t>Cao/537/2025</t>
  </si>
  <si>
    <t>O.s./57/2019</t>
  </si>
  <si>
    <t xml:space="preserve"> Kumara Naik</t>
  </si>
  <si>
    <t>Wmp(md)/14271/2018</t>
  </si>
  <si>
    <t>Wmp(md)/14270/2018</t>
  </si>
  <si>
    <t>Wmp(md)/14269/2018</t>
  </si>
  <si>
    <t>As</t>
  </si>
  <si>
    <t>As/2/2025</t>
  </si>
  <si>
    <t xml:space="preserve"> M/s Prowess International Pvt. Ltd|</t>
  </si>
  <si>
    <t>Crl.p/100029/2023</t>
  </si>
  <si>
    <t xml:space="preserve"> R By Range Forest Officer Ankola Forest Police Station District Uttar Kannada</t>
  </si>
  <si>
    <t xml:space="preserve"> Port Conservator Belekeri Port, Vedanta Ltd Formerly Known As Sesa  Sterlite Limited Sesa Goa Limited Regd Office At</t>
  </si>
  <si>
    <t>2002-environmental Laws : Appeal Under Section 22 Of The National Green Tribunal Act, 2010</t>
  </si>
  <si>
    <t xml:space="preserve">C.a. No. 007449 -  / 2025</t>
  </si>
  <si>
    <t>Satyanarayan Rao</t>
  </si>
  <si>
    <t>M/s Vedanta Limited |odisha State Pollution Control Board |the State Of Odisha |union Of India</t>
  </si>
  <si>
    <t>Cms/10938/2025</t>
  </si>
  <si>
    <t>O.m.p. (comm)-208-2020</t>
  </si>
  <si>
    <t>Succ. Court/175/2024</t>
  </si>
  <si>
    <t xml:space="preserve"> Anju Sarin|</t>
  </si>
  <si>
    <t xml:space="preserve"> The State And Ors.,  Jubilant Ingrevia Ltd., Jubilant Pharmova Ltd., Tata Power Ltd., Vedanta Ltd.</t>
  </si>
  <si>
    <t>Ita3247/del/2025</t>
  </si>
  <si>
    <t>Otapl/29/2025</t>
  </si>
  <si>
    <t xml:space="preserve"> Commissioner Of Customs (preventive), Bbsr.</t>
  </si>
  <si>
    <t>Otapl/63/2025</t>
  </si>
  <si>
    <t xml:space="preserve"> Commissioner Of Customs, (preventive),bhubaneswar</t>
  </si>
  <si>
    <t>Wp(md)/11442/2025</t>
  </si>
  <si>
    <t xml:space="preserve"> Tamil Nadu Power Distribution Corporation Ltd., (tnpdcl)</t>
  </si>
  <si>
    <t>Wmp(md)/8476/2025</t>
  </si>
  <si>
    <t>Wmp(md)/8478/2025</t>
  </si>
  <si>
    <t>Wmp(md)/8481/2025</t>
  </si>
  <si>
    <t>Wmp(md)/8486/2025</t>
  </si>
  <si>
    <t>Civil Regular Appeal/5/2020</t>
  </si>
  <si>
    <t xml:space="preserve"> Bhoomi Awapti Adhikari Etc., Vedanta Ltd. Jariye Sr. Manager Bhoomi Awapti</t>
  </si>
  <si>
    <t xml:space="preserve"> Tej Singh Etc.</t>
  </si>
  <si>
    <t>Wp(c)/10483/2025</t>
  </si>
  <si>
    <t xml:space="preserve"> Vedanta Limited, Mumbai</t>
  </si>
  <si>
    <t xml:space="preserve"> State Pollution Control Board, Odisha, Bbsr</t>
  </si>
  <si>
    <t>W.p.(c)-1744-2020</t>
  </si>
  <si>
    <t>Vedanta Ltd (successor In Interest Of Caim India L</t>
  </si>
  <si>
    <t>Wmp/7204/2024</t>
  </si>
  <si>
    <t>O.m.p.(comm)-59-2018</t>
  </si>
  <si>
    <t>Special Cables Pvt. Ltd</t>
  </si>
  <si>
    <t>Sa128/del/2025</t>
  </si>
  <si>
    <t>The Adit.</t>
  </si>
  <si>
    <t>Sa129/del/2025</t>
  </si>
  <si>
    <t>Sa130/del/2025</t>
  </si>
  <si>
    <t>Sa131/del/2025</t>
  </si>
  <si>
    <t>Sa132/del/2025</t>
  </si>
  <si>
    <t>Sa136/del/2025</t>
  </si>
  <si>
    <t>Wp(c)/3729/2025</t>
  </si>
  <si>
    <t xml:space="preserve"> Arjun Naik| Bundka Majhi| Dahu Majhi| Gobinda Majhi    Ishwar Mohanty| Kahareng Majhi| Karnath Gouda| Naringidei Majhi| Rajakanta Naik| Saru Majhi| Surendra Bag</t>
  </si>
  <si>
    <t xml:space="preserve"> Collector, Kalahandi| Collector, Rayagada.| Department Of Steel And Mines, Odisha, Bbsr.| M/s Vedanta Limited| Ministry Of Tribal Affairs, Govt. Of India.| State Of Odisha| Union Of India</t>
  </si>
  <si>
    <t>Scs/59/2016</t>
  </si>
  <si>
    <t xml:space="preserve"> Chandrakant S Kanekar</t>
  </si>
  <si>
    <t>Wa(md)/701/2020</t>
  </si>
  <si>
    <t>Cao/123/2025</t>
  </si>
  <si>
    <t>Wp/13269/2022</t>
  </si>
  <si>
    <t xml:space="preserve"> Subhash Anant Gawas</t>
  </si>
  <si>
    <t>Wp/13277/2022</t>
  </si>
  <si>
    <t xml:space="preserve"> Sanjay Pandurang Gawas</t>
  </si>
  <si>
    <t>Arb.p.-853-2023</t>
  </si>
  <si>
    <t>Criminal -foreign Exchange Cases</t>
  </si>
  <si>
    <t>Fema/32/2025</t>
  </si>
  <si>
    <t>W.p.(c)-11344-2019</t>
  </si>
  <si>
    <t>Vedanta Limited &amp; Anr</t>
  </si>
  <si>
    <t>Wp(c)/24191/2024</t>
  </si>
  <si>
    <t xml:space="preserve"> M/s.vedanta Ltd, Jharsuguda</t>
  </si>
  <si>
    <t>Cw/2658/2024</t>
  </si>
  <si>
    <t>Wmp(md)/10283/2016</t>
  </si>
  <si>
    <t>Wmp(md)/12250/2023</t>
  </si>
  <si>
    <t>Wmp(md)/12251/2023</t>
  </si>
  <si>
    <t>Ita/65/2023</t>
  </si>
  <si>
    <t>O.m.p.(comm)-125-2024</t>
  </si>
  <si>
    <t>Wp(c)/29667/2024</t>
  </si>
  <si>
    <t xml:space="preserve"> Sukhwant Singh</t>
  </si>
  <si>
    <t xml:space="preserve"> Collector And Dist. Magistrate, Jharsuguda</t>
  </si>
  <si>
    <t>Arbp(ica)</t>
  </si>
  <si>
    <t>Arbp(ica)/4/2024</t>
  </si>
  <si>
    <t xml:space="preserve"> Allianz Bulk Cfr8 Pte. Ltd., Singapore</t>
  </si>
  <si>
    <t>Wp(c)/29145/2024</t>
  </si>
  <si>
    <t xml:space="preserve"> Suvendu Mohan Rout</t>
  </si>
  <si>
    <t xml:space="preserve"> Deputy Director Mines,koira Sundargarh| Director General Of Police,ctc| I.i.c.,champua Police Station| M/s Khetrapal Transport ,kendrapara| State Of Odisha| Superintendent Of Police,keonjhar| Vedanta Ltd.,sundargarh</t>
  </si>
  <si>
    <t>Fao(os)(comm)-225-2024</t>
  </si>
  <si>
    <t>Government Of India Through Joint Secretary, Minis</t>
  </si>
  <si>
    <t>Wp(c)/29213/2024</t>
  </si>
  <si>
    <t xml:space="preserve"> Upendra Dash</t>
  </si>
  <si>
    <t xml:space="preserve"> D.g.p., Cuttack| Dy. Director Mines, Koira Sundargarh| Iic, Champua P.s.| Jagabalia Transport, Represented By Its Proprietor, Sundargarh| S.p., Keonjhar| State Of Odisha| Vedanta Ltd., Represented By Its By Its Chief Operating Officer, Sundargarh</t>
  </si>
  <si>
    <t>Wp(c)/29325/2024</t>
  </si>
  <si>
    <t xml:space="preserve"> Prafulla Sahoo</t>
  </si>
  <si>
    <t xml:space="preserve"> Deputy Director Mines, Koira Sundargarh,| Director General Of Police,ctc| Iic,, Champua Police Station,keonjhar| Om Sharada Logistic Lvt Ltd.,jharkhand| State Of Odisha| Superintended Of Police, Keonjhar,| Vedanta Ltd.,sundargarh</t>
  </si>
  <si>
    <t>Wp/28285/2024</t>
  </si>
  <si>
    <t xml:space="preserve"> The State Of Andhra Pradesh</t>
  </si>
  <si>
    <t>Wp(c)/29300/2024</t>
  </si>
  <si>
    <t xml:space="preserve"> Vedanta Limited,maharastra</t>
  </si>
  <si>
    <t xml:space="preserve"> Mahanadi Coalfields Limited,sambalpur</t>
  </si>
  <si>
    <t>Wp/30786/2024</t>
  </si>
  <si>
    <t>Wp/25198/2024</t>
  </si>
  <si>
    <t>Wp/28908/2024</t>
  </si>
  <si>
    <t xml:space="preserve"> H Manjappa| H. Rangappa</t>
  </si>
  <si>
    <t xml:space="preserve"> M/s. John Mines Company| M/s. Vedanta Limited| The Additional Chief Secretary To Govt.,| The Chief Conservator Of Forests| The Deputy Commissioner| The Deputy Conservator Of Forests| The Deputy Director| The Director And Commissioner| The Principal </t>
  </si>
  <si>
    <t>Mfa/6034/2023</t>
  </si>
  <si>
    <t xml:space="preserve"> H. Manjappa</t>
  </si>
  <si>
    <t>Comap/73/2018</t>
  </si>
  <si>
    <t xml:space="preserve"> Harinarayan G. Bajaj And 4 Ors| Krishna Harinarayan Bajaj| Rahul Harinarayan Bajaj| Sesa Sterlite Ltd.| Shailesh Harinarayan Bajaj</t>
  </si>
  <si>
    <t>Strev/38/2024</t>
  </si>
  <si>
    <t>M.a./50/2023</t>
  </si>
  <si>
    <t xml:space="preserve"> M/s Mineral Enterprises Ltd.,, M/s Vedanta Limited</t>
  </si>
  <si>
    <t>M.a./38/2023</t>
  </si>
  <si>
    <t xml:space="preserve"> M/s Mineral Enterprises Ltd,  M/s Vedanta Limited</t>
  </si>
  <si>
    <t>M.a./37/2023</t>
  </si>
  <si>
    <t>M.a./39/2023</t>
  </si>
  <si>
    <t xml:space="preserve"> M/s Mineral Enterprises Ltd.,  M/s Vedanta Limited</t>
  </si>
  <si>
    <t>Ita-88-2022</t>
  </si>
  <si>
    <t>Pr. Commissioner Of Income Tax-7, Delhi</t>
  </si>
  <si>
    <t>Judgment Reserved</t>
  </si>
  <si>
    <t>Cma(md)/681/2025</t>
  </si>
  <si>
    <t>A/3948/2024</t>
  </si>
  <si>
    <t>Wp(c)/20970/2024</t>
  </si>
  <si>
    <t xml:space="preserve"> Dubaraj Patel| Tejaraj Patel</t>
  </si>
  <si>
    <t xml:space="preserve"> Collector And Dist.magistrate , Jharsuguda| Spl. L.a.o., Jharsuguda| Vedanta Ltd., Jharsuguda</t>
  </si>
  <si>
    <t>M.a./49/2023</t>
  </si>
  <si>
    <t>M.a./48/2023</t>
  </si>
  <si>
    <t xml:space="preserve">C.a. No. 011213 -  / 2024</t>
  </si>
  <si>
    <t>Authorised Officer |managing Director |principal Secretary To Governemnt |r.p. Mohapatra |the Authorised Officer |the Chairman |the Managing Director |the Secretary Odisha Electricity Regulatory Commission</t>
  </si>
  <si>
    <t>Wp(c)/17743/2024</t>
  </si>
  <si>
    <t xml:space="preserve"> Union Of India,new Delhi</t>
  </si>
  <si>
    <t>Wp(c)/17340/2024</t>
  </si>
  <si>
    <t>O.s./561/2022</t>
  </si>
  <si>
    <t xml:space="preserve"> New Jai Bharath Rakshana Foundation(r)</t>
  </si>
  <si>
    <t>Scs/1/2015</t>
  </si>
  <si>
    <t xml:space="preserve"> Smt.vijay Subrai Fatrekar  Ors.</t>
  </si>
  <si>
    <t>Money Suit</t>
  </si>
  <si>
    <t>Money Suit/1507393/2015</t>
  </si>
  <si>
    <t xml:space="preserve"> Vedanta Limited Represented Through Its Mr. Manoj Ranjan Satapathy</t>
  </si>
  <si>
    <t xml:space="preserve"> Union Of India Represented Through Its General Manager And Three Others</t>
  </si>
  <si>
    <t>O.s./507/2022</t>
  </si>
  <si>
    <t xml:space="preserve"> Dr Amedkar Sene (r)</t>
  </si>
  <si>
    <t>Omp (enf.) (comm.)-61-2020</t>
  </si>
  <si>
    <t>Shenzhen Shandong Nuclear Construction Company Lim</t>
  </si>
  <si>
    <t>Wp(c)/14004/2024</t>
  </si>
  <si>
    <t xml:space="preserve"> M/s. Vedanta Ltd. (sez Unit), Jharsuguda</t>
  </si>
  <si>
    <t>Wp(c)/14009/2024</t>
  </si>
  <si>
    <t xml:space="preserve"> M/s.vedanta Ltd, Jharshuguda</t>
  </si>
  <si>
    <t>Arbp/23/2024</t>
  </si>
  <si>
    <t xml:space="preserve"> M/s., Emtex Engineering Pvt. L.t.d.</t>
  </si>
  <si>
    <t xml:space="preserve"> Vedanta Limited Aluminium And Power</t>
  </si>
  <si>
    <t>Appeal 73/2024 - Western Zone</t>
  </si>
  <si>
    <t>Swapnesh Bhanudas Sherlekar|prakash Bablo Parab|surendra Ramakant Gad|govind Pandurang Mandrekar|mahadev Ganu Mandrekar</t>
  </si>
  <si>
    <t>Vedanta Limited|ministry Of Environment Forest And Climate Change|goa State Pollution Control Board|state Of Goa Through Its Chief Secretary|enter123</t>
  </si>
  <si>
    <t>Scs/29/2020</t>
  </si>
  <si>
    <t>7438-wp/2011</t>
  </si>
  <si>
    <t>7439-wp/2011</t>
  </si>
  <si>
    <t>Fa/6/2011</t>
  </si>
  <si>
    <t>Wp/108/2010</t>
  </si>
  <si>
    <t>Sesa Goa Limited And Anr</t>
  </si>
  <si>
    <t>Stm/330/2010</t>
  </si>
  <si>
    <t>Cs/27/2009</t>
  </si>
  <si>
    <t xml:space="preserve"> 1. Shri Dilip Shankar Gawade  Ors.</t>
  </si>
  <si>
    <t xml:space="preserve"> 1. Ms Sesa Goa Ltd  Ors.</t>
  </si>
  <si>
    <t>Misc Civil Application/741/2010</t>
  </si>
  <si>
    <t>M/s. Sesa Goa Limited Through Company Secretary And General Manager Chandrashekhar D. Chitnis And An</t>
  </si>
  <si>
    <t>Misc Civil Application/749/2010</t>
  </si>
  <si>
    <t>10151-misc.w/2010</t>
  </si>
  <si>
    <t>State Of Karnataka Rep By Its Secretary</t>
  </si>
  <si>
    <t>M/s. Sesa Goa Limited Through Company Secretary Chandrashekhar D. Chitnis And Anr| Mr. Mahesh Devjani</t>
  </si>
  <si>
    <t>_759_2009</t>
  </si>
  <si>
    <t>Commissioner Of Central Excise, Goa</t>
  </si>
  <si>
    <t>Wp_28200_2010</t>
  </si>
  <si>
    <t>M/s.sesa goa limited</t>
  </si>
  <si>
    <t>State of karnataka</t>
  </si>
  <si>
    <t>Customs/760/2009-mumbai</t>
  </si>
  <si>
    <t>Customs/761/2009-mumbai</t>
  </si>
  <si>
    <t>Customs/762/2009-mumbai</t>
  </si>
  <si>
    <t>Customs/767/2009-mumbai</t>
  </si>
  <si>
    <t>Customs/763/2009-mumbai</t>
  </si>
  <si>
    <t>Customs/766/2009-mumbai</t>
  </si>
  <si>
    <t>Customs/764/2009-mumbai</t>
  </si>
  <si>
    <t>Customs/759/2009-mumbai</t>
  </si>
  <si>
    <t>Customs/765/2009-mumbai</t>
  </si>
  <si>
    <t>Misc Civil Application/497/2010</t>
  </si>
  <si>
    <t>24062-wp/2010</t>
  </si>
  <si>
    <t>Customs/672/2009-mumbai</t>
  </si>
  <si>
    <t>Customs/1216/2009-mumbai</t>
  </si>
  <si>
    <t>Customs/1217/2009-mumbai</t>
  </si>
  <si>
    <t>Customs/1209/2009-mumbai</t>
  </si>
  <si>
    <t>Customs/1192/2009-mumbai</t>
  </si>
  <si>
    <t>Customs/1198/2009-mumbai</t>
  </si>
  <si>
    <t>Customs/1194/2009-mumbai</t>
  </si>
  <si>
    <t>Customs/1202/2009-mumbai</t>
  </si>
  <si>
    <t>Customs/1201/2009-mumbai</t>
  </si>
  <si>
    <t>Customs/1200/2009-mumbai</t>
  </si>
  <si>
    <t>Customs/670/2009-mumbai</t>
  </si>
  <si>
    <t>Customs/666/2009-mumbai</t>
  </si>
  <si>
    <t>Customs/668/2009-mumbai</t>
  </si>
  <si>
    <t>Customs/669/2009-mumbai</t>
  </si>
  <si>
    <t>Customs/674/2009-mumbai</t>
  </si>
  <si>
    <t>Customs/671/2009-mumbai</t>
  </si>
  <si>
    <t>Customs/673/2009-mumbai</t>
  </si>
  <si>
    <t>Customs/676/2009-mumbai</t>
  </si>
  <si>
    <t>Customs/663/2009-mumbai</t>
  </si>
  <si>
    <t>Customs/664/2009-mumbai</t>
  </si>
  <si>
    <t>Customs/665/2009-mumbai</t>
  </si>
  <si>
    <t>Customs/667/2009-mumbai</t>
  </si>
  <si>
    <t>Customs/675/2009-mumbai</t>
  </si>
  <si>
    <t>Customs/1203/2009-mumbai</t>
  </si>
  <si>
    <t>Customs/1204/2009-mumbai</t>
  </si>
  <si>
    <t>Customs/1205/2009-mumbai</t>
  </si>
  <si>
    <t>Customs/1206/2009-mumbai</t>
  </si>
  <si>
    <t>Customs/1196/2009-mumbai</t>
  </si>
  <si>
    <t>Customs/1195/2009-mumbai</t>
  </si>
  <si>
    <t>Customs/1215/2009-mumbai</t>
  </si>
  <si>
    <t>Customs/1218/2009-mumbai</t>
  </si>
  <si>
    <t>Customs/1214/2009-mumbai</t>
  </si>
  <si>
    <t>Customs/1213/2009-mumbai</t>
  </si>
  <si>
    <t>Customs/1212/2009-mumbai</t>
  </si>
  <si>
    <t>Customs/1211/2009-mumbai</t>
  </si>
  <si>
    <t>Customs/1210/2009-mumbai</t>
  </si>
  <si>
    <t>Customs/1208/2009-mumbai</t>
  </si>
  <si>
    <t>Customs/1207/2009-mumbai</t>
  </si>
  <si>
    <t>Customs/1190/2009-mumbai</t>
  </si>
  <si>
    <t>Customs/1191/2009-mumbai</t>
  </si>
  <si>
    <t>Customs/1193/2009-mumbai</t>
  </si>
  <si>
    <t>Customs/1219/2009-mumbai</t>
  </si>
  <si>
    <t>Customs/1197/2009-mumbai</t>
  </si>
  <si>
    <t>Customs/1199/2009-mumbai</t>
  </si>
  <si>
    <t>Customs/1189/2009-mumbai</t>
  </si>
  <si>
    <t>Stamp Number (appln )/1181/2010</t>
  </si>
  <si>
    <t>Sesa Goa Limited, Through Its Mines Manager, Mr. Umesh S. Kadam</t>
  </si>
  <si>
    <t>Mr. Akash Naik, Through His Next Best Friend Sharmila Naik</t>
  </si>
  <si>
    <t>Misc Civil Application/294/2010</t>
  </si>
  <si>
    <t>Customs/587/2010-mumbai</t>
  </si>
  <si>
    <t>Wp/4/2004</t>
  </si>
  <si>
    <t xml:space="preserve">Dilip B. Mayenkar,sanquelim-goa  11 Ors</t>
  </si>
  <si>
    <t>Sesa Goa Ltd Panjim-goa.</t>
  </si>
  <si>
    <t>Misc Civil Application/228/2010</t>
  </si>
  <si>
    <t>Stamp Number (appln )/699/2010</t>
  </si>
  <si>
    <t>Wp/268/2009</t>
  </si>
  <si>
    <t>Workmen Represented By United Mine Workers Union</t>
  </si>
  <si>
    <t>Stm/995/2009</t>
  </si>
  <si>
    <t>Ita 113/pan-2010</t>
  </si>
  <si>
    <t>Addl.cit</t>
  </si>
  <si>
    <t>Ca/303/2007</t>
  </si>
  <si>
    <t>M/s. Sesa Goa Limited</t>
  </si>
  <si>
    <t>For Injunction</t>
  </si>
  <si>
    <t>Wp/631/2007</t>
  </si>
  <si>
    <t>Misc.w_10667_2009</t>
  </si>
  <si>
    <t>M/s sesa goa limited</t>
  </si>
  <si>
    <t>State of karnataka &amp; others</t>
  </si>
  <si>
    <t>Cusa/2/2010</t>
  </si>
  <si>
    <t>Stm/75/2010</t>
  </si>
  <si>
    <t>Txa/6/2010</t>
  </si>
  <si>
    <t>Stm/110/2010</t>
  </si>
  <si>
    <t>Custom Appeal (d.b.)</t>
  </si>
  <si>
    <t>Stm/78/2010</t>
  </si>
  <si>
    <t>Cusa/3/2010</t>
  </si>
  <si>
    <t>Stm/869/2009</t>
  </si>
  <si>
    <t>Shri. Vasant Arjun Dessai (deceased) Through Lr's</t>
  </si>
  <si>
    <t>Sa/64/2009</t>
  </si>
  <si>
    <t>Misc Civil Application/34/2010</t>
  </si>
  <si>
    <t>Stamp Number (appln )/79/2010</t>
  </si>
  <si>
    <t>Misc Civil Application/35/2010</t>
  </si>
  <si>
    <t>Stamp Number (appln )/76/2010</t>
  </si>
  <si>
    <t xml:space="preserve">Slp (civil)     30369/2009</t>
  </si>
  <si>
    <t>State Of Karnataka &amp; Ors.</t>
  </si>
  <si>
    <t>Sc_30369_2009</t>
  </si>
  <si>
    <t>Ita 129/pan-2009</t>
  </si>
  <si>
    <t>Ita129/pan/2009</t>
  </si>
  <si>
    <t>Acit, Circle 1(1)</t>
  </si>
  <si>
    <t>10667-misc.w/2009</t>
  </si>
  <si>
    <t>State Of Karnataka &amp; Others</t>
  </si>
  <si>
    <t>Misc Civil Application/817/2009</t>
  </si>
  <si>
    <t>Stm/868/2009</t>
  </si>
  <si>
    <t>Shri. Shiva Bablo Kamat</t>
  </si>
  <si>
    <t>Sa/65/2009</t>
  </si>
  <si>
    <t>Ca/182/2009</t>
  </si>
  <si>
    <t>Fa/150/2009</t>
  </si>
  <si>
    <t>Ca/151/2009</t>
  </si>
  <si>
    <t>Itr/252/2009</t>
  </si>
  <si>
    <t>The Cit Karnataka -iii,banglore</t>
  </si>
  <si>
    <t>Ca/97/2009</t>
  </si>
  <si>
    <t>Sesa Goa Limited Through Mines Manager Cletus D''sozua</t>
  </si>
  <si>
    <t>8337-misc.w/2009</t>
  </si>
  <si>
    <t>State Of Karnatak</t>
  </si>
  <si>
    <t>Wp/471/2009</t>
  </si>
  <si>
    <t>M/s. Sesa Goa Limited Through Company Secretary And Anr</t>
  </si>
  <si>
    <t>Misc Civil Application/664/2008</t>
  </si>
  <si>
    <t>For Restoration</t>
  </si>
  <si>
    <t>Misc Civil Application/4/2009</t>
  </si>
  <si>
    <t>_855_2008</t>
  </si>
  <si>
    <t>====================================================== Sesa Goa Ltd.</t>
  </si>
  <si>
    <t>Commissioner Of Customs, Goa</t>
  </si>
  <si>
    <t>_856_2008</t>
  </si>
  <si>
    <t>_854_2008</t>
  </si>
  <si>
    <t>Customs/855/2008-mumbai</t>
  </si>
  <si>
    <t>Customs/856/2008-mumbai</t>
  </si>
  <si>
    <t>Customs/854/2008-mumbai</t>
  </si>
  <si>
    <t>_314_2009</t>
  </si>
  <si>
    <t>================================================== Sesa Goa Limited ...</t>
  </si>
  <si>
    <t>Commissioner Of Customs &amp; Central Excise Goa ...</t>
  </si>
  <si>
    <t xml:space="preserve"> Writ Petition  20253  Of  2007</t>
  </si>
  <si>
    <t>Wp/20253/2007</t>
  </si>
  <si>
    <t xml:space="preserve"> M/s.sesa Goa Ltd</t>
  </si>
  <si>
    <t>Suit For Permanent Injunction</t>
  </si>
  <si>
    <t>Ao/37/2009</t>
  </si>
  <si>
    <t>Customs/314/2009-mumbai</t>
  </si>
  <si>
    <t>7203-wp/2009</t>
  </si>
  <si>
    <t xml:space="preserve">M/s. Sesa Goa Limited </t>
  </si>
  <si>
    <t>State Of Karnataka Rep By Its Principal Secretary</t>
  </si>
  <si>
    <t>Stm/235/2008</t>
  </si>
  <si>
    <t>Stm/232/2008</t>
  </si>
  <si>
    <t>Txa/37/2008</t>
  </si>
  <si>
    <t>Txa/38/2008</t>
  </si>
  <si>
    <t>Txa/39/2008</t>
  </si>
  <si>
    <t>Txa/62/2008</t>
  </si>
  <si>
    <t>Txa/65/2008</t>
  </si>
  <si>
    <t>Wp_1386_2009</t>
  </si>
  <si>
    <t>The deputy director of income tax</t>
  </si>
  <si>
    <t>2439-misc.w/2009</t>
  </si>
  <si>
    <t>The Deputy Director Of Income Tax</t>
  </si>
  <si>
    <t>Stm/1760/2007</t>
  </si>
  <si>
    <t>Stm/230/2008</t>
  </si>
  <si>
    <t>Stm/231/2008</t>
  </si>
  <si>
    <t>Txa/2/2008</t>
  </si>
  <si>
    <t>Txa/61/2008</t>
  </si>
  <si>
    <t>Txa/67/2008</t>
  </si>
  <si>
    <t>Stm/10/2008</t>
  </si>
  <si>
    <t>Stm/11/2008</t>
  </si>
  <si>
    <t>Txa/15/2008</t>
  </si>
  <si>
    <t>Txa/16/2008</t>
  </si>
  <si>
    <t>Misc.w_1102_2009</t>
  </si>
  <si>
    <t>Sesa goa limited</t>
  </si>
  <si>
    <t>Union of india</t>
  </si>
  <si>
    <t>Wp_39138_2002</t>
  </si>
  <si>
    <t>1102-misc.w/2009</t>
  </si>
  <si>
    <t>Stm/2431/2006</t>
  </si>
  <si>
    <t>The Commissioner Of Income Tax, Panaji-goa.</t>
  </si>
  <si>
    <t>M/s. Sesa Goa Ltd Panaji, Goa.</t>
  </si>
  <si>
    <t>Stm/2432/2006</t>
  </si>
  <si>
    <t>Txa/78/2006</t>
  </si>
  <si>
    <t>Txa/81/2006</t>
  </si>
  <si>
    <t>1386-wp/2009</t>
  </si>
  <si>
    <t>1965-wp/2009</t>
  </si>
  <si>
    <t>Wp/2739/2006</t>
  </si>
  <si>
    <t xml:space="preserve">M/s Sesa Goa Ltd,  And Ors.</t>
  </si>
  <si>
    <t>The State Of Maharashtra And Anr .</t>
  </si>
  <si>
    <t>13595-wp/2008</t>
  </si>
  <si>
    <t>Of_1407_2008</t>
  </si>
  <si>
    <t xml:space="preserve">M/s. Sesa Goa Limited
</t>
  </si>
  <si>
    <t>For Bringing Lr\''s On Record</t>
  </si>
  <si>
    <t>Misc Civil Application/489/2009</t>
  </si>
  <si>
    <t>Ca/81/2008</t>
  </si>
  <si>
    <t>Shri. John Filipe Costa And 2 Ors</t>
  </si>
  <si>
    <t>For Clarification Of Order</t>
  </si>
  <si>
    <t>Misc Civil Application/96/2008</t>
  </si>
  <si>
    <t>Stamp Number (appln )/414/2008</t>
  </si>
  <si>
    <t>984-wa/2008</t>
  </si>
  <si>
    <t>The State Of Karnataka</t>
  </si>
  <si>
    <t>Spma/110/2007</t>
  </si>
  <si>
    <t xml:space="preserve"> Jyoti Mehta -  ; </t>
  </si>
  <si>
    <t>Stm/1758/2007</t>
  </si>
  <si>
    <t>Stm/1759/2007</t>
  </si>
  <si>
    <t>Txa/67/2007</t>
  </si>
  <si>
    <t>Stm/1232/2008</t>
  </si>
  <si>
    <t>Union Of India Through Secretary Ministry Of Finance And Anr</t>
  </si>
  <si>
    <t>Wp/258/2008</t>
  </si>
  <si>
    <t>Txa 68/2007</t>
  </si>
  <si>
    <t>Wp/461/2007</t>
  </si>
  <si>
    <t>The United Mines Workers Union</t>
  </si>
  <si>
    <t>Mr. Abdulla A. Khan, Sesa Goa Limited And Anr</t>
  </si>
  <si>
    <t>Stm/812/2008</t>
  </si>
  <si>
    <t>Suit For Restoration Of Possession</t>
  </si>
  <si>
    <t>Fa/55/2008</t>
  </si>
  <si>
    <t>Stm/1815/2007</t>
  </si>
  <si>
    <t>Shri. Shankar Gavade Represented By Attorney Shri. Diip Gawade</t>
  </si>
  <si>
    <t xml:space="preserve">M/s. Damodar Magalji  Co. Ltd, M/s. Sesa Goa Ltd, M/s. Sociedade De Fomento Industrial Pvt. Ltd, The Canal Officer, Water Resource Dept, The State Of Goa Through Its Chief Secretary And 4 Ors</t>
  </si>
  <si>
    <t>Wp/353/2007</t>
  </si>
  <si>
    <t>Appw/56/2008</t>
  </si>
  <si>
    <t>Krishna H. Bajaj</t>
  </si>
  <si>
    <t>M/s. Sesa Goa Ltd, And Ors.</t>
  </si>
  <si>
    <t>Misc Civil Application/32/2008</t>
  </si>
  <si>
    <t>Dilip Shankar Gawade, Narayan Shankar Gawade, Smt. Avde S. Gawade And 2 Ors</t>
  </si>
  <si>
    <t>Wp/552/2007</t>
  </si>
  <si>
    <t xml:space="preserve">Mr. Atul Patnekar, Mrs. Sushma Atul Patnekar, Mrs. Vishaka Vallabh Bondre, Shri Sadanand Vinayak Bondre (since Dec.) Through His L\'rs Shri Sandeep Jaywant Natekar, Shri Vallabh Sadanand Bondre, Smt. Premlata Jaywant Natekar (deceased) Through Lr's, </t>
  </si>
  <si>
    <t xml:space="preserve">M/s. Damodar Mangalji Co. Pvt. Ltd, M/s. V. S. Dempo  Co. Pvt. Ltd, Mrs. Shradha Deepak Natekar, Sesa Goa Limited,, Shri Ajit Yeshwant Pangam, Shri Deepak Jaywant Natekar, Shri. Jagannath Vinayak Manerkar And 8 Ors, Smt. Bharati Ajit Pangam, Smt. Med</t>
  </si>
  <si>
    <t>Wp/535/2007</t>
  </si>
  <si>
    <t>Shri Govind Gawas, Sanguem, Goa.</t>
  </si>
  <si>
    <t>Central Government Industrial Tribunal,, M/s. Sesa Goa Ltd And Anr</t>
  </si>
  <si>
    <t>Appw/379/2007</t>
  </si>
  <si>
    <t>The State Of Maharashtra And Anr.</t>
  </si>
  <si>
    <t xml:space="preserve">Slp (civil)     4642/2007</t>
  </si>
  <si>
    <t>Sc_4642_2007</t>
  </si>
  <si>
    <t>Sesa goa limited   </t>
  </si>
  <si>
    <t>S/3149/2006</t>
  </si>
  <si>
    <t>Sesa Goa Ltd. And Anr.</t>
  </si>
  <si>
    <t>S.a. Conti-lines N.v.</t>
  </si>
  <si>
    <t>Spma/109/2007</t>
  </si>
  <si>
    <t>Jyoti Mehta</t>
  </si>
  <si>
    <t xml:space="preserve">Pallav Seth &amp; Ors.  | The Custodian Mumbai  | Sesa Goa Ltd  | The Commissioner Of Income Tax  | State Bank Of India  | Standard Chartered Bank  | State Bank Of Saurashtra  | Sbi Capital Market Ltd.</t>
  </si>
  <si>
    <t>Spma/106/2007</t>
  </si>
  <si>
    <t xml:space="preserve">F.f.s.l. &amp; Ors.  | The Custodian Mumbai  | The Great Eastern Shipping Co. Ltd.  | Reliance Industries Ltd.mumbi  | Sesa Goa Ltd  | The Commissioner Of Income Tax  | State Bank Of India  | Standard Chartered Bank  | State Bank Of Saurashtra  | Sbi Cap</t>
  </si>
  <si>
    <t xml:space="preserve">Slp (criminal)     6641/2007</t>
  </si>
  <si>
    <t>M/s. Sesa Goa Ltd &amp; Ors.</t>
  </si>
  <si>
    <t>Sr_6641_2007</t>
  </si>
  <si>
    <t>M/s. sesa goa ltd &amp; ors.</t>
  </si>
  <si>
    <t>Cop/10/2006</t>
  </si>
  <si>
    <t>Sesa Goa Ltd Panaji| Goa.</t>
  </si>
  <si>
    <t>Stm/1428/2006</t>
  </si>
  <si>
    <t xml:space="preserve"> Writ Petition  27656  Of  2007</t>
  </si>
  <si>
    <t xml:space="preserve">  Board Of Trusteeof Port</t>
  </si>
  <si>
    <t>Wp/27656/2007</t>
  </si>
  <si>
    <t xml:space="preserve"> M/s.  Sesa Goa Ltd</t>
  </si>
  <si>
    <t xml:space="preserve"> Board Of Trusteeof  Port</t>
  </si>
  <si>
    <t>Ca/118/2007</t>
  </si>
  <si>
    <t>Ca/119/2007</t>
  </si>
  <si>
    <t>Ca/120/2007</t>
  </si>
  <si>
    <t>Txa/30/2007</t>
  </si>
  <si>
    <t>Txa/32/2007</t>
  </si>
  <si>
    <t>Stm/1426/2007</t>
  </si>
  <si>
    <t>Stm/1427/2007</t>
  </si>
  <si>
    <t>Stm/1425/2007</t>
  </si>
  <si>
    <t>Txa/31/2007</t>
  </si>
  <si>
    <t>Stm/591/2007</t>
  </si>
  <si>
    <t xml:space="preserve">Mr. Atul Patnekar, Mrs. Sushma Atul Patnekar, Mrs. Vishaka Vallabh Bondre, Shri Sadanand Vinayak Bondre (since Dec.) Through L\'rs Shri Sandeep Jaywant Natekar, Shri Vallabh Sadanand Bondre, Smt. Premalata Jaywant Natekar (deceased) Through His Lr's </t>
  </si>
  <si>
    <t xml:space="preserve">M/s. Damodar Mangalji Co. Pvt. Ltd, M/s. V. S. Dempo  Co. Pvt. Ltd, Sesa Goa Ltd, Shri Ajit Yeshwant Pangam, Shri Deepak Jaywant Natekar, Shri. Jagannath Vinayak Manerkar And 7 Ors Smt. Medini Jagannath Manerkar, Smt. Shalini Yeshwant Pangam</t>
  </si>
  <si>
    <t>Wp/141/2007</t>
  </si>
  <si>
    <t>Wp_27353_2004</t>
  </si>
  <si>
    <t xml:space="preserve">Slp (civil)     4628/2007</t>
  </si>
  <si>
    <t>Commnr. Of Income Tax, Panaji &amp; Ors.</t>
  </si>
  <si>
    <t>Sc_4628_2007</t>
  </si>
  <si>
    <t>Wp_3128_2007</t>
  </si>
  <si>
    <t>3128-wp/2007</t>
  </si>
  <si>
    <t xml:space="preserve">Slp (civil)     2529/2007</t>
  </si>
  <si>
    <t>Dy. Commr. Of Income Tax, Goa &amp; Anr.</t>
  </si>
  <si>
    <t xml:space="preserve">Slp (civil)     2531/2007</t>
  </si>
  <si>
    <t>Commissioner Of Income Tax,panji &amp; Ors.</t>
  </si>
  <si>
    <t>Sc_2529_2007</t>
  </si>
  <si>
    <t>Sc_2531_2007</t>
  </si>
  <si>
    <t>Sc_5705_2005</t>
  </si>
  <si>
    <t>Jt. commnr. of income tax &amp; ors.   </t>
  </si>
  <si>
    <t>Stm/2065/2006</t>
  </si>
  <si>
    <t>The Commissioner Of Income Tax, Panaji Goa.</t>
  </si>
  <si>
    <t>Txa/53/2006</t>
  </si>
  <si>
    <t>Appeal Under E S I</t>
  </si>
  <si>
    <t>Appeal Under E S I/16/2006</t>
  </si>
  <si>
    <t>Stm/1569/2006</t>
  </si>
  <si>
    <t>Bihar District Court</t>
  </si>
  <si>
    <t>Cr. Case Complaint (p)/168/2023</t>
  </si>
  <si>
    <t xml:space="preserve"> Rajesh Kumar Singh</t>
  </si>
  <si>
    <t xml:space="preserve"> Ajay Kumar Patra, Vedanta Ltd. Throught Its Directors</t>
  </si>
  <si>
    <t>Cr. Case Complaint (p)/197/2023</t>
  </si>
  <si>
    <t xml:space="preserve"> Facor Vedanta Through Authorized Signatory, Ferro Alloys Corporation Ltd Through Its All Directors</t>
  </si>
  <si>
    <t>Appeal 30/2024 - Western Zone</t>
  </si>
  <si>
    <t>Ramesh Sazo Gauns</t>
  </si>
  <si>
    <t>Union Of India|goa State Pollution Control Board|central Pollution Control Board|vedanta Limited|enter123</t>
  </si>
  <si>
    <t>Wp(md)/11220/2018</t>
  </si>
  <si>
    <t xml:space="preserve"> Fatima,</t>
  </si>
  <si>
    <t xml:space="preserve"> The Secretary,, M/s.vedanta Ltd.,</t>
  </si>
  <si>
    <t>Wmp(md)/10257/2018</t>
  </si>
  <si>
    <t>Wmp(md)/10255/2018</t>
  </si>
  <si>
    <t>Wp/1617/2023</t>
  </si>
  <si>
    <t xml:space="preserve"> Assistant Commissioner Of Income Tax Circle 3(2)(1) And 3 Ors.</t>
  </si>
  <si>
    <t>O.m.p.(misc.)(comm.)-302-2024</t>
  </si>
  <si>
    <t>Wp(c)/8373/2024</t>
  </si>
  <si>
    <t xml:space="preserve"> Vedanta Ltd, Mumbai</t>
  </si>
  <si>
    <t xml:space="preserve"> Mahanadi Coalfields Ltd., Sambalpur</t>
  </si>
  <si>
    <t>Cms/5980/2024</t>
  </si>
  <si>
    <t xml:space="preserve"> M/s Vedanta Ltd. (cairn Oil And Gas)</t>
  </si>
  <si>
    <t>Cw/5853/2024</t>
  </si>
  <si>
    <t>-ordinary Civil Matters</t>
  </si>
  <si>
    <t>R.p.(c) No. 002263 - 002272 / 2024</t>
  </si>
  <si>
    <t>Wmp/5888/2024</t>
  </si>
  <si>
    <t xml:space="preserve"> A.marx</t>
  </si>
  <si>
    <t xml:space="preserve"> Union Of India, Oil And Natural Gas Corporation Limited</t>
  </si>
  <si>
    <t>W.p.(c)-7207-2019</t>
  </si>
  <si>
    <t>Vedanta Limited (successor To Cairn India Limited</t>
  </si>
  <si>
    <t>Assistant Commissioner Of Income-tax Circle 26(1)</t>
  </si>
  <si>
    <t>Cma/14/2024</t>
  </si>
  <si>
    <t xml:space="preserve"> The Director</t>
  </si>
  <si>
    <t>Civil Misc. Non Connected (38)</t>
  </si>
  <si>
    <t>Civil Misc. Non Connected (38)/43/2023</t>
  </si>
  <si>
    <t xml:space="preserve"> Ram Partap</t>
  </si>
  <si>
    <t>Civil Misc. Non Connected (38)/42/2023</t>
  </si>
  <si>
    <t>Civil Misc. Non Connected (38)/40/2023</t>
  </si>
  <si>
    <t xml:space="preserve"> Rampartap</t>
  </si>
  <si>
    <t>Civil Misc. Non Connected (38)/41/2023</t>
  </si>
  <si>
    <t>3306-eviction Under The Public Premises (eviction) Act : Other States/union Territories</t>
  </si>
  <si>
    <t xml:space="preserve">Slp(c) No. 006516 -  / 2024</t>
  </si>
  <si>
    <t>Vedanta Limited (earlier M/s Sesa Sterlite Limited)</t>
  </si>
  <si>
    <t>The Maharashtra Industrical Development Corporation |the State Of Maharashtra</t>
  </si>
  <si>
    <t>Cmp/25078/2019</t>
  </si>
  <si>
    <t>Crlmp/1788/2024</t>
  </si>
  <si>
    <t xml:space="preserve"> Vedanta Limited 156(3) Crpc.</t>
  </si>
  <si>
    <t xml:space="preserve"> Amr India Limited</t>
  </si>
  <si>
    <t>Wp/29446/2019</t>
  </si>
  <si>
    <t xml:space="preserve"> Union Of India, M/s.vedanta Ltd.,</t>
  </si>
  <si>
    <t>Wmp/29284/2019</t>
  </si>
  <si>
    <t>Arb.p.-342-2023</t>
  </si>
  <si>
    <t>Shreeji Shipping</t>
  </si>
  <si>
    <t>0406-indirect Taxes Matters : Cess Acts (rubber, Coffee, Tea, Sugar, Etc.)</t>
  </si>
  <si>
    <t xml:space="preserve">Slp(c) No. 004374 -  / 2024</t>
  </si>
  <si>
    <t>Maheash Devjani |state Of Goa</t>
  </si>
  <si>
    <t>Comm Cma</t>
  </si>
  <si>
    <t>Comm Cma/71/2023</t>
  </si>
  <si>
    <t xml:space="preserve"> M/s. Climax Synthetics Pvt. Ltd.</t>
  </si>
  <si>
    <t>S/3581/2007</t>
  </si>
  <si>
    <t>Wp(c)/39598/2023</t>
  </si>
  <si>
    <t xml:space="preserve"> Biswambhar Patel    Deba Ranjan Mohapatra, S.r.mohapatra, K.k.jena, B.k.rath| Budhiramoram| Buhiram Oram</t>
  </si>
  <si>
    <t xml:space="preserve"> Collector Cum D.m., Jharsuguda| The Special Land Acquisition Officer Jharshuguda| Vedanta Ltd Jharshuguda</t>
  </si>
  <si>
    <t>Com.a.p.</t>
  </si>
  <si>
    <t>Com.a.p./18/2022</t>
  </si>
  <si>
    <t xml:space="preserve"> South Western Railway Huballi</t>
  </si>
  <si>
    <t>Wp(c)/40391/2023</t>
  </si>
  <si>
    <t xml:space="preserve"> Vedanta Ltd., Jharsuguda</t>
  </si>
  <si>
    <t>C.s</t>
  </si>
  <si>
    <t>C.s/142/2023</t>
  </si>
  <si>
    <t xml:space="preserve"> Rabindra  Nath Debata</t>
  </si>
  <si>
    <t>Ia/58/2023</t>
  </si>
  <si>
    <t>Wp(c)/30237/2020</t>
  </si>
  <si>
    <t xml:space="preserve"> Dasharath Patel</t>
  </si>
  <si>
    <t xml:space="preserve"> State Of Odisha, Vedanta Ltd.</t>
  </si>
  <si>
    <t>Wp(c)/37859/2023</t>
  </si>
  <si>
    <t xml:space="preserve"> Susmita Padhan</t>
  </si>
  <si>
    <t xml:space="preserve"> Collector, Sundargarh| M/s. Vedanta Ltd| State Of Odisha| Sub-collector And Sub-divisional Magistrate, Sadar</t>
  </si>
  <si>
    <t>Wp(c)/37861/2023</t>
  </si>
  <si>
    <t xml:space="preserve"> Birbal Kawar</t>
  </si>
  <si>
    <t>Wp(c)/37862/2023</t>
  </si>
  <si>
    <t xml:space="preserve"> Manju Kawar</t>
  </si>
  <si>
    <t xml:space="preserve"> Collector, Sundargarh| M/s. Vedanta Ltd., Jharsuguda| State Of Odisha| Sub Collector And Sub Divisional Magistrate, Sadar Sundargarh</t>
  </si>
  <si>
    <t>Wp(c)/37864/2023</t>
  </si>
  <si>
    <t xml:space="preserve"> Nabin Kawar</t>
  </si>
  <si>
    <t>Wp(c)/37866/2023</t>
  </si>
  <si>
    <t xml:space="preserve"> Barun Padhan</t>
  </si>
  <si>
    <t>Wp(c)/36083/2023</t>
  </si>
  <si>
    <t xml:space="preserve"> Pramananda Kawar</t>
  </si>
  <si>
    <t xml:space="preserve"> Collector, Sundargarh| M/s Vedanta Ltd.| State Of Odisha| Sub-collector And Sub-divisional Magistrate</t>
  </si>
  <si>
    <t>Chhattisgarh District Court</t>
  </si>
  <si>
    <t>Civil Suit Class A/160/2023</t>
  </si>
  <si>
    <t xml:space="preserve"> Devveervrat Kumar Sahu</t>
  </si>
  <si>
    <t>Cs-money Suit</t>
  </si>
  <si>
    <t>Cs-money Suit/9/2016</t>
  </si>
  <si>
    <t xml:space="preserve"> Global Energy Private Limited</t>
  </si>
  <si>
    <t>Ex A</t>
  </si>
  <si>
    <t>Ex A/460/2016</t>
  </si>
  <si>
    <t xml:space="preserve"> Masyc Projects Private Limited</t>
  </si>
  <si>
    <t>Wmp(md)/10282/2016</t>
  </si>
  <si>
    <t>Sa375/del/2023</t>
  </si>
  <si>
    <t>Sa379/del/2023</t>
  </si>
  <si>
    <t>Acit, Circle 26(2)</t>
  </si>
  <si>
    <t>Sa377/del/2023</t>
  </si>
  <si>
    <t>Sa378/del/2023</t>
  </si>
  <si>
    <t>Sa380/del/2023</t>
  </si>
  <si>
    <t>Acit,circle-26(2)</t>
  </si>
  <si>
    <t>Sa376/del/2023</t>
  </si>
  <si>
    <t>Wpc/1793/2020</t>
  </si>
  <si>
    <t xml:space="preserve"> State Of Jharkhand Through Secretary Mines And Geology</t>
  </si>
  <si>
    <t>Crl Rc(md)/251/2019</t>
  </si>
  <si>
    <t xml:space="preserve"> Fatima, W/o. Kasibabu    M/s.henri Tiphagne, R. Karunanidhi,affidavit Of Service Filed Usr.138</t>
  </si>
  <si>
    <t xml:space="preserve"> A Sumathi, Associate Vice| D. Dhanavel,chief Commercial| M/s. Vedanta Ltd (formerly| Mr. P. Divakaran, Director-| Mr. Tarun Jain| Mr.navinagarwal, Executive| P. Ramnath Ceo</t>
  </si>
  <si>
    <t>O.m.p. (misc.)-31-2023</t>
  </si>
  <si>
    <t>Op/157/2022</t>
  </si>
  <si>
    <t xml:space="preserve"> Air Liquide Global E And C  Solutions India Private Limited,  New Delhi Through Madhan Mohan</t>
  </si>
  <si>
    <t>Civil Misc. Non Connected (38)/5461/2022</t>
  </si>
  <si>
    <t xml:space="preserve"> Murari Lal Gupta S/o Sonpal Gupta</t>
  </si>
  <si>
    <t xml:space="preserve"> Anil Gupta S/o Murari Lal Gupta And  Ors, Vedanta Ltd</t>
  </si>
  <si>
    <t>O.m.p.(i) (comm.)-150-2019</t>
  </si>
  <si>
    <t>Oil And Natural Gas Corporation Ltd</t>
  </si>
  <si>
    <t xml:space="preserve">C.a. No. 010977 -  / 2018</t>
  </si>
  <si>
    <t>M/s. Naskars Delco Mechanical Engineering Pvt. Ltd.</t>
  </si>
  <si>
    <t>Committee Of Creditors |dhaivat Anjaria |electrosteel Steels Limited |vedanta Ltd</t>
  </si>
  <si>
    <t>Wpc/3040/2023</t>
  </si>
  <si>
    <t>Op/6/2022</t>
  </si>
  <si>
    <t xml:space="preserve"> M. Senthamil Selvi</t>
  </si>
  <si>
    <t>Wp(c)/19357/2020</t>
  </si>
  <si>
    <t xml:space="preserve"> Assistant Commissioner Bbsr Customs Division</t>
  </si>
  <si>
    <t>Cmp(md)/2211/2021</t>
  </si>
  <si>
    <t>Wa(md)/510/2021</t>
  </si>
  <si>
    <t>Cmp(md)/2210/2021</t>
  </si>
  <si>
    <t>Cmp(md)/2647/2023</t>
  </si>
  <si>
    <t xml:space="preserve"> T.leelavathi(died)</t>
  </si>
  <si>
    <t>Arb O.p(com.div.)/32/2023</t>
  </si>
  <si>
    <t xml:space="preserve"> Air Liquide Global E And C Solutions India Pvt Ltd.,</t>
  </si>
  <si>
    <t>Crlmp/9932/2023</t>
  </si>
  <si>
    <t xml:space="preserve"> Vedanta Limited Through Its Associate Manager Legal Sterlite Copper Sipcot Industrial Complex Tuty</t>
  </si>
  <si>
    <t xml:space="preserve"> Inspector Of Police, District Crime Branch Thoothukudi</t>
  </si>
  <si>
    <t>Cmp/9363/2023</t>
  </si>
  <si>
    <t>Wp/2360/2023</t>
  </si>
  <si>
    <t xml:space="preserve"> H Manjappa</t>
  </si>
  <si>
    <t>Com.appeal</t>
  </si>
  <si>
    <t>Com.appeal/6/2019</t>
  </si>
  <si>
    <t xml:space="preserve"> Ms Vedanta Limited Through Jasmeet Wadehra</t>
  </si>
  <si>
    <t xml:space="preserve"> National Sales Represented Through Sole Proprietor Shri Naresh Kumar Gupta</t>
  </si>
  <si>
    <t>Traffic</t>
  </si>
  <si>
    <t>Traffic/78857/2023</t>
  </si>
  <si>
    <t xml:space="preserve"> State Of Haryana</t>
  </si>
  <si>
    <t xml:space="preserve"> M/s Vedanta Limited 9318</t>
  </si>
  <si>
    <t>0613-service Matters : Others</t>
  </si>
  <si>
    <t>C.a. No. 000276 - 000285 / 2021</t>
  </si>
  <si>
    <t>Tamil Nadu Pollution Control Board |the State Of Tamil Nadu</t>
  </si>
  <si>
    <t xml:space="preserve">St Street Kovilpillai Nagar Thermal Nagar  Thoothukkudi           Tamil Nadu          |director Of Boilers |director/dgp |fatima  |g. Hariraghavan  |joint Director |k.s. Arjunan  |opp To Alagar School Muthammal Colony 3rd Street  Thoothukkudi        </t>
  </si>
  <si>
    <t>Wp(c)/9600/2023</t>
  </si>
  <si>
    <t xml:space="preserve"> Commissioner, Central Excise, Customs And Service Tax, Rourkela</t>
  </si>
  <si>
    <t>Fao/197/2019</t>
  </si>
  <si>
    <t xml:space="preserve"> Bishnu Charan Nayak</t>
  </si>
  <si>
    <t>C.s/191/2018</t>
  </si>
  <si>
    <t xml:space="preserve"> Mr. Jayesh Joshi</t>
  </si>
  <si>
    <t>Wp(md)/13795/2016</t>
  </si>
  <si>
    <t>Wp(c)/15071/2017</t>
  </si>
  <si>
    <t>Wp(c)/5540/2016</t>
  </si>
  <si>
    <t>C.a. No. 014947 / 2017</t>
  </si>
  <si>
    <t>The Chairman Cum Managing Director Mahanadi Coalfields Ltd. . |the General Manager (s And M) Mahanadi Coalfields Limited</t>
  </si>
  <si>
    <t xml:space="preserve">M/s Vedanta Ltd  (formerly Known As M/s Sterlite Energy Ltd). Represented By Its Authorised Representative Sri Manoj Ranjan Satapathy. Associate General Manager (legal) |the Commissioner Central Excise Customs And Service Tax</t>
  </si>
  <si>
    <t>Message</t>
  </si>
  <si>
    <t>Data Not Found..</t>
  </si>
</sst>
</file>

<file path=xl/styles.xml><?xml version="1.0" encoding="utf-8"?>
<styleSheet xmlns="http://schemas.openxmlformats.org/spreadsheetml/2006/main">
  <numFmts count="0"/>
  <fonts count="7">
    <font>
      <sz val="11"/>
      <name val="Calibri"/>
    </font>
    <font>
      <b/>
      <sz val="9"/>
      <color rgb="FFFFFFFF" tint="0"/>
      <name val="Arial"/>
    </font>
    <font>
      <sz val="9"/>
      <name val="Arial"/>
    </font>
    <font>
      <b/>
      <sz val="9"/>
      <name val="Arial"/>
    </font>
    <font>
      <sz val="9"/>
      <color rgb="FFFFFFFF" tint="0"/>
      <name val="Arial"/>
    </font>
    <font>
      <sz val="20"/>
      <name val="Calibri"/>
    </font>
    <font>
      <sz val="11"/>
      <color rgb="FF0000FF" tint="0"/>
      <name val="Calibri"/>
    </font>
  </fonts>
  <fills count="4">
    <fill>
      <patternFill patternType="none"/>
    </fill>
    <fill>
      <patternFill patternType="gray125"/>
    </fill>
    <fill>
      <patternFill patternType="solid">
        <fgColor rgb="FF2885F4" tint="0"/>
      </patternFill>
    </fill>
    <fill>
      <patternFill patternType="solid">
        <fgColor rgb="FFE8E8E8" tint="0"/>
      </patternFill>
    </fill>
  </fills>
  <borders count="1">
    <border>
      <left/>
      <right/>
      <top/>
      <bottom/>
      <diagonal/>
    </border>
  </borders>
  <cellStyleXfs count="1">
    <xf numFmtId="0" fontId="0"/>
  </cellStyleXfs>
  <cellXfs count="16">
    <xf numFmtId="0" applyNumberFormat="1" fontId="0" applyFont="1" xfId="0"/>
    <xf numFmtId="0" applyNumberFormat="1" fontId="1" applyFont="1" xfId="0">
      <alignment vertical="distributed"/>
    </xf>
    <xf numFmtId="0" applyNumberFormat="1" fontId="1" applyFont="1" fillId="2" applyFill="1" xfId="0">
      <alignment vertical="distributed"/>
    </xf>
    <xf numFmtId="0" applyNumberFormat="1" fontId="2" applyFont="1" xfId="0"/>
    <xf numFmtId="0" applyNumberFormat="1" fontId="2" applyFont="1" xfId="0">
      <alignment vertical="distributed"/>
    </xf>
    <xf numFmtId="14" applyNumberFormat="1" fontId="2" applyFont="1" xfId="0">
      <alignment vertical="distributed"/>
    </xf>
    <xf numFmtId="14" applyNumberFormat="1" fontId="2" applyFont="1" xfId="0"/>
    <xf numFmtId="0" applyNumberFormat="1" fontId="2" applyFont="1" fillId="3" applyFill="1" xfId="0">
      <alignment vertical="distributed"/>
    </xf>
    <xf numFmtId="0" applyNumberFormat="1" fontId="2" applyFont="1" fillId="3" applyFill="1" xfId="0"/>
    <xf numFmtId="0" applyNumberFormat="1" fontId="1" applyFont="1" fillId="2" applyFill="1" xfId="0">
      <alignment horizontal="center" vertical="distributed"/>
    </xf>
    <xf numFmtId="0" applyNumberFormat="1" fontId="3" applyFont="1" xfId="0">
      <alignment vertical="distributed"/>
    </xf>
    <xf numFmtId="0" applyNumberFormat="1" fontId="3" applyFont="1" xfId="0"/>
    <xf numFmtId="0" applyNumberFormat="1" fontId="4" applyFont="1" xfId="0"/>
    <xf numFmtId="0" applyNumberFormat="1" fontId="4" applyFont="1" fillId="2" applyFill="1" xfId="0">
      <alignment horizontal="center"/>
    </xf>
    <xf numFmtId="0" applyNumberFormat="1" fontId="5" applyFont="1" xfId="0"/>
    <xf numFmtId="0" applyNumberFormat="1" fontId="6"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7.xml"/><Relationship Id="rId9" Type="http://schemas.openxmlformats.org/officeDocument/2006/relationships/worksheet" Target="worksheets/sheet8.xml"/><Relationship Id="rId10" Type="http://schemas.openxmlformats.org/officeDocument/2006/relationships/worksheet" Target="worksheets/sheet9.xml"/><Relationship Id="rId11" Type="http://schemas.openxmlformats.org/officeDocument/2006/relationships/worksheet" Target="worksheets/sheet10.xml"/><Relationship Id="rId12" Type="http://schemas.openxmlformats.org/officeDocument/2006/relationships/worksheet" Target="worksheets/sheet11.xml"/><Relationship Id="rId13" Type="http://schemas.openxmlformats.org/officeDocument/2006/relationships/worksheet" Target="worksheets/sheet12.xml"/><Relationship Id="rId14" Type="http://schemas.openxmlformats.org/officeDocument/2006/relationships/worksheet" Target="worksheets/sheet13.xml"/><Relationship Id="rId15" Type="http://schemas.openxmlformats.org/officeDocument/2006/relationships/worksheet" Target="worksheets/sheet14.xml"/><Relationship Id="rId16" Type="http://schemas.openxmlformats.org/officeDocument/2006/relationships/worksheet" Target="worksheets/sheet15.xml"/><Relationship Id="rId17" Type="http://schemas.openxmlformats.org/officeDocument/2006/relationships/worksheet" Target="worksheets/sheet16.xml"/><Relationship Id="rId18" Type="http://schemas.openxmlformats.org/officeDocument/2006/relationships/worksheet" Target="worksheets/sheet17.xml"/><Relationship Id="rId19" Type="http://schemas.openxmlformats.org/officeDocument/2006/relationships/worksheet" Target="worksheets/sheet18.xml"/><Relationship Id="rId20" Type="http://schemas.openxmlformats.org/officeDocument/2006/relationships/worksheet" Target="worksheets/sheet19.xml"/><Relationship Id="rId21" Type="http://schemas.openxmlformats.org/officeDocument/2006/relationships/worksheet" Target="worksheets/sheet20.xml"/><Relationship Id="rId22" Type="http://schemas.openxmlformats.org/officeDocument/2006/relationships/worksheet" Target="worksheets/sheet21.xml"/><Relationship Id="rId23" Type="http://schemas.openxmlformats.org/officeDocument/2006/relationships/worksheet" Target="worksheets/sheet22.xml"/><Relationship Id="rId24" Type="http://schemas.openxmlformats.org/officeDocument/2006/relationships/worksheet" Target="worksheets/sheet23.xml"/><Relationship Id="rId25" Type="http://schemas.openxmlformats.org/officeDocument/2006/relationships/worksheet" Target="worksheets/sheet24.xml"/><Relationship Id="rId26" Type="http://schemas.openxmlformats.org/officeDocument/2006/relationships/worksheet" Target="worksheets/sheet25.xml"/><Relationship Id="rId27" Type="http://schemas.openxmlformats.org/officeDocument/2006/relationships/worksheet" Target="worksheets/sheet26.xml"/><Relationship Id="rId28" Type="http://schemas.openxmlformats.org/officeDocument/2006/relationships/worksheet" Target="worksheets/sheet27.xml"/><Relationship Id="rId29" Type="http://schemas.openxmlformats.org/officeDocument/2006/relationships/worksheet" Target="worksheets/sheet28.xml"/><Relationship Id="rId30" Type="http://schemas.openxmlformats.org/officeDocument/2006/relationships/worksheet" Target="worksheets/sheet29.xml"/><Relationship Id="rId31" Type="http://schemas.openxmlformats.org/officeDocument/2006/relationships/worksheet" Target="worksheets/sheet30.xml"/><Relationship Id="rId32" Type="http://schemas.openxmlformats.org/officeDocument/2006/relationships/worksheet" Target="worksheets/sheet31.xml"/><Relationship Id="rId33" Type="http://schemas.openxmlformats.org/officeDocument/2006/relationships/worksheet" Target="worksheets/sheet32.xml"/><Relationship Id="rId34" Type="http://schemas.openxmlformats.org/officeDocument/2006/relationships/worksheet" Target="worksheets/sheet33.xml"/><Relationship Id="rId35" Type="http://schemas.openxmlformats.org/officeDocument/2006/relationships/worksheet" Target="worksheets/sheet34.xml"/><Relationship Id="rId36" Type="http://schemas.openxmlformats.org/officeDocument/2006/relationships/worksheet" Target="worksheets/sheet35.xml"/><Relationship Id="rId37" Type="http://schemas.openxmlformats.org/officeDocument/2006/relationships/worksheet" Target="worksheets/sheet36.xml"/><Relationship Id="rId38" Type="http://schemas.openxmlformats.org/officeDocument/2006/relationships/worksheet" Target="worksheets/sheet37.xml"/><Relationship Id="rId39" Type="http://schemas.openxmlformats.org/officeDocument/2006/relationships/worksheet" Target="worksheets/sheet38.xml"/><Relationship Id="rId40" Type="http://schemas.openxmlformats.org/officeDocument/2006/relationships/worksheet" Target="worksheets/sheet39.xml"/><Relationship Id="rId41" Type="http://schemas.openxmlformats.org/officeDocument/2006/relationships/worksheet" Target="worksheets/sheet40.xml"/><Relationship Id="rId42" Type="http://schemas.openxmlformats.org/officeDocument/2006/relationships/worksheet" Target="worksheets/sheet41.xml"/><Relationship Id="rId43" Type="http://schemas.openxmlformats.org/officeDocument/2006/relationships/worksheet" Target="worksheets/sheet42.xml"/><Relationship Id="rId44" Type="http://schemas.openxmlformats.org/officeDocument/2006/relationships/worksheet" Target="worksheets/sheet43.xml"/><Relationship Id="rId4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A46"/>
  <sheetViews>
    <sheetView workbookViewId="0"/>
  </sheetViews>
  <sheetFormatPr defaultRowHeight="15"/>
  <cols>
    <col min="1" max="1" width="31.6400012969971" customWidth="1"/>
  </cols>
  <sheetData>
    <row r="1" ht="25" customHeight="1" s="14" customFormat="1">
      <c r="A1" s="14" t="s">
        <v>0</v>
      </c>
    </row>
    <row r="3" ht="20" customHeight="1" s="1" customFormat="1">
      <c r="A3" s="2" t="s">
        <v>1</v>
      </c>
    </row>
    <row r="4">
      <c r="A4" s="15">
        <f>HYPERLINK("#'Overview'!A1","Overview")</f>
      </c>
    </row>
    <row r="5">
      <c r="A5" s="15">
        <f>HYPERLINK("#'Current Directors'!A1","Current Directors")</f>
      </c>
    </row>
    <row r="6">
      <c r="A6" s="15">
        <f>HYPERLINK("#'Cross Directorship Holding'!A1","Cross Directorship Holding")</f>
      </c>
    </row>
    <row r="7">
      <c r="A7" s="15">
        <f>HYPERLINK("#'Disqualified Directors'!A1","Disqualified Directors")</f>
      </c>
    </row>
    <row r="8">
      <c r="A8" s="15">
        <f>HYPERLINK("#'New Company'!A1","New Company")</f>
      </c>
    </row>
    <row r="9">
      <c r="A9" s="15">
        <f>HYPERLINK("#'Past Directors'!A1","Past Directors")</f>
      </c>
    </row>
    <row r="10">
      <c r="A10" s="15">
        <f>HYPERLINK("#'Past Directorship Holding'!A1","Past Directorship Holding")</f>
      </c>
    </row>
    <row r="11">
      <c r="A11" s="15">
        <f>HYPERLINK("#'Defaults'!A1","Defaults")</f>
      </c>
    </row>
    <row r="12">
      <c r="A12" s="15">
        <f>HYPERLINK("#'Consolidated Summary'!A1","Consolidated Summary")</f>
      </c>
    </row>
    <row r="13">
      <c r="A13" s="15">
        <f>HYPERLINK("#'Standalone Summary'!A1","Standalone Summary")</f>
      </c>
    </row>
    <row r="14">
      <c r="A14" s="15">
        <f>HYPERLINK("#'Profit and Loss Cons As Rep'!A1","Profit and Loss Cons As Rep")</f>
      </c>
    </row>
    <row r="15">
      <c r="A15" s="15">
        <f>HYPERLINK("#'Balance Sheet Cons As Rep'!A1","Balance Sheet Cons As Rep")</f>
      </c>
    </row>
    <row r="16">
      <c r="A16" s="15">
        <f>HYPERLINK("#'Ratios Cons As Rep'!A1","Ratios Cons As Rep")</f>
      </c>
    </row>
    <row r="17">
      <c r="A17" s="15">
        <f>HYPERLINK("#'Profit and Loss Stand As Rep'!A1","Profit and Loss Stand As Rep")</f>
      </c>
    </row>
    <row r="18">
      <c r="A18" s="15">
        <f>HYPERLINK("#'Balance Sheet Stand As Rep'!A1","Balance Sheet Stand As Rep")</f>
      </c>
    </row>
    <row r="19">
      <c r="A19" s="15">
        <f>HYPERLINK("#'Ratios Stand As Rep'!A1","Ratios Stand As Rep")</f>
      </c>
    </row>
    <row r="20">
      <c r="A20" s="15">
        <f>HYPERLINK("#'Pledge Share Data'!A1","Pledge Share Data")</f>
      </c>
    </row>
    <row r="21">
      <c r="A21" s="15">
        <f>HYPERLINK("#'Related Entity Statistics'!A1","Related Entity Statistics")</f>
      </c>
    </row>
    <row r="22">
      <c r="A22" s="15">
        <f>HYPERLINK("#'Linkages'!A1","Linkages")</f>
      </c>
    </row>
    <row r="23">
      <c r="A23" s="15">
        <f>HYPERLINK("#'Open Charge'!A1","Open Charge")</f>
      </c>
    </row>
    <row r="24">
      <c r="A24" s="15">
        <f>HYPERLINK("#'Index Of Charges'!A1","Index Of Charges")</f>
      </c>
    </row>
    <row r="25">
      <c r="A25" s="15">
        <f>HYPERLINK("#'Retired'!A1","Retired")</f>
      </c>
    </row>
    <row r="26">
      <c r="A26" s="15">
        <f>HYPERLINK("#'Credit Rating Likely'!A1","Credit Rating Likely")</f>
      </c>
    </row>
    <row r="27">
      <c r="A27" s="15">
        <f>HYPERLINK("#'Peers'!A1","Peers")</f>
      </c>
    </row>
    <row r="28">
      <c r="A28" s="15">
        <f>HYPERLINK("#'Peers Ranking'!A1","Peers Ranking")</f>
      </c>
    </row>
    <row r="29">
      <c r="A29" s="15">
        <f>HYPERLINK("#'Media'!A1","Media")</f>
      </c>
    </row>
    <row r="30">
      <c r="A30" s="15">
        <f>HYPERLINK("#'Similar Companies'!A1","Similar Companies")</f>
      </c>
    </row>
    <row r="31">
      <c r="A31" s="15">
        <f>HYPERLINK("#'Companies Funded'!A1","Companies Funded")</f>
      </c>
    </row>
    <row r="32">
      <c r="A32" s="15">
        <f>HYPERLINK("#'Employees'!A1","Employees")</f>
      </c>
    </row>
    <row r="33">
      <c r="A33" s="15">
        <f>HYPERLINK("#'Capital Raised'!A1","Capital Raised")</f>
      </c>
    </row>
    <row r="34">
      <c r="A34" s="15">
        <f>HYPERLINK("#'Rumours'!A1","Rumours")</f>
      </c>
    </row>
    <row r="35">
      <c r="A35" s="15">
        <f>HYPERLINK("#'Outside India'!A1","Outside India")</f>
      </c>
    </row>
    <row r="36">
      <c r="A36" s="15">
        <f>HYPERLINK("#'Received in India'!A1","Received in India")</f>
      </c>
    </row>
    <row r="37">
      <c r="A37" s="15">
        <f>HYPERLINK("#'Triggers'!A1","Triggers")</f>
      </c>
    </row>
    <row r="38">
      <c r="A38" s="15">
        <f>HYPERLINK("#'Appellant'!A1","Appellant")</f>
      </c>
    </row>
    <row r="39">
      <c r="A39" s="15">
        <f>HYPERLINK("#'Respondent'!A1","Respondent")</f>
      </c>
    </row>
    <row r="40">
      <c r="A40" s="15">
        <f>HYPERLINK("#'Cases'!A1","Cases")</f>
      </c>
    </row>
    <row r="41">
      <c r="A41" s="15">
        <f>HYPERLINK("#'Debt Overview'!A1","Debt Overview")</f>
      </c>
    </row>
    <row r="42">
      <c r="A42" s="15">
        <f>HYPERLINK("#'External Commercial Borrowings'!A1","External Commercial Borrowings")</f>
      </c>
    </row>
    <row r="43">
      <c r="A43" s="15">
        <f>HYPERLINK("#'Legal Overview'!A1","Legal Overview")</f>
      </c>
    </row>
    <row r="44">
      <c r="A44" s="15">
        <f>HYPERLINK("#'Legal Cases'!A1","Legal Cases")</f>
      </c>
    </row>
    <row r="45">
      <c r="A45" s="15">
        <f>HYPERLINK("#'Connected Lending'!A1","Connected Lending")</f>
      </c>
    </row>
    <row r="46">
      <c r="A46" s="15"/>
    </row>
  </sheetData>
  <headerFooter/>
</worksheet>
</file>

<file path=xl/worksheets/sheet2.xml><?xml version="1.0" encoding="utf-8"?>
<worksheet xmlns:r="http://schemas.openxmlformats.org/officeDocument/2006/relationships" xmlns="http://schemas.openxmlformats.org/spreadsheetml/2006/main">
  <dimension ref="A1:D26"/>
  <sheetViews>
    <sheetView workbookViewId="0"/>
  </sheetViews>
  <sheetFormatPr defaultRowHeight="15"/>
  <cols>
    <col min="1" max="1" width="28.9536151885986" customWidth="1" style="3"/>
    <col min="2" max="16384" width="119.670852661133" customWidth="1" style="3"/>
    <col min="3" max="16384" width="9.140625" customWidth="1" style="3"/>
    <col min="4" max="16384" width="9.140625" customWidth="1" style="3"/>
  </cols>
  <sheetData>
    <row r="1" ht="20" customHeight="1" s="1" customFormat="1">
      <c r="A1" s="2" t="s">
        <v>2</v>
      </c>
      <c r="B1" s="2" t="s">
        <v>3</v>
      </c>
    </row>
    <row r="2" ht="16" customHeight="1" s="4" customFormat="1">
      <c r="A2" s="4" t="s">
        <v>4</v>
      </c>
      <c r="B2" s="5">
        <v>46217</v>
      </c>
      <c r="C2" s="4"/>
      <c r="D2" s="4"/>
    </row>
    <row r="3" ht="16" customHeight="1" s="4" customFormat="1">
      <c r="A3" s="4" t="s">
        <v>5</v>
      </c>
      <c r="B3" s="4" t="s">
        <v>6</v>
      </c>
      <c r="C3" s="4"/>
      <c r="D3" s="4"/>
    </row>
    <row r="4" ht="16" customHeight="1" s="4" customFormat="1">
      <c r="A4" s="4" t="s">
        <v>7</v>
      </c>
      <c r="B4" s="4" t="s">
        <v>8</v>
      </c>
      <c r="C4" s="4"/>
      <c r="D4" s="4"/>
    </row>
    <row r="5" ht="16" customHeight="1" s="4" customFormat="1">
      <c r="A5" s="4" t="s">
        <v>9</v>
      </c>
      <c r="B5" s="4" t="s">
        <v>10</v>
      </c>
      <c r="C5" s="4"/>
      <c r="D5" s="4"/>
    </row>
    <row r="6" ht="16" customHeight="1" s="4" customFormat="1">
      <c r="A6" s="4" t="s">
        <v>11</v>
      </c>
      <c r="B6" s="5">
        <v>23918</v>
      </c>
      <c r="C6" s="4"/>
      <c r="D6" s="4"/>
    </row>
    <row r="7" ht="16" customHeight="1" s="4" customFormat="1">
      <c r="A7" s="4" t="s">
        <v>12</v>
      </c>
      <c r="B7" s="4" t="s">
        <v>13</v>
      </c>
      <c r="C7" s="4"/>
      <c r="D7" s="4"/>
    </row>
    <row r="8" ht="16" customHeight="1" s="4" customFormat="1">
      <c r="A8" s="4" t="s">
        <v>14</v>
      </c>
      <c r="B8" s="4" t="s">
        <v>15</v>
      </c>
      <c r="C8" s="4"/>
      <c r="D8" s="4"/>
    </row>
    <row r="9" ht="16" customHeight="1" s="4" customFormat="1">
      <c r="A9" s="4" t="s">
        <v>16</v>
      </c>
      <c r="B9" s="4" t="s">
        <v>17</v>
      </c>
      <c r="C9" s="4"/>
      <c r="D9" s="4"/>
    </row>
    <row r="10" ht="16" customHeight="1" s="4" customFormat="1">
      <c r="A10" s="4" t="s">
        <v>18</v>
      </c>
      <c r="B10" s="4" t="s">
        <v>19</v>
      </c>
      <c r="C10" s="4"/>
      <c r="D10" s="4"/>
    </row>
    <row r="11" ht="16" customHeight="1" s="4" customFormat="1">
      <c r="A11" s="4" t="s">
        <v>20</v>
      </c>
      <c r="B11" s="4" t="s">
        <v>21</v>
      </c>
      <c r="C11" s="4"/>
      <c r="D11" s="4"/>
    </row>
    <row r="12" ht="16" customHeight="1" s="4" customFormat="1">
      <c r="A12" s="4" t="s">
        <v>22</v>
      </c>
      <c r="B12" s="4">
        <v>741201</v>
      </c>
      <c r="C12" s="4"/>
      <c r="D12" s="4"/>
    </row>
    <row r="13" ht="16" customHeight="1" s="4" customFormat="1">
      <c r="A13" s="4" t="s">
        <v>23</v>
      </c>
      <c r="B13" s="4">
        <v>39106.87</v>
      </c>
      <c r="C13" s="4"/>
      <c r="D13" s="4"/>
    </row>
    <row r="14" ht="16" customHeight="1" s="4" customFormat="1">
      <c r="A14" s="4" t="s">
        <v>24</v>
      </c>
      <c r="B14" s="5">
        <v>45747</v>
      </c>
      <c r="C14" s="4"/>
      <c r="D14" s="4"/>
    </row>
    <row r="15" ht="16" customHeight="1" s="4" customFormat="1">
      <c r="A15" s="4" t="s">
        <v>25</v>
      </c>
      <c r="B15" s="5">
        <v>45848</v>
      </c>
      <c r="C15" s="4"/>
      <c r="D15" s="4"/>
    </row>
    <row r="16" ht="16" customHeight="1" s="4" customFormat="1">
      <c r="A16" s="4" t="s">
        <v>26</v>
      </c>
      <c r="B16" s="4" t="s">
        <v>27</v>
      </c>
      <c r="C16" s="4"/>
      <c r="D16" s="4"/>
    </row>
    <row r="17" ht="16" customHeight="1" s="4" customFormat="1">
      <c r="A17" s="4" t="s">
        <v>28</v>
      </c>
      <c r="B17" s="4" t="s">
        <v>29</v>
      </c>
      <c r="C17" s="4"/>
      <c r="D17" s="4"/>
    </row>
    <row r="18" ht="16" customHeight="1" s="4" customFormat="1">
      <c r="A18" s="4" t="s">
        <v>30</v>
      </c>
      <c r="B18" s="4" t="s">
        <v>31</v>
      </c>
      <c r="C18" s="4"/>
      <c r="D18" s="4"/>
    </row>
    <row r="19" ht="16" customHeight="1" s="4" customFormat="1">
      <c r="A19" s="4" t="s">
        <v>32</v>
      </c>
      <c r="B19" s="4"/>
      <c r="C19" s="4"/>
      <c r="D19" s="4"/>
    </row>
    <row r="20" ht="16" customHeight="1" s="4" customFormat="1">
      <c r="A20" s="4" t="s">
        <v>33</v>
      </c>
      <c r="B20" s="4" t="s">
        <v>34</v>
      </c>
      <c r="C20" s="4"/>
      <c r="D20" s="4"/>
    </row>
    <row r="21" ht="16" customHeight="1" s="4" customFormat="1">
      <c r="A21" s="4" t="s">
        <v>35</v>
      </c>
      <c r="B21" s="4" t="s">
        <v>36</v>
      </c>
      <c r="C21" s="4"/>
      <c r="D21" s="4"/>
    </row>
    <row r="22" ht="16" customHeight="1" s="4" customFormat="1">
      <c r="A22" s="4" t="s">
        <v>37</v>
      </c>
      <c r="B22" s="4" t="s">
        <v>38</v>
      </c>
      <c r="C22" s="4"/>
      <c r="D22" s="4"/>
    </row>
    <row r="23" ht="16" customHeight="1" s="4" customFormat="1">
      <c r="A23" s="4" t="s">
        <v>39</v>
      </c>
      <c r="B23" s="4"/>
      <c r="C23" s="4"/>
      <c r="D23" s="4"/>
    </row>
    <row r="24" ht="16" customHeight="1" s="4" customFormat="1">
      <c r="A24" s="4" t="s">
        <v>40</v>
      </c>
      <c r="B24" s="4"/>
      <c r="C24" s="4"/>
      <c r="D24" s="4"/>
    </row>
    <row r="25" ht="16" customHeight="1" s="4" customFormat="1">
      <c r="A25" s="4" t="s">
        <v>41</v>
      </c>
      <c r="B25" s="4" t="s">
        <v>42</v>
      </c>
      <c r="C25" s="4"/>
      <c r="D25" s="4"/>
    </row>
    <row r="26" ht="16" customHeight="1">
      <c r="A26" s="3" t="s">
        <v>43</v>
      </c>
      <c r="B26" s="3" t="s">
        <v>44</v>
      </c>
    </row>
  </sheetData>
  <headerFooter/>
</worksheet>
</file>

<file path=xl/worksheets/sheet3.xml><?xml version="1.0" encoding="utf-8"?>
<worksheet xmlns:r="http://schemas.openxmlformats.org/officeDocument/2006/relationships" xmlns="http://schemas.openxmlformats.org/spreadsheetml/2006/main">
  <dimension ref="A1:L11"/>
  <sheetViews>
    <sheetView workbookViewId="0"/>
  </sheetViews>
  <sheetFormatPr defaultRowHeight="15"/>
  <cols>
    <col min="1" max="1" width="9.140625" customWidth="1" style="3"/>
    <col min="2" max="2" width="40.336238861084" customWidth="1" style="3"/>
    <col min="3" max="3" width="31.8376369476318" customWidth="1" style="3"/>
    <col min="4" max="4" width="9.140625" customWidth="1" style="3"/>
    <col min="5" max="5" width="18.6470375061035" customWidth="1" style="3"/>
    <col min="6" max="6" width="17.6693592071533" customWidth="1" style="3"/>
    <col min="7" max="7" width="23.1654510498047" customWidth="1" style="3"/>
    <col min="8" max="8" width="17.3755531311035" customWidth="1" style="3"/>
    <col min="9" max="9" width="22.7695255279541" customWidth="1" style="3"/>
    <col min="10" max="16384" width="22.9653949737549" customWidth="1" style="3"/>
    <col min="11" max="16384" width="9.140625" customWidth="1" style="3"/>
    <col min="12" max="16384" width="9.140625" customWidth="1" style="3"/>
  </cols>
  <sheetData>
    <row r="1" ht="20" customHeight="1" s="1" customFormat="1">
      <c r="A1" s="2" t="s">
        <v>45</v>
      </c>
      <c r="B1" s="2" t="s">
        <v>46</v>
      </c>
      <c r="C1" s="2" t="s">
        <v>47</v>
      </c>
      <c r="D1" s="2" t="s">
        <v>48</v>
      </c>
      <c r="E1" s="2" t="s">
        <v>49</v>
      </c>
      <c r="F1" s="2" t="s">
        <v>50</v>
      </c>
      <c r="G1" s="2" t="s">
        <v>51</v>
      </c>
      <c r="H1" s="2" t="s">
        <v>52</v>
      </c>
      <c r="I1" s="2" t="s">
        <v>53</v>
      </c>
      <c r="J1" s="2" t="s">
        <v>54</v>
      </c>
    </row>
    <row r="2" ht="16" customHeight="1" s="4" customFormat="1">
      <c r="A2" s="4">
        <v>1</v>
      </c>
      <c r="B2" s="4" t="s">
        <v>55</v>
      </c>
      <c r="C2" s="4" t="s">
        <v>56</v>
      </c>
      <c r="D2" s="4"/>
      <c r="E2" s="5">
        <v>46113</v>
      </c>
      <c r="F2" s="4">
        <v>2</v>
      </c>
      <c r="G2" s="4"/>
      <c r="H2" s="4"/>
      <c r="I2" s="4" t="s">
        <v>57</v>
      </c>
      <c r="J2" s="4" t="s">
        <v>57</v>
      </c>
      <c r="K2" s="4"/>
      <c r="L2" s="4"/>
    </row>
    <row r="3" ht="16" customHeight="1" s="4" customFormat="1">
      <c r="A3" s="4">
        <v>2</v>
      </c>
      <c r="B3" s="4" t="s">
        <v>58</v>
      </c>
      <c r="C3" s="4" t="s">
        <v>59</v>
      </c>
      <c r="D3" s="4"/>
      <c r="E3" s="5">
        <v>42872</v>
      </c>
      <c r="F3" s="4">
        <v>4</v>
      </c>
      <c r="G3" s="4"/>
      <c r="H3" s="4"/>
      <c r="I3" s="4" t="s">
        <v>57</v>
      </c>
      <c r="J3" s="4" t="s">
        <v>57</v>
      </c>
      <c r="K3" s="4"/>
      <c r="L3" s="4"/>
    </row>
    <row r="4" ht="16" customHeight="1" s="4" customFormat="1">
      <c r="A4" s="4">
        <v>3</v>
      </c>
      <c r="B4" s="4" t="s">
        <v>60</v>
      </c>
      <c r="C4" s="4" t="s">
        <v>61</v>
      </c>
      <c r="D4" s="4"/>
      <c r="E4" s="5">
        <v>45139</v>
      </c>
      <c r="F4" s="4">
        <v>10</v>
      </c>
      <c r="G4" s="4"/>
      <c r="H4" s="4"/>
      <c r="I4" s="4" t="s">
        <v>57</v>
      </c>
      <c r="J4" s="4" t="s">
        <v>57</v>
      </c>
      <c r="K4" s="4"/>
      <c r="L4" s="4"/>
    </row>
    <row r="5" ht="16" customHeight="1" s="4" customFormat="1">
      <c r="A5" s="4">
        <v>4</v>
      </c>
      <c r="B5" s="4" t="s">
        <v>62</v>
      </c>
      <c r="C5" s="4" t="s">
        <v>63</v>
      </c>
      <c r="D5" s="4"/>
      <c r="E5" s="5">
        <v>45693</v>
      </c>
      <c r="F5" s="4">
        <v>11</v>
      </c>
      <c r="G5" s="4"/>
      <c r="H5" s="4"/>
      <c r="I5" s="4" t="s">
        <v>57</v>
      </c>
      <c r="J5" s="4" t="s">
        <v>57</v>
      </c>
      <c r="K5" s="4"/>
      <c r="L5" s="4"/>
    </row>
    <row r="6" ht="16" customHeight="1" s="4" customFormat="1">
      <c r="A6" s="4">
        <v>5</v>
      </c>
      <c r="B6" s="4" t="s">
        <v>64</v>
      </c>
      <c r="C6" s="4" t="s">
        <v>63</v>
      </c>
      <c r="D6" s="4"/>
      <c r="E6" s="5">
        <v>45474</v>
      </c>
      <c r="F6" s="4">
        <v>9</v>
      </c>
      <c r="G6" s="4"/>
      <c r="H6" s="4"/>
      <c r="I6" s="4" t="s">
        <v>57</v>
      </c>
      <c r="J6" s="4" t="s">
        <v>57</v>
      </c>
      <c r="K6" s="4"/>
      <c r="L6" s="4"/>
    </row>
    <row r="7" ht="16" customHeight="1" s="4" customFormat="1">
      <c r="A7" s="4">
        <v>6</v>
      </c>
      <c r="B7" s="4" t="s">
        <v>65</v>
      </c>
      <c r="C7" s="4" t="s">
        <v>63</v>
      </c>
      <c r="D7" s="4"/>
      <c r="E7" s="5">
        <v>45515</v>
      </c>
      <c r="F7" s="4">
        <v>5</v>
      </c>
      <c r="G7" s="4"/>
      <c r="H7" s="4"/>
      <c r="I7" s="4" t="s">
        <v>57</v>
      </c>
      <c r="J7" s="4" t="s">
        <v>57</v>
      </c>
      <c r="K7" s="4"/>
      <c r="L7" s="4"/>
    </row>
    <row r="8" ht="16" customHeight="1" s="4" customFormat="1">
      <c r="A8" s="4">
        <v>7</v>
      </c>
      <c r="B8" s="4" t="s">
        <v>66</v>
      </c>
      <c r="C8" s="4" t="s">
        <v>67</v>
      </c>
      <c r="D8" s="4"/>
      <c r="E8" s="5">
        <v>43922</v>
      </c>
      <c r="F8" s="4">
        <v>4</v>
      </c>
      <c r="G8" s="4"/>
      <c r="H8" s="4"/>
      <c r="I8" s="4" t="s">
        <v>57</v>
      </c>
      <c r="J8" s="4" t="s">
        <v>57</v>
      </c>
      <c r="K8" s="4"/>
      <c r="L8" s="4"/>
    </row>
    <row r="9" ht="16" customHeight="1" s="4" customFormat="1">
      <c r="A9" s="4">
        <v>8</v>
      </c>
      <c r="B9" s="4" t="s">
        <v>68</v>
      </c>
      <c r="C9" s="4" t="s">
        <v>69</v>
      </c>
      <c r="D9" s="4"/>
      <c r="E9" s="5">
        <v>41503</v>
      </c>
      <c r="F9" s="4">
        <v>8</v>
      </c>
      <c r="G9" s="4"/>
      <c r="H9" s="4"/>
      <c r="I9" s="4" t="s">
        <v>57</v>
      </c>
      <c r="J9" s="4" t="s">
        <v>57</v>
      </c>
      <c r="K9" s="4"/>
      <c r="L9" s="4"/>
    </row>
    <row r="10" ht="16" customHeight="1">
      <c r="A10" s="3">
        <v>9</v>
      </c>
      <c r="B10" s="3" t="s">
        <v>70</v>
      </c>
      <c r="C10" s="3" t="s">
        <v>71</v>
      </c>
      <c r="D10" s="3"/>
      <c r="E10" s="6">
        <v>45229</v>
      </c>
      <c r="F10" s="3"/>
      <c r="G10" s="3"/>
      <c r="H10" s="3"/>
      <c r="I10" s="3" t="s">
        <v>57</v>
      </c>
      <c r="J10" s="3" t="s">
        <v>57</v>
      </c>
    </row>
    <row r="11" ht="16" customHeight="1">
      <c r="A11" s="3">
        <v>10</v>
      </c>
      <c r="B11" s="3" t="s">
        <v>72</v>
      </c>
      <c r="C11" s="3" t="s">
        <v>73</v>
      </c>
      <c r="D11" s="3"/>
      <c r="E11" s="6">
        <v>43312</v>
      </c>
      <c r="F11" s="3"/>
      <c r="G11" s="3"/>
      <c r="H11" s="3"/>
      <c r="I11" s="3" t="s">
        <v>57</v>
      </c>
      <c r="J11" s="3" t="s">
        <v>57</v>
      </c>
    </row>
  </sheetData>
  <headerFooter/>
</worksheet>
</file>

<file path=xl/worksheets/sheet4.xml><?xml version="1.0" encoding="utf-8"?>
<worksheet xmlns:r="http://schemas.openxmlformats.org/officeDocument/2006/relationships" xmlns="http://schemas.openxmlformats.org/spreadsheetml/2006/main">
  <dimension ref="A1:Q40"/>
  <sheetViews>
    <sheetView workbookViewId="0"/>
  </sheetViews>
  <sheetFormatPr defaultRowHeight="15"/>
  <cols>
    <col min="1" max="1" width="9.140625" customWidth="1" style="3"/>
    <col min="2" max="2" width="50.8993873596191" customWidth="1" style="3"/>
    <col min="3" max="3" width="19.2413463592529" customWidth="1" style="3"/>
    <col min="4" max="4" width="13.9419612884521" customWidth="1" style="3"/>
    <col min="5" max="5" width="16.1427936553955" customWidth="1" style="3"/>
    <col min="6" max="6" width="22.0881633758545" customWidth="1" style="3"/>
    <col min="7" max="7" width="21.6947479248047" customWidth="1" style="3"/>
    <col min="8" max="8" width="17.1847057342529" customWidth="1" style="3"/>
    <col min="9" max="9" width="10.3150081634521" customWidth="1" style="3"/>
    <col min="10" max="10" width="12.9642820358276" customWidth="1" style="3"/>
    <col min="11" max="11" width="17.7714805603027" customWidth="1" style="3"/>
    <col min="12" max="12" width="22.2882194519043" customWidth="1" style="3"/>
    <col min="13" max="13" width="12.5725412368774" customWidth="1" style="3"/>
    <col min="14" max="14" width="20.6182975769043" customWidth="1" style="3"/>
    <col min="15" max="16384" width="32.0013847351074" customWidth="1" style="3"/>
    <col min="16" max="16384" width="9.140625" customWidth="1" style="3"/>
    <col min="17" max="16384" width="9.140625" customWidth="1" style="3"/>
  </cols>
  <sheetData>
    <row r="1" ht="20" customHeight="1" s="1" customFormat="1">
      <c r="A1" s="2" t="s">
        <v>74</v>
      </c>
      <c r="B1" s="2" t="s">
        <v>75</v>
      </c>
      <c r="C1" s="2" t="s">
        <v>76</v>
      </c>
      <c r="D1" s="2" t="s">
        <v>77</v>
      </c>
      <c r="E1" s="2" t="s">
        <v>35</v>
      </c>
      <c r="F1" s="2" t="s">
        <v>78</v>
      </c>
      <c r="G1" s="2" t="s">
        <v>79</v>
      </c>
      <c r="H1" s="2" t="s">
        <v>66</v>
      </c>
      <c r="I1" s="2" t="s">
        <v>60</v>
      </c>
      <c r="J1" s="2" t="s">
        <v>68</v>
      </c>
      <c r="K1" s="2" t="s">
        <v>64</v>
      </c>
      <c r="L1" s="2" t="s">
        <v>65</v>
      </c>
      <c r="M1" s="2" t="s">
        <v>58</v>
      </c>
      <c r="N1" s="2" t="s">
        <v>62</v>
      </c>
      <c r="O1" s="2" t="s">
        <v>55</v>
      </c>
    </row>
    <row r="2" ht="16" customHeight="1" s="4" customFormat="1">
      <c r="A2" s="4">
        <v>1</v>
      </c>
      <c r="B2" s="4" t="s">
        <v>10</v>
      </c>
      <c r="C2" s="4">
        <v>100</v>
      </c>
      <c r="D2" s="4" t="s">
        <v>80</v>
      </c>
      <c r="E2" s="4" t="s">
        <v>36</v>
      </c>
      <c r="F2" s="4">
        <v>39106.87</v>
      </c>
      <c r="G2" s="4">
        <v>116971.8</v>
      </c>
      <c r="H2" s="4" t="s">
        <v>81</v>
      </c>
      <c r="I2" s="4" t="s">
        <v>82</v>
      </c>
      <c r="J2" s="4" t="s">
        <v>82</v>
      </c>
      <c r="K2" s="4" t="s">
        <v>81</v>
      </c>
      <c r="L2" s="4" t="s">
        <v>81</v>
      </c>
      <c r="M2" s="4" t="s">
        <v>81</v>
      </c>
      <c r="N2" s="4" t="s">
        <v>81</v>
      </c>
      <c r="O2" s="4" t="s">
        <v>83</v>
      </c>
      <c r="P2" s="4"/>
      <c r="Q2" s="4"/>
    </row>
    <row r="3" ht="16" customHeight="1" s="4" customFormat="1">
      <c r="A3" s="4">
        <v>2</v>
      </c>
      <c r="B3" s="4" t="s">
        <v>84</v>
      </c>
      <c r="C3" s="4">
        <v>66</v>
      </c>
      <c r="D3" s="4" t="s">
        <v>85</v>
      </c>
      <c r="E3" s="4" t="s">
        <v>36</v>
      </c>
      <c r="F3" s="4">
        <v>0</v>
      </c>
      <c r="G3" s="4"/>
      <c r="H3" s="4" t="s">
        <v>81</v>
      </c>
      <c r="I3" s="4"/>
      <c r="J3" s="4"/>
      <c r="K3" s="4"/>
      <c r="L3" s="4"/>
      <c r="M3" s="4" t="s">
        <v>81</v>
      </c>
      <c r="N3" s="4"/>
      <c r="O3" s="4"/>
      <c r="P3" s="4"/>
      <c r="Q3" s="4"/>
    </row>
    <row r="4" ht="16" customHeight="1" s="4" customFormat="1">
      <c r="A4" s="4">
        <v>3</v>
      </c>
      <c r="B4" s="4" t="s">
        <v>86</v>
      </c>
      <c r="C4" s="4">
        <v>50</v>
      </c>
      <c r="D4" s="4" t="s">
        <v>87</v>
      </c>
      <c r="E4" s="4" t="s">
        <v>36</v>
      </c>
      <c r="F4" s="4">
        <v>73.92</v>
      </c>
      <c r="G4" s="4"/>
      <c r="H4" s="4"/>
      <c r="I4" s="4"/>
      <c r="J4" s="4" t="s">
        <v>81</v>
      </c>
      <c r="K4" s="4"/>
      <c r="L4" s="4"/>
      <c r="M4" s="4"/>
      <c r="N4" s="4"/>
      <c r="O4" s="4"/>
      <c r="P4" s="4"/>
      <c r="Q4" s="4"/>
    </row>
    <row r="5" ht="16" customHeight="1" s="4" customFormat="1">
      <c r="A5" s="4">
        <v>4</v>
      </c>
      <c r="B5" s="4" t="s">
        <v>88</v>
      </c>
      <c r="C5" s="4">
        <v>50</v>
      </c>
      <c r="D5" s="4" t="s">
        <v>89</v>
      </c>
      <c r="E5" s="4" t="s">
        <v>90</v>
      </c>
      <c r="F5" s="4">
        <v>1</v>
      </c>
      <c r="G5" s="4"/>
      <c r="H5" s="4"/>
      <c r="I5" s="4"/>
      <c r="J5" s="4"/>
      <c r="K5" s="4"/>
      <c r="L5" s="4" t="s">
        <v>81</v>
      </c>
      <c r="M5" s="4"/>
      <c r="N5" s="4"/>
      <c r="O5" s="4"/>
      <c r="P5" s="4"/>
      <c r="Q5" s="4"/>
    </row>
    <row r="6" ht="16" customHeight="1" s="4" customFormat="1">
      <c r="A6" s="4">
        <v>5</v>
      </c>
      <c r="B6" s="4" t="s">
        <v>91</v>
      </c>
      <c r="C6" s="4">
        <v>50</v>
      </c>
      <c r="D6" s="4" t="s">
        <v>92</v>
      </c>
      <c r="E6" s="4" t="s">
        <v>93</v>
      </c>
      <c r="F6" s="4">
        <v>1</v>
      </c>
      <c r="G6" s="4"/>
      <c r="H6" s="4"/>
      <c r="I6" s="4"/>
      <c r="J6" s="4"/>
      <c r="K6" s="4"/>
      <c r="L6" s="4"/>
      <c r="M6" s="4"/>
      <c r="N6" s="4" t="s">
        <v>81</v>
      </c>
      <c r="O6" s="4"/>
      <c r="P6" s="4"/>
      <c r="Q6" s="4"/>
    </row>
    <row r="7" ht="16" customHeight="1" s="4" customFormat="1">
      <c r="A7" s="4">
        <v>6</v>
      </c>
      <c r="B7" s="4" t="s">
        <v>94</v>
      </c>
      <c r="C7" s="4">
        <v>44</v>
      </c>
      <c r="D7" s="4" t="s">
        <v>95</v>
      </c>
      <c r="E7" s="4" t="s">
        <v>96</v>
      </c>
      <c r="F7" s="4">
        <v>84506.38</v>
      </c>
      <c r="G7" s="4">
        <v>8190.8</v>
      </c>
      <c r="H7" s="4"/>
      <c r="I7" s="4" t="s">
        <v>82</v>
      </c>
      <c r="J7" s="4" t="s">
        <v>81</v>
      </c>
      <c r="K7" s="4" t="s">
        <v>81</v>
      </c>
      <c r="L7" s="4"/>
      <c r="M7" s="4" t="s">
        <v>81</v>
      </c>
      <c r="N7" s="4"/>
      <c r="O7" s="4"/>
      <c r="P7" s="4"/>
      <c r="Q7" s="4"/>
    </row>
    <row r="8" ht="16" customHeight="1" s="4" customFormat="1">
      <c r="A8" s="4">
        <v>7</v>
      </c>
      <c r="B8" s="4" t="s">
        <v>97</v>
      </c>
      <c r="C8" s="4">
        <v>40</v>
      </c>
      <c r="D8" s="4" t="s">
        <v>98</v>
      </c>
      <c r="E8" s="4" t="s">
        <v>99</v>
      </c>
      <c r="F8" s="4">
        <v>3400.02</v>
      </c>
      <c r="G8" s="4">
        <v>175</v>
      </c>
      <c r="H8" s="4"/>
      <c r="I8" s="4" t="s">
        <v>81</v>
      </c>
      <c r="J8" s="4"/>
      <c r="K8" s="4" t="s">
        <v>81</v>
      </c>
      <c r="L8" s="4"/>
      <c r="M8" s="4"/>
      <c r="N8" s="4"/>
      <c r="O8" s="4"/>
      <c r="P8" s="4"/>
      <c r="Q8" s="4"/>
    </row>
    <row r="9" ht="16" customHeight="1" s="4" customFormat="1">
      <c r="A9" s="4">
        <v>8</v>
      </c>
      <c r="B9" s="4" t="s">
        <v>100</v>
      </c>
      <c r="C9" s="4">
        <v>33</v>
      </c>
      <c r="D9" s="4" t="s">
        <v>101</v>
      </c>
      <c r="E9" s="4" t="s">
        <v>96</v>
      </c>
      <c r="F9" s="4">
        <v>10</v>
      </c>
      <c r="G9" s="4"/>
      <c r="H9" s="4"/>
      <c r="I9" s="4" t="s">
        <v>81</v>
      </c>
      <c r="J9" s="4"/>
      <c r="K9" s="4"/>
      <c r="L9" s="4"/>
      <c r="M9" s="4"/>
      <c r="N9" s="4"/>
      <c r="O9" s="4"/>
      <c r="P9" s="4"/>
      <c r="Q9" s="4"/>
    </row>
    <row r="10" ht="16" customHeight="1" s="4" customFormat="1">
      <c r="A10" s="4">
        <v>9</v>
      </c>
      <c r="B10" s="4" t="s">
        <v>102</v>
      </c>
      <c r="C10" s="4">
        <v>33</v>
      </c>
      <c r="D10" s="4" t="s">
        <v>103</v>
      </c>
      <c r="E10" s="4" t="s">
        <v>96</v>
      </c>
      <c r="F10" s="4">
        <v>10</v>
      </c>
      <c r="G10" s="4"/>
      <c r="H10" s="4"/>
      <c r="I10" s="4" t="s">
        <v>81</v>
      </c>
      <c r="J10" s="4"/>
      <c r="K10" s="4"/>
      <c r="L10" s="4"/>
      <c r="M10" s="4"/>
      <c r="N10" s="4"/>
      <c r="O10" s="4"/>
      <c r="P10" s="4"/>
      <c r="Q10" s="4"/>
    </row>
    <row r="11" ht="16" customHeight="1" s="4" customFormat="1">
      <c r="A11" s="4">
        <v>10</v>
      </c>
      <c r="B11" s="4" t="s">
        <v>104</v>
      </c>
      <c r="C11" s="4">
        <v>33</v>
      </c>
      <c r="D11" s="4" t="s">
        <v>105</v>
      </c>
      <c r="E11" s="4" t="s">
        <v>90</v>
      </c>
      <c r="F11" s="4">
        <v>0</v>
      </c>
      <c r="G11" s="4"/>
      <c r="H11" s="4"/>
      <c r="I11" s="4"/>
      <c r="J11" s="4"/>
      <c r="K11" s="4"/>
      <c r="L11" s="4" t="s">
        <v>81</v>
      </c>
      <c r="M11" s="4"/>
      <c r="N11" s="4"/>
      <c r="O11" s="4"/>
      <c r="P11" s="4"/>
      <c r="Q11" s="4"/>
    </row>
    <row r="12" ht="16" customHeight="1" s="4" customFormat="1">
      <c r="A12" s="4">
        <v>11</v>
      </c>
      <c r="B12" s="4" t="s">
        <v>106</v>
      </c>
      <c r="C12" s="4">
        <v>33</v>
      </c>
      <c r="D12" s="4" t="s">
        <v>107</v>
      </c>
      <c r="E12" s="4" t="s">
        <v>96</v>
      </c>
      <c r="F12" s="4">
        <v>1</v>
      </c>
      <c r="G12" s="4"/>
      <c r="H12" s="4"/>
      <c r="I12" s="4" t="s">
        <v>81</v>
      </c>
      <c r="J12" s="4"/>
      <c r="K12" s="4"/>
      <c r="L12" s="4"/>
      <c r="M12" s="4"/>
      <c r="N12" s="4"/>
      <c r="O12" s="4"/>
      <c r="P12" s="4"/>
      <c r="Q12" s="4"/>
    </row>
    <row r="13" ht="16" customHeight="1" s="4" customFormat="1">
      <c r="A13" s="4">
        <v>12</v>
      </c>
      <c r="B13" s="4" t="s">
        <v>108</v>
      </c>
      <c r="C13" s="4">
        <v>33</v>
      </c>
      <c r="D13" s="4" t="s">
        <v>109</v>
      </c>
      <c r="E13" s="4" t="s">
        <v>93</v>
      </c>
      <c r="F13" s="4">
        <v>11.55</v>
      </c>
      <c r="G13" s="4">
        <v>27</v>
      </c>
      <c r="H13" s="4"/>
      <c r="I13" s="4"/>
      <c r="J13" s="4"/>
      <c r="K13" s="4" t="s">
        <v>81</v>
      </c>
      <c r="L13" s="4"/>
      <c r="M13" s="4"/>
      <c r="N13" s="4"/>
      <c r="O13" s="4"/>
      <c r="P13" s="4"/>
      <c r="Q13" s="4"/>
    </row>
    <row r="14" ht="16" customHeight="1" s="4" customFormat="1">
      <c r="A14" s="4">
        <v>13</v>
      </c>
      <c r="B14" s="4" t="s">
        <v>110</v>
      </c>
      <c r="C14" s="4">
        <v>33</v>
      </c>
      <c r="D14" s="4" t="s">
        <v>111</v>
      </c>
      <c r="E14" s="4" t="s">
        <v>93</v>
      </c>
      <c r="F14" s="4"/>
      <c r="G14" s="4">
        <v>275</v>
      </c>
      <c r="H14" s="4"/>
      <c r="I14" s="4"/>
      <c r="J14" s="4"/>
      <c r="K14" s="4" t="s">
        <v>112</v>
      </c>
      <c r="L14" s="4"/>
      <c r="M14" s="4"/>
      <c r="N14" s="4"/>
      <c r="O14" s="4"/>
      <c r="P14" s="4"/>
      <c r="Q14" s="4"/>
    </row>
    <row r="15" ht="16" customHeight="1" s="4" customFormat="1">
      <c r="A15" s="4">
        <v>14</v>
      </c>
      <c r="B15" s="4" t="s">
        <v>113</v>
      </c>
      <c r="C15" s="4">
        <v>33</v>
      </c>
      <c r="D15" s="4" t="s">
        <v>114</v>
      </c>
      <c r="E15" s="4" t="s">
        <v>96</v>
      </c>
      <c r="F15" s="4">
        <v>1</v>
      </c>
      <c r="G15" s="4"/>
      <c r="H15" s="4"/>
      <c r="I15" s="4" t="s">
        <v>81</v>
      </c>
      <c r="J15" s="4"/>
      <c r="K15" s="4"/>
      <c r="L15" s="4"/>
      <c r="M15" s="4"/>
      <c r="N15" s="4"/>
      <c r="O15" s="4"/>
      <c r="P15" s="4"/>
      <c r="Q15" s="4"/>
    </row>
    <row r="16" ht="16" customHeight="1" s="4" customFormat="1">
      <c r="A16" s="4">
        <v>15</v>
      </c>
      <c r="B16" s="4" t="s">
        <v>115</v>
      </c>
      <c r="C16" s="4">
        <v>33</v>
      </c>
      <c r="D16" s="4" t="s">
        <v>116</v>
      </c>
      <c r="E16" s="4" t="s">
        <v>96</v>
      </c>
      <c r="F16" s="4">
        <v>1</v>
      </c>
      <c r="G16" s="4"/>
      <c r="H16" s="4"/>
      <c r="I16" s="4" t="s">
        <v>81</v>
      </c>
      <c r="J16" s="4"/>
      <c r="K16" s="4"/>
      <c r="L16" s="4"/>
      <c r="M16" s="4"/>
      <c r="N16" s="4"/>
      <c r="O16" s="4"/>
      <c r="P16" s="4"/>
      <c r="Q16" s="4"/>
    </row>
    <row r="17" ht="16" customHeight="1" s="4" customFormat="1">
      <c r="A17" s="4">
        <v>16</v>
      </c>
      <c r="B17" s="4" t="s">
        <v>117</v>
      </c>
      <c r="C17" s="4">
        <v>28</v>
      </c>
      <c r="D17" s="4" t="s">
        <v>118</v>
      </c>
      <c r="E17" s="4" t="s">
        <v>119</v>
      </c>
      <c r="F17" s="4">
        <v>33611.96</v>
      </c>
      <c r="G17" s="4"/>
      <c r="H17" s="4" t="s">
        <v>81</v>
      </c>
      <c r="I17" s="4"/>
      <c r="J17" s="4" t="s">
        <v>82</v>
      </c>
      <c r="K17" s="4"/>
      <c r="L17" s="4"/>
      <c r="M17" s="4"/>
      <c r="N17" s="4"/>
      <c r="O17" s="4"/>
      <c r="P17" s="4"/>
      <c r="Q17" s="4"/>
    </row>
    <row r="18" ht="16" customHeight="1" s="4" customFormat="1">
      <c r="A18" s="4">
        <v>17</v>
      </c>
      <c r="B18" s="4" t="s">
        <v>120</v>
      </c>
      <c r="C18" s="4">
        <v>28</v>
      </c>
      <c r="D18" s="4" t="s">
        <v>121</v>
      </c>
      <c r="E18" s="4" t="s">
        <v>36</v>
      </c>
      <c r="F18" s="4">
        <v>187589.16</v>
      </c>
      <c r="G18" s="4"/>
      <c r="H18" s="4"/>
      <c r="I18" s="4"/>
      <c r="J18" s="4" t="s">
        <v>81</v>
      </c>
      <c r="K18" s="4"/>
      <c r="L18" s="4"/>
      <c r="M18" s="4" t="s">
        <v>81</v>
      </c>
      <c r="N18" s="4"/>
      <c r="O18" s="4"/>
      <c r="P18" s="4"/>
      <c r="Q18" s="4"/>
    </row>
    <row r="19" ht="16" customHeight="1" s="4" customFormat="1">
      <c r="A19" s="4">
        <v>18</v>
      </c>
      <c r="B19" s="4" t="s">
        <v>122</v>
      </c>
      <c r="C19" s="4">
        <v>25</v>
      </c>
      <c r="D19" s="4" t="s">
        <v>123</v>
      </c>
      <c r="E19" s="4" t="s">
        <v>36</v>
      </c>
      <c r="F19" s="4">
        <v>1500</v>
      </c>
      <c r="G19" s="4"/>
      <c r="H19" s="4"/>
      <c r="I19" s="4"/>
      <c r="J19" s="4" t="s">
        <v>81</v>
      </c>
      <c r="K19" s="4"/>
      <c r="L19" s="4"/>
      <c r="M19" s="4"/>
      <c r="N19" s="4"/>
      <c r="O19" s="4"/>
      <c r="P19" s="4"/>
      <c r="Q19" s="4"/>
    </row>
    <row r="20" ht="16" customHeight="1" s="4" customFormat="1">
      <c r="A20" s="4">
        <v>19</v>
      </c>
      <c r="B20" s="4" t="s">
        <v>124</v>
      </c>
      <c r="C20" s="4">
        <v>25</v>
      </c>
      <c r="D20" s="4" t="s">
        <v>125</v>
      </c>
      <c r="E20" s="4" t="s">
        <v>119</v>
      </c>
      <c r="F20" s="4">
        <v>2249.29</v>
      </c>
      <c r="G20" s="4"/>
      <c r="H20" s="4"/>
      <c r="I20" s="4"/>
      <c r="J20" s="4" t="s">
        <v>81</v>
      </c>
      <c r="K20" s="4"/>
      <c r="L20" s="4"/>
      <c r="M20" s="4"/>
      <c r="N20" s="4"/>
      <c r="O20" s="4"/>
      <c r="P20" s="4"/>
      <c r="Q20" s="4"/>
    </row>
    <row r="21" ht="16" customHeight="1" s="4" customFormat="1">
      <c r="A21" s="4">
        <v>20</v>
      </c>
      <c r="B21" s="4" t="s">
        <v>126</v>
      </c>
      <c r="C21" s="4">
        <v>25</v>
      </c>
      <c r="D21" s="4" t="s">
        <v>127</v>
      </c>
      <c r="E21" s="4" t="s">
        <v>90</v>
      </c>
      <c r="F21" s="4">
        <v>2000</v>
      </c>
      <c r="G21" s="4"/>
      <c r="H21" s="4"/>
      <c r="I21" s="4"/>
      <c r="J21" s="4"/>
      <c r="K21" s="4"/>
      <c r="L21" s="4" t="s">
        <v>128</v>
      </c>
      <c r="M21" s="4"/>
      <c r="N21" s="4"/>
      <c r="O21" s="4"/>
      <c r="P21" s="4"/>
      <c r="Q21" s="4"/>
    </row>
    <row r="22" ht="16" customHeight="1" s="4" customFormat="1">
      <c r="A22" s="4">
        <v>21</v>
      </c>
      <c r="B22" s="4" t="s">
        <v>129</v>
      </c>
      <c r="C22" s="4">
        <v>25</v>
      </c>
      <c r="D22" s="4" t="s">
        <v>130</v>
      </c>
      <c r="E22" s="4" t="s">
        <v>36</v>
      </c>
      <c r="F22" s="4">
        <v>6.01</v>
      </c>
      <c r="G22" s="4"/>
      <c r="H22" s="4"/>
      <c r="I22" s="4"/>
      <c r="J22" s="4" t="s">
        <v>81</v>
      </c>
      <c r="K22" s="4"/>
      <c r="L22" s="4"/>
      <c r="M22" s="4"/>
      <c r="N22" s="4"/>
      <c r="O22" s="4"/>
      <c r="P22" s="4"/>
      <c r="Q22" s="4"/>
    </row>
    <row r="23" ht="16" customHeight="1" s="4" customFormat="1">
      <c r="A23" s="4">
        <v>22</v>
      </c>
      <c r="B23" s="4" t="s">
        <v>131</v>
      </c>
      <c r="C23" s="4">
        <v>25</v>
      </c>
      <c r="D23" s="4" t="s">
        <v>132</v>
      </c>
      <c r="E23" s="4" t="s">
        <v>99</v>
      </c>
      <c r="F23" s="4">
        <v>24106</v>
      </c>
      <c r="G23" s="4">
        <v>1206.4</v>
      </c>
      <c r="H23" s="4"/>
      <c r="I23" s="4"/>
      <c r="J23" s="4"/>
      <c r="K23" s="4" t="s">
        <v>83</v>
      </c>
      <c r="L23" s="4"/>
      <c r="M23" s="4"/>
      <c r="N23" s="4"/>
      <c r="O23" s="4"/>
      <c r="P23" s="4"/>
      <c r="Q23" s="4"/>
    </row>
    <row r="24" ht="16" customHeight="1" s="4" customFormat="1">
      <c r="A24" s="4">
        <v>23</v>
      </c>
      <c r="B24" s="4" t="s">
        <v>133</v>
      </c>
      <c r="C24" s="4">
        <v>20</v>
      </c>
      <c r="D24" s="4" t="s">
        <v>134</v>
      </c>
      <c r="E24" s="4" t="s">
        <v>135</v>
      </c>
      <c r="F24" s="4">
        <v>8028</v>
      </c>
      <c r="G24" s="4"/>
      <c r="H24" s="4"/>
      <c r="I24" s="4"/>
      <c r="J24" s="4"/>
      <c r="K24" s="4"/>
      <c r="L24" s="4"/>
      <c r="M24" s="4"/>
      <c r="N24" s="4" t="s">
        <v>81</v>
      </c>
      <c r="O24" s="4"/>
      <c r="P24" s="4"/>
      <c r="Q24" s="4"/>
    </row>
    <row r="25" ht="16" customHeight="1" s="4" customFormat="1">
      <c r="A25" s="4">
        <v>24</v>
      </c>
      <c r="B25" s="4" t="s">
        <v>136</v>
      </c>
      <c r="C25" s="4">
        <v>20</v>
      </c>
      <c r="D25" s="4" t="s">
        <v>137</v>
      </c>
      <c r="E25" s="4" t="s">
        <v>138</v>
      </c>
      <c r="F25" s="4">
        <v>184903.02</v>
      </c>
      <c r="G25" s="4">
        <v>8329</v>
      </c>
      <c r="H25" s="4"/>
      <c r="I25" s="4" t="s">
        <v>81</v>
      </c>
      <c r="J25" s="4"/>
      <c r="K25" s="4"/>
      <c r="L25" s="4"/>
      <c r="M25" s="4"/>
      <c r="N25" s="4"/>
      <c r="O25" s="4"/>
      <c r="P25" s="4"/>
      <c r="Q25" s="4"/>
    </row>
    <row r="26" ht="16" customHeight="1" s="4" customFormat="1">
      <c r="A26" s="4">
        <v>25</v>
      </c>
      <c r="B26" s="4" t="s">
        <v>139</v>
      </c>
      <c r="C26" s="4">
        <v>16</v>
      </c>
      <c r="D26" s="4" t="s">
        <v>140</v>
      </c>
      <c r="E26" s="4" t="s">
        <v>36</v>
      </c>
      <c r="F26" s="4">
        <v>1436.44</v>
      </c>
      <c r="G26" s="4"/>
      <c r="H26" s="4"/>
      <c r="I26" s="4"/>
      <c r="J26" s="4"/>
      <c r="K26" s="4" t="s">
        <v>81</v>
      </c>
      <c r="L26" s="4"/>
      <c r="M26" s="4"/>
      <c r="N26" s="4"/>
      <c r="O26" s="4"/>
      <c r="P26" s="4"/>
      <c r="Q26" s="4"/>
    </row>
    <row r="27" ht="16" customHeight="1" s="4" customFormat="1">
      <c r="A27" s="4">
        <v>26</v>
      </c>
      <c r="B27" s="4" t="s">
        <v>141</v>
      </c>
      <c r="C27" s="4">
        <v>16</v>
      </c>
      <c r="D27" s="4" t="s">
        <v>142</v>
      </c>
      <c r="E27" s="4" t="s">
        <v>36</v>
      </c>
      <c r="F27" s="4">
        <v>5</v>
      </c>
      <c r="G27" s="4"/>
      <c r="H27" s="4"/>
      <c r="I27" s="4"/>
      <c r="J27" s="4"/>
      <c r="K27" s="4"/>
      <c r="L27" s="4"/>
      <c r="M27" s="4"/>
      <c r="N27" s="4"/>
      <c r="O27" s="4" t="s">
        <v>81</v>
      </c>
      <c r="P27" s="4"/>
      <c r="Q27" s="4"/>
    </row>
    <row r="28" ht="16" customHeight="1" s="4" customFormat="1">
      <c r="A28" s="4">
        <v>27</v>
      </c>
      <c r="B28" s="4" t="s">
        <v>143</v>
      </c>
      <c r="C28" s="4">
        <v>16</v>
      </c>
      <c r="D28" s="4" t="s">
        <v>144</v>
      </c>
      <c r="E28" s="4" t="s">
        <v>145</v>
      </c>
      <c r="F28" s="4">
        <v>199.02</v>
      </c>
      <c r="G28" s="4">
        <v>146.8</v>
      </c>
      <c r="H28" s="4"/>
      <c r="I28" s="4"/>
      <c r="J28" s="4"/>
      <c r="K28" s="4" t="s">
        <v>81</v>
      </c>
      <c r="L28" s="4"/>
      <c r="M28" s="4"/>
      <c r="N28" s="4"/>
      <c r="O28" s="4"/>
      <c r="P28" s="4"/>
      <c r="Q28" s="4"/>
    </row>
    <row r="29" ht="16" customHeight="1" s="4" customFormat="1">
      <c r="A29" s="4">
        <v>28</v>
      </c>
      <c r="B29" s="4" t="s">
        <v>146</v>
      </c>
      <c r="C29" s="4">
        <v>16</v>
      </c>
      <c r="D29" s="4" t="s">
        <v>147</v>
      </c>
      <c r="E29" s="4" t="s">
        <v>148</v>
      </c>
      <c r="F29" s="4">
        <v>45154.78</v>
      </c>
      <c r="G29" s="4">
        <v>5207.9</v>
      </c>
      <c r="H29" s="4"/>
      <c r="I29" s="4"/>
      <c r="J29" s="4"/>
      <c r="K29" s="4"/>
      <c r="L29" s="4"/>
      <c r="M29" s="4"/>
      <c r="N29" s="4" t="s">
        <v>81</v>
      </c>
      <c r="O29" s="4"/>
      <c r="P29" s="4"/>
      <c r="Q29" s="4"/>
    </row>
    <row r="30" ht="16" customHeight="1" s="4" customFormat="1">
      <c r="A30" s="4">
        <v>29</v>
      </c>
      <c r="B30" s="4" t="s">
        <v>149</v>
      </c>
      <c r="C30" s="4">
        <v>16</v>
      </c>
      <c r="D30" s="4" t="s">
        <v>150</v>
      </c>
      <c r="E30" s="4" t="s">
        <v>36</v>
      </c>
      <c r="F30" s="4">
        <v>27.5</v>
      </c>
      <c r="G30" s="4"/>
      <c r="H30" s="4"/>
      <c r="I30" s="4"/>
      <c r="J30" s="4"/>
      <c r="K30" s="4"/>
      <c r="L30" s="4"/>
      <c r="M30" s="4"/>
      <c r="N30" s="4" t="s">
        <v>81</v>
      </c>
      <c r="O30" s="4"/>
      <c r="P30" s="4"/>
      <c r="Q30" s="4"/>
    </row>
    <row r="31" ht="16" customHeight="1" s="4" customFormat="1">
      <c r="A31" s="4">
        <v>30</v>
      </c>
      <c r="B31" s="4" t="s">
        <v>151</v>
      </c>
      <c r="C31" s="4">
        <v>16</v>
      </c>
      <c r="D31" s="4" t="s">
        <v>152</v>
      </c>
      <c r="E31" s="4" t="s">
        <v>36</v>
      </c>
      <c r="F31" s="4">
        <v>26791</v>
      </c>
      <c r="G31" s="4"/>
      <c r="H31" s="4"/>
      <c r="I31" s="4"/>
      <c r="J31" s="4"/>
      <c r="K31" s="4"/>
      <c r="L31" s="4"/>
      <c r="M31" s="4"/>
      <c r="N31" s="4" t="s">
        <v>81</v>
      </c>
      <c r="O31" s="4"/>
      <c r="P31" s="4"/>
      <c r="Q31" s="4"/>
    </row>
    <row r="32" ht="16" customHeight="1" s="4" customFormat="1">
      <c r="A32" s="4">
        <v>31</v>
      </c>
      <c r="B32" s="4" t="s">
        <v>153</v>
      </c>
      <c r="C32" s="4">
        <v>14</v>
      </c>
      <c r="D32" s="4" t="s">
        <v>154</v>
      </c>
      <c r="E32" s="4" t="s">
        <v>36</v>
      </c>
      <c r="F32" s="4">
        <v>9605.19</v>
      </c>
      <c r="G32" s="4">
        <v>8.4</v>
      </c>
      <c r="H32" s="4"/>
      <c r="I32" s="4"/>
      <c r="J32" s="4"/>
      <c r="K32" s="4"/>
      <c r="L32" s="4"/>
      <c r="M32" s="4"/>
      <c r="N32" s="4" t="s">
        <v>81</v>
      </c>
      <c r="O32" s="4"/>
      <c r="P32" s="4"/>
      <c r="Q32" s="4"/>
    </row>
    <row r="33" ht="16" customHeight="1" s="4" customFormat="1">
      <c r="A33" s="4">
        <v>32</v>
      </c>
      <c r="B33" s="4" t="s">
        <v>155</v>
      </c>
      <c r="C33" s="4">
        <v>12</v>
      </c>
      <c r="D33" s="4" t="s">
        <v>156</v>
      </c>
      <c r="E33" s="4" t="s">
        <v>119</v>
      </c>
      <c r="F33" s="4">
        <v>25805.22</v>
      </c>
      <c r="G33" s="4">
        <v>35368.6</v>
      </c>
      <c r="H33" s="4"/>
      <c r="I33" s="4"/>
      <c r="J33" s="4"/>
      <c r="K33" s="4"/>
      <c r="L33" s="4"/>
      <c r="M33" s="4"/>
      <c r="N33" s="4" t="s">
        <v>81</v>
      </c>
      <c r="O33" s="4"/>
      <c r="P33" s="4"/>
      <c r="Q33" s="4"/>
    </row>
    <row r="34" ht="16" customHeight="1" s="4" customFormat="1">
      <c r="A34" s="4">
        <v>33</v>
      </c>
      <c r="B34" s="4" t="s">
        <v>157</v>
      </c>
      <c r="C34" s="4">
        <v>12</v>
      </c>
      <c r="D34" s="4" t="s">
        <v>158</v>
      </c>
      <c r="E34" s="4" t="s">
        <v>36</v>
      </c>
      <c r="F34" s="4">
        <v>37422.65</v>
      </c>
      <c r="G34" s="4">
        <v>315.4</v>
      </c>
      <c r="H34" s="4"/>
      <c r="I34" s="4"/>
      <c r="J34" s="4"/>
      <c r="K34" s="4"/>
      <c r="L34" s="4"/>
      <c r="M34" s="4"/>
      <c r="N34" s="4" t="s">
        <v>81</v>
      </c>
      <c r="O34" s="4"/>
      <c r="P34" s="4"/>
      <c r="Q34" s="4"/>
    </row>
    <row r="35" ht="16" customHeight="1" s="4" customFormat="1">
      <c r="A35" s="4">
        <v>34</v>
      </c>
      <c r="B35" s="4" t="s">
        <v>159</v>
      </c>
      <c r="C35" s="4">
        <v>12</v>
      </c>
      <c r="D35" s="4" t="s">
        <v>160</v>
      </c>
      <c r="E35" s="4" t="s">
        <v>119</v>
      </c>
      <c r="F35" s="4">
        <v>1102.31</v>
      </c>
      <c r="G35" s="4">
        <v>994.6</v>
      </c>
      <c r="H35" s="4"/>
      <c r="I35" s="4"/>
      <c r="J35" s="4"/>
      <c r="K35" s="4"/>
      <c r="L35" s="4"/>
      <c r="M35" s="4"/>
      <c r="N35" s="4" t="s">
        <v>81</v>
      </c>
      <c r="O35" s="4"/>
      <c r="P35" s="4"/>
      <c r="Q35" s="4"/>
    </row>
    <row r="36" ht="16" customHeight="1" s="4" customFormat="1">
      <c r="A36" s="4">
        <v>35</v>
      </c>
      <c r="B36" s="4" t="s">
        <v>161</v>
      </c>
      <c r="C36" s="4">
        <v>12</v>
      </c>
      <c r="D36" s="4" t="s">
        <v>162</v>
      </c>
      <c r="E36" s="4" t="s">
        <v>119</v>
      </c>
      <c r="F36" s="4">
        <v>1011.61</v>
      </c>
      <c r="G36" s="4"/>
      <c r="H36" s="4"/>
      <c r="I36" s="4"/>
      <c r="J36" s="4"/>
      <c r="K36" s="4"/>
      <c r="L36" s="4"/>
      <c r="M36" s="4"/>
      <c r="N36" s="4" t="s">
        <v>81</v>
      </c>
      <c r="O36" s="4"/>
      <c r="P36" s="4"/>
      <c r="Q36" s="4"/>
    </row>
    <row r="37" ht="16" customHeight="1" s="4" customFormat="1">
      <c r="A37" s="4">
        <v>36</v>
      </c>
      <c r="B37" s="4" t="s">
        <v>163</v>
      </c>
      <c r="C37" s="4">
        <v>12</v>
      </c>
      <c r="D37" s="4" t="s">
        <v>164</v>
      </c>
      <c r="E37" s="4" t="s">
        <v>36</v>
      </c>
      <c r="F37" s="4">
        <v>9762.65</v>
      </c>
      <c r="G37" s="4">
        <v>6578.2</v>
      </c>
      <c r="H37" s="4" t="s">
        <v>81</v>
      </c>
      <c r="I37" s="4"/>
      <c r="J37" s="4"/>
      <c r="K37" s="4"/>
      <c r="L37" s="4"/>
      <c r="M37" s="4"/>
      <c r="N37" s="4"/>
      <c r="O37" s="4"/>
      <c r="P37" s="4"/>
      <c r="Q37" s="4"/>
    </row>
    <row r="38" ht="16" customHeight="1" s="4" customFormat="1">
      <c r="A38" s="4">
        <v>37</v>
      </c>
      <c r="B38" s="4" t="s">
        <v>165</v>
      </c>
      <c r="C38" s="4">
        <v>12</v>
      </c>
      <c r="D38" s="4" t="s">
        <v>166</v>
      </c>
      <c r="E38" s="4" t="s">
        <v>167</v>
      </c>
      <c r="F38" s="4">
        <v>1282.99</v>
      </c>
      <c r="G38" s="4">
        <v>1221.9</v>
      </c>
      <c r="H38" s="4"/>
      <c r="I38" s="4"/>
      <c r="J38" s="4"/>
      <c r="K38" s="4" t="s">
        <v>81</v>
      </c>
      <c r="L38" s="4"/>
      <c r="M38" s="4"/>
      <c r="N38" s="4"/>
      <c r="O38" s="4"/>
      <c r="P38" s="4"/>
      <c r="Q38" s="4"/>
    </row>
    <row r="39" ht="16" customHeight="1" s="4" customFormat="1">
      <c r="A39" s="4">
        <v>38</v>
      </c>
      <c r="B39" s="4" t="s">
        <v>168</v>
      </c>
      <c r="C39" s="4">
        <v>11</v>
      </c>
      <c r="D39" s="4" t="s">
        <v>169</v>
      </c>
      <c r="E39" s="4" t="s">
        <v>93</v>
      </c>
      <c r="F39" s="4">
        <v>22062.45</v>
      </c>
      <c r="G39" s="4">
        <v>6185</v>
      </c>
      <c r="H39" s="4"/>
      <c r="I39" s="4"/>
      <c r="J39" s="4"/>
      <c r="K39" s="4"/>
      <c r="L39" s="4" t="s">
        <v>83</v>
      </c>
      <c r="M39" s="4"/>
      <c r="N39" s="4"/>
      <c r="O39" s="4"/>
      <c r="P39" s="4"/>
      <c r="Q39" s="4"/>
    </row>
    <row r="40" ht="16" customHeight="1">
      <c r="A40" s="3">
        <v>39</v>
      </c>
      <c r="B40" s="3" t="s">
        <v>170</v>
      </c>
      <c r="C40" s="3">
        <v>1</v>
      </c>
      <c r="D40" s="3" t="s">
        <v>171</v>
      </c>
      <c r="E40" s="3" t="s">
        <v>93</v>
      </c>
      <c r="F40" s="3">
        <v>0</v>
      </c>
      <c r="G40" s="3">
        <v>15</v>
      </c>
      <c r="H40" s="3"/>
      <c r="I40" s="3" t="s">
        <v>81</v>
      </c>
      <c r="J40" s="3"/>
      <c r="K40" s="3"/>
      <c r="L40" s="3"/>
      <c r="M40" s="3"/>
      <c r="N40" s="3"/>
      <c r="O40" s="3"/>
    </row>
  </sheetData>
  <headerFooter/>
</worksheet>
</file>

<file path=xl/worksheets/sheet5.xml><?xml version="1.0" encoding="utf-8"?>
<worksheet xmlns:r="http://schemas.openxmlformats.org/officeDocument/2006/relationships" xmlns="http://schemas.openxmlformats.org/spreadsheetml/2006/main">
  <dimension ref="A1:G2"/>
  <sheetViews>
    <sheetView workbookViewId="0"/>
  </sheetViews>
  <sheetFormatPr defaultRowHeight="15"/>
  <cols>
    <col min="1" max="1" width="10.1619520187378" customWidth="1" style="3"/>
    <col min="2" max="2" width="110.659690856934" customWidth="1" style="3"/>
    <col min="3" max="3" width="176.617706298828" customWidth="1" style="3"/>
    <col min="4" max="4" width="10.3747501373291" customWidth="1" style="3"/>
    <col min="5" max="5" width="12.4566879272461" customWidth="1" style="3"/>
    <col min="6" max="6" width="12.0157470703125" customWidth="1" style="3"/>
    <col min="7" max="16384" width="17.5722618103027" customWidth="1" style="3"/>
    <col min="8" max="16384" width="9.140625" customWidth="1" style="3"/>
    <col min="9" max="16384" width="9.140625" customWidth="1" style="3"/>
  </cols>
  <sheetData>
    <row r="1" ht="16" customHeight="1" s="1" customFormat="1">
      <c r="A1" s="2" t="s">
        <v>172</v>
      </c>
      <c r="B1" s="2" t="s">
        <v>173</v>
      </c>
      <c r="C1" s="2" t="s">
        <v>174</v>
      </c>
      <c r="D1" s="2" t="s">
        <v>175</v>
      </c>
      <c r="E1" s="2" t="s">
        <v>176</v>
      </c>
      <c r="F1" s="2" t="s">
        <v>177</v>
      </c>
      <c r="G1" s="2" t="s">
        <v>178</v>
      </c>
    </row>
    <row r="2" ht="16" customHeight="1">
      <c r="A2" s="3">
        <v>16184</v>
      </c>
      <c r="B2" s="3" t="s">
        <v>179</v>
      </c>
      <c r="C2" s="3" t="s">
        <v>180</v>
      </c>
      <c r="D2" s="3" t="s">
        <v>181</v>
      </c>
      <c r="E2" s="6">
        <v>42675</v>
      </c>
      <c r="F2" s="6">
        <v>44500</v>
      </c>
      <c r="G2" s="3" t="s">
        <v>182</v>
      </c>
    </row>
  </sheetData>
  <headerFooter/>
</worksheet>
</file>

<file path=xl/worksheets/sheet6.xml><?xml version="1.0" encoding="utf-8"?>
<worksheet xmlns:r="http://schemas.openxmlformats.org/officeDocument/2006/relationships" xmlns="http://schemas.openxmlformats.org/spreadsheetml/2006/main">
  <dimension ref="A1:A2"/>
  <sheetViews>
    <sheetView workbookViewId="0"/>
  </sheetViews>
  <sheetFormatPr defaultRowHeight="15"/>
  <cols>
    <col min="1" max="16384" width="14.567271232605" customWidth="1" style="3"/>
    <col min="2" max="16384" width="9.140625" customWidth="1" style="3"/>
    <col min="3" max="16384" width="9.140625" customWidth="1" style="3"/>
  </cols>
  <sheetData>
    <row r="1" ht="16" customHeight="1" s="1" customFormat="1">
      <c r="A1" s="2" t="s">
        <v>183</v>
      </c>
    </row>
    <row r="2" ht="16" customHeight="1">
      <c r="A2" s="3" t="s">
        <v>184</v>
      </c>
    </row>
  </sheetData>
  <headerFooter/>
</worksheet>
</file>

<file path=xl/worksheets/sheet7.xml><?xml version="1.0" encoding="utf-8"?>
<worksheet xmlns:r="http://schemas.openxmlformats.org/officeDocument/2006/relationships" xmlns="http://schemas.openxmlformats.org/spreadsheetml/2006/main">
  <dimension ref="A1:J53"/>
  <sheetViews>
    <sheetView workbookViewId="0"/>
  </sheetViews>
  <sheetFormatPr defaultRowHeight="15"/>
  <cols>
    <col min="1" max="1" width="9.140625" customWidth="1" style="3"/>
    <col min="2" max="2" width="44.6832389831543" customWidth="1" style="3"/>
    <col min="3" max="3" width="33.5952644348145" customWidth="1" style="3"/>
    <col min="4" max="4" width="18.6470375061035" customWidth="1" style="3"/>
    <col min="5" max="5" width="15.9048509597778" customWidth="1" style="3"/>
    <col min="6" max="6" width="23.6576385498047" customWidth="1" style="3"/>
    <col min="7" max="7" width="22.7695255279541" customWidth="1" style="3"/>
    <col min="8" max="16384" width="22.9653949737549" customWidth="1" style="3"/>
    <col min="9" max="16384" width="9.140625" customWidth="1" style="3"/>
    <col min="10" max="16384" width="9.140625" customWidth="1" style="3"/>
  </cols>
  <sheetData>
    <row r="1" ht="20" customHeight="1" s="1" customFormat="1">
      <c r="A1" s="2" t="s">
        <v>45</v>
      </c>
      <c r="B1" s="2" t="s">
        <v>46</v>
      </c>
      <c r="C1" s="2" t="s">
        <v>47</v>
      </c>
      <c r="D1" s="2" t="s">
        <v>49</v>
      </c>
      <c r="E1" s="2" t="s">
        <v>185</v>
      </c>
      <c r="F1" s="2" t="s">
        <v>186</v>
      </c>
      <c r="G1" s="2" t="s">
        <v>53</v>
      </c>
      <c r="H1" s="2" t="s">
        <v>54</v>
      </c>
    </row>
    <row r="2" ht="16" customHeight="1" s="4" customFormat="1">
      <c r="A2" s="4">
        <v>1</v>
      </c>
      <c r="B2" s="4" t="s">
        <v>187</v>
      </c>
      <c r="C2" s="4" t="s">
        <v>188</v>
      </c>
      <c r="D2" s="5">
        <v>42826</v>
      </c>
      <c r="E2" s="5">
        <v>42930</v>
      </c>
      <c r="F2" s="4">
        <v>34</v>
      </c>
      <c r="G2" s="4" t="s">
        <v>57</v>
      </c>
      <c r="H2" s="4" t="s">
        <v>57</v>
      </c>
      <c r="I2" s="4"/>
      <c r="J2" s="4"/>
    </row>
    <row r="3" ht="16" customHeight="1" s="4" customFormat="1">
      <c r="A3" s="4">
        <v>2</v>
      </c>
      <c r="B3" s="4" t="s">
        <v>187</v>
      </c>
      <c r="C3" s="4" t="s">
        <v>173</v>
      </c>
      <c r="D3" s="5">
        <v>42930</v>
      </c>
      <c r="E3" s="5">
        <v>44287</v>
      </c>
      <c r="F3" s="4">
        <v>34</v>
      </c>
      <c r="G3" s="4" t="s">
        <v>57</v>
      </c>
      <c r="H3" s="4" t="s">
        <v>57</v>
      </c>
      <c r="I3" s="4"/>
      <c r="J3" s="4"/>
    </row>
    <row r="4" ht="16" customHeight="1" s="4" customFormat="1">
      <c r="A4" s="4">
        <v>3</v>
      </c>
      <c r="B4" s="4" t="s">
        <v>189</v>
      </c>
      <c r="C4" s="4" t="s">
        <v>173</v>
      </c>
      <c r="D4" s="5">
        <v>37398</v>
      </c>
      <c r="E4" s="5">
        <v>39743</v>
      </c>
      <c r="F4" s="4">
        <v>13</v>
      </c>
      <c r="G4" s="4" t="s">
        <v>57</v>
      </c>
      <c r="H4" s="4" t="s">
        <v>57</v>
      </c>
      <c r="I4" s="4"/>
      <c r="J4" s="4"/>
    </row>
    <row r="5" ht="16" customHeight="1" s="4" customFormat="1">
      <c r="A5" s="4">
        <v>4</v>
      </c>
      <c r="B5" s="4" t="s">
        <v>190</v>
      </c>
      <c r="C5" s="4" t="s">
        <v>188</v>
      </c>
      <c r="D5" s="5">
        <v>39385</v>
      </c>
      <c r="E5" s="5">
        <v>39652</v>
      </c>
      <c r="F5" s="4">
        <v>35</v>
      </c>
      <c r="G5" s="4" t="s">
        <v>57</v>
      </c>
      <c r="H5" s="4" t="s">
        <v>57</v>
      </c>
      <c r="I5" s="4"/>
      <c r="J5" s="4"/>
    </row>
    <row r="6" ht="16" customHeight="1" s="4" customFormat="1">
      <c r="A6" s="4">
        <v>5</v>
      </c>
      <c r="B6" s="4" t="s">
        <v>190</v>
      </c>
      <c r="C6" s="4" t="s">
        <v>191</v>
      </c>
      <c r="D6" s="5">
        <v>42979</v>
      </c>
      <c r="E6" s="5">
        <v>43342</v>
      </c>
      <c r="F6" s="4">
        <v>35</v>
      </c>
      <c r="G6" s="4" t="s">
        <v>57</v>
      </c>
      <c r="H6" s="4" t="s">
        <v>57</v>
      </c>
      <c r="I6" s="4"/>
      <c r="J6" s="4"/>
    </row>
    <row r="7" ht="16" customHeight="1" s="4" customFormat="1">
      <c r="A7" s="4">
        <v>6</v>
      </c>
      <c r="B7" s="4" t="s">
        <v>190</v>
      </c>
      <c r="C7" s="4" t="s">
        <v>173</v>
      </c>
      <c r="D7" s="5">
        <v>39652</v>
      </c>
      <c r="E7" s="5">
        <v>41718</v>
      </c>
      <c r="F7" s="4">
        <v>35</v>
      </c>
      <c r="G7" s="4" t="s">
        <v>57</v>
      </c>
      <c r="H7" s="4" t="s">
        <v>57</v>
      </c>
      <c r="I7" s="4"/>
      <c r="J7" s="4"/>
    </row>
    <row r="8" ht="16" customHeight="1" s="4" customFormat="1">
      <c r="A8" s="4">
        <v>7</v>
      </c>
      <c r="B8" s="4" t="s">
        <v>192</v>
      </c>
      <c r="C8" s="4" t="s">
        <v>188</v>
      </c>
      <c r="D8" s="5">
        <v>41730</v>
      </c>
      <c r="E8" s="5">
        <v>41730</v>
      </c>
      <c r="F8" s="4">
        <v>9</v>
      </c>
      <c r="G8" s="4" t="s">
        <v>57</v>
      </c>
      <c r="H8" s="4" t="s">
        <v>57</v>
      </c>
      <c r="I8" s="4"/>
      <c r="J8" s="4"/>
    </row>
    <row r="9" ht="16" customHeight="1" s="4" customFormat="1">
      <c r="A9" s="4">
        <v>8</v>
      </c>
      <c r="B9" s="4" t="s">
        <v>192</v>
      </c>
      <c r="C9" s="4" t="s">
        <v>173</v>
      </c>
      <c r="D9" s="5">
        <v>43556</v>
      </c>
      <c r="E9" s="5">
        <v>43922</v>
      </c>
      <c r="F9" s="4">
        <v>9</v>
      </c>
      <c r="G9" s="4" t="s">
        <v>57</v>
      </c>
      <c r="H9" s="4" t="s">
        <v>57</v>
      </c>
      <c r="I9" s="4"/>
      <c r="J9" s="4"/>
    </row>
    <row r="10" ht="16" customHeight="1" s="4" customFormat="1">
      <c r="A10" s="4">
        <v>9</v>
      </c>
      <c r="B10" s="4" t="s">
        <v>192</v>
      </c>
      <c r="C10" s="4" t="s">
        <v>193</v>
      </c>
      <c r="D10" s="5">
        <v>41730</v>
      </c>
      <c r="E10" s="5">
        <v>43556</v>
      </c>
      <c r="F10" s="4">
        <v>9</v>
      </c>
      <c r="G10" s="4" t="s">
        <v>57</v>
      </c>
      <c r="H10" s="4" t="s">
        <v>57</v>
      </c>
      <c r="I10" s="4"/>
      <c r="J10" s="4"/>
    </row>
    <row r="11" ht="16" customHeight="1" s="4" customFormat="1">
      <c r="A11" s="4">
        <v>10</v>
      </c>
      <c r="B11" s="4" t="s">
        <v>194</v>
      </c>
      <c r="C11" s="4" t="s">
        <v>173</v>
      </c>
      <c r="D11" s="5">
        <v>44287</v>
      </c>
      <c r="E11" s="4"/>
      <c r="F11" s="4">
        <v>31</v>
      </c>
      <c r="G11" s="4" t="s">
        <v>57</v>
      </c>
      <c r="H11" s="4" t="s">
        <v>57</v>
      </c>
      <c r="I11" s="4"/>
      <c r="J11" s="4"/>
    </row>
    <row r="12" ht="16" customHeight="1" s="4" customFormat="1">
      <c r="A12" s="4">
        <v>11</v>
      </c>
      <c r="B12" s="4" t="s">
        <v>195</v>
      </c>
      <c r="C12" s="4" t="s">
        <v>188</v>
      </c>
      <c r="D12" s="5">
        <v>42872</v>
      </c>
      <c r="E12" s="5">
        <v>42930</v>
      </c>
      <c r="F12" s="4">
        <v>14</v>
      </c>
      <c r="G12" s="4" t="s">
        <v>57</v>
      </c>
      <c r="H12" s="4" t="s">
        <v>57</v>
      </c>
      <c r="I12" s="4"/>
      <c r="J12" s="4"/>
    </row>
    <row r="13" ht="16" customHeight="1" s="4" customFormat="1">
      <c r="A13" s="4">
        <v>12</v>
      </c>
      <c r="B13" s="4" t="s">
        <v>195</v>
      </c>
      <c r="C13" s="4" t="s">
        <v>173</v>
      </c>
      <c r="D13" s="5">
        <v>42930</v>
      </c>
      <c r="E13" s="5">
        <v>43968</v>
      </c>
      <c r="F13" s="4">
        <v>14</v>
      </c>
      <c r="G13" s="4" t="s">
        <v>57</v>
      </c>
      <c r="H13" s="4" t="s">
        <v>57</v>
      </c>
      <c r="I13" s="4"/>
      <c r="J13" s="4"/>
    </row>
    <row r="14" ht="16" customHeight="1" s="4" customFormat="1">
      <c r="A14" s="4">
        <v>13</v>
      </c>
      <c r="B14" s="4" t="s">
        <v>196</v>
      </c>
      <c r="C14" s="4" t="s">
        <v>188</v>
      </c>
      <c r="D14" s="5">
        <v>43172</v>
      </c>
      <c r="E14" s="5">
        <v>43336</v>
      </c>
      <c r="F14" s="4">
        <v>15</v>
      </c>
      <c r="G14" s="4" t="s">
        <v>57</v>
      </c>
      <c r="H14" s="4" t="s">
        <v>57</v>
      </c>
      <c r="I14" s="4"/>
      <c r="J14" s="4"/>
    </row>
    <row r="15" ht="16" customHeight="1" s="4" customFormat="1">
      <c r="A15" s="4">
        <v>14</v>
      </c>
      <c r="B15" s="4" t="s">
        <v>196</v>
      </c>
      <c r="C15" s="4" t="s">
        <v>173</v>
      </c>
      <c r="D15" s="5">
        <v>43336</v>
      </c>
      <c r="E15" s="5">
        <v>45515</v>
      </c>
      <c r="F15" s="4">
        <v>15</v>
      </c>
      <c r="G15" s="4" t="s">
        <v>57</v>
      </c>
      <c r="H15" s="4" t="s">
        <v>57</v>
      </c>
      <c r="I15" s="4"/>
      <c r="J15" s="4"/>
    </row>
    <row r="16" ht="16" customHeight="1" s="4" customFormat="1">
      <c r="A16" s="4">
        <v>15</v>
      </c>
      <c r="B16" s="4" t="s">
        <v>197</v>
      </c>
      <c r="C16" s="4" t="s">
        <v>173</v>
      </c>
      <c r="D16" s="5">
        <v>42093</v>
      </c>
      <c r="E16" s="5">
        <v>42925</v>
      </c>
      <c r="F16" s="4">
        <v>32</v>
      </c>
      <c r="G16" s="4" t="s">
        <v>57</v>
      </c>
      <c r="H16" s="4" t="s">
        <v>57</v>
      </c>
      <c r="I16" s="4"/>
      <c r="J16" s="4"/>
    </row>
    <row r="17" ht="16" customHeight="1" s="4" customFormat="1">
      <c r="A17" s="4">
        <v>16</v>
      </c>
      <c r="B17" s="4" t="s">
        <v>197</v>
      </c>
      <c r="C17" s="4" t="s">
        <v>198</v>
      </c>
      <c r="D17" s="5">
        <v>41727</v>
      </c>
      <c r="E17" s="5">
        <v>42093</v>
      </c>
      <c r="F17" s="4">
        <v>32</v>
      </c>
      <c r="G17" s="4" t="s">
        <v>57</v>
      </c>
      <c r="H17" s="4" t="s">
        <v>57</v>
      </c>
      <c r="I17" s="4"/>
      <c r="J17" s="4"/>
    </row>
    <row r="18" ht="16" customHeight="1" s="4" customFormat="1">
      <c r="A18" s="4">
        <v>17</v>
      </c>
      <c r="B18" s="4" t="s">
        <v>199</v>
      </c>
      <c r="C18" s="4" t="s">
        <v>173</v>
      </c>
      <c r="D18" s="5">
        <v>38709</v>
      </c>
      <c r="E18" s="5">
        <v>42031</v>
      </c>
      <c r="F18" s="4">
        <v>3</v>
      </c>
      <c r="G18" s="4" t="s">
        <v>57</v>
      </c>
      <c r="H18" s="4" t="s">
        <v>57</v>
      </c>
      <c r="I18" s="4"/>
      <c r="J18" s="4"/>
    </row>
    <row r="19" ht="16" customHeight="1" s="4" customFormat="1">
      <c r="A19" s="4">
        <v>18</v>
      </c>
      <c r="B19" s="4" t="s">
        <v>200</v>
      </c>
      <c r="C19" s="4" t="s">
        <v>173</v>
      </c>
      <c r="D19" s="5">
        <v>36192</v>
      </c>
      <c r="E19" s="5">
        <v>39845</v>
      </c>
      <c r="F19" s="4">
        <v>7</v>
      </c>
      <c r="G19" s="4" t="s">
        <v>57</v>
      </c>
      <c r="H19" s="4" t="s">
        <v>57</v>
      </c>
      <c r="I19" s="4"/>
      <c r="J19" s="4"/>
    </row>
    <row r="20" ht="16" customHeight="1" s="4" customFormat="1">
      <c r="A20" s="4">
        <v>19</v>
      </c>
      <c r="B20" s="4" t="s">
        <v>200</v>
      </c>
      <c r="C20" s="4" t="s">
        <v>193</v>
      </c>
      <c r="D20" s="5">
        <v>39845</v>
      </c>
      <c r="E20" s="5">
        <v>40756</v>
      </c>
      <c r="F20" s="4">
        <v>7</v>
      </c>
      <c r="G20" s="4" t="s">
        <v>57</v>
      </c>
      <c r="H20" s="4" t="s">
        <v>57</v>
      </c>
      <c r="I20" s="4"/>
      <c r="J20" s="4"/>
    </row>
    <row r="21" ht="16" customHeight="1" s="4" customFormat="1">
      <c r="A21" s="4">
        <v>20</v>
      </c>
      <c r="B21" s="4" t="s">
        <v>179</v>
      </c>
      <c r="C21" s="4" t="s">
        <v>173</v>
      </c>
      <c r="D21" s="5">
        <v>41831</v>
      </c>
      <c r="E21" s="5">
        <v>43616</v>
      </c>
      <c r="F21" s="4">
        <v>20</v>
      </c>
      <c r="G21" s="4" t="s">
        <v>201</v>
      </c>
      <c r="H21" s="4" t="s">
        <v>57</v>
      </c>
      <c r="I21" s="4"/>
      <c r="J21" s="4"/>
    </row>
    <row r="22" ht="16" customHeight="1" s="4" customFormat="1">
      <c r="A22" s="4">
        <v>21</v>
      </c>
      <c r="B22" s="4" t="s">
        <v>179</v>
      </c>
      <c r="C22" s="4" t="s">
        <v>198</v>
      </c>
      <c r="D22" s="5">
        <v>41667</v>
      </c>
      <c r="E22" s="5">
        <v>41831</v>
      </c>
      <c r="F22" s="4">
        <v>20</v>
      </c>
      <c r="G22" s="4" t="s">
        <v>201</v>
      </c>
      <c r="H22" s="4" t="s">
        <v>57</v>
      </c>
      <c r="I22" s="4"/>
      <c r="J22" s="4"/>
    </row>
    <row r="23" ht="16" customHeight="1" s="4" customFormat="1">
      <c r="A23" s="4">
        <v>22</v>
      </c>
      <c r="B23" s="4" t="s">
        <v>202</v>
      </c>
      <c r="C23" s="4" t="s">
        <v>173</v>
      </c>
      <c r="D23" s="5">
        <v>38763</v>
      </c>
      <c r="E23" s="5">
        <v>40087</v>
      </c>
      <c r="F23" s="4">
        <v>3</v>
      </c>
      <c r="G23" s="4" t="s">
        <v>57</v>
      </c>
      <c r="H23" s="4" t="s">
        <v>57</v>
      </c>
      <c r="I23" s="4"/>
      <c r="J23" s="4"/>
    </row>
    <row r="24" ht="16" customHeight="1" s="4" customFormat="1">
      <c r="A24" s="4">
        <v>23</v>
      </c>
      <c r="B24" s="4" t="s">
        <v>202</v>
      </c>
      <c r="C24" s="4" t="s">
        <v>193</v>
      </c>
      <c r="D24" s="5">
        <v>39845</v>
      </c>
      <c r="E24" s="5">
        <v>40087</v>
      </c>
      <c r="F24" s="4">
        <v>3</v>
      </c>
      <c r="G24" s="4" t="s">
        <v>57</v>
      </c>
      <c r="H24" s="4" t="s">
        <v>57</v>
      </c>
      <c r="I24" s="4"/>
      <c r="J24" s="4"/>
    </row>
    <row r="25" ht="16" customHeight="1" s="4" customFormat="1">
      <c r="A25" s="4">
        <v>24</v>
      </c>
      <c r="B25" s="4" t="s">
        <v>203</v>
      </c>
      <c r="C25" s="4" t="s">
        <v>193</v>
      </c>
      <c r="D25" s="5">
        <v>41503</v>
      </c>
      <c r="E25" s="5">
        <v>41730</v>
      </c>
      <c r="F25" s="4">
        <v>26</v>
      </c>
      <c r="G25" s="4" t="s">
        <v>57</v>
      </c>
      <c r="H25" s="4" t="s">
        <v>57</v>
      </c>
      <c r="I25" s="4"/>
      <c r="J25" s="4"/>
    </row>
    <row r="26" ht="16" customHeight="1" s="4" customFormat="1">
      <c r="A26" s="4">
        <v>25</v>
      </c>
      <c r="B26" s="4" t="s">
        <v>204</v>
      </c>
      <c r="C26" s="4" t="s">
        <v>173</v>
      </c>
      <c r="D26" s="5">
        <v>36616</v>
      </c>
      <c r="E26" s="5">
        <v>40841</v>
      </c>
      <c r="F26" s="4">
        <v>20</v>
      </c>
      <c r="G26" s="4" t="s">
        <v>57</v>
      </c>
      <c r="H26" s="4" t="s">
        <v>57</v>
      </c>
      <c r="I26" s="4"/>
      <c r="J26" s="4"/>
    </row>
    <row r="27" ht="16" customHeight="1" s="4" customFormat="1">
      <c r="A27" s="4">
        <v>26</v>
      </c>
      <c r="B27" s="4" t="s">
        <v>205</v>
      </c>
      <c r="C27" s="4" t="s">
        <v>173</v>
      </c>
      <c r="D27" s="5">
        <v>42093</v>
      </c>
      <c r="E27" s="5">
        <v>44142</v>
      </c>
      <c r="F27" s="4">
        <v>22</v>
      </c>
      <c r="G27" s="4" t="s">
        <v>57</v>
      </c>
      <c r="H27" s="4" t="s">
        <v>57</v>
      </c>
      <c r="I27" s="4"/>
      <c r="J27" s="4"/>
    </row>
    <row r="28" ht="16" customHeight="1" s="4" customFormat="1">
      <c r="A28" s="4">
        <v>27</v>
      </c>
      <c r="B28" s="4" t="s">
        <v>205</v>
      </c>
      <c r="C28" s="4" t="s">
        <v>198</v>
      </c>
      <c r="D28" s="5">
        <v>41727</v>
      </c>
      <c r="E28" s="5">
        <v>42093</v>
      </c>
      <c r="F28" s="4">
        <v>22</v>
      </c>
      <c r="G28" s="4" t="s">
        <v>57</v>
      </c>
      <c r="H28" s="4" t="s">
        <v>57</v>
      </c>
      <c r="I28" s="4"/>
      <c r="J28" s="4"/>
    </row>
    <row r="29" ht="16" customHeight="1" s="4" customFormat="1">
      <c r="A29" s="4">
        <v>28</v>
      </c>
      <c r="B29" s="4" t="s">
        <v>206</v>
      </c>
      <c r="C29" s="4" t="s">
        <v>188</v>
      </c>
      <c r="D29" s="5">
        <v>44232</v>
      </c>
      <c r="E29" s="5">
        <v>44418</v>
      </c>
      <c r="F29" s="4">
        <v>9</v>
      </c>
      <c r="G29" s="4" t="s">
        <v>57</v>
      </c>
      <c r="H29" s="4" t="s">
        <v>57</v>
      </c>
      <c r="I29" s="4"/>
      <c r="J29" s="4"/>
    </row>
    <row r="30" ht="16" customHeight="1" s="4" customFormat="1">
      <c r="A30" s="4">
        <v>29</v>
      </c>
      <c r="B30" s="4" t="s">
        <v>206</v>
      </c>
      <c r="C30" s="4" t="s">
        <v>173</v>
      </c>
      <c r="D30" s="5">
        <v>44418</v>
      </c>
      <c r="E30" s="5">
        <v>45693</v>
      </c>
      <c r="F30" s="4">
        <v>9</v>
      </c>
      <c r="G30" s="4" t="s">
        <v>57</v>
      </c>
      <c r="H30" s="4" t="s">
        <v>57</v>
      </c>
      <c r="I30" s="4"/>
      <c r="J30" s="4"/>
    </row>
    <row r="31" ht="16" customHeight="1" s="4" customFormat="1">
      <c r="A31" s="4">
        <v>30</v>
      </c>
      <c r="B31" s="4" t="s">
        <v>207</v>
      </c>
      <c r="C31" s="4" t="s">
        <v>193</v>
      </c>
      <c r="D31" s="5">
        <v>36708</v>
      </c>
      <c r="E31" s="5">
        <v>41504</v>
      </c>
      <c r="F31" s="4">
        <v>1</v>
      </c>
      <c r="G31" s="4" t="s">
        <v>57</v>
      </c>
      <c r="H31" s="4" t="s">
        <v>57</v>
      </c>
      <c r="I31" s="4"/>
      <c r="J31" s="4"/>
    </row>
    <row r="32" ht="16" customHeight="1" s="4" customFormat="1">
      <c r="A32" s="4">
        <v>31</v>
      </c>
      <c r="B32" s="4" t="s">
        <v>208</v>
      </c>
      <c r="C32" s="4" t="s">
        <v>188</v>
      </c>
      <c r="D32" s="5">
        <v>42121</v>
      </c>
      <c r="E32" s="5">
        <v>42196</v>
      </c>
      <c r="F32" s="4">
        <v>4</v>
      </c>
      <c r="G32" s="4" t="s">
        <v>57</v>
      </c>
      <c r="H32" s="4" t="s">
        <v>57</v>
      </c>
      <c r="I32" s="4"/>
      <c r="J32" s="4"/>
    </row>
    <row r="33" ht="16" customHeight="1" s="4" customFormat="1">
      <c r="A33" s="4">
        <v>32</v>
      </c>
      <c r="B33" s="4" t="s">
        <v>208</v>
      </c>
      <c r="C33" s="4" t="s">
        <v>173</v>
      </c>
      <c r="D33" s="5">
        <v>42196</v>
      </c>
      <c r="E33" s="5">
        <v>42825</v>
      </c>
      <c r="F33" s="4">
        <v>4</v>
      </c>
      <c r="G33" s="4" t="s">
        <v>57</v>
      </c>
      <c r="H33" s="4" t="s">
        <v>57</v>
      </c>
      <c r="I33" s="4"/>
      <c r="J33" s="4"/>
    </row>
    <row r="34" ht="16" customHeight="1" s="4" customFormat="1">
      <c r="A34" s="4">
        <v>33</v>
      </c>
      <c r="B34" s="4" t="s">
        <v>209</v>
      </c>
      <c r="C34" s="4" t="s">
        <v>188</v>
      </c>
      <c r="D34" s="5">
        <v>43617</v>
      </c>
      <c r="E34" s="5">
        <v>43657</v>
      </c>
      <c r="F34" s="4">
        <v>57</v>
      </c>
      <c r="G34" s="4" t="s">
        <v>57</v>
      </c>
      <c r="H34" s="4" t="s">
        <v>57</v>
      </c>
      <c r="I34" s="4"/>
      <c r="J34" s="4"/>
    </row>
    <row r="35" ht="16" customHeight="1" s="4" customFormat="1">
      <c r="A35" s="4">
        <v>34</v>
      </c>
      <c r="B35" s="4" t="s">
        <v>209</v>
      </c>
      <c r="C35" s="4" t="s">
        <v>173</v>
      </c>
      <c r="D35" s="5">
        <v>43657</v>
      </c>
      <c r="E35" s="5">
        <v>44471</v>
      </c>
      <c r="F35" s="4">
        <v>57</v>
      </c>
      <c r="G35" s="4" t="s">
        <v>57</v>
      </c>
      <c r="H35" s="4" t="s">
        <v>57</v>
      </c>
      <c r="I35" s="4"/>
      <c r="J35" s="4"/>
    </row>
    <row r="36" ht="16" customHeight="1" s="4" customFormat="1">
      <c r="A36" s="4">
        <v>35</v>
      </c>
      <c r="B36" s="4" t="s">
        <v>210</v>
      </c>
      <c r="C36" s="4" t="s">
        <v>173</v>
      </c>
      <c r="D36" s="5">
        <v>40745</v>
      </c>
      <c r="E36" s="5">
        <v>41514</v>
      </c>
      <c r="F36" s="4">
        <v>31</v>
      </c>
      <c r="G36" s="4" t="s">
        <v>57</v>
      </c>
      <c r="H36" s="4" t="s">
        <v>57</v>
      </c>
      <c r="I36" s="4"/>
      <c r="J36" s="4"/>
    </row>
    <row r="37" ht="16" customHeight="1" s="4" customFormat="1">
      <c r="A37" s="4">
        <v>36</v>
      </c>
      <c r="B37" s="4" t="s">
        <v>210</v>
      </c>
      <c r="C37" s="4" t="s">
        <v>198</v>
      </c>
      <c r="D37" s="5">
        <v>40567</v>
      </c>
      <c r="E37" s="5">
        <v>40745</v>
      </c>
      <c r="F37" s="4">
        <v>31</v>
      </c>
      <c r="G37" s="4" t="s">
        <v>57</v>
      </c>
      <c r="H37" s="4" t="s">
        <v>57</v>
      </c>
      <c r="I37" s="4"/>
      <c r="J37" s="4"/>
    </row>
    <row r="38" ht="16" customHeight="1" s="4" customFormat="1">
      <c r="A38" s="4">
        <v>37</v>
      </c>
      <c r="B38" s="4" t="s">
        <v>211</v>
      </c>
      <c r="C38" s="4" t="s">
        <v>188</v>
      </c>
      <c r="D38" s="5">
        <v>42696</v>
      </c>
      <c r="E38" s="5">
        <v>44311</v>
      </c>
      <c r="F38" s="4">
        <v>34</v>
      </c>
      <c r="G38" s="4" t="s">
        <v>57</v>
      </c>
      <c r="H38" s="4" t="s">
        <v>57</v>
      </c>
      <c r="I38" s="4"/>
      <c r="J38" s="4"/>
    </row>
    <row r="39" ht="16" customHeight="1" s="4" customFormat="1">
      <c r="A39" s="4">
        <v>38</v>
      </c>
      <c r="B39" s="4" t="s">
        <v>211</v>
      </c>
      <c r="C39" s="4" t="s">
        <v>71</v>
      </c>
      <c r="D39" s="5">
        <v>42644</v>
      </c>
      <c r="E39" s="5">
        <v>44311</v>
      </c>
      <c r="F39" s="4">
        <v>34</v>
      </c>
      <c r="G39" s="4" t="s">
        <v>57</v>
      </c>
      <c r="H39" s="4" t="s">
        <v>57</v>
      </c>
      <c r="I39" s="4"/>
      <c r="J39" s="4"/>
    </row>
    <row r="40" ht="16" customHeight="1" s="4" customFormat="1">
      <c r="A40" s="4">
        <v>39</v>
      </c>
      <c r="B40" s="4" t="s">
        <v>211</v>
      </c>
      <c r="C40" s="4" t="s">
        <v>193</v>
      </c>
      <c r="D40" s="5">
        <v>42696</v>
      </c>
      <c r="E40" s="5">
        <v>44311</v>
      </c>
      <c r="F40" s="4">
        <v>34</v>
      </c>
      <c r="G40" s="4" t="s">
        <v>57</v>
      </c>
      <c r="H40" s="4" t="s">
        <v>57</v>
      </c>
      <c r="I40" s="4"/>
      <c r="J40" s="4"/>
    </row>
    <row r="41" ht="16" customHeight="1" s="4" customFormat="1">
      <c r="A41" s="4">
        <v>40</v>
      </c>
      <c r="B41" s="4" t="s">
        <v>212</v>
      </c>
      <c r="C41" s="4" t="s">
        <v>188</v>
      </c>
      <c r="D41" s="5">
        <v>44378</v>
      </c>
      <c r="E41" s="5">
        <v>44418</v>
      </c>
      <c r="F41" s="4">
        <v>13</v>
      </c>
      <c r="G41" s="4" t="s">
        <v>57</v>
      </c>
      <c r="H41" s="4" t="s">
        <v>57</v>
      </c>
      <c r="I41" s="4"/>
      <c r="J41" s="4"/>
    </row>
    <row r="42" ht="16" customHeight="1" s="4" customFormat="1">
      <c r="A42" s="4">
        <v>41</v>
      </c>
      <c r="B42" s="4" t="s">
        <v>212</v>
      </c>
      <c r="C42" s="4" t="s">
        <v>188</v>
      </c>
      <c r="D42" s="5">
        <v>39385</v>
      </c>
      <c r="E42" s="5">
        <v>39652</v>
      </c>
      <c r="F42" s="4">
        <v>13</v>
      </c>
      <c r="G42" s="4" t="s">
        <v>57</v>
      </c>
      <c r="H42" s="4" t="s">
        <v>57</v>
      </c>
      <c r="I42" s="4"/>
      <c r="J42" s="4"/>
    </row>
    <row r="43" ht="16" customHeight="1" s="4" customFormat="1">
      <c r="A43" s="4">
        <v>42</v>
      </c>
      <c r="B43" s="4" t="s">
        <v>212</v>
      </c>
      <c r="C43" s="4" t="s">
        <v>173</v>
      </c>
      <c r="D43" s="5">
        <v>44418</v>
      </c>
      <c r="E43" s="5">
        <v>45474</v>
      </c>
      <c r="F43" s="4">
        <v>13</v>
      </c>
      <c r="G43" s="4" t="s">
        <v>57</v>
      </c>
      <c r="H43" s="4" t="s">
        <v>57</v>
      </c>
      <c r="I43" s="4"/>
      <c r="J43" s="4"/>
    </row>
    <row r="44" ht="16" customHeight="1" s="4" customFormat="1">
      <c r="A44" s="4">
        <v>43</v>
      </c>
      <c r="B44" s="4" t="s">
        <v>212</v>
      </c>
      <c r="C44" s="4" t="s">
        <v>173</v>
      </c>
      <c r="D44" s="5">
        <v>39652</v>
      </c>
      <c r="E44" s="5">
        <v>39902</v>
      </c>
      <c r="F44" s="4">
        <v>13</v>
      </c>
      <c r="G44" s="4" t="s">
        <v>57</v>
      </c>
      <c r="H44" s="4" t="s">
        <v>57</v>
      </c>
      <c r="I44" s="4"/>
      <c r="J44" s="4"/>
    </row>
    <row r="45" ht="16" customHeight="1" s="4" customFormat="1">
      <c r="A45" s="4">
        <v>44</v>
      </c>
      <c r="B45" s="4" t="s">
        <v>213</v>
      </c>
      <c r="C45" s="4" t="s">
        <v>71</v>
      </c>
      <c r="D45" s="5">
        <v>45078</v>
      </c>
      <c r="E45" s="5">
        <v>45224</v>
      </c>
      <c r="F45" s="4">
        <v>28</v>
      </c>
      <c r="G45" s="4" t="s">
        <v>57</v>
      </c>
      <c r="H45" s="4" t="s">
        <v>57</v>
      </c>
      <c r="I45" s="4"/>
      <c r="J45" s="4"/>
    </row>
    <row r="46" ht="16" customHeight="1" s="4" customFormat="1">
      <c r="A46" s="4">
        <v>45</v>
      </c>
      <c r="B46" s="4" t="s">
        <v>214</v>
      </c>
      <c r="C46" s="4" t="s">
        <v>188</v>
      </c>
      <c r="D46" s="5">
        <v>41730</v>
      </c>
      <c r="E46" s="5">
        <v>41831</v>
      </c>
      <c r="F46" s="4">
        <v>2</v>
      </c>
      <c r="G46" s="4" t="s">
        <v>57</v>
      </c>
      <c r="H46" s="4" t="s">
        <v>57</v>
      </c>
      <c r="I46" s="4"/>
      <c r="J46" s="4"/>
    </row>
    <row r="47" ht="16" customHeight="1" s="4" customFormat="1">
      <c r="A47" s="4">
        <v>46</v>
      </c>
      <c r="B47" s="4" t="s">
        <v>214</v>
      </c>
      <c r="C47" s="4" t="s">
        <v>193</v>
      </c>
      <c r="D47" s="5">
        <v>41831</v>
      </c>
      <c r="E47" s="5">
        <v>42978</v>
      </c>
      <c r="F47" s="4">
        <v>2</v>
      </c>
      <c r="G47" s="4" t="s">
        <v>57</v>
      </c>
      <c r="H47" s="4" t="s">
        <v>57</v>
      </c>
      <c r="I47" s="4"/>
      <c r="J47" s="4"/>
    </row>
    <row r="48" ht="16" customHeight="1" s="4" customFormat="1">
      <c r="A48" s="4">
        <v>47</v>
      </c>
      <c r="B48" s="4" t="s">
        <v>215</v>
      </c>
      <c r="C48" s="4" t="s">
        <v>188</v>
      </c>
      <c r="D48" s="5">
        <v>44311</v>
      </c>
      <c r="E48" s="5">
        <v>44311</v>
      </c>
      <c r="F48" s="4">
        <v>12</v>
      </c>
      <c r="G48" s="4" t="s">
        <v>57</v>
      </c>
      <c r="H48" s="4" t="s">
        <v>57</v>
      </c>
      <c r="I48" s="4"/>
      <c r="J48" s="4"/>
    </row>
    <row r="49" ht="16" customHeight="1" s="4" customFormat="1">
      <c r="A49" s="4">
        <v>48</v>
      </c>
      <c r="B49" s="4" t="s">
        <v>215</v>
      </c>
      <c r="C49" s="4" t="s">
        <v>216</v>
      </c>
      <c r="D49" s="5">
        <v>43927</v>
      </c>
      <c r="E49" s="5">
        <v>45139</v>
      </c>
      <c r="F49" s="4">
        <v>12</v>
      </c>
      <c r="G49" s="4" t="s">
        <v>57</v>
      </c>
      <c r="H49" s="4" t="s">
        <v>57</v>
      </c>
      <c r="I49" s="4"/>
      <c r="J49" s="4"/>
    </row>
    <row r="50" ht="16" customHeight="1" s="4" customFormat="1">
      <c r="A50" s="4">
        <v>49</v>
      </c>
      <c r="B50" s="4" t="s">
        <v>215</v>
      </c>
      <c r="C50" s="4" t="s">
        <v>193</v>
      </c>
      <c r="D50" s="5">
        <v>44311</v>
      </c>
      <c r="E50" s="5">
        <v>45139</v>
      </c>
      <c r="F50" s="4">
        <v>12</v>
      </c>
      <c r="G50" s="4" t="s">
        <v>57</v>
      </c>
      <c r="H50" s="4" t="s">
        <v>57</v>
      </c>
      <c r="I50" s="4"/>
      <c r="J50" s="4"/>
    </row>
    <row r="51" ht="16" customHeight="1" s="4" customFormat="1">
      <c r="A51" s="4">
        <v>50</v>
      </c>
      <c r="B51" s="4" t="s">
        <v>217</v>
      </c>
      <c r="C51" s="4" t="s">
        <v>73</v>
      </c>
      <c r="D51" s="5">
        <v>41849</v>
      </c>
      <c r="E51" s="5">
        <v>42521</v>
      </c>
      <c r="F51" s="4">
        <v>19</v>
      </c>
      <c r="G51" s="4" t="s">
        <v>57</v>
      </c>
      <c r="H51" s="4" t="s">
        <v>57</v>
      </c>
      <c r="I51" s="4"/>
      <c r="J51" s="4"/>
    </row>
    <row r="52" ht="16" customHeight="1">
      <c r="A52" s="3">
        <v>51</v>
      </c>
      <c r="B52" s="3" t="s">
        <v>218</v>
      </c>
      <c r="C52" s="3" t="s">
        <v>219</v>
      </c>
      <c r="D52" s="6">
        <v>43525</v>
      </c>
      <c r="E52" s="6">
        <v>43927</v>
      </c>
      <c r="F52" s="3">
        <v>1</v>
      </c>
      <c r="G52" s="3" t="s">
        <v>57</v>
      </c>
      <c r="H52" s="3" t="s">
        <v>57</v>
      </c>
    </row>
    <row r="53" ht="16" customHeight="1">
      <c r="A53" s="3">
        <v>52</v>
      </c>
      <c r="B53" s="3" t="s">
        <v>214</v>
      </c>
      <c r="C53" s="3" t="s">
        <v>191</v>
      </c>
      <c r="D53" s="6">
        <v>41849</v>
      </c>
      <c r="E53" s="3"/>
      <c r="F53" s="3">
        <v>1</v>
      </c>
      <c r="G53" s="3" t="s">
        <v>57</v>
      </c>
      <c r="H53" s="3" t="s">
        <v>57</v>
      </c>
    </row>
  </sheetData>
  <headerFooter/>
</worksheet>
</file>

<file path=xl/worksheets/sheet8.xml><?xml version="1.0" encoding="utf-8"?>
<worksheet xmlns:r="http://schemas.openxmlformats.org/officeDocument/2006/relationships" xmlns="http://schemas.openxmlformats.org/spreadsheetml/2006/main">
  <dimension ref="A1:AI326"/>
  <sheetViews>
    <sheetView workbookViewId="0"/>
  </sheetViews>
  <sheetFormatPr defaultRowHeight="15"/>
  <cols>
    <col min="1" max="1" width="9.140625" customWidth="1" style="3"/>
    <col min="2" max="2" width="76.8197631835938" customWidth="1" style="3"/>
    <col min="3" max="3" width="19.2413463592529" customWidth="1" style="3"/>
    <col min="4" max="4" width="13.9419612884521" customWidth="1" style="3"/>
    <col min="5" max="5" width="20.2739295959473" customWidth="1" style="3"/>
    <col min="6" max="6" width="22.0881633758545" customWidth="1" style="3"/>
    <col min="7" max="7" width="21.6947479248047" customWidth="1" style="3"/>
    <col min="8" max="8" width="12.9634456634521" customWidth="1" style="3"/>
    <col min="9" max="9" width="11.5898408889771" customWidth="1" style="3"/>
    <col min="10" max="10" width="12.3733224868774" customWidth="1" style="3"/>
    <col min="11" max="11" width="21.7297515869141" customWidth="1" style="3"/>
    <col min="12" max="12" width="13.5535678863525" customWidth="1" style="3"/>
    <col min="13" max="13" width="19.2455310821533" customWidth="1" style="3"/>
    <col min="14" max="14" width="29.6450805664063" customWidth="1" style="3"/>
    <col min="15" max="15" width="13.8465366363525" customWidth="1" style="3"/>
    <col min="16" max="16" width="26.6032295227051" customWidth="1" style="3"/>
    <col min="17" max="17" width="33.0619316101074" customWidth="1" style="3"/>
    <col min="18" max="18" width="36.0276145935059" customWidth="1" style="3"/>
    <col min="19" max="19" width="24.7424602508545" customWidth="1" style="3"/>
    <col min="20" max="20" width="16.1986560821533" customWidth="1" style="3"/>
    <col min="21" max="21" width="20.6166229248047" customWidth="1" style="3"/>
    <col min="22" max="22" width="21.7985420227051" customWidth="1" style="3"/>
    <col min="23" max="23" width="14.4366598129272" customWidth="1" style="3"/>
    <col min="24" max="24" width="16.6941928863525" customWidth="1" style="3"/>
    <col min="25" max="25" width="28.9595336914063" customWidth="1" style="3"/>
    <col min="26" max="26" width="18.9685001373291" customWidth="1" style="3"/>
    <col min="27" max="27" width="11.0315580368042" customWidth="1" style="3"/>
    <col min="28" max="28" width="16.1057434082031" customWidth="1" style="3"/>
    <col min="29" max="29" width="31.0061302185059" customWidth="1" style="3"/>
    <col min="30" max="30" width="19.8554973602295" customWidth="1" style="3"/>
    <col min="31" max="31" width="21.7297515869141" customWidth="1" style="3"/>
    <col min="32" max="32" width="15.6135559082031" customWidth="1" style="3"/>
    <col min="33" max="16384" width="19.1459217071533" customWidth="1" style="3"/>
    <col min="34" max="16384" width="9.140625" customWidth="1" style="3"/>
    <col min="35" max="16384" width="9.140625" customWidth="1" style="3"/>
  </cols>
  <sheetData>
    <row r="1" ht="20" customHeight="1" s="1" customFormat="1">
      <c r="A1" s="2" t="s">
        <v>74</v>
      </c>
      <c r="B1" s="2" t="s">
        <v>75</v>
      </c>
      <c r="C1" s="2" t="s">
        <v>76</v>
      </c>
      <c r="D1" s="2" t="s">
        <v>77</v>
      </c>
      <c r="E1" s="2" t="s">
        <v>35</v>
      </c>
      <c r="F1" s="2" t="s">
        <v>78</v>
      </c>
      <c r="G1" s="2" t="s">
        <v>79</v>
      </c>
      <c r="H1" s="2" t="s">
        <v>220</v>
      </c>
      <c r="I1" s="2" t="s">
        <v>221</v>
      </c>
      <c r="J1" s="2" t="s">
        <v>222</v>
      </c>
      <c r="K1" s="2" t="s">
        <v>223</v>
      </c>
      <c r="L1" s="2" t="s">
        <v>224</v>
      </c>
      <c r="M1" s="2" t="s">
        <v>225</v>
      </c>
      <c r="N1" s="2" t="s">
        <v>226</v>
      </c>
      <c r="O1" s="2" t="s">
        <v>227</v>
      </c>
      <c r="P1" s="2" t="s">
        <v>228</v>
      </c>
      <c r="Q1" s="2" t="s">
        <v>229</v>
      </c>
      <c r="R1" s="2" t="s">
        <v>230</v>
      </c>
      <c r="S1" s="2" t="s">
        <v>231</v>
      </c>
      <c r="T1" s="2" t="s">
        <v>232</v>
      </c>
      <c r="U1" s="2" t="s">
        <v>233</v>
      </c>
      <c r="V1" s="2" t="s">
        <v>234</v>
      </c>
      <c r="W1" s="2" t="s">
        <v>235</v>
      </c>
      <c r="X1" s="2" t="s">
        <v>236</v>
      </c>
      <c r="Y1" s="2" t="s">
        <v>237</v>
      </c>
      <c r="Z1" s="2" t="s">
        <v>238</v>
      </c>
      <c r="AA1" s="2" t="s">
        <v>239</v>
      </c>
      <c r="AB1" s="2" t="s">
        <v>240</v>
      </c>
      <c r="AC1" s="2" t="s">
        <v>241</v>
      </c>
      <c r="AD1" s="2" t="s">
        <v>242</v>
      </c>
      <c r="AE1" s="2" t="s">
        <v>243</v>
      </c>
      <c r="AF1" s="2" t="s">
        <v>244</v>
      </c>
      <c r="AG1" s="2" t="s">
        <v>245</v>
      </c>
    </row>
    <row r="2" ht="16" customHeight="1" s="4" customFormat="1">
      <c r="A2" s="4">
        <v>1</v>
      </c>
      <c r="B2" s="4" t="s">
        <v>10</v>
      </c>
      <c r="C2" s="4"/>
      <c r="D2" s="4" t="s">
        <v>80</v>
      </c>
      <c r="E2" s="4" t="s">
        <v>36</v>
      </c>
      <c r="F2" s="4">
        <v>39106.87</v>
      </c>
      <c r="G2" s="4">
        <v>116971.8</v>
      </c>
      <c r="H2" s="4" t="s">
        <v>246</v>
      </c>
      <c r="I2" s="4" t="s">
        <v>246</v>
      </c>
      <c r="J2" s="4" t="s">
        <v>82</v>
      </c>
      <c r="K2" s="4" t="s">
        <v>246</v>
      </c>
      <c r="L2" s="4" t="s">
        <v>247</v>
      </c>
      <c r="M2" s="4" t="s">
        <v>248</v>
      </c>
      <c r="N2" s="4" t="s">
        <v>249</v>
      </c>
      <c r="O2" s="4" t="s">
        <v>81</v>
      </c>
      <c r="P2" s="4" t="s">
        <v>247</v>
      </c>
      <c r="Q2" s="4" t="s">
        <v>246</v>
      </c>
      <c r="R2" s="4" t="s">
        <v>81</v>
      </c>
      <c r="S2" s="4" t="s">
        <v>250</v>
      </c>
      <c r="T2" s="4" t="s">
        <v>248</v>
      </c>
      <c r="U2" s="4" t="s">
        <v>82</v>
      </c>
      <c r="V2" s="4" t="s">
        <v>246</v>
      </c>
      <c r="W2" s="4" t="s">
        <v>248</v>
      </c>
      <c r="X2" s="4" t="s">
        <v>246</v>
      </c>
      <c r="Y2" s="4" t="s">
        <v>81</v>
      </c>
      <c r="Z2" s="4" t="s">
        <v>251</v>
      </c>
      <c r="AA2" s="4" t="s">
        <v>248</v>
      </c>
      <c r="AB2" s="4" t="s">
        <v>252</v>
      </c>
      <c r="AC2" s="4" t="s">
        <v>253</v>
      </c>
      <c r="AD2" s="4" t="s">
        <v>254</v>
      </c>
      <c r="AE2" s="4" t="s">
        <v>255</v>
      </c>
      <c r="AF2" s="4" t="s">
        <v>256</v>
      </c>
      <c r="AG2" s="4" t="s">
        <v>246</v>
      </c>
      <c r="AH2" s="4"/>
      <c r="AI2" s="4"/>
    </row>
    <row r="3" ht="16" customHeight="1" s="4" customFormat="1">
      <c r="A3" s="4">
        <v>2</v>
      </c>
      <c r="B3" s="4" t="s">
        <v>126</v>
      </c>
      <c r="C3" s="4">
        <v>83</v>
      </c>
      <c r="D3" s="4" t="s">
        <v>127</v>
      </c>
      <c r="E3" s="4" t="s">
        <v>90</v>
      </c>
      <c r="F3" s="4">
        <v>2000</v>
      </c>
      <c r="G3" s="4"/>
      <c r="H3" s="4"/>
      <c r="I3" s="4"/>
      <c r="J3" s="4" t="s">
        <v>81</v>
      </c>
      <c r="K3" s="4"/>
      <c r="L3" s="4"/>
      <c r="M3" s="4"/>
      <c r="N3" s="4"/>
      <c r="O3" s="4" t="s">
        <v>257</v>
      </c>
      <c r="P3" s="4" t="s">
        <v>81</v>
      </c>
      <c r="Q3" s="4"/>
      <c r="R3" s="4" t="s">
        <v>81</v>
      </c>
      <c r="S3" s="4"/>
      <c r="T3" s="4"/>
      <c r="U3" s="4"/>
      <c r="V3" s="4"/>
      <c r="W3" s="4"/>
      <c r="X3" s="4"/>
      <c r="Y3" s="4" t="s">
        <v>81</v>
      </c>
      <c r="Z3" s="4"/>
      <c r="AA3" s="4"/>
      <c r="AB3" s="4"/>
      <c r="AC3" s="4"/>
      <c r="AD3" s="4"/>
      <c r="AE3" s="4"/>
      <c r="AF3" s="4"/>
      <c r="AG3" s="4"/>
      <c r="AH3" s="4"/>
      <c r="AI3" s="4"/>
    </row>
    <row r="4" ht="16" customHeight="1" s="4" customFormat="1">
      <c r="A4" s="4">
        <v>3</v>
      </c>
      <c r="B4" s="4" t="s">
        <v>88</v>
      </c>
      <c r="C4" s="4">
        <v>50</v>
      </c>
      <c r="D4" s="4" t="s">
        <v>89</v>
      </c>
      <c r="E4" s="4" t="s">
        <v>90</v>
      </c>
      <c r="F4" s="4">
        <v>1</v>
      </c>
      <c r="G4" s="4"/>
      <c r="H4" s="4"/>
      <c r="I4" s="4"/>
      <c r="J4" s="4"/>
      <c r="K4" s="4"/>
      <c r="L4" s="4"/>
      <c r="M4" s="4"/>
      <c r="N4" s="4"/>
      <c r="O4" s="4"/>
      <c r="P4" s="4" t="s">
        <v>81</v>
      </c>
      <c r="Q4" s="4"/>
      <c r="R4" s="4"/>
      <c r="S4" s="4"/>
      <c r="T4" s="4"/>
      <c r="U4" s="4"/>
      <c r="V4" s="4"/>
      <c r="W4" s="4"/>
      <c r="X4" s="4"/>
      <c r="Y4" s="4"/>
      <c r="Z4" s="4"/>
      <c r="AA4" s="4"/>
      <c r="AB4" s="4"/>
      <c r="AC4" s="4"/>
      <c r="AD4" s="4"/>
      <c r="AE4" s="4"/>
      <c r="AF4" s="4"/>
      <c r="AG4" s="4"/>
      <c r="AH4" s="4"/>
      <c r="AI4" s="4"/>
    </row>
    <row r="5" ht="16" customHeight="1" s="4" customFormat="1">
      <c r="A5" s="4">
        <v>4</v>
      </c>
      <c r="B5" s="4" t="s">
        <v>258</v>
      </c>
      <c r="C5" s="4">
        <v>50</v>
      </c>
      <c r="D5" s="4" t="s">
        <v>259</v>
      </c>
      <c r="E5" s="4" t="s">
        <v>36</v>
      </c>
      <c r="F5" s="4"/>
      <c r="G5" s="4"/>
      <c r="H5" s="4"/>
      <c r="I5" s="4"/>
      <c r="J5" s="4"/>
      <c r="K5" s="4"/>
      <c r="L5" s="4"/>
      <c r="M5" s="4"/>
      <c r="N5" s="4"/>
      <c r="O5" s="4"/>
      <c r="P5" s="4"/>
      <c r="Q5" s="4"/>
      <c r="R5" s="4"/>
      <c r="S5" s="4" t="s">
        <v>112</v>
      </c>
      <c r="T5" s="4"/>
      <c r="U5" s="4"/>
      <c r="V5" s="4"/>
      <c r="W5" s="4"/>
      <c r="X5" s="4"/>
      <c r="Y5" s="4"/>
      <c r="Z5" s="4"/>
      <c r="AA5" s="4"/>
      <c r="AB5" s="4"/>
      <c r="AC5" s="4"/>
      <c r="AD5" s="4"/>
      <c r="AE5" s="4"/>
      <c r="AF5" s="4"/>
      <c r="AG5" s="4"/>
      <c r="AH5" s="4"/>
      <c r="AI5" s="4"/>
    </row>
    <row r="6" ht="16" customHeight="1" s="4" customFormat="1">
      <c r="A6" s="4">
        <v>5</v>
      </c>
      <c r="B6" s="4" t="s">
        <v>260</v>
      </c>
      <c r="C6" s="4">
        <v>50</v>
      </c>
      <c r="D6" s="4" t="s">
        <v>160</v>
      </c>
      <c r="E6" s="4" t="s">
        <v>36</v>
      </c>
      <c r="F6" s="4"/>
      <c r="G6" s="4"/>
      <c r="H6" s="4"/>
      <c r="I6" s="4"/>
      <c r="J6" s="4"/>
      <c r="K6" s="4" t="s">
        <v>112</v>
      </c>
      <c r="L6" s="4"/>
      <c r="M6" s="4"/>
      <c r="N6" s="4"/>
      <c r="O6" s="4"/>
      <c r="P6" s="4"/>
      <c r="Q6" s="4"/>
      <c r="R6" s="4"/>
      <c r="S6" s="4"/>
      <c r="T6" s="4"/>
      <c r="U6" s="4"/>
      <c r="V6" s="4"/>
      <c r="W6" s="4"/>
      <c r="X6" s="4"/>
      <c r="Y6" s="4"/>
      <c r="Z6" s="4"/>
      <c r="AA6" s="4"/>
      <c r="AB6" s="4"/>
      <c r="AC6" s="4"/>
      <c r="AD6" s="4"/>
      <c r="AE6" s="4"/>
      <c r="AF6" s="4"/>
      <c r="AG6" s="4"/>
      <c r="AH6" s="4"/>
      <c r="AI6" s="4"/>
    </row>
    <row r="7" ht="16" customHeight="1" s="4" customFormat="1">
      <c r="A7" s="4">
        <v>6</v>
      </c>
      <c r="B7" s="4" t="s">
        <v>261</v>
      </c>
      <c r="C7" s="4">
        <v>50</v>
      </c>
      <c r="D7" s="4" t="s">
        <v>262</v>
      </c>
      <c r="E7" s="4" t="s">
        <v>93</v>
      </c>
      <c r="F7" s="4">
        <v>1</v>
      </c>
      <c r="G7" s="4"/>
      <c r="H7" s="4"/>
      <c r="I7" s="4"/>
      <c r="J7" s="4"/>
      <c r="K7" s="4" t="s">
        <v>81</v>
      </c>
      <c r="L7" s="4"/>
      <c r="M7" s="4"/>
      <c r="N7" s="4"/>
      <c r="O7" s="4"/>
      <c r="P7" s="4"/>
      <c r="Q7" s="4"/>
      <c r="R7" s="4"/>
      <c r="S7" s="4"/>
      <c r="T7" s="4"/>
      <c r="U7" s="4"/>
      <c r="V7" s="4"/>
      <c r="W7" s="4"/>
      <c r="X7" s="4"/>
      <c r="Y7" s="4"/>
      <c r="Z7" s="4"/>
      <c r="AA7" s="4"/>
      <c r="AB7" s="4"/>
      <c r="AC7" s="4"/>
      <c r="AD7" s="4"/>
      <c r="AE7" s="4"/>
      <c r="AF7" s="4"/>
      <c r="AG7" s="4"/>
      <c r="AH7" s="4"/>
      <c r="AI7" s="4"/>
    </row>
    <row r="8" ht="16" customHeight="1" s="4" customFormat="1">
      <c r="A8" s="4">
        <v>7</v>
      </c>
      <c r="B8" s="4" t="s">
        <v>263</v>
      </c>
      <c r="C8" s="4">
        <v>50</v>
      </c>
      <c r="D8" s="4" t="s">
        <v>264</v>
      </c>
      <c r="E8" s="4" t="s">
        <v>36</v>
      </c>
      <c r="F8" s="4">
        <v>1</v>
      </c>
      <c r="G8" s="4"/>
      <c r="H8" s="4"/>
      <c r="I8" s="4"/>
      <c r="J8" s="4"/>
      <c r="K8" s="4" t="s">
        <v>81</v>
      </c>
      <c r="L8" s="4"/>
      <c r="M8" s="4"/>
      <c r="N8" s="4"/>
      <c r="O8" s="4"/>
      <c r="P8" s="4"/>
      <c r="Q8" s="4"/>
      <c r="R8" s="4"/>
      <c r="S8" s="4"/>
      <c r="T8" s="4"/>
      <c r="U8" s="4"/>
      <c r="V8" s="4"/>
      <c r="W8" s="4"/>
      <c r="X8" s="4"/>
      <c r="Y8" s="4"/>
      <c r="Z8" s="4"/>
      <c r="AA8" s="4"/>
      <c r="AB8" s="4"/>
      <c r="AC8" s="4"/>
      <c r="AD8" s="4"/>
      <c r="AE8" s="4"/>
      <c r="AF8" s="4"/>
      <c r="AG8" s="4"/>
      <c r="AH8" s="4"/>
      <c r="AI8" s="4"/>
    </row>
    <row r="9" ht="16" customHeight="1" s="4" customFormat="1">
      <c r="A9" s="4">
        <v>8</v>
      </c>
      <c r="B9" s="4" t="s">
        <v>265</v>
      </c>
      <c r="C9" s="4">
        <v>50</v>
      </c>
      <c r="D9" s="4" t="s">
        <v>266</v>
      </c>
      <c r="E9" s="4" t="s">
        <v>36</v>
      </c>
      <c r="F9" s="4">
        <v>1</v>
      </c>
      <c r="G9" s="4"/>
      <c r="H9" s="4"/>
      <c r="I9" s="4"/>
      <c r="J9" s="4"/>
      <c r="K9" s="4"/>
      <c r="L9" s="4"/>
      <c r="M9" s="4"/>
      <c r="N9" s="4"/>
      <c r="O9" s="4"/>
      <c r="P9" s="4"/>
      <c r="Q9" s="4"/>
      <c r="R9" s="4"/>
      <c r="S9" s="4" t="s">
        <v>81</v>
      </c>
      <c r="T9" s="4"/>
      <c r="U9" s="4"/>
      <c r="V9" s="4"/>
      <c r="W9" s="4"/>
      <c r="X9" s="4"/>
      <c r="Y9" s="4"/>
      <c r="Z9" s="4"/>
      <c r="AA9" s="4"/>
      <c r="AB9" s="4"/>
      <c r="AC9" s="4"/>
      <c r="AD9" s="4"/>
      <c r="AE9" s="4"/>
      <c r="AF9" s="4"/>
      <c r="AG9" s="4"/>
      <c r="AH9" s="4"/>
      <c r="AI9" s="4"/>
    </row>
    <row r="10" ht="16" customHeight="1" s="4" customFormat="1">
      <c r="A10" s="4">
        <v>9</v>
      </c>
      <c r="B10" s="4" t="s">
        <v>267</v>
      </c>
      <c r="C10" s="4">
        <v>40</v>
      </c>
      <c r="D10" s="4" t="s">
        <v>268</v>
      </c>
      <c r="E10" s="4" t="s">
        <v>138</v>
      </c>
      <c r="F10" s="4">
        <v>1961.73</v>
      </c>
      <c r="G10" s="4"/>
      <c r="H10" s="4"/>
      <c r="I10" s="4"/>
      <c r="J10" s="4"/>
      <c r="K10" s="4"/>
      <c r="L10" s="4"/>
      <c r="M10" s="4"/>
      <c r="N10" s="4" t="s">
        <v>81</v>
      </c>
      <c r="O10" s="4"/>
      <c r="P10" s="4"/>
      <c r="Q10" s="4"/>
      <c r="R10" s="4"/>
      <c r="S10" s="4"/>
      <c r="T10" s="4"/>
      <c r="U10" s="4"/>
      <c r="V10" s="4"/>
      <c r="W10" s="4"/>
      <c r="X10" s="4"/>
      <c r="Y10" s="4"/>
      <c r="Z10" s="4"/>
      <c r="AA10" s="4"/>
      <c r="AB10" s="4"/>
      <c r="AC10" s="4"/>
      <c r="AD10" s="4"/>
      <c r="AE10" s="4" t="s">
        <v>81</v>
      </c>
      <c r="AF10" s="4"/>
      <c r="AG10" s="4"/>
      <c r="AH10" s="4"/>
      <c r="AI10" s="4"/>
    </row>
    <row r="11" ht="16" customHeight="1" s="4" customFormat="1">
      <c r="A11" s="4">
        <v>10</v>
      </c>
      <c r="B11" s="4" t="s">
        <v>269</v>
      </c>
      <c r="C11" s="4">
        <v>33</v>
      </c>
      <c r="D11" s="4" t="s">
        <v>270</v>
      </c>
      <c r="E11" s="4" t="s">
        <v>36</v>
      </c>
      <c r="F11" s="4"/>
      <c r="G11" s="4"/>
      <c r="H11" s="4"/>
      <c r="I11" s="4"/>
      <c r="J11" s="4"/>
      <c r="K11" s="4"/>
      <c r="L11" s="4"/>
      <c r="M11" s="4"/>
      <c r="N11" s="4"/>
      <c r="O11" s="4"/>
      <c r="P11" s="4"/>
      <c r="Q11" s="4"/>
      <c r="R11" s="4"/>
      <c r="S11" s="4"/>
      <c r="T11" s="4"/>
      <c r="U11" s="4"/>
      <c r="V11" s="4"/>
      <c r="W11" s="4"/>
      <c r="X11" s="4" t="s">
        <v>112</v>
      </c>
      <c r="Y11" s="4"/>
      <c r="Z11" s="4"/>
      <c r="AA11" s="4"/>
      <c r="AB11" s="4"/>
      <c r="AC11" s="4"/>
      <c r="AD11" s="4"/>
      <c r="AE11" s="4"/>
      <c r="AF11" s="4"/>
      <c r="AG11" s="4"/>
      <c r="AH11" s="4"/>
      <c r="AI11" s="4"/>
    </row>
    <row r="12" ht="16" customHeight="1" s="4" customFormat="1">
      <c r="A12" s="4">
        <v>11</v>
      </c>
      <c r="B12" s="4" t="s">
        <v>271</v>
      </c>
      <c r="C12" s="4">
        <v>33</v>
      </c>
      <c r="D12" s="4" t="s">
        <v>272</v>
      </c>
      <c r="E12" s="4" t="s">
        <v>93</v>
      </c>
      <c r="F12" s="4">
        <v>37.6</v>
      </c>
      <c r="G12" s="4"/>
      <c r="H12" s="4"/>
      <c r="I12" s="4"/>
      <c r="J12" s="4"/>
      <c r="K12" s="4" t="s">
        <v>81</v>
      </c>
      <c r="L12" s="4"/>
      <c r="M12" s="4"/>
      <c r="N12" s="4"/>
      <c r="O12" s="4"/>
      <c r="P12" s="4"/>
      <c r="Q12" s="4"/>
      <c r="R12" s="4"/>
      <c r="S12" s="4"/>
      <c r="T12" s="4"/>
      <c r="U12" s="4"/>
      <c r="V12" s="4"/>
      <c r="W12" s="4"/>
      <c r="X12" s="4"/>
      <c r="Y12" s="4"/>
      <c r="Z12" s="4"/>
      <c r="AA12" s="4"/>
      <c r="AB12" s="4"/>
      <c r="AC12" s="4"/>
      <c r="AD12" s="4"/>
      <c r="AE12" s="4"/>
      <c r="AF12" s="4"/>
      <c r="AG12" s="4"/>
      <c r="AH12" s="4"/>
      <c r="AI12" s="4"/>
    </row>
    <row r="13" ht="16" customHeight="1" s="4" customFormat="1">
      <c r="A13" s="4">
        <v>12</v>
      </c>
      <c r="B13" s="4" t="s">
        <v>273</v>
      </c>
      <c r="C13" s="4">
        <v>33</v>
      </c>
      <c r="D13" s="4" t="s">
        <v>270</v>
      </c>
      <c r="E13" s="4" t="s">
        <v>93</v>
      </c>
      <c r="F13" s="4">
        <v>1</v>
      </c>
      <c r="G13" s="4"/>
      <c r="H13" s="4"/>
      <c r="I13" s="4"/>
      <c r="J13" s="4"/>
      <c r="K13" s="4"/>
      <c r="L13" s="4"/>
      <c r="M13" s="4"/>
      <c r="N13" s="4"/>
      <c r="O13" s="4"/>
      <c r="P13" s="4"/>
      <c r="Q13" s="4"/>
      <c r="R13" s="4"/>
      <c r="S13" s="4"/>
      <c r="T13" s="4"/>
      <c r="U13" s="4"/>
      <c r="V13" s="4"/>
      <c r="W13" s="4"/>
      <c r="X13" s="4"/>
      <c r="Y13" s="4"/>
      <c r="Z13" s="4"/>
      <c r="AA13" s="4"/>
      <c r="AB13" s="4"/>
      <c r="AC13" s="4"/>
      <c r="AD13" s="4"/>
      <c r="AE13" s="4"/>
      <c r="AF13" s="4"/>
      <c r="AG13" s="4" t="s">
        <v>81</v>
      </c>
      <c r="AH13" s="4"/>
      <c r="AI13" s="4"/>
    </row>
    <row r="14" ht="16" customHeight="1" s="4" customFormat="1">
      <c r="A14" s="4">
        <v>13</v>
      </c>
      <c r="B14" s="4" t="s">
        <v>274</v>
      </c>
      <c r="C14" s="4">
        <v>33</v>
      </c>
      <c r="D14" s="4" t="s">
        <v>275</v>
      </c>
      <c r="E14" s="4" t="s">
        <v>36</v>
      </c>
      <c r="F14" s="4">
        <v>100</v>
      </c>
      <c r="G14" s="4"/>
      <c r="H14" s="4"/>
      <c r="I14" s="4"/>
      <c r="J14" s="4"/>
      <c r="K14" s="4"/>
      <c r="L14" s="4"/>
      <c r="M14" s="4"/>
      <c r="N14" s="4"/>
      <c r="O14" s="4"/>
      <c r="P14" s="4"/>
      <c r="Q14" s="4"/>
      <c r="R14" s="4"/>
      <c r="S14" s="4"/>
      <c r="T14" s="4"/>
      <c r="U14" s="4"/>
      <c r="V14" s="4"/>
      <c r="W14" s="4"/>
      <c r="X14" s="4" t="s">
        <v>81</v>
      </c>
      <c r="Y14" s="4"/>
      <c r="Z14" s="4"/>
      <c r="AA14" s="4"/>
      <c r="AB14" s="4"/>
      <c r="AC14" s="4"/>
      <c r="AD14" s="4"/>
      <c r="AE14" s="4"/>
      <c r="AF14" s="4"/>
      <c r="AG14" s="4"/>
      <c r="AH14" s="4"/>
      <c r="AI14" s="4"/>
    </row>
    <row r="15" ht="16" customHeight="1" s="4" customFormat="1">
      <c r="A15" s="4">
        <v>14</v>
      </c>
      <c r="B15" s="4" t="s">
        <v>276</v>
      </c>
      <c r="C15" s="4">
        <v>33</v>
      </c>
      <c r="D15" s="4" t="s">
        <v>272</v>
      </c>
      <c r="E15" s="4" t="s">
        <v>93</v>
      </c>
      <c r="F15" s="4">
        <v>1</v>
      </c>
      <c r="G15" s="4"/>
      <c r="H15" s="4"/>
      <c r="I15" s="4"/>
      <c r="J15" s="4"/>
      <c r="K15" s="4" t="s">
        <v>81</v>
      </c>
      <c r="L15" s="4"/>
      <c r="M15" s="4"/>
      <c r="N15" s="4"/>
      <c r="O15" s="4"/>
      <c r="P15" s="4"/>
      <c r="Q15" s="4"/>
      <c r="R15" s="4"/>
      <c r="S15" s="4"/>
      <c r="T15" s="4"/>
      <c r="U15" s="4"/>
      <c r="V15" s="4"/>
      <c r="W15" s="4"/>
      <c r="X15" s="4"/>
      <c r="Y15" s="4"/>
      <c r="Z15" s="4"/>
      <c r="AA15" s="4"/>
      <c r="AB15" s="4"/>
      <c r="AC15" s="4"/>
      <c r="AD15" s="4"/>
      <c r="AE15" s="4"/>
      <c r="AF15" s="4"/>
      <c r="AG15" s="4"/>
      <c r="AH15" s="4"/>
      <c r="AI15" s="4"/>
    </row>
    <row r="16" ht="16" customHeight="1" s="4" customFormat="1">
      <c r="A16" s="4">
        <v>15</v>
      </c>
      <c r="B16" s="4" t="s">
        <v>277</v>
      </c>
      <c r="C16" s="4">
        <v>33</v>
      </c>
      <c r="D16" s="4" t="s">
        <v>278</v>
      </c>
      <c r="E16" s="4" t="s">
        <v>145</v>
      </c>
      <c r="F16" s="4">
        <v>30</v>
      </c>
      <c r="G16" s="4"/>
      <c r="H16" s="4"/>
      <c r="I16" s="4"/>
      <c r="J16" s="4"/>
      <c r="K16" s="4"/>
      <c r="L16" s="4"/>
      <c r="M16" s="4"/>
      <c r="N16" s="4"/>
      <c r="O16" s="4"/>
      <c r="P16" s="4"/>
      <c r="Q16" s="4"/>
      <c r="R16" s="4"/>
      <c r="S16" s="4"/>
      <c r="T16" s="4"/>
      <c r="U16" s="4"/>
      <c r="V16" s="4"/>
      <c r="W16" s="4"/>
      <c r="X16" s="4"/>
      <c r="Y16" s="4"/>
      <c r="Z16" s="4"/>
      <c r="AA16" s="4"/>
      <c r="AB16" s="4"/>
      <c r="AC16" s="4"/>
      <c r="AD16" s="4" t="s">
        <v>81</v>
      </c>
      <c r="AE16" s="4"/>
      <c r="AF16" s="4"/>
      <c r="AG16" s="4"/>
      <c r="AH16" s="4"/>
      <c r="AI16" s="4"/>
    </row>
    <row r="17" ht="16" customHeight="1" s="4" customFormat="1">
      <c r="A17" s="4">
        <v>16</v>
      </c>
      <c r="B17" s="4" t="s">
        <v>279</v>
      </c>
      <c r="C17" s="4">
        <v>33</v>
      </c>
      <c r="D17" s="4" t="s">
        <v>278</v>
      </c>
      <c r="E17" s="4" t="s">
        <v>36</v>
      </c>
      <c r="F17" s="4"/>
      <c r="G17" s="4"/>
      <c r="H17" s="4"/>
      <c r="I17" s="4"/>
      <c r="J17" s="4"/>
      <c r="K17" s="4"/>
      <c r="L17" s="4"/>
      <c r="M17" s="4"/>
      <c r="N17" s="4"/>
      <c r="O17" s="4"/>
      <c r="P17" s="4"/>
      <c r="Q17" s="4"/>
      <c r="R17" s="4"/>
      <c r="S17" s="4"/>
      <c r="T17" s="4"/>
      <c r="U17" s="4"/>
      <c r="V17" s="4"/>
      <c r="W17" s="4"/>
      <c r="X17" s="4"/>
      <c r="Y17" s="4"/>
      <c r="Z17" s="4"/>
      <c r="AA17" s="4"/>
      <c r="AB17" s="4"/>
      <c r="AC17" s="4"/>
      <c r="AD17" s="4"/>
      <c r="AE17" s="4" t="s">
        <v>83</v>
      </c>
      <c r="AF17" s="4"/>
      <c r="AG17" s="4"/>
      <c r="AH17" s="4"/>
      <c r="AI17" s="4"/>
    </row>
    <row r="18" ht="16" customHeight="1" s="4" customFormat="1">
      <c r="A18" s="4">
        <v>17</v>
      </c>
      <c r="B18" s="4" t="s">
        <v>280</v>
      </c>
      <c r="C18" s="4">
        <v>25</v>
      </c>
      <c r="D18" s="4" t="s">
        <v>281</v>
      </c>
      <c r="E18" s="4" t="s">
        <v>36</v>
      </c>
      <c r="F18" s="4">
        <v>1</v>
      </c>
      <c r="G18" s="4"/>
      <c r="H18" s="4"/>
      <c r="I18" s="4"/>
      <c r="J18" s="4"/>
      <c r="K18" s="4"/>
      <c r="L18" s="4"/>
      <c r="M18" s="4"/>
      <c r="N18" s="4"/>
      <c r="O18" s="4"/>
      <c r="P18" s="4"/>
      <c r="Q18" s="4"/>
      <c r="R18" s="4"/>
      <c r="S18" s="4"/>
      <c r="T18" s="4"/>
      <c r="U18" s="4"/>
      <c r="V18" s="4"/>
      <c r="W18" s="4"/>
      <c r="X18" s="4"/>
      <c r="Y18" s="4"/>
      <c r="Z18" s="4"/>
      <c r="AA18" s="4"/>
      <c r="AB18" s="4"/>
      <c r="AC18" s="4"/>
      <c r="AD18" s="4"/>
      <c r="AE18" s="4" t="s">
        <v>81</v>
      </c>
      <c r="AF18" s="4"/>
      <c r="AG18" s="4"/>
      <c r="AH18" s="4"/>
      <c r="AI18" s="4"/>
    </row>
    <row r="19" ht="16" customHeight="1" s="4" customFormat="1">
      <c r="A19" s="4">
        <v>18</v>
      </c>
      <c r="B19" s="4" t="s">
        <v>282</v>
      </c>
      <c r="C19" s="4">
        <v>25</v>
      </c>
      <c r="D19" s="4" t="s">
        <v>283</v>
      </c>
      <c r="E19" s="4" t="s">
        <v>36</v>
      </c>
      <c r="F19" s="4">
        <v>1</v>
      </c>
      <c r="G19" s="4"/>
      <c r="H19" s="4"/>
      <c r="I19" s="4"/>
      <c r="J19" s="4"/>
      <c r="K19" s="4"/>
      <c r="L19" s="4"/>
      <c r="M19" s="4"/>
      <c r="N19" s="4"/>
      <c r="O19" s="4"/>
      <c r="P19" s="4"/>
      <c r="Q19" s="4"/>
      <c r="R19" s="4"/>
      <c r="S19" s="4"/>
      <c r="T19" s="4"/>
      <c r="U19" s="4"/>
      <c r="V19" s="4"/>
      <c r="W19" s="4"/>
      <c r="X19" s="4" t="s">
        <v>81</v>
      </c>
      <c r="Y19" s="4"/>
      <c r="Z19" s="4"/>
      <c r="AA19" s="4"/>
      <c r="AB19" s="4"/>
      <c r="AC19" s="4"/>
      <c r="AD19" s="4"/>
      <c r="AE19" s="4"/>
      <c r="AF19" s="4"/>
      <c r="AG19" s="4"/>
      <c r="AH19" s="4"/>
      <c r="AI19" s="4"/>
    </row>
    <row r="20" ht="16" customHeight="1" s="4" customFormat="1">
      <c r="A20" s="4">
        <v>19</v>
      </c>
      <c r="B20" s="4" t="s">
        <v>284</v>
      </c>
      <c r="C20" s="4">
        <v>25</v>
      </c>
      <c r="D20" s="4" t="s">
        <v>285</v>
      </c>
      <c r="E20" s="4" t="s">
        <v>36</v>
      </c>
      <c r="F20" s="4">
        <v>1</v>
      </c>
      <c r="G20" s="4"/>
      <c r="H20" s="4"/>
      <c r="I20" s="4"/>
      <c r="J20" s="4"/>
      <c r="K20" s="4"/>
      <c r="L20" s="4"/>
      <c r="M20" s="4"/>
      <c r="N20" s="4"/>
      <c r="O20" s="4"/>
      <c r="P20" s="4"/>
      <c r="Q20" s="4"/>
      <c r="R20" s="4"/>
      <c r="S20" s="4"/>
      <c r="T20" s="4"/>
      <c r="U20" s="4"/>
      <c r="V20" s="4"/>
      <c r="W20" s="4"/>
      <c r="X20" s="4"/>
      <c r="Y20" s="4"/>
      <c r="Z20" s="4"/>
      <c r="AA20" s="4"/>
      <c r="AB20" s="4"/>
      <c r="AC20" s="4"/>
      <c r="AD20" s="4"/>
      <c r="AE20" s="4" t="s">
        <v>286</v>
      </c>
      <c r="AF20" s="4"/>
      <c r="AG20" s="4"/>
      <c r="AH20" s="4"/>
      <c r="AI20" s="4"/>
    </row>
    <row r="21" ht="16" customHeight="1" s="4" customFormat="1">
      <c r="A21" s="4">
        <v>20</v>
      </c>
      <c r="B21" s="4" t="s">
        <v>287</v>
      </c>
      <c r="C21" s="4">
        <v>25</v>
      </c>
      <c r="D21" s="4" t="s">
        <v>288</v>
      </c>
      <c r="E21" s="4" t="s">
        <v>36</v>
      </c>
      <c r="F21" s="4">
        <v>1</v>
      </c>
      <c r="G21" s="4"/>
      <c r="H21" s="4"/>
      <c r="I21" s="4"/>
      <c r="J21" s="4"/>
      <c r="K21" s="4"/>
      <c r="L21" s="4"/>
      <c r="M21" s="4"/>
      <c r="N21" s="4"/>
      <c r="O21" s="4"/>
      <c r="P21" s="4"/>
      <c r="Q21" s="4"/>
      <c r="R21" s="4"/>
      <c r="S21" s="4"/>
      <c r="T21" s="4"/>
      <c r="U21" s="4"/>
      <c r="V21" s="4"/>
      <c r="W21" s="4"/>
      <c r="X21" s="4"/>
      <c r="Y21" s="4"/>
      <c r="Z21" s="4"/>
      <c r="AA21" s="4"/>
      <c r="AB21" s="4"/>
      <c r="AC21" s="4"/>
      <c r="AD21" s="4"/>
      <c r="AE21" s="4" t="s">
        <v>286</v>
      </c>
      <c r="AF21" s="4"/>
      <c r="AG21" s="4"/>
      <c r="AH21" s="4"/>
      <c r="AI21" s="4"/>
    </row>
    <row r="22" ht="16" customHeight="1" s="4" customFormat="1">
      <c r="A22" s="4">
        <v>21</v>
      </c>
      <c r="B22" s="4" t="s">
        <v>289</v>
      </c>
      <c r="C22" s="4">
        <v>25</v>
      </c>
      <c r="D22" s="4" t="s">
        <v>290</v>
      </c>
      <c r="E22" s="4" t="s">
        <v>36</v>
      </c>
      <c r="F22" s="4">
        <v>1</v>
      </c>
      <c r="G22" s="4"/>
      <c r="H22" s="4"/>
      <c r="I22" s="4"/>
      <c r="J22" s="4" t="s">
        <v>81</v>
      </c>
      <c r="K22" s="4"/>
      <c r="L22" s="4"/>
      <c r="M22" s="4"/>
      <c r="N22" s="4"/>
      <c r="O22" s="4"/>
      <c r="P22" s="4"/>
      <c r="Q22" s="4"/>
      <c r="R22" s="4"/>
      <c r="S22" s="4"/>
      <c r="T22" s="4"/>
      <c r="U22" s="4"/>
      <c r="V22" s="4"/>
      <c r="W22" s="4"/>
      <c r="X22" s="4"/>
      <c r="Y22" s="4"/>
      <c r="Z22" s="4"/>
      <c r="AA22" s="4"/>
      <c r="AB22" s="4"/>
      <c r="AC22" s="4"/>
      <c r="AD22" s="4"/>
      <c r="AE22" s="4"/>
      <c r="AF22" s="4"/>
      <c r="AG22" s="4"/>
      <c r="AH22" s="4"/>
      <c r="AI22" s="4"/>
    </row>
    <row r="23" ht="16" customHeight="1" s="4" customFormat="1">
      <c r="A23" s="4">
        <v>22</v>
      </c>
      <c r="B23" s="4" t="s">
        <v>291</v>
      </c>
      <c r="C23" s="4">
        <v>25</v>
      </c>
      <c r="D23" s="4" t="s">
        <v>292</v>
      </c>
      <c r="E23" s="4" t="s">
        <v>36</v>
      </c>
      <c r="F23" s="4">
        <v>50</v>
      </c>
      <c r="G23" s="4"/>
      <c r="H23" s="4"/>
      <c r="I23" s="4"/>
      <c r="J23" s="4"/>
      <c r="K23" s="4"/>
      <c r="L23" s="4"/>
      <c r="M23" s="4"/>
      <c r="N23" s="4"/>
      <c r="O23" s="4"/>
      <c r="P23" s="4"/>
      <c r="Q23" s="4"/>
      <c r="R23" s="4"/>
      <c r="S23" s="4"/>
      <c r="T23" s="4"/>
      <c r="U23" s="4"/>
      <c r="V23" s="4"/>
      <c r="W23" s="4"/>
      <c r="X23" s="4"/>
      <c r="Y23" s="4"/>
      <c r="Z23" s="4"/>
      <c r="AA23" s="4"/>
      <c r="AB23" s="4"/>
      <c r="AC23" s="4"/>
      <c r="AD23" s="4"/>
      <c r="AE23" s="4" t="s">
        <v>293</v>
      </c>
      <c r="AF23" s="4"/>
      <c r="AG23" s="4"/>
      <c r="AH23" s="4"/>
      <c r="AI23" s="4"/>
    </row>
    <row r="24" ht="16" customHeight="1" s="4" customFormat="1">
      <c r="A24" s="4">
        <v>23</v>
      </c>
      <c r="B24" s="4" t="s">
        <v>294</v>
      </c>
      <c r="C24" s="4">
        <v>25</v>
      </c>
      <c r="D24" s="4" t="s">
        <v>295</v>
      </c>
      <c r="E24" s="4" t="s">
        <v>93</v>
      </c>
      <c r="F24" s="4">
        <v>2</v>
      </c>
      <c r="G24" s="4"/>
      <c r="H24" s="4"/>
      <c r="I24" s="4"/>
      <c r="J24" s="4"/>
      <c r="K24" s="4"/>
      <c r="L24" s="4"/>
      <c r="M24" s="4"/>
      <c r="N24" s="4"/>
      <c r="O24" s="4"/>
      <c r="P24" s="4"/>
      <c r="Q24" s="4"/>
      <c r="R24" s="4"/>
      <c r="S24" s="4"/>
      <c r="T24" s="4"/>
      <c r="U24" s="4"/>
      <c r="V24" s="4"/>
      <c r="W24" s="4" t="s">
        <v>81</v>
      </c>
      <c r="X24" s="4"/>
      <c r="Y24" s="4"/>
      <c r="Z24" s="4"/>
      <c r="AA24" s="4"/>
      <c r="AB24" s="4"/>
      <c r="AC24" s="4"/>
      <c r="AD24" s="4"/>
      <c r="AE24" s="4"/>
      <c r="AF24" s="4"/>
      <c r="AG24" s="4"/>
      <c r="AH24" s="4"/>
      <c r="AI24" s="4"/>
    </row>
    <row r="25" ht="16" customHeight="1" s="4" customFormat="1">
      <c r="A25" s="4">
        <v>24</v>
      </c>
      <c r="B25" s="4" t="s">
        <v>296</v>
      </c>
      <c r="C25" s="4">
        <v>25</v>
      </c>
      <c r="D25" s="4" t="s">
        <v>297</v>
      </c>
      <c r="E25" s="4" t="s">
        <v>36</v>
      </c>
      <c r="F25" s="4">
        <v>34.1</v>
      </c>
      <c r="G25" s="4"/>
      <c r="H25" s="4"/>
      <c r="I25" s="4" t="s">
        <v>81</v>
      </c>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16" customHeight="1" s="4" customFormat="1">
      <c r="A26" s="4">
        <v>25</v>
      </c>
      <c r="B26" s="4" t="s">
        <v>298</v>
      </c>
      <c r="C26" s="4">
        <v>25</v>
      </c>
      <c r="D26" s="4" t="s">
        <v>299</v>
      </c>
      <c r="E26" s="4" t="s">
        <v>93</v>
      </c>
      <c r="F26" s="4">
        <v>1.01</v>
      </c>
      <c r="G26" s="4"/>
      <c r="H26" s="4"/>
      <c r="I26" s="4"/>
      <c r="J26" s="4"/>
      <c r="K26" s="4"/>
      <c r="L26" s="4"/>
      <c r="M26" s="4"/>
      <c r="N26" s="4"/>
      <c r="O26" s="4"/>
      <c r="P26" s="4"/>
      <c r="Q26" s="4"/>
      <c r="R26" s="4"/>
      <c r="S26" s="4"/>
      <c r="T26" s="4"/>
      <c r="U26" s="4"/>
      <c r="V26" s="4"/>
      <c r="W26" s="4"/>
      <c r="X26" s="4"/>
      <c r="Y26" s="4"/>
      <c r="Z26" s="4"/>
      <c r="AA26" s="4" t="s">
        <v>81</v>
      </c>
      <c r="AB26" s="4"/>
      <c r="AC26" s="4"/>
      <c r="AD26" s="4"/>
      <c r="AE26" s="4"/>
      <c r="AF26" s="4"/>
      <c r="AG26" s="4"/>
      <c r="AH26" s="4"/>
      <c r="AI26" s="4"/>
    </row>
    <row r="27" ht="16" customHeight="1" s="4" customFormat="1">
      <c r="A27" s="4">
        <v>26</v>
      </c>
      <c r="B27" s="4" t="s">
        <v>300</v>
      </c>
      <c r="C27" s="4">
        <v>25</v>
      </c>
      <c r="D27" s="4" t="s">
        <v>301</v>
      </c>
      <c r="E27" s="4" t="s">
        <v>93</v>
      </c>
      <c r="F27" s="4">
        <v>1</v>
      </c>
      <c r="G27" s="4"/>
      <c r="H27" s="4"/>
      <c r="I27" s="4"/>
      <c r="J27" s="4"/>
      <c r="K27" s="4" t="s">
        <v>81</v>
      </c>
      <c r="L27" s="4"/>
      <c r="M27" s="4"/>
      <c r="N27" s="4"/>
      <c r="O27" s="4"/>
      <c r="P27" s="4"/>
      <c r="Q27" s="4"/>
      <c r="R27" s="4"/>
      <c r="S27" s="4"/>
      <c r="T27" s="4"/>
      <c r="U27" s="4"/>
      <c r="V27" s="4"/>
      <c r="W27" s="4"/>
      <c r="X27" s="4"/>
      <c r="Y27" s="4"/>
      <c r="Z27" s="4"/>
      <c r="AA27" s="4"/>
      <c r="AB27" s="4"/>
      <c r="AC27" s="4"/>
      <c r="AD27" s="4"/>
      <c r="AE27" s="4"/>
      <c r="AF27" s="4"/>
      <c r="AG27" s="4"/>
      <c r="AH27" s="4"/>
      <c r="AI27" s="4"/>
    </row>
    <row r="28" ht="16" customHeight="1" s="4" customFormat="1">
      <c r="A28" s="4">
        <v>27</v>
      </c>
      <c r="B28" s="4" t="s">
        <v>302</v>
      </c>
      <c r="C28" s="4">
        <v>25</v>
      </c>
      <c r="D28" s="4" t="s">
        <v>303</v>
      </c>
      <c r="E28" s="4" t="s">
        <v>135</v>
      </c>
      <c r="F28" s="4"/>
      <c r="G28" s="4"/>
      <c r="H28" s="4"/>
      <c r="I28" s="4"/>
      <c r="J28" s="4"/>
      <c r="K28" s="4"/>
      <c r="L28" s="4" t="s">
        <v>112</v>
      </c>
      <c r="M28" s="4"/>
      <c r="N28" s="4"/>
      <c r="O28" s="4"/>
      <c r="P28" s="4"/>
      <c r="Q28" s="4"/>
      <c r="R28" s="4"/>
      <c r="S28" s="4"/>
      <c r="T28" s="4"/>
      <c r="U28" s="4"/>
      <c r="V28" s="4"/>
      <c r="W28" s="4"/>
      <c r="X28" s="4"/>
      <c r="Y28" s="4"/>
      <c r="Z28" s="4"/>
      <c r="AA28" s="4"/>
      <c r="AB28" s="4"/>
      <c r="AC28" s="4"/>
      <c r="AD28" s="4"/>
      <c r="AE28" s="4"/>
      <c r="AF28" s="4"/>
      <c r="AG28" s="4"/>
      <c r="AH28" s="4"/>
      <c r="AI28" s="4"/>
    </row>
    <row r="29" ht="16" customHeight="1" s="4" customFormat="1">
      <c r="A29" s="4">
        <v>28</v>
      </c>
      <c r="B29" s="4" t="s">
        <v>304</v>
      </c>
      <c r="C29" s="4">
        <v>25</v>
      </c>
      <c r="D29" s="4" t="s">
        <v>305</v>
      </c>
      <c r="E29" s="4" t="s">
        <v>93</v>
      </c>
      <c r="F29" s="4">
        <v>4246.8</v>
      </c>
      <c r="G29" s="4"/>
      <c r="H29" s="4"/>
      <c r="I29" s="4"/>
      <c r="J29" s="4"/>
      <c r="K29" s="4" t="s">
        <v>81</v>
      </c>
      <c r="L29" s="4"/>
      <c r="M29" s="4"/>
      <c r="N29" s="4"/>
      <c r="O29" s="4"/>
      <c r="P29" s="4"/>
      <c r="Q29" s="4"/>
      <c r="R29" s="4"/>
      <c r="S29" s="4"/>
      <c r="T29" s="4"/>
      <c r="U29" s="4"/>
      <c r="V29" s="4"/>
      <c r="W29" s="4"/>
      <c r="X29" s="4"/>
      <c r="Y29" s="4"/>
      <c r="Z29" s="4"/>
      <c r="AA29" s="4"/>
      <c r="AB29" s="4"/>
      <c r="AC29" s="4"/>
      <c r="AD29" s="4"/>
      <c r="AE29" s="4"/>
      <c r="AF29" s="4"/>
      <c r="AG29" s="4"/>
      <c r="AH29" s="4"/>
      <c r="AI29" s="4"/>
    </row>
    <row r="30" ht="16" customHeight="1" s="4" customFormat="1">
      <c r="A30" s="4">
        <v>29</v>
      </c>
      <c r="B30" s="4" t="s">
        <v>306</v>
      </c>
      <c r="C30" s="4">
        <v>25</v>
      </c>
      <c r="D30" s="4" t="s">
        <v>107</v>
      </c>
      <c r="E30" s="4" t="s">
        <v>36</v>
      </c>
      <c r="F30" s="4">
        <v>1</v>
      </c>
      <c r="G30" s="4"/>
      <c r="H30" s="4"/>
      <c r="I30" s="4"/>
      <c r="J30" s="4"/>
      <c r="K30" s="4" t="s">
        <v>286</v>
      </c>
      <c r="L30" s="4"/>
      <c r="M30" s="4"/>
      <c r="N30" s="4"/>
      <c r="O30" s="4"/>
      <c r="P30" s="4"/>
      <c r="Q30" s="4"/>
      <c r="R30" s="4"/>
      <c r="S30" s="4"/>
      <c r="T30" s="4"/>
      <c r="U30" s="4"/>
      <c r="V30" s="4"/>
      <c r="W30" s="4"/>
      <c r="X30" s="4"/>
      <c r="Y30" s="4"/>
      <c r="Z30" s="4"/>
      <c r="AA30" s="4"/>
      <c r="AB30" s="4"/>
      <c r="AC30" s="4"/>
      <c r="AD30" s="4"/>
      <c r="AE30" s="4"/>
      <c r="AF30" s="4"/>
      <c r="AG30" s="4"/>
      <c r="AH30" s="4"/>
      <c r="AI30" s="4"/>
    </row>
    <row r="31" ht="16" customHeight="1" s="4" customFormat="1">
      <c r="A31" s="4">
        <v>30</v>
      </c>
      <c r="B31" s="4" t="s">
        <v>307</v>
      </c>
      <c r="C31" s="4">
        <v>25</v>
      </c>
      <c r="D31" s="4" t="s">
        <v>107</v>
      </c>
      <c r="E31" s="4" t="s">
        <v>36</v>
      </c>
      <c r="F31" s="4">
        <v>1</v>
      </c>
      <c r="G31" s="4"/>
      <c r="H31" s="4"/>
      <c r="I31" s="4"/>
      <c r="J31" s="4"/>
      <c r="K31" s="4" t="s">
        <v>286</v>
      </c>
      <c r="L31" s="4"/>
      <c r="M31" s="4"/>
      <c r="N31" s="4"/>
      <c r="O31" s="4"/>
      <c r="P31" s="4"/>
      <c r="Q31" s="4"/>
      <c r="R31" s="4"/>
      <c r="S31" s="4"/>
      <c r="T31" s="4"/>
      <c r="U31" s="4"/>
      <c r="V31" s="4"/>
      <c r="W31" s="4"/>
      <c r="X31" s="4"/>
      <c r="Y31" s="4"/>
      <c r="Z31" s="4"/>
      <c r="AA31" s="4"/>
      <c r="AB31" s="4"/>
      <c r="AC31" s="4"/>
      <c r="AD31" s="4"/>
      <c r="AE31" s="4"/>
      <c r="AF31" s="4"/>
      <c r="AG31" s="4"/>
      <c r="AH31" s="4"/>
      <c r="AI31" s="4"/>
    </row>
    <row r="32" ht="16" customHeight="1" s="4" customFormat="1">
      <c r="A32" s="4">
        <v>31</v>
      </c>
      <c r="B32" s="4" t="s">
        <v>308</v>
      </c>
      <c r="C32" s="4">
        <v>25</v>
      </c>
      <c r="D32" s="4" t="s">
        <v>309</v>
      </c>
      <c r="E32" s="4" t="s">
        <v>36</v>
      </c>
      <c r="F32" s="4">
        <v>1</v>
      </c>
      <c r="G32" s="4"/>
      <c r="H32" s="4"/>
      <c r="I32" s="4"/>
      <c r="J32" s="4"/>
      <c r="K32" s="4" t="s">
        <v>286</v>
      </c>
      <c r="L32" s="4"/>
      <c r="M32" s="4"/>
      <c r="N32" s="4"/>
      <c r="O32" s="4"/>
      <c r="P32" s="4"/>
      <c r="Q32" s="4"/>
      <c r="R32" s="4"/>
      <c r="S32" s="4"/>
      <c r="T32" s="4"/>
      <c r="U32" s="4"/>
      <c r="V32" s="4"/>
      <c r="W32" s="4"/>
      <c r="X32" s="4"/>
      <c r="Y32" s="4"/>
      <c r="Z32" s="4"/>
      <c r="AA32" s="4"/>
      <c r="AB32" s="4"/>
      <c r="AC32" s="4"/>
      <c r="AD32" s="4"/>
      <c r="AE32" s="4"/>
      <c r="AF32" s="4"/>
      <c r="AG32" s="4"/>
      <c r="AH32" s="4"/>
      <c r="AI32" s="4"/>
    </row>
    <row r="33" ht="16" customHeight="1" s="4" customFormat="1">
      <c r="A33" s="4">
        <v>32</v>
      </c>
      <c r="B33" s="4" t="s">
        <v>310</v>
      </c>
      <c r="C33" s="4">
        <v>25</v>
      </c>
      <c r="D33" s="4" t="s">
        <v>311</v>
      </c>
      <c r="E33" s="4" t="s">
        <v>36</v>
      </c>
      <c r="F33" s="4">
        <v>1</v>
      </c>
      <c r="G33" s="4"/>
      <c r="H33" s="4"/>
      <c r="I33" s="4"/>
      <c r="J33" s="4"/>
      <c r="K33" s="4"/>
      <c r="L33" s="4"/>
      <c r="M33" s="4"/>
      <c r="N33" s="4"/>
      <c r="O33" s="4"/>
      <c r="P33" s="4"/>
      <c r="Q33" s="4"/>
      <c r="R33" s="4"/>
      <c r="S33" s="4" t="s">
        <v>293</v>
      </c>
      <c r="T33" s="4"/>
      <c r="U33" s="4"/>
      <c r="V33" s="4"/>
      <c r="W33" s="4"/>
      <c r="X33" s="4"/>
      <c r="Y33" s="4"/>
      <c r="Z33" s="4"/>
      <c r="AA33" s="4"/>
      <c r="AB33" s="4"/>
      <c r="AC33" s="4"/>
      <c r="AD33" s="4"/>
      <c r="AE33" s="4"/>
      <c r="AF33" s="4"/>
      <c r="AG33" s="4"/>
      <c r="AH33" s="4"/>
      <c r="AI33" s="4"/>
    </row>
    <row r="34" ht="16" customHeight="1" s="4" customFormat="1">
      <c r="A34" s="4">
        <v>33</v>
      </c>
      <c r="B34" s="4" t="s">
        <v>120</v>
      </c>
      <c r="C34" s="4">
        <v>21</v>
      </c>
      <c r="D34" s="4" t="s">
        <v>121</v>
      </c>
      <c r="E34" s="4" t="s">
        <v>36</v>
      </c>
      <c r="F34" s="4">
        <v>187589.16</v>
      </c>
      <c r="G34" s="4"/>
      <c r="H34" s="4"/>
      <c r="I34" s="4" t="s">
        <v>81</v>
      </c>
      <c r="J34" s="4"/>
      <c r="K34" s="4"/>
      <c r="L34" s="4"/>
      <c r="M34" s="4"/>
      <c r="N34" s="4"/>
      <c r="O34" s="4"/>
      <c r="P34" s="4"/>
      <c r="Q34" s="4"/>
      <c r="R34" s="4"/>
      <c r="S34" s="4"/>
      <c r="T34" s="4"/>
      <c r="U34" s="4"/>
      <c r="V34" s="4"/>
      <c r="W34" s="4" t="s">
        <v>81</v>
      </c>
      <c r="X34" s="4"/>
      <c r="Y34" s="4"/>
      <c r="Z34" s="4"/>
      <c r="AA34" s="4"/>
      <c r="AB34" s="4"/>
      <c r="AC34" s="4"/>
      <c r="AD34" s="4"/>
      <c r="AE34" s="4" t="s">
        <v>81</v>
      </c>
      <c r="AF34" s="4"/>
      <c r="AG34" s="4"/>
      <c r="AH34" s="4"/>
      <c r="AI34" s="4"/>
    </row>
    <row r="35" ht="16" customHeight="1" s="4" customFormat="1">
      <c r="A35" s="4">
        <v>34</v>
      </c>
      <c r="B35" s="4" t="s">
        <v>312</v>
      </c>
      <c r="C35" s="4">
        <v>20</v>
      </c>
      <c r="D35" s="4" t="s">
        <v>313</v>
      </c>
      <c r="E35" s="4" t="s">
        <v>36</v>
      </c>
      <c r="F35" s="4"/>
      <c r="G35" s="4"/>
      <c r="H35" s="4"/>
      <c r="I35" s="4"/>
      <c r="J35" s="4"/>
      <c r="K35" s="4"/>
      <c r="L35" s="4"/>
      <c r="M35" s="4"/>
      <c r="N35" s="4"/>
      <c r="O35" s="4"/>
      <c r="P35" s="4"/>
      <c r="Q35" s="4"/>
      <c r="R35" s="4"/>
      <c r="S35" s="4"/>
      <c r="T35" s="4"/>
      <c r="U35" s="4"/>
      <c r="V35" s="4"/>
      <c r="W35" s="4"/>
      <c r="X35" s="4" t="s">
        <v>112</v>
      </c>
      <c r="Y35" s="4"/>
      <c r="Z35" s="4"/>
      <c r="AA35" s="4"/>
      <c r="AB35" s="4"/>
      <c r="AC35" s="4"/>
      <c r="AD35" s="4"/>
      <c r="AE35" s="4"/>
      <c r="AF35" s="4"/>
      <c r="AG35" s="4"/>
      <c r="AH35" s="4"/>
      <c r="AI35" s="4"/>
    </row>
    <row r="36" ht="16" customHeight="1" s="4" customFormat="1">
      <c r="A36" s="4">
        <v>35</v>
      </c>
      <c r="B36" s="4" t="s">
        <v>314</v>
      </c>
      <c r="C36" s="4">
        <v>20</v>
      </c>
      <c r="D36" s="4" t="s">
        <v>315</v>
      </c>
      <c r="E36" s="4" t="s">
        <v>36</v>
      </c>
      <c r="F36" s="4">
        <v>5</v>
      </c>
      <c r="G36" s="4"/>
      <c r="H36" s="4"/>
      <c r="I36" s="4"/>
      <c r="J36" s="4"/>
      <c r="K36" s="4"/>
      <c r="L36" s="4"/>
      <c r="M36" s="4"/>
      <c r="N36" s="4"/>
      <c r="O36" s="4"/>
      <c r="P36" s="4"/>
      <c r="Q36" s="4"/>
      <c r="R36" s="4" t="s">
        <v>81</v>
      </c>
      <c r="S36" s="4"/>
      <c r="T36" s="4"/>
      <c r="U36" s="4"/>
      <c r="V36" s="4"/>
      <c r="W36" s="4"/>
      <c r="X36" s="4"/>
      <c r="Y36" s="4"/>
      <c r="Z36" s="4"/>
      <c r="AA36" s="4"/>
      <c r="AB36" s="4"/>
      <c r="AC36" s="4"/>
      <c r="AD36" s="4"/>
      <c r="AE36" s="4"/>
      <c r="AF36" s="4"/>
      <c r="AG36" s="4"/>
      <c r="AH36" s="4"/>
      <c r="AI36" s="4"/>
    </row>
    <row r="37" ht="16" customHeight="1" s="4" customFormat="1">
      <c r="A37" s="4">
        <v>36</v>
      </c>
      <c r="B37" s="4" t="s">
        <v>316</v>
      </c>
      <c r="C37" s="4">
        <v>20</v>
      </c>
      <c r="D37" s="4" t="s">
        <v>317</v>
      </c>
      <c r="E37" s="4" t="s">
        <v>119</v>
      </c>
      <c r="F37" s="4">
        <v>255</v>
      </c>
      <c r="G37" s="4"/>
      <c r="H37" s="4"/>
      <c r="I37" s="4"/>
      <c r="J37" s="4"/>
      <c r="K37" s="4"/>
      <c r="L37" s="4"/>
      <c r="M37" s="4"/>
      <c r="N37" s="4"/>
      <c r="O37" s="4"/>
      <c r="P37" s="4"/>
      <c r="Q37" s="4"/>
      <c r="R37" s="4"/>
      <c r="S37" s="4"/>
      <c r="T37" s="4"/>
      <c r="U37" s="4"/>
      <c r="V37" s="4"/>
      <c r="W37" s="4"/>
      <c r="X37" s="4"/>
      <c r="Y37" s="4"/>
      <c r="Z37" s="4"/>
      <c r="AA37" s="4"/>
      <c r="AB37" s="4"/>
      <c r="AC37" s="4"/>
      <c r="AD37" s="4"/>
      <c r="AE37" s="4" t="s">
        <v>81</v>
      </c>
      <c r="AF37" s="4"/>
      <c r="AG37" s="4"/>
      <c r="AH37" s="4"/>
      <c r="AI37" s="4"/>
    </row>
    <row r="38" ht="16" customHeight="1" s="4" customFormat="1">
      <c r="A38" s="4">
        <v>37</v>
      </c>
      <c r="B38" s="4" t="s">
        <v>318</v>
      </c>
      <c r="C38" s="4">
        <v>20</v>
      </c>
      <c r="D38" s="4" t="s">
        <v>319</v>
      </c>
      <c r="E38" s="4" t="s">
        <v>36</v>
      </c>
      <c r="F38" s="4">
        <v>1</v>
      </c>
      <c r="G38" s="4"/>
      <c r="H38" s="4"/>
      <c r="I38" s="4"/>
      <c r="J38" s="4"/>
      <c r="K38" s="4"/>
      <c r="L38" s="4"/>
      <c r="M38" s="4"/>
      <c r="N38" s="4"/>
      <c r="O38" s="4"/>
      <c r="P38" s="4"/>
      <c r="Q38" s="4"/>
      <c r="R38" s="4"/>
      <c r="S38" s="4"/>
      <c r="T38" s="4"/>
      <c r="U38" s="4"/>
      <c r="V38" s="4"/>
      <c r="W38" s="4"/>
      <c r="X38" s="4"/>
      <c r="Y38" s="4"/>
      <c r="Z38" s="4"/>
      <c r="AA38" s="4"/>
      <c r="AB38" s="4" t="s">
        <v>81</v>
      </c>
      <c r="AC38" s="4"/>
      <c r="AD38" s="4"/>
      <c r="AE38" s="4"/>
      <c r="AF38" s="4"/>
      <c r="AG38" s="4"/>
      <c r="AH38" s="4"/>
      <c r="AI38" s="4"/>
    </row>
    <row r="39" ht="16" customHeight="1" s="4" customFormat="1">
      <c r="A39" s="4">
        <v>38</v>
      </c>
      <c r="B39" s="4" t="s">
        <v>320</v>
      </c>
      <c r="C39" s="4">
        <v>20</v>
      </c>
      <c r="D39" s="4" t="s">
        <v>164</v>
      </c>
      <c r="E39" s="4" t="s">
        <v>36</v>
      </c>
      <c r="F39" s="4">
        <v>1</v>
      </c>
      <c r="G39" s="4"/>
      <c r="H39" s="4"/>
      <c r="I39" s="4"/>
      <c r="J39" s="4"/>
      <c r="K39" s="4"/>
      <c r="L39" s="4"/>
      <c r="M39" s="4"/>
      <c r="N39" s="4"/>
      <c r="O39" s="4"/>
      <c r="P39" s="4"/>
      <c r="Q39" s="4"/>
      <c r="R39" s="4"/>
      <c r="S39" s="4"/>
      <c r="T39" s="4"/>
      <c r="U39" s="4"/>
      <c r="V39" s="4"/>
      <c r="W39" s="4"/>
      <c r="X39" s="4"/>
      <c r="Y39" s="4"/>
      <c r="Z39" s="4"/>
      <c r="AA39" s="4"/>
      <c r="AB39" s="4" t="s">
        <v>81</v>
      </c>
      <c r="AC39" s="4"/>
      <c r="AD39" s="4"/>
      <c r="AE39" s="4"/>
      <c r="AF39" s="4"/>
      <c r="AG39" s="4"/>
      <c r="AH39" s="4"/>
      <c r="AI39" s="4"/>
    </row>
    <row r="40" ht="16" customHeight="1" s="4" customFormat="1">
      <c r="A40" s="4">
        <v>39</v>
      </c>
      <c r="B40" s="4" t="s">
        <v>321</v>
      </c>
      <c r="C40" s="4">
        <v>20</v>
      </c>
      <c r="D40" s="4" t="s">
        <v>322</v>
      </c>
      <c r="E40" s="4" t="s">
        <v>93</v>
      </c>
      <c r="F40" s="4">
        <v>1</v>
      </c>
      <c r="G40" s="4"/>
      <c r="H40" s="4"/>
      <c r="I40" s="4"/>
      <c r="J40" s="4"/>
      <c r="K40" s="4"/>
      <c r="L40" s="4"/>
      <c r="M40" s="4"/>
      <c r="N40" s="4"/>
      <c r="O40" s="4"/>
      <c r="P40" s="4"/>
      <c r="Q40" s="4"/>
      <c r="R40" s="4"/>
      <c r="S40" s="4"/>
      <c r="T40" s="4"/>
      <c r="U40" s="4"/>
      <c r="V40" s="4"/>
      <c r="W40" s="4" t="s">
        <v>81</v>
      </c>
      <c r="X40" s="4"/>
      <c r="Y40" s="4"/>
      <c r="Z40" s="4"/>
      <c r="AA40" s="4"/>
      <c r="AB40" s="4"/>
      <c r="AC40" s="4"/>
      <c r="AD40" s="4"/>
      <c r="AE40" s="4"/>
      <c r="AF40" s="4"/>
      <c r="AG40" s="4"/>
      <c r="AH40" s="4"/>
      <c r="AI40" s="4"/>
    </row>
    <row r="41" ht="16" customHeight="1" s="4" customFormat="1">
      <c r="A41" s="4">
        <v>40</v>
      </c>
      <c r="B41" s="4" t="s">
        <v>323</v>
      </c>
      <c r="C41" s="4">
        <v>20</v>
      </c>
      <c r="D41" s="4" t="s">
        <v>324</v>
      </c>
      <c r="E41" s="4" t="s">
        <v>36</v>
      </c>
      <c r="F41" s="4">
        <v>788</v>
      </c>
      <c r="G41" s="4"/>
      <c r="H41" s="4"/>
      <c r="I41" s="4"/>
      <c r="J41" s="4"/>
      <c r="K41" s="4"/>
      <c r="L41" s="4"/>
      <c r="M41" s="4"/>
      <c r="N41" s="4"/>
      <c r="O41" s="4"/>
      <c r="P41" s="4"/>
      <c r="Q41" s="4"/>
      <c r="R41" s="4"/>
      <c r="S41" s="4"/>
      <c r="T41" s="4"/>
      <c r="U41" s="4"/>
      <c r="V41" s="4" t="s">
        <v>83</v>
      </c>
      <c r="W41" s="4"/>
      <c r="X41" s="4"/>
      <c r="Y41" s="4"/>
      <c r="Z41" s="4"/>
      <c r="AA41" s="4"/>
      <c r="AB41" s="4"/>
      <c r="AC41" s="4"/>
      <c r="AD41" s="4"/>
      <c r="AE41" s="4"/>
      <c r="AF41" s="4"/>
      <c r="AG41" s="4"/>
      <c r="AH41" s="4"/>
      <c r="AI41" s="4"/>
    </row>
    <row r="42" ht="16" customHeight="1" s="4" customFormat="1">
      <c r="A42" s="4">
        <v>41</v>
      </c>
      <c r="B42" s="4" t="s">
        <v>325</v>
      </c>
      <c r="C42" s="4">
        <v>20</v>
      </c>
      <c r="D42" s="4" t="s">
        <v>326</v>
      </c>
      <c r="E42" s="4" t="s">
        <v>36</v>
      </c>
      <c r="F42" s="4">
        <v>1</v>
      </c>
      <c r="G42" s="4"/>
      <c r="H42" s="4"/>
      <c r="I42" s="4"/>
      <c r="J42" s="4"/>
      <c r="K42" s="4"/>
      <c r="L42" s="4"/>
      <c r="M42" s="4"/>
      <c r="N42" s="4"/>
      <c r="O42" s="4"/>
      <c r="P42" s="4"/>
      <c r="Q42" s="4"/>
      <c r="R42" s="4"/>
      <c r="S42" s="4"/>
      <c r="T42" s="4"/>
      <c r="U42" s="4"/>
      <c r="V42" s="4"/>
      <c r="W42" s="4"/>
      <c r="X42" s="4"/>
      <c r="Y42" s="4"/>
      <c r="Z42" s="4"/>
      <c r="AA42" s="4"/>
      <c r="AB42" s="4"/>
      <c r="AC42" s="4"/>
      <c r="AD42" s="4"/>
      <c r="AE42" s="4" t="s">
        <v>81</v>
      </c>
      <c r="AF42" s="4"/>
      <c r="AG42" s="4"/>
      <c r="AH42" s="4"/>
      <c r="AI42" s="4"/>
    </row>
    <row r="43" ht="16" customHeight="1" s="4" customFormat="1">
      <c r="A43" s="4">
        <v>42</v>
      </c>
      <c r="B43" s="4" t="s">
        <v>327</v>
      </c>
      <c r="C43" s="4">
        <v>20</v>
      </c>
      <c r="D43" s="4" t="s">
        <v>328</v>
      </c>
      <c r="E43" s="4" t="s">
        <v>36</v>
      </c>
      <c r="F43" s="4">
        <v>5</v>
      </c>
      <c r="G43" s="4"/>
      <c r="H43" s="4"/>
      <c r="I43" s="4"/>
      <c r="J43" s="4"/>
      <c r="K43" s="4"/>
      <c r="L43" s="4"/>
      <c r="M43" s="4"/>
      <c r="N43" s="4"/>
      <c r="O43" s="4"/>
      <c r="P43" s="4"/>
      <c r="Q43" s="4"/>
      <c r="R43" s="4"/>
      <c r="S43" s="4"/>
      <c r="T43" s="4"/>
      <c r="U43" s="4"/>
      <c r="V43" s="4"/>
      <c r="W43" s="4"/>
      <c r="X43" s="4"/>
      <c r="Y43" s="4"/>
      <c r="Z43" s="4"/>
      <c r="AA43" s="4"/>
      <c r="AB43" s="4" t="s">
        <v>81</v>
      </c>
      <c r="AC43" s="4"/>
      <c r="AD43" s="4"/>
      <c r="AE43" s="4"/>
      <c r="AF43" s="4"/>
      <c r="AG43" s="4"/>
      <c r="AH43" s="4"/>
      <c r="AI43" s="4"/>
    </row>
    <row r="44" ht="16" customHeight="1" s="4" customFormat="1">
      <c r="A44" s="4">
        <v>43</v>
      </c>
      <c r="B44" s="4" t="s">
        <v>329</v>
      </c>
      <c r="C44" s="4">
        <v>18</v>
      </c>
      <c r="D44" s="4" t="s">
        <v>330</v>
      </c>
      <c r="E44" s="4" t="s">
        <v>119</v>
      </c>
      <c r="F44" s="4">
        <v>5</v>
      </c>
      <c r="G44" s="4"/>
      <c r="H44" s="4"/>
      <c r="I44" s="4"/>
      <c r="J44" s="4"/>
      <c r="K44" s="4"/>
      <c r="L44" s="4"/>
      <c r="M44" s="4"/>
      <c r="N44" s="4" t="s">
        <v>257</v>
      </c>
      <c r="O44" s="4"/>
      <c r="P44" s="4"/>
      <c r="Q44" s="4"/>
      <c r="R44" s="4"/>
      <c r="S44" s="4"/>
      <c r="T44" s="4"/>
      <c r="U44" s="4"/>
      <c r="V44" s="4"/>
      <c r="W44" s="4"/>
      <c r="X44" s="4"/>
      <c r="Y44" s="4"/>
      <c r="Z44" s="4"/>
      <c r="AA44" s="4"/>
      <c r="AB44" s="4"/>
      <c r="AC44" s="4"/>
      <c r="AD44" s="4"/>
      <c r="AE44" s="4" t="s">
        <v>81</v>
      </c>
      <c r="AF44" s="4"/>
      <c r="AG44" s="4"/>
      <c r="AH44" s="4"/>
      <c r="AI44" s="4"/>
    </row>
    <row r="45" ht="16" customHeight="1" s="4" customFormat="1">
      <c r="A45" s="4">
        <v>44</v>
      </c>
      <c r="B45" s="4" t="s">
        <v>117</v>
      </c>
      <c r="C45" s="4">
        <v>18</v>
      </c>
      <c r="D45" s="4" t="s">
        <v>118</v>
      </c>
      <c r="E45" s="4" t="s">
        <v>119</v>
      </c>
      <c r="F45" s="4">
        <v>33611.96</v>
      </c>
      <c r="G45" s="4"/>
      <c r="H45" s="4"/>
      <c r="I45" s="4"/>
      <c r="J45" s="4"/>
      <c r="K45" s="4"/>
      <c r="L45" s="4"/>
      <c r="M45" s="4"/>
      <c r="N45" s="4"/>
      <c r="O45" s="4"/>
      <c r="P45" s="4"/>
      <c r="Q45" s="4"/>
      <c r="R45" s="4"/>
      <c r="S45" s="4" t="s">
        <v>128</v>
      </c>
      <c r="T45" s="4"/>
      <c r="U45" s="4"/>
      <c r="V45" s="4"/>
      <c r="W45" s="4"/>
      <c r="X45" s="4"/>
      <c r="Y45" s="4"/>
      <c r="Z45" s="4"/>
      <c r="AA45" s="4"/>
      <c r="AB45" s="4"/>
      <c r="AC45" s="4"/>
      <c r="AD45" s="4"/>
      <c r="AE45" s="4" t="s">
        <v>82</v>
      </c>
      <c r="AF45" s="4"/>
      <c r="AG45" s="4"/>
      <c r="AH45" s="4"/>
      <c r="AI45" s="4"/>
    </row>
    <row r="46" ht="16" customHeight="1" s="4" customFormat="1">
      <c r="A46" s="4">
        <v>45</v>
      </c>
      <c r="B46" s="4" t="s">
        <v>331</v>
      </c>
      <c r="C46" s="4">
        <v>17</v>
      </c>
      <c r="D46" s="4" t="s">
        <v>332</v>
      </c>
      <c r="E46" s="4" t="s">
        <v>36</v>
      </c>
      <c r="F46" s="4"/>
      <c r="G46" s="4">
        <v>25</v>
      </c>
      <c r="H46" s="4"/>
      <c r="I46" s="4"/>
      <c r="J46" s="4" t="s">
        <v>112</v>
      </c>
      <c r="K46" s="4"/>
      <c r="L46" s="4"/>
      <c r="M46" s="4"/>
      <c r="N46" s="4"/>
      <c r="O46" s="4"/>
      <c r="P46" s="4"/>
      <c r="Q46" s="4"/>
      <c r="R46" s="4"/>
      <c r="S46" s="4"/>
      <c r="T46" s="4"/>
      <c r="U46" s="4"/>
      <c r="V46" s="4"/>
      <c r="W46" s="4"/>
      <c r="X46" s="4"/>
      <c r="Y46" s="4"/>
      <c r="Z46" s="4"/>
      <c r="AA46" s="4"/>
      <c r="AB46" s="4"/>
      <c r="AC46" s="4"/>
      <c r="AD46" s="4"/>
      <c r="AE46" s="4"/>
      <c r="AF46" s="4"/>
      <c r="AG46" s="4"/>
      <c r="AH46" s="4"/>
      <c r="AI46" s="4"/>
    </row>
    <row r="47" ht="16" customHeight="1" s="4" customFormat="1">
      <c r="A47" s="4">
        <v>46</v>
      </c>
      <c r="B47" s="4" t="s">
        <v>333</v>
      </c>
      <c r="C47" s="4">
        <v>17</v>
      </c>
      <c r="D47" s="4" t="s">
        <v>150</v>
      </c>
      <c r="E47" s="4" t="s">
        <v>36</v>
      </c>
      <c r="F47" s="4">
        <v>10</v>
      </c>
      <c r="G47" s="4"/>
      <c r="H47" s="4"/>
      <c r="I47" s="4"/>
      <c r="J47" s="4"/>
      <c r="K47" s="4"/>
      <c r="L47" s="4"/>
      <c r="M47" s="4"/>
      <c r="N47" s="4"/>
      <c r="O47" s="4"/>
      <c r="P47" s="4"/>
      <c r="Q47" s="4"/>
      <c r="R47" s="4"/>
      <c r="S47" s="4"/>
      <c r="T47" s="4"/>
      <c r="U47" s="4"/>
      <c r="V47" s="4"/>
      <c r="W47" s="4"/>
      <c r="X47" s="4"/>
      <c r="Y47" s="4"/>
      <c r="Z47" s="4"/>
      <c r="AA47" s="4"/>
      <c r="AB47" s="4" t="s">
        <v>81</v>
      </c>
      <c r="AC47" s="4"/>
      <c r="AD47" s="4"/>
      <c r="AE47" s="4"/>
      <c r="AF47" s="4"/>
      <c r="AG47" s="4"/>
      <c r="AH47" s="4"/>
      <c r="AI47" s="4"/>
    </row>
    <row r="48" ht="16" customHeight="1" s="4" customFormat="1">
      <c r="A48" s="4">
        <v>47</v>
      </c>
      <c r="B48" s="4" t="s">
        <v>334</v>
      </c>
      <c r="C48" s="4">
        <v>17</v>
      </c>
      <c r="D48" s="4" t="s">
        <v>335</v>
      </c>
      <c r="E48" s="4" t="s">
        <v>93</v>
      </c>
      <c r="F48" s="4">
        <v>46.29</v>
      </c>
      <c r="G48" s="4"/>
      <c r="H48" s="4"/>
      <c r="I48" s="4"/>
      <c r="J48" s="4"/>
      <c r="K48" s="4"/>
      <c r="L48" s="4"/>
      <c r="M48" s="4"/>
      <c r="N48" s="4"/>
      <c r="O48" s="4"/>
      <c r="P48" s="4"/>
      <c r="Q48" s="4"/>
      <c r="R48" s="4"/>
      <c r="S48" s="4"/>
      <c r="T48" s="4"/>
      <c r="U48" s="4"/>
      <c r="V48" s="4"/>
      <c r="W48" s="4" t="s">
        <v>81</v>
      </c>
      <c r="X48" s="4"/>
      <c r="Y48" s="4"/>
      <c r="Z48" s="4"/>
      <c r="AA48" s="4"/>
      <c r="AB48" s="4"/>
      <c r="AC48" s="4"/>
      <c r="AD48" s="4"/>
      <c r="AE48" s="4"/>
      <c r="AF48" s="4"/>
      <c r="AG48" s="4"/>
      <c r="AH48" s="4"/>
      <c r="AI48" s="4"/>
    </row>
    <row r="49" ht="16" customHeight="1" s="4" customFormat="1">
      <c r="A49" s="4">
        <v>48</v>
      </c>
      <c r="B49" s="4" t="s">
        <v>336</v>
      </c>
      <c r="C49" s="4">
        <v>17</v>
      </c>
      <c r="D49" s="4" t="s">
        <v>337</v>
      </c>
      <c r="E49" s="4" t="s">
        <v>36</v>
      </c>
      <c r="F49" s="4">
        <v>325.5</v>
      </c>
      <c r="G49" s="4"/>
      <c r="H49" s="4"/>
      <c r="I49" s="4"/>
      <c r="J49" s="4"/>
      <c r="K49" s="4"/>
      <c r="L49" s="4"/>
      <c r="M49" s="4"/>
      <c r="N49" s="4"/>
      <c r="O49" s="4"/>
      <c r="P49" s="4"/>
      <c r="Q49" s="4"/>
      <c r="R49" s="4"/>
      <c r="S49" s="4"/>
      <c r="T49" s="4"/>
      <c r="U49" s="4"/>
      <c r="V49" s="4"/>
      <c r="W49" s="4"/>
      <c r="X49" s="4" t="s">
        <v>246</v>
      </c>
      <c r="Y49" s="4"/>
      <c r="Z49" s="4"/>
      <c r="AA49" s="4"/>
      <c r="AB49" s="4"/>
      <c r="AC49" s="4"/>
      <c r="AD49" s="4"/>
      <c r="AE49" s="4"/>
      <c r="AF49" s="4"/>
      <c r="AG49" s="4"/>
      <c r="AH49" s="4"/>
      <c r="AI49" s="4"/>
    </row>
    <row r="50" ht="16" customHeight="1" s="4" customFormat="1">
      <c r="A50" s="4">
        <v>49</v>
      </c>
      <c r="B50" s="4" t="s">
        <v>338</v>
      </c>
      <c r="C50" s="4">
        <v>17</v>
      </c>
      <c r="D50" s="4" t="s">
        <v>339</v>
      </c>
      <c r="E50" s="4" t="s">
        <v>36</v>
      </c>
      <c r="F50" s="4">
        <v>15</v>
      </c>
      <c r="G50" s="4"/>
      <c r="H50" s="4"/>
      <c r="I50" s="4"/>
      <c r="J50" s="4"/>
      <c r="K50" s="4"/>
      <c r="L50" s="4"/>
      <c r="M50" s="4"/>
      <c r="N50" s="4"/>
      <c r="O50" s="4"/>
      <c r="P50" s="4"/>
      <c r="Q50" s="4"/>
      <c r="R50" s="4"/>
      <c r="S50" s="4"/>
      <c r="T50" s="4"/>
      <c r="U50" s="4"/>
      <c r="V50" s="4"/>
      <c r="W50" s="4"/>
      <c r="X50" s="4"/>
      <c r="Y50" s="4"/>
      <c r="Z50" s="4"/>
      <c r="AA50" s="4"/>
      <c r="AB50" s="4" t="s">
        <v>83</v>
      </c>
      <c r="AC50" s="4"/>
      <c r="AD50" s="4"/>
      <c r="AE50" s="4"/>
      <c r="AF50" s="4"/>
      <c r="AG50" s="4"/>
      <c r="AH50" s="4"/>
      <c r="AI50" s="4"/>
    </row>
    <row r="51" ht="16" customHeight="1" s="4" customFormat="1">
      <c r="A51" s="4">
        <v>50</v>
      </c>
      <c r="B51" s="4" t="s">
        <v>340</v>
      </c>
      <c r="C51" s="4">
        <v>17</v>
      </c>
      <c r="D51" s="4" t="s">
        <v>341</v>
      </c>
      <c r="E51" s="4" t="s">
        <v>93</v>
      </c>
      <c r="F51" s="4">
        <v>1.05</v>
      </c>
      <c r="G51" s="4"/>
      <c r="H51" s="4"/>
      <c r="I51" s="4"/>
      <c r="J51" s="4"/>
      <c r="K51" s="4"/>
      <c r="L51" s="4"/>
      <c r="M51" s="4"/>
      <c r="N51" s="4"/>
      <c r="O51" s="4"/>
      <c r="P51" s="4"/>
      <c r="Q51" s="4" t="s">
        <v>81</v>
      </c>
      <c r="R51" s="4"/>
      <c r="S51" s="4"/>
      <c r="T51" s="4"/>
      <c r="U51" s="4"/>
      <c r="V51" s="4"/>
      <c r="W51" s="4"/>
      <c r="X51" s="4"/>
      <c r="Y51" s="4"/>
      <c r="Z51" s="4"/>
      <c r="AA51" s="4"/>
      <c r="AB51" s="4"/>
      <c r="AC51" s="4"/>
      <c r="AD51" s="4"/>
      <c r="AE51" s="4"/>
      <c r="AF51" s="4"/>
      <c r="AG51" s="4"/>
      <c r="AH51" s="4"/>
      <c r="AI51" s="4"/>
    </row>
    <row r="52" ht="16" customHeight="1" s="4" customFormat="1">
      <c r="A52" s="4">
        <v>51</v>
      </c>
      <c r="B52" s="4" t="s">
        <v>342</v>
      </c>
      <c r="C52" s="4">
        <v>17</v>
      </c>
      <c r="D52" s="4" t="s">
        <v>343</v>
      </c>
      <c r="E52" s="4" t="s">
        <v>36</v>
      </c>
      <c r="F52" s="4">
        <v>50.66</v>
      </c>
      <c r="G52" s="4"/>
      <c r="H52" s="4"/>
      <c r="I52" s="4"/>
      <c r="J52" s="4"/>
      <c r="K52" s="4"/>
      <c r="L52" s="4"/>
      <c r="M52" s="4"/>
      <c r="N52" s="4"/>
      <c r="O52" s="4"/>
      <c r="P52" s="4"/>
      <c r="Q52" s="4"/>
      <c r="R52" s="4"/>
      <c r="S52" s="4"/>
      <c r="T52" s="4"/>
      <c r="U52" s="4"/>
      <c r="V52" s="4"/>
      <c r="W52" s="4"/>
      <c r="X52" s="4"/>
      <c r="Y52" s="4" t="s">
        <v>81</v>
      </c>
      <c r="Z52" s="4"/>
      <c r="AA52" s="4"/>
      <c r="AB52" s="4"/>
      <c r="AC52" s="4"/>
      <c r="AD52" s="4"/>
      <c r="AE52" s="4"/>
      <c r="AF52" s="4"/>
      <c r="AG52" s="4"/>
      <c r="AH52" s="4"/>
      <c r="AI52" s="4"/>
    </row>
    <row r="53" ht="16" customHeight="1" s="4" customFormat="1">
      <c r="A53" s="4">
        <v>52</v>
      </c>
      <c r="B53" s="4" t="s">
        <v>344</v>
      </c>
      <c r="C53" s="4">
        <v>17</v>
      </c>
      <c r="D53" s="4" t="s">
        <v>345</v>
      </c>
      <c r="E53" s="4" t="s">
        <v>36</v>
      </c>
      <c r="F53" s="4">
        <v>0</v>
      </c>
      <c r="G53" s="4"/>
      <c r="H53" s="4"/>
      <c r="I53" s="4"/>
      <c r="J53" s="4"/>
      <c r="K53" s="4"/>
      <c r="L53" s="4"/>
      <c r="M53" s="4"/>
      <c r="N53" s="4"/>
      <c r="O53" s="4"/>
      <c r="P53" s="4"/>
      <c r="Q53" s="4"/>
      <c r="R53" s="4"/>
      <c r="S53" s="4"/>
      <c r="T53" s="4"/>
      <c r="U53" s="4"/>
      <c r="V53" s="4"/>
      <c r="W53" s="4"/>
      <c r="X53" s="4" t="s">
        <v>81</v>
      </c>
      <c r="Y53" s="4"/>
      <c r="Z53" s="4"/>
      <c r="AA53" s="4"/>
      <c r="AB53" s="4"/>
      <c r="AC53" s="4"/>
      <c r="AD53" s="4"/>
      <c r="AE53" s="4"/>
      <c r="AF53" s="4"/>
      <c r="AG53" s="4"/>
      <c r="AH53" s="4"/>
      <c r="AI53" s="4"/>
    </row>
    <row r="54" ht="16" customHeight="1" s="4" customFormat="1">
      <c r="A54" s="4">
        <v>53</v>
      </c>
      <c r="B54" s="4" t="s">
        <v>346</v>
      </c>
      <c r="C54" s="4">
        <v>14</v>
      </c>
      <c r="D54" s="4" t="s">
        <v>301</v>
      </c>
      <c r="E54" s="4" t="s">
        <v>36</v>
      </c>
      <c r="F54" s="4">
        <v>5</v>
      </c>
      <c r="G54" s="4"/>
      <c r="H54" s="4"/>
      <c r="I54" s="4"/>
      <c r="J54" s="4"/>
      <c r="K54" s="4"/>
      <c r="L54" s="4"/>
      <c r="M54" s="4"/>
      <c r="N54" s="4"/>
      <c r="O54" s="4"/>
      <c r="P54" s="4"/>
      <c r="Q54" s="4"/>
      <c r="R54" s="4"/>
      <c r="S54" s="4"/>
      <c r="T54" s="4"/>
      <c r="U54" s="4" t="s">
        <v>81</v>
      </c>
      <c r="V54" s="4"/>
      <c r="W54" s="4"/>
      <c r="X54" s="4"/>
      <c r="Y54" s="4"/>
      <c r="Z54" s="4"/>
      <c r="AA54" s="4"/>
      <c r="AB54" s="4"/>
      <c r="AC54" s="4"/>
      <c r="AD54" s="4"/>
      <c r="AE54" s="4"/>
      <c r="AF54" s="4"/>
      <c r="AG54" s="4"/>
      <c r="AH54" s="4"/>
      <c r="AI54" s="4"/>
    </row>
    <row r="55" ht="16" customHeight="1" s="4" customFormat="1">
      <c r="A55" s="4">
        <v>54</v>
      </c>
      <c r="B55" s="4" t="s">
        <v>347</v>
      </c>
      <c r="C55" s="4">
        <v>14</v>
      </c>
      <c r="D55" s="4" t="s">
        <v>348</v>
      </c>
      <c r="E55" s="4" t="s">
        <v>349</v>
      </c>
      <c r="F55" s="4">
        <v>1500</v>
      </c>
      <c r="G55" s="4">
        <v>60</v>
      </c>
      <c r="H55" s="4"/>
      <c r="I55" s="4"/>
      <c r="J55" s="4"/>
      <c r="K55" s="4"/>
      <c r="L55" s="4"/>
      <c r="M55" s="4"/>
      <c r="N55" s="4"/>
      <c r="O55" s="4"/>
      <c r="P55" s="4"/>
      <c r="Q55" s="4"/>
      <c r="R55" s="4"/>
      <c r="S55" s="4"/>
      <c r="T55" s="4"/>
      <c r="U55" s="4"/>
      <c r="V55" s="4" t="s">
        <v>81</v>
      </c>
      <c r="W55" s="4"/>
      <c r="X55" s="4"/>
      <c r="Y55" s="4"/>
      <c r="Z55" s="4"/>
      <c r="AA55" s="4"/>
      <c r="AB55" s="4"/>
      <c r="AC55" s="4"/>
      <c r="AD55" s="4"/>
      <c r="AE55" s="4"/>
      <c r="AF55" s="4"/>
      <c r="AG55" s="4"/>
      <c r="AH55" s="4"/>
      <c r="AI55" s="4"/>
    </row>
    <row r="56" ht="16" customHeight="1" s="4" customFormat="1">
      <c r="A56" s="4">
        <v>55</v>
      </c>
      <c r="B56" s="4" t="s">
        <v>350</v>
      </c>
      <c r="C56" s="4">
        <v>14</v>
      </c>
      <c r="D56" s="4" t="s">
        <v>351</v>
      </c>
      <c r="E56" s="4" t="s">
        <v>36</v>
      </c>
      <c r="F56" s="4">
        <v>5</v>
      </c>
      <c r="G56" s="4"/>
      <c r="H56" s="4"/>
      <c r="I56" s="4"/>
      <c r="J56" s="4"/>
      <c r="K56" s="4"/>
      <c r="L56" s="4"/>
      <c r="M56" s="4"/>
      <c r="N56" s="4"/>
      <c r="O56" s="4"/>
      <c r="P56" s="4"/>
      <c r="Q56" s="4"/>
      <c r="R56" s="4"/>
      <c r="S56" s="4"/>
      <c r="T56" s="4"/>
      <c r="U56" s="4"/>
      <c r="V56" s="4"/>
      <c r="W56" s="4"/>
      <c r="X56" s="4" t="s">
        <v>81</v>
      </c>
      <c r="Y56" s="4"/>
      <c r="Z56" s="4"/>
      <c r="AA56" s="4"/>
      <c r="AB56" s="4"/>
      <c r="AC56" s="4"/>
      <c r="AD56" s="4"/>
      <c r="AE56" s="4"/>
      <c r="AF56" s="4"/>
      <c r="AG56" s="4"/>
      <c r="AH56" s="4"/>
      <c r="AI56" s="4"/>
    </row>
    <row r="57" ht="16" customHeight="1" s="4" customFormat="1">
      <c r="A57" s="4">
        <v>56</v>
      </c>
      <c r="B57" s="4" t="s">
        <v>352</v>
      </c>
      <c r="C57" s="4">
        <v>14</v>
      </c>
      <c r="D57" s="4" t="s">
        <v>353</v>
      </c>
      <c r="E57" s="4" t="s">
        <v>93</v>
      </c>
      <c r="F57" s="4">
        <v>1.29</v>
      </c>
      <c r="G57" s="4"/>
      <c r="H57" s="4"/>
      <c r="I57" s="4"/>
      <c r="J57" s="4"/>
      <c r="K57" s="4"/>
      <c r="L57" s="4"/>
      <c r="M57" s="4"/>
      <c r="N57" s="4"/>
      <c r="O57" s="4"/>
      <c r="P57" s="4"/>
      <c r="Q57" s="4"/>
      <c r="R57" s="4"/>
      <c r="S57" s="4"/>
      <c r="T57" s="4"/>
      <c r="U57" s="4"/>
      <c r="V57" s="4"/>
      <c r="W57" s="4"/>
      <c r="X57" s="4"/>
      <c r="Y57" s="4"/>
      <c r="Z57" s="4"/>
      <c r="AA57" s="4"/>
      <c r="AB57" s="4"/>
      <c r="AC57" s="4"/>
      <c r="AD57" s="4" t="s">
        <v>246</v>
      </c>
      <c r="AE57" s="4"/>
      <c r="AF57" s="4"/>
      <c r="AG57" s="4"/>
      <c r="AH57" s="4"/>
      <c r="AI57" s="4"/>
    </row>
    <row r="58" ht="16" customHeight="1" s="4" customFormat="1">
      <c r="A58" s="4">
        <v>57</v>
      </c>
      <c r="B58" s="4" t="s">
        <v>354</v>
      </c>
      <c r="C58" s="4">
        <v>14</v>
      </c>
      <c r="D58" s="4" t="s">
        <v>355</v>
      </c>
      <c r="E58" s="4" t="s">
        <v>90</v>
      </c>
      <c r="F58" s="4">
        <v>3301</v>
      </c>
      <c r="G58" s="4"/>
      <c r="H58" s="4"/>
      <c r="I58" s="4"/>
      <c r="J58" s="4" t="s">
        <v>81</v>
      </c>
      <c r="K58" s="4"/>
      <c r="L58" s="4"/>
      <c r="M58" s="4"/>
      <c r="N58" s="4"/>
      <c r="O58" s="4"/>
      <c r="P58" s="4"/>
      <c r="Q58" s="4"/>
      <c r="R58" s="4"/>
      <c r="S58" s="4"/>
      <c r="T58" s="4"/>
      <c r="U58" s="4"/>
      <c r="V58" s="4"/>
      <c r="W58" s="4"/>
      <c r="X58" s="4"/>
      <c r="Y58" s="4"/>
      <c r="Z58" s="4"/>
      <c r="AA58" s="4"/>
      <c r="AB58" s="4"/>
      <c r="AC58" s="4"/>
      <c r="AD58" s="4"/>
      <c r="AE58" s="4"/>
      <c r="AF58" s="4"/>
      <c r="AG58" s="4"/>
      <c r="AH58" s="4"/>
      <c r="AI58" s="4"/>
    </row>
    <row r="59" ht="16" customHeight="1" s="4" customFormat="1">
      <c r="A59" s="4">
        <v>58</v>
      </c>
      <c r="B59" s="4" t="s">
        <v>356</v>
      </c>
      <c r="C59" s="4">
        <v>14</v>
      </c>
      <c r="D59" s="4" t="s">
        <v>357</v>
      </c>
      <c r="E59" s="4" t="s">
        <v>135</v>
      </c>
      <c r="F59" s="4">
        <v>1.02</v>
      </c>
      <c r="G59" s="4"/>
      <c r="H59" s="4"/>
      <c r="I59" s="4"/>
      <c r="J59" s="4"/>
      <c r="K59" s="4"/>
      <c r="L59" s="4"/>
      <c r="M59" s="4"/>
      <c r="N59" s="4"/>
      <c r="O59" s="4"/>
      <c r="P59" s="4"/>
      <c r="Q59" s="4"/>
      <c r="R59" s="4"/>
      <c r="S59" s="4"/>
      <c r="T59" s="4"/>
      <c r="U59" s="4"/>
      <c r="V59" s="4"/>
      <c r="W59" s="4" t="s">
        <v>81</v>
      </c>
      <c r="X59" s="4"/>
      <c r="Y59" s="4"/>
      <c r="Z59" s="4"/>
      <c r="AA59" s="4"/>
      <c r="AB59" s="4"/>
      <c r="AC59" s="4"/>
      <c r="AD59" s="4"/>
      <c r="AE59" s="4"/>
      <c r="AF59" s="4"/>
      <c r="AG59" s="4"/>
      <c r="AH59" s="4"/>
      <c r="AI59" s="4"/>
    </row>
    <row r="60" ht="16" customHeight="1" s="4" customFormat="1">
      <c r="A60" s="4">
        <v>59</v>
      </c>
      <c r="B60" s="4" t="s">
        <v>358</v>
      </c>
      <c r="C60" s="4">
        <v>14</v>
      </c>
      <c r="D60" s="4" t="s">
        <v>359</v>
      </c>
      <c r="E60" s="4" t="s">
        <v>119</v>
      </c>
      <c r="F60" s="4">
        <v>527.31</v>
      </c>
      <c r="G60" s="4">
        <v>30.6</v>
      </c>
      <c r="H60" s="4"/>
      <c r="I60" s="4"/>
      <c r="J60" s="4"/>
      <c r="K60" s="4"/>
      <c r="L60" s="4"/>
      <c r="M60" s="4"/>
      <c r="N60" s="4"/>
      <c r="O60" s="4"/>
      <c r="P60" s="4"/>
      <c r="Q60" s="4"/>
      <c r="R60" s="4" t="s">
        <v>81</v>
      </c>
      <c r="S60" s="4"/>
      <c r="T60" s="4"/>
      <c r="U60" s="4"/>
      <c r="V60" s="4"/>
      <c r="W60" s="4"/>
      <c r="X60" s="4"/>
      <c r="Y60" s="4"/>
      <c r="Z60" s="4"/>
      <c r="AA60" s="4"/>
      <c r="AB60" s="4"/>
      <c r="AC60" s="4"/>
      <c r="AD60" s="4"/>
      <c r="AE60" s="4"/>
      <c r="AF60" s="4"/>
      <c r="AG60" s="4"/>
      <c r="AH60" s="4"/>
      <c r="AI60" s="4"/>
    </row>
    <row r="61" ht="16" customHeight="1" s="4" customFormat="1">
      <c r="A61" s="4">
        <v>60</v>
      </c>
      <c r="B61" s="4" t="s">
        <v>124</v>
      </c>
      <c r="C61" s="4">
        <v>14</v>
      </c>
      <c r="D61" s="4" t="s">
        <v>125</v>
      </c>
      <c r="E61" s="4" t="s">
        <v>119</v>
      </c>
      <c r="F61" s="4">
        <v>2249.29</v>
      </c>
      <c r="G61" s="4"/>
      <c r="H61" s="4"/>
      <c r="I61" s="4"/>
      <c r="J61" s="4"/>
      <c r="K61" s="4"/>
      <c r="L61" s="4"/>
      <c r="M61" s="4"/>
      <c r="N61" s="4"/>
      <c r="O61" s="4"/>
      <c r="P61" s="4"/>
      <c r="Q61" s="4"/>
      <c r="R61" s="4"/>
      <c r="S61" s="4"/>
      <c r="T61" s="4"/>
      <c r="U61" s="4"/>
      <c r="V61" s="4"/>
      <c r="W61" s="4"/>
      <c r="X61" s="4"/>
      <c r="Y61" s="4"/>
      <c r="Z61" s="4" t="s">
        <v>251</v>
      </c>
      <c r="AA61" s="4"/>
      <c r="AB61" s="4"/>
      <c r="AC61" s="4"/>
      <c r="AD61" s="4"/>
      <c r="AE61" s="4" t="s">
        <v>81</v>
      </c>
      <c r="AF61" s="4"/>
      <c r="AG61" s="4"/>
      <c r="AH61" s="4"/>
      <c r="AI61" s="4"/>
    </row>
    <row r="62" ht="16" customHeight="1" s="4" customFormat="1">
      <c r="A62" s="4">
        <v>61</v>
      </c>
      <c r="B62" s="4" t="s">
        <v>360</v>
      </c>
      <c r="C62" s="4">
        <v>13</v>
      </c>
      <c r="D62" s="4" t="s">
        <v>361</v>
      </c>
      <c r="E62" s="4" t="s">
        <v>99</v>
      </c>
      <c r="F62" s="4">
        <v>1167.75</v>
      </c>
      <c r="G62" s="4"/>
      <c r="H62" s="4"/>
      <c r="I62" s="4"/>
      <c r="J62" s="4" t="s">
        <v>81</v>
      </c>
      <c r="K62" s="4"/>
      <c r="L62" s="4"/>
      <c r="M62" s="4"/>
      <c r="N62" s="4"/>
      <c r="O62" s="4"/>
      <c r="P62" s="4"/>
      <c r="Q62" s="4"/>
      <c r="R62" s="4"/>
      <c r="S62" s="4"/>
      <c r="T62" s="4"/>
      <c r="U62" s="4"/>
      <c r="V62" s="4"/>
      <c r="W62" s="4"/>
      <c r="X62" s="4"/>
      <c r="Y62" s="4"/>
      <c r="Z62" s="4"/>
      <c r="AA62" s="4"/>
      <c r="AB62" s="4"/>
      <c r="AC62" s="4"/>
      <c r="AD62" s="4"/>
      <c r="AE62" s="4"/>
      <c r="AF62" s="4"/>
      <c r="AG62" s="4"/>
      <c r="AH62" s="4"/>
      <c r="AI62" s="4"/>
    </row>
    <row r="63" ht="16" customHeight="1" s="4" customFormat="1">
      <c r="A63" s="4">
        <v>62</v>
      </c>
      <c r="B63" s="4" t="s">
        <v>362</v>
      </c>
      <c r="C63" s="4">
        <v>13</v>
      </c>
      <c r="D63" s="4" t="s">
        <v>363</v>
      </c>
      <c r="E63" s="4" t="s">
        <v>36</v>
      </c>
      <c r="F63" s="4">
        <v>97.16</v>
      </c>
      <c r="G63" s="4"/>
      <c r="H63" s="4"/>
      <c r="I63" s="4"/>
      <c r="J63" s="4"/>
      <c r="K63" s="4"/>
      <c r="L63" s="4"/>
      <c r="M63" s="4"/>
      <c r="N63" s="4"/>
      <c r="O63" s="4"/>
      <c r="P63" s="4"/>
      <c r="Q63" s="4"/>
      <c r="R63" s="4"/>
      <c r="S63" s="4"/>
      <c r="T63" s="4"/>
      <c r="U63" s="4"/>
      <c r="V63" s="4"/>
      <c r="W63" s="4"/>
      <c r="X63" s="4" t="s">
        <v>81</v>
      </c>
      <c r="Y63" s="4"/>
      <c r="Z63" s="4"/>
      <c r="AA63" s="4"/>
      <c r="AB63" s="4"/>
      <c r="AC63" s="4"/>
      <c r="AD63" s="4"/>
      <c r="AE63" s="4"/>
      <c r="AF63" s="4"/>
      <c r="AG63" s="4"/>
      <c r="AH63" s="4"/>
      <c r="AI63" s="4"/>
    </row>
    <row r="64" ht="16" customHeight="1" s="4" customFormat="1">
      <c r="A64" s="4">
        <v>63</v>
      </c>
      <c r="B64" s="4" t="s">
        <v>364</v>
      </c>
      <c r="C64" s="4">
        <v>13</v>
      </c>
      <c r="D64" s="4" t="s">
        <v>301</v>
      </c>
      <c r="E64" s="4" t="s">
        <v>36</v>
      </c>
      <c r="F64" s="4">
        <v>5</v>
      </c>
      <c r="G64" s="4"/>
      <c r="H64" s="4"/>
      <c r="I64" s="4"/>
      <c r="J64" s="4"/>
      <c r="K64" s="4"/>
      <c r="L64" s="4"/>
      <c r="M64" s="4"/>
      <c r="N64" s="4"/>
      <c r="O64" s="4"/>
      <c r="P64" s="4"/>
      <c r="Q64" s="4"/>
      <c r="R64" s="4"/>
      <c r="S64" s="4"/>
      <c r="T64" s="4"/>
      <c r="U64" s="4" t="s">
        <v>81</v>
      </c>
      <c r="V64" s="4"/>
      <c r="W64" s="4"/>
      <c r="X64" s="4"/>
      <c r="Y64" s="4"/>
      <c r="Z64" s="4"/>
      <c r="AA64" s="4"/>
      <c r="AB64" s="4"/>
      <c r="AC64" s="4"/>
      <c r="AD64" s="4"/>
      <c r="AE64" s="4"/>
      <c r="AF64" s="4"/>
      <c r="AG64" s="4"/>
      <c r="AH64" s="4"/>
      <c r="AI64" s="4"/>
    </row>
    <row r="65" ht="16" customHeight="1" s="4" customFormat="1">
      <c r="A65" s="4">
        <v>64</v>
      </c>
      <c r="B65" s="4" t="s">
        <v>365</v>
      </c>
      <c r="C65" s="4">
        <v>13</v>
      </c>
      <c r="D65" s="4" t="s">
        <v>366</v>
      </c>
      <c r="E65" s="4" t="s">
        <v>36</v>
      </c>
      <c r="F65" s="4">
        <v>0</v>
      </c>
      <c r="G65" s="4"/>
      <c r="H65" s="4"/>
      <c r="I65" s="4"/>
      <c r="J65" s="4"/>
      <c r="K65" s="4"/>
      <c r="L65" s="4"/>
      <c r="M65" s="4"/>
      <c r="N65" s="4"/>
      <c r="O65" s="4"/>
      <c r="P65" s="4"/>
      <c r="Q65" s="4"/>
      <c r="R65" s="4"/>
      <c r="S65" s="4"/>
      <c r="T65" s="4"/>
      <c r="U65" s="4"/>
      <c r="V65" s="4"/>
      <c r="W65" s="4"/>
      <c r="X65" s="4" t="s">
        <v>81</v>
      </c>
      <c r="Y65" s="4"/>
      <c r="Z65" s="4"/>
      <c r="AA65" s="4"/>
      <c r="AB65" s="4"/>
      <c r="AC65" s="4"/>
      <c r="AD65" s="4"/>
      <c r="AE65" s="4"/>
      <c r="AF65" s="4"/>
      <c r="AG65" s="4"/>
      <c r="AH65" s="4"/>
      <c r="AI65" s="4"/>
    </row>
    <row r="66" ht="16" customHeight="1" s="4" customFormat="1">
      <c r="A66" s="4">
        <v>65</v>
      </c>
      <c r="B66" s="4" t="s">
        <v>367</v>
      </c>
      <c r="C66" s="4">
        <v>11</v>
      </c>
      <c r="D66" s="4" t="s">
        <v>301</v>
      </c>
      <c r="E66" s="4" t="s">
        <v>36</v>
      </c>
      <c r="F66" s="4">
        <v>5</v>
      </c>
      <c r="G66" s="4"/>
      <c r="H66" s="4"/>
      <c r="I66" s="4"/>
      <c r="J66" s="4"/>
      <c r="K66" s="4"/>
      <c r="L66" s="4"/>
      <c r="M66" s="4"/>
      <c r="N66" s="4"/>
      <c r="O66" s="4"/>
      <c r="P66" s="4"/>
      <c r="Q66" s="4"/>
      <c r="R66" s="4"/>
      <c r="S66" s="4"/>
      <c r="T66" s="4"/>
      <c r="U66" s="4" t="s">
        <v>81</v>
      </c>
      <c r="V66" s="4"/>
      <c r="W66" s="4"/>
      <c r="X66" s="4"/>
      <c r="Y66" s="4"/>
      <c r="Z66" s="4"/>
      <c r="AA66" s="4"/>
      <c r="AB66" s="4"/>
      <c r="AC66" s="4"/>
      <c r="AD66" s="4"/>
      <c r="AE66" s="4"/>
      <c r="AF66" s="4"/>
      <c r="AG66" s="4"/>
      <c r="AH66" s="4"/>
      <c r="AI66" s="4"/>
    </row>
    <row r="67" ht="16" customHeight="1" s="4" customFormat="1">
      <c r="A67" s="4">
        <v>66</v>
      </c>
      <c r="B67" s="4" t="s">
        <v>368</v>
      </c>
      <c r="C67" s="4">
        <v>11</v>
      </c>
      <c r="D67" s="4" t="s">
        <v>369</v>
      </c>
      <c r="E67" s="4" t="s">
        <v>93</v>
      </c>
      <c r="F67" s="4">
        <v>0</v>
      </c>
      <c r="G67" s="4"/>
      <c r="H67" s="4"/>
      <c r="I67" s="4"/>
      <c r="J67" s="4"/>
      <c r="K67" s="4"/>
      <c r="L67" s="4"/>
      <c r="M67" s="4"/>
      <c r="N67" s="4"/>
      <c r="O67" s="4"/>
      <c r="P67" s="4"/>
      <c r="Q67" s="4"/>
      <c r="R67" s="4"/>
      <c r="S67" s="4"/>
      <c r="T67" s="4"/>
      <c r="U67" s="4"/>
      <c r="V67" s="4"/>
      <c r="W67" s="4"/>
      <c r="X67" s="4"/>
      <c r="Y67" s="4"/>
      <c r="Z67" s="4"/>
      <c r="AA67" s="4" t="s">
        <v>83</v>
      </c>
      <c r="AB67" s="4"/>
      <c r="AC67" s="4"/>
      <c r="AD67" s="4"/>
      <c r="AE67" s="4"/>
      <c r="AF67" s="4"/>
      <c r="AG67" s="4"/>
      <c r="AH67" s="4"/>
      <c r="AI67" s="4"/>
    </row>
    <row r="68" ht="16" customHeight="1" s="4" customFormat="1">
      <c r="A68" s="4">
        <v>67</v>
      </c>
      <c r="B68" s="4" t="s">
        <v>370</v>
      </c>
      <c r="C68" s="4">
        <v>11</v>
      </c>
      <c r="D68" s="4" t="s">
        <v>371</v>
      </c>
      <c r="E68" s="4" t="s">
        <v>36</v>
      </c>
      <c r="F68" s="4">
        <v>1</v>
      </c>
      <c r="G68" s="4"/>
      <c r="H68" s="4"/>
      <c r="I68" s="4"/>
      <c r="J68" s="4"/>
      <c r="K68" s="4"/>
      <c r="L68" s="4"/>
      <c r="M68" s="4" t="s">
        <v>83</v>
      </c>
      <c r="N68" s="4"/>
      <c r="O68" s="4"/>
      <c r="P68" s="4"/>
      <c r="Q68" s="4"/>
      <c r="R68" s="4"/>
      <c r="S68" s="4"/>
      <c r="T68" s="4"/>
      <c r="U68" s="4"/>
      <c r="V68" s="4"/>
      <c r="W68" s="4"/>
      <c r="X68" s="4"/>
      <c r="Y68" s="4"/>
      <c r="Z68" s="4"/>
      <c r="AA68" s="4"/>
      <c r="AB68" s="4"/>
      <c r="AC68" s="4"/>
      <c r="AD68" s="4"/>
      <c r="AE68" s="4"/>
      <c r="AF68" s="4"/>
      <c r="AG68" s="4"/>
      <c r="AH68" s="4"/>
      <c r="AI68" s="4"/>
    </row>
    <row r="69" ht="16" customHeight="1" s="4" customFormat="1">
      <c r="A69" s="4">
        <v>68</v>
      </c>
      <c r="B69" s="4" t="s">
        <v>372</v>
      </c>
      <c r="C69" s="4">
        <v>11</v>
      </c>
      <c r="D69" s="4" t="s">
        <v>373</v>
      </c>
      <c r="E69" s="4" t="s">
        <v>36</v>
      </c>
      <c r="F69" s="4">
        <v>5</v>
      </c>
      <c r="G69" s="4"/>
      <c r="H69" s="4"/>
      <c r="I69" s="4"/>
      <c r="J69" s="4"/>
      <c r="K69" s="4"/>
      <c r="L69" s="4"/>
      <c r="M69" s="4"/>
      <c r="N69" s="4"/>
      <c r="O69" s="4"/>
      <c r="P69" s="4"/>
      <c r="Q69" s="4" t="s">
        <v>81</v>
      </c>
      <c r="R69" s="4"/>
      <c r="S69" s="4"/>
      <c r="T69" s="4"/>
      <c r="U69" s="4"/>
      <c r="V69" s="4"/>
      <c r="W69" s="4"/>
      <c r="X69" s="4"/>
      <c r="Y69" s="4"/>
      <c r="Z69" s="4"/>
      <c r="AA69" s="4"/>
      <c r="AB69" s="4"/>
      <c r="AC69" s="4"/>
      <c r="AD69" s="4"/>
      <c r="AE69" s="4"/>
      <c r="AF69" s="4"/>
      <c r="AG69" s="4"/>
      <c r="AH69" s="4"/>
      <c r="AI69" s="4"/>
    </row>
    <row r="70" ht="16" customHeight="1" s="4" customFormat="1">
      <c r="A70" s="4">
        <v>69</v>
      </c>
      <c r="B70" s="4" t="s">
        <v>374</v>
      </c>
      <c r="C70" s="4">
        <v>10</v>
      </c>
      <c r="D70" s="4" t="s">
        <v>345</v>
      </c>
      <c r="E70" s="4" t="s">
        <v>36</v>
      </c>
      <c r="F70" s="4">
        <v>200</v>
      </c>
      <c r="G70" s="4"/>
      <c r="H70" s="4"/>
      <c r="I70" s="4"/>
      <c r="J70" s="4"/>
      <c r="K70" s="4"/>
      <c r="L70" s="4"/>
      <c r="M70" s="4"/>
      <c r="N70" s="4"/>
      <c r="O70" s="4"/>
      <c r="P70" s="4"/>
      <c r="Q70" s="4"/>
      <c r="R70" s="4"/>
      <c r="S70" s="4" t="s">
        <v>81</v>
      </c>
      <c r="T70" s="4"/>
      <c r="U70" s="4"/>
      <c r="V70" s="4"/>
      <c r="W70" s="4"/>
      <c r="X70" s="4"/>
      <c r="Y70" s="4"/>
      <c r="Z70" s="4"/>
      <c r="AA70" s="4"/>
      <c r="AB70" s="4"/>
      <c r="AC70" s="4"/>
      <c r="AD70" s="4"/>
      <c r="AE70" s="4"/>
      <c r="AF70" s="4"/>
      <c r="AG70" s="4"/>
      <c r="AH70" s="4"/>
      <c r="AI70" s="4"/>
    </row>
    <row r="71" ht="16" customHeight="1" s="4" customFormat="1">
      <c r="A71" s="4">
        <v>70</v>
      </c>
      <c r="B71" s="4" t="s">
        <v>375</v>
      </c>
      <c r="C71" s="4">
        <v>10</v>
      </c>
      <c r="D71" s="4" t="s">
        <v>376</v>
      </c>
      <c r="E71" s="4" t="s">
        <v>349</v>
      </c>
      <c r="F71" s="4">
        <v>53.5</v>
      </c>
      <c r="G71" s="4"/>
      <c r="H71" s="4"/>
      <c r="I71" s="4"/>
      <c r="J71" s="4"/>
      <c r="K71" s="4"/>
      <c r="L71" s="4"/>
      <c r="M71" s="4"/>
      <c r="N71" s="4"/>
      <c r="O71" s="4"/>
      <c r="P71" s="4"/>
      <c r="Q71" s="4"/>
      <c r="R71" s="4"/>
      <c r="S71" s="4"/>
      <c r="T71" s="4"/>
      <c r="U71" s="4"/>
      <c r="V71" s="4" t="s">
        <v>81</v>
      </c>
      <c r="W71" s="4"/>
      <c r="X71" s="4"/>
      <c r="Y71" s="4"/>
      <c r="Z71" s="4"/>
      <c r="AA71" s="4"/>
      <c r="AB71" s="4"/>
      <c r="AC71" s="4"/>
      <c r="AD71" s="4"/>
      <c r="AE71" s="4"/>
      <c r="AF71" s="4"/>
      <c r="AG71" s="4"/>
      <c r="AH71" s="4"/>
      <c r="AI71" s="4"/>
    </row>
    <row r="72" ht="16" customHeight="1" s="4" customFormat="1">
      <c r="A72" s="4">
        <v>71</v>
      </c>
      <c r="B72" s="4" t="s">
        <v>377</v>
      </c>
      <c r="C72" s="4">
        <v>10</v>
      </c>
      <c r="D72" s="4" t="s">
        <v>378</v>
      </c>
      <c r="E72" s="4" t="s">
        <v>36</v>
      </c>
      <c r="F72" s="4">
        <v>167584.15</v>
      </c>
      <c r="G72" s="4"/>
      <c r="H72" s="4"/>
      <c r="I72" s="4"/>
      <c r="J72" s="4"/>
      <c r="K72" s="4"/>
      <c r="L72" s="4"/>
      <c r="M72" s="4"/>
      <c r="N72" s="4"/>
      <c r="O72" s="4"/>
      <c r="P72" s="4"/>
      <c r="Q72" s="4"/>
      <c r="R72" s="4"/>
      <c r="S72" s="4"/>
      <c r="T72" s="4"/>
      <c r="U72" s="4"/>
      <c r="V72" s="4"/>
      <c r="W72" s="4"/>
      <c r="X72" s="4"/>
      <c r="Y72" s="4"/>
      <c r="Z72" s="4"/>
      <c r="AA72" s="4"/>
      <c r="AB72" s="4" t="s">
        <v>81</v>
      </c>
      <c r="AC72" s="4"/>
      <c r="AD72" s="4"/>
      <c r="AE72" s="4"/>
      <c r="AF72" s="4"/>
      <c r="AG72" s="4"/>
      <c r="AH72" s="4"/>
      <c r="AI72" s="4"/>
    </row>
    <row r="73" ht="16" customHeight="1" s="4" customFormat="1">
      <c r="A73" s="4">
        <v>72</v>
      </c>
      <c r="B73" s="4" t="s">
        <v>379</v>
      </c>
      <c r="C73" s="4">
        <v>10</v>
      </c>
      <c r="D73" s="4" t="s">
        <v>380</v>
      </c>
      <c r="E73" s="4" t="s">
        <v>349</v>
      </c>
      <c r="F73" s="4">
        <v>12240</v>
      </c>
      <c r="G73" s="4"/>
      <c r="H73" s="4"/>
      <c r="I73" s="4"/>
      <c r="J73" s="4"/>
      <c r="K73" s="4"/>
      <c r="L73" s="4"/>
      <c r="M73" s="4"/>
      <c r="N73" s="4"/>
      <c r="O73" s="4"/>
      <c r="P73" s="4"/>
      <c r="Q73" s="4" t="s">
        <v>81</v>
      </c>
      <c r="R73" s="4"/>
      <c r="S73" s="4"/>
      <c r="T73" s="4"/>
      <c r="U73" s="4"/>
      <c r="V73" s="4"/>
      <c r="W73" s="4"/>
      <c r="X73" s="4"/>
      <c r="Y73" s="4"/>
      <c r="Z73" s="4"/>
      <c r="AA73" s="4"/>
      <c r="AB73" s="4"/>
      <c r="AC73" s="4"/>
      <c r="AD73" s="4"/>
      <c r="AE73" s="4"/>
      <c r="AF73" s="4"/>
      <c r="AG73" s="4"/>
      <c r="AH73" s="4"/>
      <c r="AI73" s="4"/>
    </row>
    <row r="74" ht="16" customHeight="1" s="4" customFormat="1">
      <c r="A74" s="4">
        <v>73</v>
      </c>
      <c r="B74" s="4" t="s">
        <v>381</v>
      </c>
      <c r="C74" s="4">
        <v>10</v>
      </c>
      <c r="D74" s="4" t="s">
        <v>382</v>
      </c>
      <c r="E74" s="4" t="s">
        <v>90</v>
      </c>
      <c r="F74" s="4">
        <v>125</v>
      </c>
      <c r="G74" s="4">
        <v>2.2</v>
      </c>
      <c r="H74" s="4"/>
      <c r="I74" s="4"/>
      <c r="J74" s="4"/>
      <c r="K74" s="4"/>
      <c r="L74" s="4" t="s">
        <v>246</v>
      </c>
      <c r="M74" s="4"/>
      <c r="N74" s="4" t="s">
        <v>248</v>
      </c>
      <c r="O74" s="4" t="s">
        <v>257</v>
      </c>
      <c r="P74" s="4"/>
      <c r="Q74" s="4"/>
      <c r="R74" s="4"/>
      <c r="S74" s="4"/>
      <c r="T74" s="4"/>
      <c r="U74" s="4"/>
      <c r="V74" s="4"/>
      <c r="W74" s="4"/>
      <c r="X74" s="4"/>
      <c r="Y74" s="4"/>
      <c r="Z74" s="4"/>
      <c r="AA74" s="4"/>
      <c r="AB74" s="4"/>
      <c r="AC74" s="4"/>
      <c r="AD74" s="4"/>
      <c r="AE74" s="4"/>
      <c r="AF74" s="4"/>
      <c r="AG74" s="4"/>
      <c r="AH74" s="4"/>
      <c r="AI74" s="4"/>
    </row>
    <row r="75" ht="16" customHeight="1" s="4" customFormat="1">
      <c r="A75" s="4">
        <v>74</v>
      </c>
      <c r="B75" s="4" t="s">
        <v>383</v>
      </c>
      <c r="C75" s="4">
        <v>10</v>
      </c>
      <c r="D75" s="4" t="s">
        <v>295</v>
      </c>
      <c r="E75" s="4" t="s">
        <v>384</v>
      </c>
      <c r="F75" s="4">
        <v>63.37</v>
      </c>
      <c r="G75" s="4"/>
      <c r="H75" s="4" t="s">
        <v>246</v>
      </c>
      <c r="I75" s="4"/>
      <c r="J75" s="4"/>
      <c r="K75" s="4"/>
      <c r="L75" s="4"/>
      <c r="M75" s="4"/>
      <c r="N75" s="4"/>
      <c r="O75" s="4"/>
      <c r="P75" s="4"/>
      <c r="Q75" s="4"/>
      <c r="R75" s="4"/>
      <c r="S75" s="4"/>
      <c r="T75" s="4"/>
      <c r="U75" s="4" t="s">
        <v>81</v>
      </c>
      <c r="V75" s="4"/>
      <c r="W75" s="4"/>
      <c r="X75" s="4"/>
      <c r="Y75" s="4"/>
      <c r="Z75" s="4"/>
      <c r="AA75" s="4"/>
      <c r="AB75" s="4"/>
      <c r="AC75" s="4"/>
      <c r="AD75" s="4"/>
      <c r="AE75" s="4"/>
      <c r="AF75" s="4"/>
      <c r="AG75" s="4"/>
      <c r="AH75" s="4"/>
      <c r="AI75" s="4"/>
    </row>
    <row r="76" ht="16" customHeight="1" s="4" customFormat="1">
      <c r="A76" s="4">
        <v>75</v>
      </c>
      <c r="B76" s="4" t="s">
        <v>385</v>
      </c>
      <c r="C76" s="4">
        <v>10</v>
      </c>
      <c r="D76" s="4" t="s">
        <v>386</v>
      </c>
      <c r="E76" s="4" t="s">
        <v>93</v>
      </c>
      <c r="F76" s="4">
        <v>1</v>
      </c>
      <c r="G76" s="4"/>
      <c r="H76" s="4" t="s">
        <v>81</v>
      </c>
      <c r="I76" s="4"/>
      <c r="J76" s="4"/>
      <c r="K76" s="4"/>
      <c r="L76" s="4"/>
      <c r="M76" s="4"/>
      <c r="N76" s="4"/>
      <c r="O76" s="4"/>
      <c r="P76" s="4"/>
      <c r="Q76" s="4"/>
      <c r="R76" s="4"/>
      <c r="S76" s="4"/>
      <c r="T76" s="4"/>
      <c r="U76" s="4"/>
      <c r="V76" s="4"/>
      <c r="W76" s="4"/>
      <c r="X76" s="4"/>
      <c r="Y76" s="4"/>
      <c r="Z76" s="4"/>
      <c r="AA76" s="4"/>
      <c r="AB76" s="4"/>
      <c r="AC76" s="4"/>
      <c r="AD76" s="4" t="s">
        <v>246</v>
      </c>
      <c r="AE76" s="4"/>
      <c r="AF76" s="4"/>
      <c r="AG76" s="4"/>
      <c r="AH76" s="4"/>
      <c r="AI76" s="4"/>
    </row>
    <row r="77" ht="16" customHeight="1" s="4" customFormat="1">
      <c r="A77" s="4">
        <v>76</v>
      </c>
      <c r="B77" s="4" t="s">
        <v>387</v>
      </c>
      <c r="C77" s="4">
        <v>10</v>
      </c>
      <c r="D77" s="4" t="s">
        <v>268</v>
      </c>
      <c r="E77" s="4" t="s">
        <v>36</v>
      </c>
      <c r="F77" s="4">
        <v>120000</v>
      </c>
      <c r="G77" s="4">
        <v>3629.8</v>
      </c>
      <c r="H77" s="4"/>
      <c r="I77" s="4"/>
      <c r="J77" s="4"/>
      <c r="K77" s="4"/>
      <c r="L77" s="4"/>
      <c r="M77" s="4"/>
      <c r="N77" s="4"/>
      <c r="O77" s="4"/>
      <c r="P77" s="4"/>
      <c r="Q77" s="4"/>
      <c r="R77" s="4"/>
      <c r="S77" s="4" t="s">
        <v>81</v>
      </c>
      <c r="T77" s="4"/>
      <c r="U77" s="4"/>
      <c r="V77" s="4"/>
      <c r="W77" s="4"/>
      <c r="X77" s="4"/>
      <c r="Y77" s="4"/>
      <c r="Z77" s="4"/>
      <c r="AA77" s="4"/>
      <c r="AB77" s="4"/>
      <c r="AC77" s="4"/>
      <c r="AD77" s="4"/>
      <c r="AE77" s="4"/>
      <c r="AF77" s="4"/>
      <c r="AG77" s="4"/>
      <c r="AH77" s="4"/>
      <c r="AI77" s="4"/>
    </row>
    <row r="78" ht="16" customHeight="1" s="4" customFormat="1">
      <c r="A78" s="4">
        <v>77</v>
      </c>
      <c r="B78" s="4" t="s">
        <v>388</v>
      </c>
      <c r="C78" s="4">
        <v>10</v>
      </c>
      <c r="D78" s="4" t="s">
        <v>160</v>
      </c>
      <c r="E78" s="4" t="s">
        <v>36</v>
      </c>
      <c r="F78" s="4">
        <v>20.53</v>
      </c>
      <c r="G78" s="4"/>
      <c r="H78" s="4"/>
      <c r="I78" s="4"/>
      <c r="J78" s="4"/>
      <c r="K78" s="4"/>
      <c r="L78" s="4"/>
      <c r="M78" s="4"/>
      <c r="N78" s="4"/>
      <c r="O78" s="4"/>
      <c r="P78" s="4"/>
      <c r="Q78" s="4"/>
      <c r="R78" s="4"/>
      <c r="S78" s="4"/>
      <c r="T78" s="4"/>
      <c r="U78" s="4"/>
      <c r="V78" s="4"/>
      <c r="W78" s="4"/>
      <c r="X78" s="4"/>
      <c r="Y78" s="4"/>
      <c r="Z78" s="4"/>
      <c r="AA78" s="4"/>
      <c r="AB78" s="4" t="s">
        <v>246</v>
      </c>
      <c r="AC78" s="4"/>
      <c r="AD78" s="4"/>
      <c r="AE78" s="4"/>
      <c r="AF78" s="4"/>
      <c r="AG78" s="4"/>
      <c r="AH78" s="4"/>
      <c r="AI78" s="4"/>
    </row>
    <row r="79" ht="16" customHeight="1" s="4" customFormat="1">
      <c r="A79" s="4">
        <v>78</v>
      </c>
      <c r="B79" s="4" t="s">
        <v>389</v>
      </c>
      <c r="C79" s="4">
        <v>9</v>
      </c>
      <c r="D79" s="4" t="s">
        <v>390</v>
      </c>
      <c r="E79" s="4" t="s">
        <v>36</v>
      </c>
      <c r="F79" s="4">
        <v>0</v>
      </c>
      <c r="G79" s="4"/>
      <c r="H79" s="4"/>
      <c r="I79" s="4"/>
      <c r="J79" s="4"/>
      <c r="K79" s="4"/>
      <c r="L79" s="4"/>
      <c r="M79" s="4"/>
      <c r="N79" s="4"/>
      <c r="O79" s="4"/>
      <c r="P79" s="4"/>
      <c r="Q79" s="4"/>
      <c r="R79" s="4"/>
      <c r="S79" s="4"/>
      <c r="T79" s="4"/>
      <c r="U79" s="4"/>
      <c r="V79" s="4"/>
      <c r="W79" s="4"/>
      <c r="X79" s="4" t="s">
        <v>81</v>
      </c>
      <c r="Y79" s="4"/>
      <c r="Z79" s="4"/>
      <c r="AA79" s="4"/>
      <c r="AB79" s="4"/>
      <c r="AC79" s="4"/>
      <c r="AD79" s="4"/>
      <c r="AE79" s="4"/>
      <c r="AF79" s="4"/>
      <c r="AG79" s="4"/>
      <c r="AH79" s="4"/>
      <c r="AI79" s="4"/>
    </row>
    <row r="80" ht="16" customHeight="1" s="4" customFormat="1">
      <c r="A80" s="4">
        <v>79</v>
      </c>
      <c r="B80" s="4" t="s">
        <v>391</v>
      </c>
      <c r="C80" s="4">
        <v>9</v>
      </c>
      <c r="D80" s="4" t="s">
        <v>392</v>
      </c>
      <c r="E80" s="4" t="s">
        <v>96</v>
      </c>
      <c r="F80" s="4">
        <v>5069.08</v>
      </c>
      <c r="G80" s="4">
        <v>58.3</v>
      </c>
      <c r="H80" s="4"/>
      <c r="I80" s="4"/>
      <c r="J80" s="4" t="s">
        <v>81</v>
      </c>
      <c r="K80" s="4"/>
      <c r="L80" s="4"/>
      <c r="M80" s="4"/>
      <c r="N80" s="4"/>
      <c r="O80" s="4"/>
      <c r="P80" s="4"/>
      <c r="Q80" s="4"/>
      <c r="R80" s="4"/>
      <c r="S80" s="4"/>
      <c r="T80" s="4"/>
      <c r="U80" s="4"/>
      <c r="V80" s="4"/>
      <c r="W80" s="4"/>
      <c r="X80" s="4"/>
      <c r="Y80" s="4"/>
      <c r="Z80" s="4"/>
      <c r="AA80" s="4"/>
      <c r="AB80" s="4"/>
      <c r="AC80" s="4"/>
      <c r="AD80" s="4"/>
      <c r="AE80" s="4"/>
      <c r="AF80" s="4"/>
      <c r="AG80" s="4"/>
      <c r="AH80" s="4"/>
      <c r="AI80" s="4"/>
    </row>
    <row r="81" ht="16" customHeight="1" s="4" customFormat="1">
      <c r="A81" s="4">
        <v>80</v>
      </c>
      <c r="B81" s="4" t="s">
        <v>393</v>
      </c>
      <c r="C81" s="4">
        <v>9</v>
      </c>
      <c r="D81" s="4" t="s">
        <v>301</v>
      </c>
      <c r="E81" s="4" t="s">
        <v>36</v>
      </c>
      <c r="F81" s="4">
        <v>5</v>
      </c>
      <c r="G81" s="4"/>
      <c r="H81" s="4"/>
      <c r="I81" s="4"/>
      <c r="J81" s="4"/>
      <c r="K81" s="4"/>
      <c r="L81" s="4"/>
      <c r="M81" s="4"/>
      <c r="N81" s="4"/>
      <c r="O81" s="4"/>
      <c r="P81" s="4"/>
      <c r="Q81" s="4"/>
      <c r="R81" s="4"/>
      <c r="S81" s="4"/>
      <c r="T81" s="4"/>
      <c r="U81" s="4" t="s">
        <v>83</v>
      </c>
      <c r="V81" s="4"/>
      <c r="W81" s="4"/>
      <c r="X81" s="4"/>
      <c r="Y81" s="4"/>
      <c r="Z81" s="4"/>
      <c r="AA81" s="4"/>
      <c r="AB81" s="4"/>
      <c r="AC81" s="4"/>
      <c r="AD81" s="4"/>
      <c r="AE81" s="4"/>
      <c r="AF81" s="4"/>
      <c r="AG81" s="4"/>
      <c r="AH81" s="4"/>
      <c r="AI81" s="4"/>
    </row>
    <row r="82" ht="16" customHeight="1" s="4" customFormat="1">
      <c r="A82" s="4">
        <v>81</v>
      </c>
      <c r="B82" s="4" t="s">
        <v>394</v>
      </c>
      <c r="C82" s="4">
        <v>9</v>
      </c>
      <c r="D82" s="4" t="s">
        <v>301</v>
      </c>
      <c r="E82" s="4" t="s">
        <v>36</v>
      </c>
      <c r="F82" s="4">
        <v>5</v>
      </c>
      <c r="G82" s="4"/>
      <c r="H82" s="4"/>
      <c r="I82" s="4"/>
      <c r="J82" s="4"/>
      <c r="K82" s="4"/>
      <c r="L82" s="4"/>
      <c r="M82" s="4"/>
      <c r="N82" s="4"/>
      <c r="O82" s="4"/>
      <c r="P82" s="4"/>
      <c r="Q82" s="4"/>
      <c r="R82" s="4"/>
      <c r="S82" s="4"/>
      <c r="T82" s="4"/>
      <c r="U82" s="4" t="s">
        <v>81</v>
      </c>
      <c r="V82" s="4"/>
      <c r="W82" s="4"/>
      <c r="X82" s="4"/>
      <c r="Y82" s="4"/>
      <c r="Z82" s="4"/>
      <c r="AA82" s="4"/>
      <c r="AB82" s="4"/>
      <c r="AC82" s="4"/>
      <c r="AD82" s="4"/>
      <c r="AE82" s="4"/>
      <c r="AF82" s="4"/>
      <c r="AG82" s="4"/>
      <c r="AH82" s="4"/>
      <c r="AI82" s="4"/>
    </row>
    <row r="83" ht="16" customHeight="1" s="4" customFormat="1">
      <c r="A83" s="4">
        <v>82</v>
      </c>
      <c r="B83" s="4" t="s">
        <v>395</v>
      </c>
      <c r="C83" s="4">
        <v>9</v>
      </c>
      <c r="D83" s="4" t="s">
        <v>396</v>
      </c>
      <c r="E83" s="4" t="s">
        <v>36</v>
      </c>
      <c r="F83" s="4">
        <v>6.51</v>
      </c>
      <c r="G83" s="4"/>
      <c r="H83" s="4"/>
      <c r="I83" s="4"/>
      <c r="J83" s="4"/>
      <c r="K83" s="4"/>
      <c r="L83" s="4"/>
      <c r="M83" s="4"/>
      <c r="N83" s="4"/>
      <c r="O83" s="4"/>
      <c r="P83" s="4"/>
      <c r="Q83" s="4"/>
      <c r="R83" s="4"/>
      <c r="S83" s="4"/>
      <c r="T83" s="4"/>
      <c r="U83" s="4"/>
      <c r="V83" s="4"/>
      <c r="W83" s="4"/>
      <c r="X83" s="4"/>
      <c r="Y83" s="4"/>
      <c r="Z83" s="4"/>
      <c r="AA83" s="4"/>
      <c r="AB83" s="4" t="s">
        <v>246</v>
      </c>
      <c r="AC83" s="4"/>
      <c r="AD83" s="4"/>
      <c r="AE83" s="4"/>
      <c r="AF83" s="4"/>
      <c r="AG83" s="4"/>
      <c r="AH83" s="4"/>
      <c r="AI83" s="4"/>
    </row>
    <row r="84" ht="16" customHeight="1" s="4" customFormat="1">
      <c r="A84" s="4">
        <v>83</v>
      </c>
      <c r="B84" s="4" t="s">
        <v>397</v>
      </c>
      <c r="C84" s="4">
        <v>9</v>
      </c>
      <c r="D84" s="4" t="s">
        <v>398</v>
      </c>
      <c r="E84" s="4" t="s">
        <v>93</v>
      </c>
      <c r="F84" s="4">
        <v>5644.26</v>
      </c>
      <c r="G84" s="4">
        <v>1.8</v>
      </c>
      <c r="H84" s="4"/>
      <c r="I84" s="4"/>
      <c r="J84" s="4"/>
      <c r="K84" s="4"/>
      <c r="L84" s="4"/>
      <c r="M84" s="4"/>
      <c r="N84" s="4"/>
      <c r="O84" s="4"/>
      <c r="P84" s="4"/>
      <c r="Q84" s="4"/>
      <c r="R84" s="4"/>
      <c r="S84" s="4"/>
      <c r="T84" s="4"/>
      <c r="U84" s="4"/>
      <c r="V84" s="4"/>
      <c r="W84" s="4"/>
      <c r="X84" s="4"/>
      <c r="Y84" s="4"/>
      <c r="Z84" s="4"/>
      <c r="AA84" s="4"/>
      <c r="AB84" s="4"/>
      <c r="AC84" s="4"/>
      <c r="AD84" s="4"/>
      <c r="AE84" s="4"/>
      <c r="AF84" s="4"/>
      <c r="AG84" s="4" t="s">
        <v>81</v>
      </c>
      <c r="AH84" s="4"/>
      <c r="AI84" s="4"/>
    </row>
    <row r="85" ht="16" customHeight="1" s="4" customFormat="1">
      <c r="A85" s="4">
        <v>84</v>
      </c>
      <c r="B85" s="4" t="s">
        <v>399</v>
      </c>
      <c r="C85" s="4">
        <v>9</v>
      </c>
      <c r="D85" s="4" t="s">
        <v>400</v>
      </c>
      <c r="E85" s="4" t="s">
        <v>119</v>
      </c>
      <c r="F85" s="4">
        <v>2789</v>
      </c>
      <c r="G85" s="4">
        <v>380</v>
      </c>
      <c r="H85" s="4"/>
      <c r="I85" s="4"/>
      <c r="J85" s="4"/>
      <c r="K85" s="4"/>
      <c r="L85" s="4"/>
      <c r="M85" s="4" t="s">
        <v>246</v>
      </c>
      <c r="N85" s="4"/>
      <c r="O85" s="4"/>
      <c r="P85" s="4"/>
      <c r="Q85" s="4"/>
      <c r="R85" s="4"/>
      <c r="S85" s="4"/>
      <c r="T85" s="4"/>
      <c r="U85" s="4"/>
      <c r="V85" s="4"/>
      <c r="W85" s="4"/>
      <c r="X85" s="4"/>
      <c r="Y85" s="4"/>
      <c r="Z85" s="4"/>
      <c r="AA85" s="4"/>
      <c r="AB85" s="4"/>
      <c r="AC85" s="4"/>
      <c r="AD85" s="4"/>
      <c r="AE85" s="4"/>
      <c r="AF85" s="4"/>
      <c r="AG85" s="4"/>
      <c r="AH85" s="4"/>
      <c r="AI85" s="4"/>
    </row>
    <row r="86" ht="16" customHeight="1" s="4" customFormat="1">
      <c r="A86" s="4">
        <v>85</v>
      </c>
      <c r="B86" s="4" t="s">
        <v>401</v>
      </c>
      <c r="C86" s="4">
        <v>9</v>
      </c>
      <c r="D86" s="4" t="s">
        <v>402</v>
      </c>
      <c r="E86" s="4" t="s">
        <v>36</v>
      </c>
      <c r="F86" s="4">
        <v>25000</v>
      </c>
      <c r="G86" s="4"/>
      <c r="H86" s="4"/>
      <c r="I86" s="4"/>
      <c r="J86" s="4"/>
      <c r="K86" s="4"/>
      <c r="L86" s="4"/>
      <c r="M86" s="4"/>
      <c r="N86" s="4"/>
      <c r="O86" s="4"/>
      <c r="P86" s="4"/>
      <c r="Q86" s="4"/>
      <c r="R86" s="4"/>
      <c r="S86" s="4" t="s">
        <v>81</v>
      </c>
      <c r="T86" s="4"/>
      <c r="U86" s="4"/>
      <c r="V86" s="4"/>
      <c r="W86" s="4"/>
      <c r="X86" s="4"/>
      <c r="Y86" s="4"/>
      <c r="Z86" s="4"/>
      <c r="AA86" s="4"/>
      <c r="AB86" s="4"/>
      <c r="AC86" s="4"/>
      <c r="AD86" s="4"/>
      <c r="AE86" s="4"/>
      <c r="AF86" s="4"/>
      <c r="AG86" s="4"/>
      <c r="AH86" s="4"/>
      <c r="AI86" s="4"/>
    </row>
    <row r="87" ht="16" customHeight="1" s="4" customFormat="1">
      <c r="A87" s="4">
        <v>86</v>
      </c>
      <c r="B87" s="4" t="s">
        <v>403</v>
      </c>
      <c r="C87" s="4">
        <v>8</v>
      </c>
      <c r="D87" s="4" t="s">
        <v>404</v>
      </c>
      <c r="E87" s="4" t="s">
        <v>119</v>
      </c>
      <c r="F87" s="4">
        <v>5</v>
      </c>
      <c r="G87" s="4"/>
      <c r="H87" s="4"/>
      <c r="I87" s="4"/>
      <c r="J87" s="4"/>
      <c r="K87" s="4"/>
      <c r="L87" s="4"/>
      <c r="M87" s="4"/>
      <c r="N87" s="4" t="s">
        <v>293</v>
      </c>
      <c r="O87" s="4"/>
      <c r="P87" s="4"/>
      <c r="Q87" s="4"/>
      <c r="R87" s="4"/>
      <c r="S87" s="4"/>
      <c r="T87" s="4"/>
      <c r="U87" s="4"/>
      <c r="V87" s="4"/>
      <c r="W87" s="4"/>
      <c r="X87" s="4"/>
      <c r="Y87" s="4"/>
      <c r="Z87" s="4"/>
      <c r="AA87" s="4"/>
      <c r="AB87" s="4"/>
      <c r="AC87" s="4"/>
      <c r="AD87" s="4"/>
      <c r="AE87" s="4"/>
      <c r="AF87" s="4"/>
      <c r="AG87" s="4"/>
      <c r="AH87" s="4"/>
      <c r="AI87" s="4"/>
    </row>
    <row r="88" ht="16" customHeight="1" s="4" customFormat="1">
      <c r="A88" s="4">
        <v>87</v>
      </c>
      <c r="B88" s="4" t="s">
        <v>405</v>
      </c>
      <c r="C88" s="4">
        <v>8</v>
      </c>
      <c r="D88" s="4" t="s">
        <v>406</v>
      </c>
      <c r="E88" s="4" t="s">
        <v>36</v>
      </c>
      <c r="F88" s="4">
        <v>23</v>
      </c>
      <c r="G88" s="4"/>
      <c r="H88" s="4"/>
      <c r="I88" s="4"/>
      <c r="J88" s="4"/>
      <c r="K88" s="4"/>
      <c r="L88" s="4"/>
      <c r="M88" s="4"/>
      <c r="N88" s="4"/>
      <c r="O88" s="4"/>
      <c r="P88" s="4"/>
      <c r="Q88" s="4"/>
      <c r="R88" s="4"/>
      <c r="S88" s="4"/>
      <c r="T88" s="4"/>
      <c r="U88" s="4"/>
      <c r="V88" s="4"/>
      <c r="W88" s="4"/>
      <c r="X88" s="4" t="s">
        <v>81</v>
      </c>
      <c r="Y88" s="4"/>
      <c r="Z88" s="4"/>
      <c r="AA88" s="4"/>
      <c r="AB88" s="4"/>
      <c r="AC88" s="4"/>
      <c r="AD88" s="4"/>
      <c r="AE88" s="4"/>
      <c r="AF88" s="4"/>
      <c r="AG88" s="4"/>
      <c r="AH88" s="4"/>
      <c r="AI88" s="4"/>
    </row>
    <row r="89" ht="16" customHeight="1" s="4" customFormat="1">
      <c r="A89" s="4">
        <v>88</v>
      </c>
      <c r="B89" s="4" t="s">
        <v>407</v>
      </c>
      <c r="C89" s="4">
        <v>8</v>
      </c>
      <c r="D89" s="4" t="s">
        <v>408</v>
      </c>
      <c r="E89" s="4" t="s">
        <v>135</v>
      </c>
      <c r="F89" s="4">
        <v>250</v>
      </c>
      <c r="G89" s="4"/>
      <c r="H89" s="4"/>
      <c r="I89" s="4"/>
      <c r="J89" s="4"/>
      <c r="K89" s="4"/>
      <c r="L89" s="4"/>
      <c r="M89" s="4"/>
      <c r="N89" s="4" t="s">
        <v>246</v>
      </c>
      <c r="O89" s="4"/>
      <c r="P89" s="4"/>
      <c r="Q89" s="4"/>
      <c r="R89" s="4"/>
      <c r="S89" s="4"/>
      <c r="T89" s="4"/>
      <c r="U89" s="4"/>
      <c r="V89" s="4"/>
      <c r="W89" s="4"/>
      <c r="X89" s="4"/>
      <c r="Y89" s="4"/>
      <c r="Z89" s="4"/>
      <c r="AA89" s="4"/>
      <c r="AB89" s="4"/>
      <c r="AC89" s="4"/>
      <c r="AD89" s="4"/>
      <c r="AE89" s="4"/>
      <c r="AF89" s="4"/>
      <c r="AG89" s="4"/>
      <c r="AH89" s="4"/>
      <c r="AI89" s="4"/>
    </row>
    <row r="90" ht="16" customHeight="1" s="4" customFormat="1">
      <c r="A90" s="4">
        <v>89</v>
      </c>
      <c r="B90" s="4" t="s">
        <v>409</v>
      </c>
      <c r="C90" s="4">
        <v>8</v>
      </c>
      <c r="D90" s="4" t="s">
        <v>410</v>
      </c>
      <c r="E90" s="4" t="s">
        <v>411</v>
      </c>
      <c r="F90" s="4">
        <v>1040.31</v>
      </c>
      <c r="G90" s="4">
        <v>246.3</v>
      </c>
      <c r="H90" s="4"/>
      <c r="I90" s="4"/>
      <c r="J90" s="4"/>
      <c r="K90" s="4"/>
      <c r="L90" s="4"/>
      <c r="M90" s="4"/>
      <c r="N90" s="4"/>
      <c r="O90" s="4"/>
      <c r="P90" s="4"/>
      <c r="Q90" s="4"/>
      <c r="R90" s="4"/>
      <c r="S90" s="4" t="s">
        <v>81</v>
      </c>
      <c r="T90" s="4"/>
      <c r="U90" s="4"/>
      <c r="V90" s="4"/>
      <c r="W90" s="4"/>
      <c r="X90" s="4"/>
      <c r="Y90" s="4"/>
      <c r="Z90" s="4"/>
      <c r="AA90" s="4"/>
      <c r="AB90" s="4"/>
      <c r="AC90" s="4"/>
      <c r="AD90" s="4"/>
      <c r="AE90" s="4"/>
      <c r="AF90" s="4"/>
      <c r="AG90" s="4"/>
      <c r="AH90" s="4"/>
      <c r="AI90" s="4"/>
    </row>
    <row r="91" ht="16" customHeight="1" s="4" customFormat="1">
      <c r="A91" s="4">
        <v>90</v>
      </c>
      <c r="B91" s="4" t="s">
        <v>412</v>
      </c>
      <c r="C91" s="4">
        <v>8</v>
      </c>
      <c r="D91" s="4" t="s">
        <v>413</v>
      </c>
      <c r="E91" s="4" t="s">
        <v>414</v>
      </c>
      <c r="F91" s="4">
        <v>95.5</v>
      </c>
      <c r="G91" s="4">
        <v>5</v>
      </c>
      <c r="H91" s="4"/>
      <c r="I91" s="4"/>
      <c r="J91" s="4"/>
      <c r="K91" s="4"/>
      <c r="L91" s="4"/>
      <c r="M91" s="4"/>
      <c r="N91" s="4"/>
      <c r="O91" s="4"/>
      <c r="P91" s="4"/>
      <c r="Q91" s="4"/>
      <c r="R91" s="4"/>
      <c r="S91" s="4"/>
      <c r="T91" s="4"/>
      <c r="U91" s="4"/>
      <c r="V91" s="4" t="s">
        <v>81</v>
      </c>
      <c r="W91" s="4"/>
      <c r="X91" s="4"/>
      <c r="Y91" s="4"/>
      <c r="Z91" s="4"/>
      <c r="AA91" s="4"/>
      <c r="AB91" s="4"/>
      <c r="AC91" s="4"/>
      <c r="AD91" s="4"/>
      <c r="AE91" s="4"/>
      <c r="AF91" s="4"/>
      <c r="AG91" s="4"/>
      <c r="AH91" s="4"/>
      <c r="AI91" s="4"/>
    </row>
    <row r="92" ht="16" customHeight="1" s="4" customFormat="1">
      <c r="A92" s="4">
        <v>91</v>
      </c>
      <c r="B92" s="4" t="s">
        <v>415</v>
      </c>
      <c r="C92" s="4">
        <v>8</v>
      </c>
      <c r="D92" s="4" t="s">
        <v>309</v>
      </c>
      <c r="E92" s="4" t="s">
        <v>135</v>
      </c>
      <c r="F92" s="4">
        <v>209785.1</v>
      </c>
      <c r="G92" s="4">
        <v>1910</v>
      </c>
      <c r="H92" s="4"/>
      <c r="I92" s="4"/>
      <c r="J92" s="4"/>
      <c r="K92" s="4"/>
      <c r="L92" s="4"/>
      <c r="M92" s="4"/>
      <c r="N92" s="4" t="s">
        <v>81</v>
      </c>
      <c r="O92" s="4"/>
      <c r="P92" s="4"/>
      <c r="Q92" s="4"/>
      <c r="R92" s="4"/>
      <c r="S92" s="4"/>
      <c r="T92" s="4"/>
      <c r="U92" s="4"/>
      <c r="V92" s="4"/>
      <c r="W92" s="4"/>
      <c r="X92" s="4"/>
      <c r="Y92" s="4"/>
      <c r="Z92" s="4"/>
      <c r="AA92" s="4"/>
      <c r="AB92" s="4"/>
      <c r="AC92" s="4"/>
      <c r="AD92" s="4"/>
      <c r="AE92" s="4"/>
      <c r="AF92" s="4"/>
      <c r="AG92" s="4"/>
      <c r="AH92" s="4"/>
      <c r="AI92" s="4"/>
    </row>
    <row r="93" ht="16" customHeight="1" s="4" customFormat="1">
      <c r="A93" s="4">
        <v>92</v>
      </c>
      <c r="B93" s="4" t="s">
        <v>416</v>
      </c>
      <c r="C93" s="4">
        <v>8</v>
      </c>
      <c r="D93" s="4" t="s">
        <v>417</v>
      </c>
      <c r="E93" s="4" t="s">
        <v>36</v>
      </c>
      <c r="F93" s="4">
        <v>513.65</v>
      </c>
      <c r="G93" s="4"/>
      <c r="H93" s="4"/>
      <c r="I93" s="4"/>
      <c r="J93" s="4"/>
      <c r="K93" s="4"/>
      <c r="L93" s="4"/>
      <c r="M93" s="4"/>
      <c r="N93" s="4"/>
      <c r="O93" s="4"/>
      <c r="P93" s="4"/>
      <c r="Q93" s="4"/>
      <c r="R93" s="4"/>
      <c r="S93" s="4"/>
      <c r="T93" s="4"/>
      <c r="U93" s="4"/>
      <c r="V93" s="4"/>
      <c r="W93" s="4"/>
      <c r="X93" s="4" t="s">
        <v>81</v>
      </c>
      <c r="Y93" s="4"/>
      <c r="Z93" s="4"/>
      <c r="AA93" s="4"/>
      <c r="AB93" s="4"/>
      <c r="AC93" s="4"/>
      <c r="AD93" s="4"/>
      <c r="AE93" s="4"/>
      <c r="AF93" s="4"/>
      <c r="AG93" s="4"/>
      <c r="AH93" s="4"/>
      <c r="AI93" s="4"/>
    </row>
    <row r="94" ht="16" customHeight="1" s="4" customFormat="1">
      <c r="A94" s="4">
        <v>93</v>
      </c>
      <c r="B94" s="4" t="s">
        <v>418</v>
      </c>
      <c r="C94" s="4">
        <v>8</v>
      </c>
      <c r="D94" s="4" t="s">
        <v>419</v>
      </c>
      <c r="E94" s="4" t="s">
        <v>36</v>
      </c>
      <c r="F94" s="4">
        <v>4450</v>
      </c>
      <c r="G94" s="4"/>
      <c r="H94" s="4"/>
      <c r="I94" s="4"/>
      <c r="J94" s="4"/>
      <c r="K94" s="4"/>
      <c r="L94" s="4"/>
      <c r="M94" s="4"/>
      <c r="N94" s="4"/>
      <c r="O94" s="4"/>
      <c r="P94" s="4"/>
      <c r="Q94" s="4"/>
      <c r="R94" s="4" t="s">
        <v>81</v>
      </c>
      <c r="S94" s="4"/>
      <c r="T94" s="4"/>
      <c r="U94" s="4"/>
      <c r="V94" s="4"/>
      <c r="W94" s="4"/>
      <c r="X94" s="4"/>
      <c r="Y94" s="4"/>
      <c r="Z94" s="4"/>
      <c r="AA94" s="4"/>
      <c r="AB94" s="4"/>
      <c r="AC94" s="4"/>
      <c r="AD94" s="4"/>
      <c r="AE94" s="4"/>
      <c r="AF94" s="4"/>
      <c r="AG94" s="4"/>
      <c r="AH94" s="4"/>
      <c r="AI94" s="4"/>
    </row>
    <row r="95" ht="16" customHeight="1" s="4" customFormat="1">
      <c r="A95" s="4">
        <v>94</v>
      </c>
      <c r="B95" s="4" t="s">
        <v>420</v>
      </c>
      <c r="C95" s="4">
        <v>8</v>
      </c>
      <c r="D95" s="4" t="s">
        <v>421</v>
      </c>
      <c r="E95" s="4" t="s">
        <v>93</v>
      </c>
      <c r="F95" s="4">
        <v>250</v>
      </c>
      <c r="G95" s="4">
        <v>4.8</v>
      </c>
      <c r="H95" s="4"/>
      <c r="I95" s="4"/>
      <c r="J95" s="4"/>
      <c r="K95" s="4" t="s">
        <v>81</v>
      </c>
      <c r="L95" s="4"/>
      <c r="M95" s="4"/>
      <c r="N95" s="4"/>
      <c r="O95" s="4"/>
      <c r="P95" s="4"/>
      <c r="Q95" s="4"/>
      <c r="R95" s="4"/>
      <c r="S95" s="4"/>
      <c r="T95" s="4"/>
      <c r="U95" s="4"/>
      <c r="V95" s="4"/>
      <c r="W95" s="4"/>
      <c r="X95" s="4"/>
      <c r="Y95" s="4"/>
      <c r="Z95" s="4"/>
      <c r="AA95" s="4"/>
      <c r="AB95" s="4"/>
      <c r="AC95" s="4"/>
      <c r="AD95" s="4"/>
      <c r="AE95" s="4"/>
      <c r="AF95" s="4"/>
      <c r="AG95" s="4"/>
      <c r="AH95" s="4"/>
      <c r="AI95" s="4"/>
    </row>
    <row r="96" ht="16" customHeight="1" s="4" customFormat="1">
      <c r="A96" s="4">
        <v>95</v>
      </c>
      <c r="B96" s="4" t="s">
        <v>422</v>
      </c>
      <c r="C96" s="4">
        <v>8</v>
      </c>
      <c r="D96" s="4" t="s">
        <v>423</v>
      </c>
      <c r="E96" s="4" t="s">
        <v>135</v>
      </c>
      <c r="F96" s="4">
        <v>490</v>
      </c>
      <c r="G96" s="4"/>
      <c r="H96" s="4"/>
      <c r="I96" s="4"/>
      <c r="J96" s="4"/>
      <c r="K96" s="4"/>
      <c r="L96" s="4"/>
      <c r="M96" s="4"/>
      <c r="N96" s="4"/>
      <c r="O96" s="4"/>
      <c r="P96" s="4"/>
      <c r="Q96" s="4"/>
      <c r="R96" s="4"/>
      <c r="S96" s="4"/>
      <c r="T96" s="4"/>
      <c r="U96" s="4"/>
      <c r="V96" s="4"/>
      <c r="W96" s="4"/>
      <c r="X96" s="4"/>
      <c r="Y96" s="4"/>
      <c r="Z96" s="4"/>
      <c r="AA96" s="4"/>
      <c r="AB96" s="4"/>
      <c r="AC96" s="4"/>
      <c r="AD96" s="4"/>
      <c r="AE96" s="4"/>
      <c r="AF96" s="4"/>
      <c r="AG96" s="4" t="s">
        <v>424</v>
      </c>
      <c r="AH96" s="4"/>
      <c r="AI96" s="4"/>
    </row>
    <row r="97" ht="16" customHeight="1" s="4" customFormat="1">
      <c r="A97" s="4">
        <v>96</v>
      </c>
      <c r="B97" s="4" t="s">
        <v>425</v>
      </c>
      <c r="C97" s="4">
        <v>8</v>
      </c>
      <c r="D97" s="4" t="s">
        <v>301</v>
      </c>
      <c r="E97" s="4" t="s">
        <v>36</v>
      </c>
      <c r="F97" s="4">
        <v>5</v>
      </c>
      <c r="G97" s="4"/>
      <c r="H97" s="4"/>
      <c r="I97" s="4"/>
      <c r="J97" s="4"/>
      <c r="K97" s="4"/>
      <c r="L97" s="4"/>
      <c r="M97" s="4"/>
      <c r="N97" s="4"/>
      <c r="O97" s="4"/>
      <c r="P97" s="4"/>
      <c r="Q97" s="4"/>
      <c r="R97" s="4"/>
      <c r="S97" s="4"/>
      <c r="T97" s="4"/>
      <c r="U97" s="4" t="s">
        <v>81</v>
      </c>
      <c r="V97" s="4"/>
      <c r="W97" s="4"/>
      <c r="X97" s="4"/>
      <c r="Y97" s="4"/>
      <c r="Z97" s="4"/>
      <c r="AA97" s="4"/>
      <c r="AB97" s="4"/>
      <c r="AC97" s="4"/>
      <c r="AD97" s="4"/>
      <c r="AE97" s="4"/>
      <c r="AF97" s="4"/>
      <c r="AG97" s="4"/>
      <c r="AH97" s="4"/>
      <c r="AI97" s="4"/>
    </row>
    <row r="98" ht="16" customHeight="1" s="4" customFormat="1">
      <c r="A98" s="4">
        <v>97</v>
      </c>
      <c r="B98" s="4" t="s">
        <v>426</v>
      </c>
      <c r="C98" s="4">
        <v>8</v>
      </c>
      <c r="D98" s="4" t="s">
        <v>171</v>
      </c>
      <c r="E98" s="4" t="s">
        <v>90</v>
      </c>
      <c r="F98" s="4">
        <v>2228.5</v>
      </c>
      <c r="G98" s="4">
        <v>1.3</v>
      </c>
      <c r="H98" s="4"/>
      <c r="I98" s="4"/>
      <c r="J98" s="4"/>
      <c r="K98" s="4"/>
      <c r="L98" s="4" t="s">
        <v>246</v>
      </c>
      <c r="M98" s="4"/>
      <c r="N98" s="4" t="s">
        <v>248</v>
      </c>
      <c r="O98" s="4" t="s">
        <v>257</v>
      </c>
      <c r="P98" s="4"/>
      <c r="Q98" s="4"/>
      <c r="R98" s="4"/>
      <c r="S98" s="4"/>
      <c r="T98" s="4"/>
      <c r="U98" s="4"/>
      <c r="V98" s="4"/>
      <c r="W98" s="4"/>
      <c r="X98" s="4"/>
      <c r="Y98" s="4"/>
      <c r="Z98" s="4"/>
      <c r="AA98" s="4"/>
      <c r="AB98" s="4"/>
      <c r="AC98" s="4"/>
      <c r="AD98" s="4"/>
      <c r="AE98" s="4"/>
      <c r="AF98" s="4"/>
      <c r="AG98" s="4"/>
      <c r="AH98" s="4"/>
      <c r="AI98" s="4"/>
    </row>
    <row r="99" ht="16" customHeight="1" s="4" customFormat="1">
      <c r="A99" s="4">
        <v>98</v>
      </c>
      <c r="B99" s="4" t="s">
        <v>94</v>
      </c>
      <c r="C99" s="4">
        <v>8</v>
      </c>
      <c r="D99" s="4" t="s">
        <v>95</v>
      </c>
      <c r="E99" s="4" t="s">
        <v>96</v>
      </c>
      <c r="F99" s="4">
        <v>84506.38</v>
      </c>
      <c r="G99" s="4">
        <v>8190.8</v>
      </c>
      <c r="H99" s="4" t="s">
        <v>255</v>
      </c>
      <c r="I99" s="4"/>
      <c r="J99" s="4"/>
      <c r="K99" s="4"/>
      <c r="L99" s="4"/>
      <c r="M99" s="4"/>
      <c r="N99" s="4"/>
      <c r="O99" s="4"/>
      <c r="P99" s="4"/>
      <c r="Q99" s="4"/>
      <c r="R99" s="4"/>
      <c r="S99" s="4" t="s">
        <v>81</v>
      </c>
      <c r="T99" s="4"/>
      <c r="U99" s="4" t="s">
        <v>82</v>
      </c>
      <c r="V99" s="4"/>
      <c r="W99" s="4"/>
      <c r="X99" s="4"/>
      <c r="Y99" s="4"/>
      <c r="Z99" s="4"/>
      <c r="AA99" s="4"/>
      <c r="AB99" s="4"/>
      <c r="AC99" s="4"/>
      <c r="AD99" s="4" t="s">
        <v>427</v>
      </c>
      <c r="AE99" s="4" t="s">
        <v>81</v>
      </c>
      <c r="AF99" s="4"/>
      <c r="AG99" s="4"/>
      <c r="AH99" s="4"/>
      <c r="AI99" s="4"/>
    </row>
    <row r="100" ht="16" customHeight="1" s="4" customFormat="1">
      <c r="A100" s="4">
        <v>99</v>
      </c>
      <c r="B100" s="4" t="s">
        <v>428</v>
      </c>
      <c r="C100" s="4">
        <v>8</v>
      </c>
      <c r="D100" s="4" t="s">
        <v>292</v>
      </c>
      <c r="E100" s="4" t="s">
        <v>36</v>
      </c>
      <c r="F100" s="4">
        <v>1</v>
      </c>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t="s">
        <v>246</v>
      </c>
      <c r="AH100" s="4"/>
      <c r="AI100" s="4"/>
    </row>
    <row r="101" ht="16" customHeight="1" s="4" customFormat="1">
      <c r="A101" s="4">
        <v>100</v>
      </c>
      <c r="B101" s="4" t="s">
        <v>429</v>
      </c>
      <c r="C101" s="4">
        <v>8</v>
      </c>
      <c r="D101" s="4" t="s">
        <v>430</v>
      </c>
      <c r="E101" s="4" t="s">
        <v>349</v>
      </c>
      <c r="F101" s="4">
        <v>50</v>
      </c>
      <c r="G101" s="4"/>
      <c r="H101" s="4"/>
      <c r="I101" s="4"/>
      <c r="J101" s="4"/>
      <c r="K101" s="4"/>
      <c r="L101" s="4"/>
      <c r="M101" s="4"/>
      <c r="N101" s="4"/>
      <c r="O101" s="4"/>
      <c r="P101" s="4"/>
      <c r="Q101" s="4"/>
      <c r="R101" s="4"/>
      <c r="S101" s="4"/>
      <c r="T101" s="4"/>
      <c r="U101" s="4"/>
      <c r="V101" s="4" t="s">
        <v>83</v>
      </c>
      <c r="W101" s="4"/>
      <c r="X101" s="4"/>
      <c r="Y101" s="4"/>
      <c r="Z101" s="4"/>
      <c r="AA101" s="4"/>
      <c r="AB101" s="4"/>
      <c r="AC101" s="4"/>
      <c r="AD101" s="4"/>
      <c r="AE101" s="4"/>
      <c r="AF101" s="4"/>
      <c r="AG101" s="4"/>
      <c r="AH101" s="4"/>
      <c r="AI101" s="4"/>
    </row>
    <row r="102" ht="16" customHeight="1" s="4" customFormat="1">
      <c r="A102" s="4">
        <v>101</v>
      </c>
      <c r="B102" s="4" t="s">
        <v>431</v>
      </c>
      <c r="C102" s="4">
        <v>8</v>
      </c>
      <c r="D102" s="4" t="s">
        <v>301</v>
      </c>
      <c r="E102" s="4" t="s">
        <v>36</v>
      </c>
      <c r="F102" s="4">
        <v>5</v>
      </c>
      <c r="G102" s="4"/>
      <c r="H102" s="4"/>
      <c r="I102" s="4"/>
      <c r="J102" s="4"/>
      <c r="K102" s="4"/>
      <c r="L102" s="4"/>
      <c r="M102" s="4"/>
      <c r="N102" s="4"/>
      <c r="O102" s="4"/>
      <c r="P102" s="4"/>
      <c r="Q102" s="4"/>
      <c r="R102" s="4"/>
      <c r="S102" s="4"/>
      <c r="T102" s="4"/>
      <c r="U102" s="4" t="s">
        <v>81</v>
      </c>
      <c r="V102" s="4"/>
      <c r="W102" s="4"/>
      <c r="X102" s="4"/>
      <c r="Y102" s="4"/>
      <c r="Z102" s="4"/>
      <c r="AA102" s="4"/>
      <c r="AB102" s="4"/>
      <c r="AC102" s="4"/>
      <c r="AD102" s="4"/>
      <c r="AE102" s="4"/>
      <c r="AF102" s="4"/>
      <c r="AG102" s="4"/>
      <c r="AH102" s="4"/>
      <c r="AI102" s="4"/>
    </row>
    <row r="103" ht="16" customHeight="1" s="4" customFormat="1">
      <c r="A103" s="4">
        <v>102</v>
      </c>
      <c r="B103" s="4" t="s">
        <v>432</v>
      </c>
      <c r="C103" s="4">
        <v>8</v>
      </c>
      <c r="D103" s="4" t="s">
        <v>433</v>
      </c>
      <c r="E103" s="4" t="s">
        <v>36</v>
      </c>
      <c r="F103" s="4">
        <v>0</v>
      </c>
      <c r="G103" s="4"/>
      <c r="H103" s="4"/>
      <c r="I103" s="4"/>
      <c r="J103" s="4"/>
      <c r="K103" s="4"/>
      <c r="L103" s="4"/>
      <c r="M103" s="4"/>
      <c r="N103" s="4"/>
      <c r="O103" s="4"/>
      <c r="P103" s="4"/>
      <c r="Q103" s="4"/>
      <c r="R103" s="4"/>
      <c r="S103" s="4"/>
      <c r="T103" s="4"/>
      <c r="U103" s="4"/>
      <c r="V103" s="4"/>
      <c r="W103" s="4"/>
      <c r="X103" s="4" t="s">
        <v>81</v>
      </c>
      <c r="Y103" s="4"/>
      <c r="Z103" s="4"/>
      <c r="AA103" s="4"/>
      <c r="AB103" s="4"/>
      <c r="AC103" s="4"/>
      <c r="AD103" s="4"/>
      <c r="AE103" s="4"/>
      <c r="AF103" s="4"/>
      <c r="AG103" s="4"/>
      <c r="AH103" s="4"/>
      <c r="AI103" s="4"/>
    </row>
    <row r="104" ht="16" customHeight="1" s="4" customFormat="1">
      <c r="A104" s="4">
        <v>103</v>
      </c>
      <c r="B104" s="4" t="s">
        <v>434</v>
      </c>
      <c r="C104" s="4">
        <v>7</v>
      </c>
      <c r="D104" s="4" t="s">
        <v>301</v>
      </c>
      <c r="E104" s="4" t="s">
        <v>36</v>
      </c>
      <c r="F104" s="4">
        <v>5</v>
      </c>
      <c r="G104" s="4"/>
      <c r="H104" s="4"/>
      <c r="I104" s="4"/>
      <c r="J104" s="4"/>
      <c r="K104" s="4"/>
      <c r="L104" s="4"/>
      <c r="M104" s="4"/>
      <c r="N104" s="4"/>
      <c r="O104" s="4"/>
      <c r="P104" s="4"/>
      <c r="Q104" s="4"/>
      <c r="R104" s="4"/>
      <c r="S104" s="4"/>
      <c r="T104" s="4"/>
      <c r="U104" s="4" t="s">
        <v>83</v>
      </c>
      <c r="V104" s="4"/>
      <c r="W104" s="4"/>
      <c r="X104" s="4"/>
      <c r="Y104" s="4"/>
      <c r="Z104" s="4"/>
      <c r="AA104" s="4"/>
      <c r="AB104" s="4"/>
      <c r="AC104" s="4"/>
      <c r="AD104" s="4"/>
      <c r="AE104" s="4"/>
      <c r="AF104" s="4"/>
      <c r="AG104" s="4"/>
      <c r="AH104" s="4"/>
      <c r="AI104" s="4"/>
    </row>
    <row r="105" ht="16" customHeight="1" s="4" customFormat="1">
      <c r="A105" s="4">
        <v>104</v>
      </c>
      <c r="B105" s="4" t="s">
        <v>435</v>
      </c>
      <c r="C105" s="4">
        <v>7</v>
      </c>
      <c r="D105" s="4" t="s">
        <v>436</v>
      </c>
      <c r="E105" s="4" t="s">
        <v>36</v>
      </c>
      <c r="F105" s="4">
        <v>6</v>
      </c>
      <c r="G105" s="4"/>
      <c r="H105" s="4"/>
      <c r="I105" s="4"/>
      <c r="J105" s="4"/>
      <c r="K105" s="4"/>
      <c r="L105" s="4"/>
      <c r="M105" s="4"/>
      <c r="N105" s="4"/>
      <c r="O105" s="4"/>
      <c r="P105" s="4"/>
      <c r="Q105" s="4"/>
      <c r="R105" s="4"/>
      <c r="S105" s="4"/>
      <c r="T105" s="4" t="s">
        <v>246</v>
      </c>
      <c r="U105" s="4"/>
      <c r="V105" s="4"/>
      <c r="W105" s="4"/>
      <c r="X105" s="4"/>
      <c r="Y105" s="4"/>
      <c r="Z105" s="4"/>
      <c r="AA105" s="4"/>
      <c r="AB105" s="4"/>
      <c r="AC105" s="4"/>
      <c r="AD105" s="4"/>
      <c r="AE105" s="4"/>
      <c r="AF105" s="4"/>
      <c r="AG105" s="4"/>
      <c r="AH105" s="4"/>
      <c r="AI105" s="4"/>
    </row>
    <row r="106" ht="16" customHeight="1" s="4" customFormat="1">
      <c r="A106" s="4">
        <v>105</v>
      </c>
      <c r="B106" s="4" t="s">
        <v>437</v>
      </c>
      <c r="C106" s="4">
        <v>7</v>
      </c>
      <c r="D106" s="4" t="s">
        <v>164</v>
      </c>
      <c r="E106" s="4" t="s">
        <v>36</v>
      </c>
      <c r="F106" s="4">
        <v>4000</v>
      </c>
      <c r="G106" s="4"/>
      <c r="H106" s="4"/>
      <c r="I106" s="4"/>
      <c r="J106" s="4"/>
      <c r="K106" s="4"/>
      <c r="L106" s="4"/>
      <c r="M106" s="4"/>
      <c r="N106" s="4"/>
      <c r="O106" s="4"/>
      <c r="P106" s="4"/>
      <c r="Q106" s="4"/>
      <c r="R106" s="4"/>
      <c r="S106" s="4"/>
      <c r="T106" s="4"/>
      <c r="U106" s="4"/>
      <c r="V106" s="4"/>
      <c r="W106" s="4"/>
      <c r="X106" s="4"/>
      <c r="Y106" s="4"/>
      <c r="Z106" s="4"/>
      <c r="AA106" s="4" t="s">
        <v>81</v>
      </c>
      <c r="AB106" s="4"/>
      <c r="AC106" s="4"/>
      <c r="AD106" s="4"/>
      <c r="AE106" s="4"/>
      <c r="AF106" s="4"/>
      <c r="AG106" s="4"/>
      <c r="AH106" s="4"/>
      <c r="AI106" s="4"/>
    </row>
    <row r="107" ht="16" customHeight="1" s="4" customFormat="1">
      <c r="A107" s="4">
        <v>106</v>
      </c>
      <c r="B107" s="4" t="s">
        <v>438</v>
      </c>
      <c r="C107" s="4">
        <v>7</v>
      </c>
      <c r="D107" s="4" t="s">
        <v>439</v>
      </c>
      <c r="E107" s="4" t="s">
        <v>96</v>
      </c>
      <c r="F107" s="4">
        <v>2576.3</v>
      </c>
      <c r="G107" s="4">
        <v>179.2</v>
      </c>
      <c r="H107" s="4" t="s">
        <v>81</v>
      </c>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16" customHeight="1" s="4" customFormat="1">
      <c r="A108" s="4">
        <v>107</v>
      </c>
      <c r="B108" s="4" t="s">
        <v>440</v>
      </c>
      <c r="C108" s="4">
        <v>7</v>
      </c>
      <c r="D108" s="4" t="s">
        <v>441</v>
      </c>
      <c r="E108" s="4" t="s">
        <v>349</v>
      </c>
      <c r="F108" s="4">
        <v>30</v>
      </c>
      <c r="G108" s="4"/>
      <c r="H108" s="4"/>
      <c r="I108" s="4"/>
      <c r="J108" s="4"/>
      <c r="K108" s="4"/>
      <c r="L108" s="4"/>
      <c r="M108" s="4"/>
      <c r="N108" s="4"/>
      <c r="O108" s="4"/>
      <c r="P108" s="4"/>
      <c r="Q108" s="4"/>
      <c r="R108" s="4"/>
      <c r="S108" s="4"/>
      <c r="T108" s="4"/>
      <c r="U108" s="4"/>
      <c r="V108" s="4" t="s">
        <v>81</v>
      </c>
      <c r="W108" s="4"/>
      <c r="X108" s="4"/>
      <c r="Y108" s="4"/>
      <c r="Z108" s="4"/>
      <c r="AA108" s="4"/>
      <c r="AB108" s="4"/>
      <c r="AC108" s="4"/>
      <c r="AD108" s="4"/>
      <c r="AE108" s="4"/>
      <c r="AF108" s="4"/>
      <c r="AG108" s="4"/>
      <c r="AH108" s="4"/>
      <c r="AI108" s="4"/>
    </row>
    <row r="109" ht="16" customHeight="1" s="4" customFormat="1">
      <c r="A109" s="4">
        <v>108</v>
      </c>
      <c r="B109" s="4" t="s">
        <v>442</v>
      </c>
      <c r="C109" s="4">
        <v>7</v>
      </c>
      <c r="D109" s="4" t="s">
        <v>443</v>
      </c>
      <c r="E109" s="4" t="s">
        <v>36</v>
      </c>
      <c r="F109" s="4">
        <v>59.55</v>
      </c>
      <c r="G109" s="4"/>
      <c r="H109" s="4"/>
      <c r="I109" s="4"/>
      <c r="J109" s="4"/>
      <c r="K109" s="4"/>
      <c r="L109" s="4"/>
      <c r="M109" s="4"/>
      <c r="N109" s="4" t="s">
        <v>246</v>
      </c>
      <c r="O109" s="4"/>
      <c r="P109" s="4"/>
      <c r="Q109" s="4"/>
      <c r="R109" s="4"/>
      <c r="S109" s="4"/>
      <c r="T109" s="4"/>
      <c r="U109" s="4"/>
      <c r="V109" s="4"/>
      <c r="W109" s="4"/>
      <c r="X109" s="4"/>
      <c r="Y109" s="4"/>
      <c r="Z109" s="4"/>
      <c r="AA109" s="4"/>
      <c r="AB109" s="4"/>
      <c r="AC109" s="4"/>
      <c r="AD109" s="4"/>
      <c r="AE109" s="4"/>
      <c r="AF109" s="4"/>
      <c r="AG109" s="4"/>
      <c r="AH109" s="4"/>
      <c r="AI109" s="4"/>
    </row>
    <row r="110" ht="16" customHeight="1" s="4" customFormat="1">
      <c r="A110" s="4">
        <v>109</v>
      </c>
      <c r="B110" s="4" t="s">
        <v>444</v>
      </c>
      <c r="C110" s="4">
        <v>7</v>
      </c>
      <c r="D110" s="4" t="s">
        <v>445</v>
      </c>
      <c r="E110" s="4" t="s">
        <v>93</v>
      </c>
      <c r="F110" s="4">
        <v>1465</v>
      </c>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t="s">
        <v>81</v>
      </c>
      <c r="AH110" s="4"/>
      <c r="AI110" s="4"/>
    </row>
    <row r="111" ht="16" customHeight="1" s="4" customFormat="1">
      <c r="A111" s="4">
        <v>110</v>
      </c>
      <c r="B111" s="4" t="s">
        <v>446</v>
      </c>
      <c r="C111" s="4">
        <v>7</v>
      </c>
      <c r="D111" s="4" t="s">
        <v>447</v>
      </c>
      <c r="E111" s="4" t="s">
        <v>135</v>
      </c>
      <c r="F111" s="4">
        <v>117.9</v>
      </c>
      <c r="G111" s="4">
        <v>21</v>
      </c>
      <c r="H111" s="4"/>
      <c r="I111" s="4"/>
      <c r="J111" s="4"/>
      <c r="K111" s="4"/>
      <c r="L111" s="4"/>
      <c r="M111" s="4"/>
      <c r="N111" s="4"/>
      <c r="O111" s="4"/>
      <c r="P111" s="4"/>
      <c r="Q111" s="4" t="s">
        <v>81</v>
      </c>
      <c r="R111" s="4"/>
      <c r="S111" s="4"/>
      <c r="T111" s="4"/>
      <c r="U111" s="4"/>
      <c r="V111" s="4"/>
      <c r="W111" s="4"/>
      <c r="X111" s="4"/>
      <c r="Y111" s="4"/>
      <c r="Z111" s="4"/>
      <c r="AA111" s="4"/>
      <c r="AB111" s="4"/>
      <c r="AC111" s="4"/>
      <c r="AD111" s="4"/>
      <c r="AE111" s="4"/>
      <c r="AF111" s="4"/>
      <c r="AG111" s="4"/>
      <c r="AH111" s="4"/>
      <c r="AI111" s="4"/>
    </row>
    <row r="112" ht="16" customHeight="1" s="4" customFormat="1">
      <c r="A112" s="4">
        <v>111</v>
      </c>
      <c r="B112" s="4" t="s">
        <v>448</v>
      </c>
      <c r="C112" s="4">
        <v>7</v>
      </c>
      <c r="D112" s="4" t="s">
        <v>449</v>
      </c>
      <c r="E112" s="4" t="s">
        <v>36</v>
      </c>
      <c r="F112" s="4">
        <v>20</v>
      </c>
      <c r="G112" s="4"/>
      <c r="H112" s="4"/>
      <c r="I112" s="4"/>
      <c r="J112" s="4"/>
      <c r="K112" s="4"/>
      <c r="L112" s="4"/>
      <c r="M112" s="4"/>
      <c r="N112" s="4"/>
      <c r="O112" s="4"/>
      <c r="P112" s="4"/>
      <c r="Q112" s="4"/>
      <c r="R112" s="4"/>
      <c r="S112" s="4"/>
      <c r="T112" s="4"/>
      <c r="U112" s="4"/>
      <c r="V112" s="4"/>
      <c r="W112" s="4"/>
      <c r="X112" s="4" t="s">
        <v>81</v>
      </c>
      <c r="Y112" s="4"/>
      <c r="Z112" s="4"/>
      <c r="AA112" s="4"/>
      <c r="AB112" s="4"/>
      <c r="AC112" s="4"/>
      <c r="AD112" s="4"/>
      <c r="AE112" s="4"/>
      <c r="AF112" s="4"/>
      <c r="AG112" s="4"/>
      <c r="AH112" s="4"/>
      <c r="AI112" s="4"/>
    </row>
    <row r="113" ht="16" customHeight="1" s="4" customFormat="1">
      <c r="A113" s="4">
        <v>112</v>
      </c>
      <c r="B113" s="4" t="s">
        <v>450</v>
      </c>
      <c r="C113" s="4">
        <v>7</v>
      </c>
      <c r="D113" s="4" t="s">
        <v>152</v>
      </c>
      <c r="E113" s="4" t="s">
        <v>135</v>
      </c>
      <c r="F113" s="4">
        <v>595643</v>
      </c>
      <c r="G113" s="4">
        <v>1811</v>
      </c>
      <c r="H113" s="4"/>
      <c r="I113" s="4"/>
      <c r="J113" s="4"/>
      <c r="K113" s="4"/>
      <c r="L113" s="4"/>
      <c r="M113" s="4"/>
      <c r="N113" s="4" t="s">
        <v>246</v>
      </c>
      <c r="O113" s="4"/>
      <c r="P113" s="4"/>
      <c r="Q113" s="4"/>
      <c r="R113" s="4"/>
      <c r="S113" s="4"/>
      <c r="T113" s="4"/>
      <c r="U113" s="4"/>
      <c r="V113" s="4"/>
      <c r="W113" s="4"/>
      <c r="X113" s="4"/>
      <c r="Y113" s="4"/>
      <c r="Z113" s="4"/>
      <c r="AA113" s="4"/>
      <c r="AB113" s="4"/>
      <c r="AC113" s="4"/>
      <c r="AD113" s="4"/>
      <c r="AE113" s="4"/>
      <c r="AF113" s="4"/>
      <c r="AG113" s="4"/>
      <c r="AH113" s="4"/>
      <c r="AI113" s="4"/>
    </row>
    <row r="114" ht="16" customHeight="1" s="4" customFormat="1">
      <c r="A114" s="4">
        <v>113</v>
      </c>
      <c r="B114" s="4" t="s">
        <v>451</v>
      </c>
      <c r="C114" s="4">
        <v>7</v>
      </c>
      <c r="D114" s="4" t="s">
        <v>137</v>
      </c>
      <c r="E114" s="4" t="s">
        <v>414</v>
      </c>
      <c r="F114" s="4">
        <v>1880</v>
      </c>
      <c r="G114" s="4"/>
      <c r="H114" s="4"/>
      <c r="I114" s="4"/>
      <c r="J114" s="4"/>
      <c r="K114" s="4"/>
      <c r="L114" s="4"/>
      <c r="M114" s="4"/>
      <c r="N114" s="4"/>
      <c r="O114" s="4"/>
      <c r="P114" s="4"/>
      <c r="Q114" s="4"/>
      <c r="R114" s="4"/>
      <c r="S114" s="4"/>
      <c r="T114" s="4"/>
      <c r="U114" s="4"/>
      <c r="V114" s="4" t="s">
        <v>81</v>
      </c>
      <c r="W114" s="4"/>
      <c r="X114" s="4"/>
      <c r="Y114" s="4"/>
      <c r="Z114" s="4"/>
      <c r="AA114" s="4"/>
      <c r="AB114" s="4"/>
      <c r="AC114" s="4"/>
      <c r="AD114" s="4"/>
      <c r="AE114" s="4"/>
      <c r="AF114" s="4"/>
      <c r="AG114" s="4"/>
      <c r="AH114" s="4"/>
      <c r="AI114" s="4"/>
    </row>
    <row r="115" ht="16" customHeight="1" s="4" customFormat="1">
      <c r="A115" s="4">
        <v>114</v>
      </c>
      <c r="B115" s="4" t="s">
        <v>452</v>
      </c>
      <c r="C115" s="4">
        <v>7</v>
      </c>
      <c r="D115" s="4" t="s">
        <v>453</v>
      </c>
      <c r="E115" s="4" t="s">
        <v>36</v>
      </c>
      <c r="F115" s="4">
        <v>86787.12</v>
      </c>
      <c r="G115" s="4">
        <v>37696</v>
      </c>
      <c r="H115" s="4"/>
      <c r="I115" s="4"/>
      <c r="J115" s="4"/>
      <c r="K115" s="4"/>
      <c r="L115" s="4"/>
      <c r="M115" s="4"/>
      <c r="N115" s="4"/>
      <c r="O115" s="4"/>
      <c r="P115" s="4"/>
      <c r="Q115" s="4"/>
      <c r="R115" s="4"/>
      <c r="S115" s="4"/>
      <c r="T115" s="4" t="s">
        <v>246</v>
      </c>
      <c r="U115" s="4"/>
      <c r="V115" s="4" t="s">
        <v>246</v>
      </c>
      <c r="W115" s="4"/>
      <c r="X115" s="4"/>
      <c r="Y115" s="4"/>
      <c r="Z115" s="4"/>
      <c r="AA115" s="4"/>
      <c r="AB115" s="4"/>
      <c r="AC115" s="4"/>
      <c r="AD115" s="4"/>
      <c r="AE115" s="4"/>
      <c r="AF115" s="4"/>
      <c r="AG115" s="4"/>
      <c r="AH115" s="4"/>
      <c r="AI115" s="4"/>
    </row>
    <row r="116" ht="16" customHeight="1" s="4" customFormat="1">
      <c r="A116" s="4">
        <v>115</v>
      </c>
      <c r="B116" s="4" t="s">
        <v>454</v>
      </c>
      <c r="C116" s="4">
        <v>7</v>
      </c>
      <c r="D116" s="4" t="s">
        <v>455</v>
      </c>
      <c r="E116" s="4" t="s">
        <v>119</v>
      </c>
      <c r="F116" s="4">
        <v>1</v>
      </c>
      <c r="G116" s="4"/>
      <c r="H116" s="4"/>
      <c r="I116" s="4"/>
      <c r="J116" s="4"/>
      <c r="K116" s="4"/>
      <c r="L116" s="4"/>
      <c r="M116" s="4"/>
      <c r="N116" s="4" t="s">
        <v>246</v>
      </c>
      <c r="O116" s="4"/>
      <c r="P116" s="4"/>
      <c r="Q116" s="4"/>
      <c r="R116" s="4"/>
      <c r="S116" s="4"/>
      <c r="T116" s="4"/>
      <c r="U116" s="4"/>
      <c r="V116" s="4"/>
      <c r="W116" s="4"/>
      <c r="X116" s="4"/>
      <c r="Y116" s="4"/>
      <c r="Z116" s="4"/>
      <c r="AA116" s="4"/>
      <c r="AB116" s="4"/>
      <c r="AC116" s="4"/>
      <c r="AD116" s="4"/>
      <c r="AE116" s="4"/>
      <c r="AF116" s="4"/>
      <c r="AG116" s="4"/>
      <c r="AH116" s="4"/>
      <c r="AI116" s="4"/>
    </row>
    <row r="117" ht="16" customHeight="1" s="4" customFormat="1">
      <c r="A117" s="4">
        <v>116</v>
      </c>
      <c r="B117" s="4" t="s">
        <v>456</v>
      </c>
      <c r="C117" s="4">
        <v>7</v>
      </c>
      <c r="D117" s="4" t="s">
        <v>457</v>
      </c>
      <c r="E117" s="4" t="s">
        <v>411</v>
      </c>
      <c r="F117" s="4">
        <v>72.6</v>
      </c>
      <c r="G117" s="4"/>
      <c r="H117" s="4"/>
      <c r="I117" s="4"/>
      <c r="J117" s="4"/>
      <c r="K117" s="4"/>
      <c r="L117" s="4"/>
      <c r="M117" s="4"/>
      <c r="N117" s="4"/>
      <c r="O117" s="4"/>
      <c r="P117" s="4"/>
      <c r="Q117" s="4"/>
      <c r="R117" s="4"/>
      <c r="S117" s="4"/>
      <c r="T117" s="4"/>
      <c r="U117" s="4"/>
      <c r="V117" s="4"/>
      <c r="W117" s="4" t="s">
        <v>81</v>
      </c>
      <c r="X117" s="4"/>
      <c r="Y117" s="4"/>
      <c r="Z117" s="4"/>
      <c r="AA117" s="4"/>
      <c r="AB117" s="4"/>
      <c r="AC117" s="4"/>
      <c r="AD117" s="4"/>
      <c r="AE117" s="4"/>
      <c r="AF117" s="4"/>
      <c r="AG117" s="4"/>
      <c r="AH117" s="4"/>
      <c r="AI117" s="4"/>
    </row>
    <row r="118" ht="16" customHeight="1" s="4" customFormat="1">
      <c r="A118" s="4">
        <v>117</v>
      </c>
      <c r="B118" s="4" t="s">
        <v>458</v>
      </c>
      <c r="C118" s="4">
        <v>6</v>
      </c>
      <c r="D118" s="4" t="s">
        <v>459</v>
      </c>
      <c r="E118" s="4" t="s">
        <v>36</v>
      </c>
      <c r="F118" s="4">
        <v>5</v>
      </c>
      <c r="G118" s="4"/>
      <c r="H118" s="4"/>
      <c r="I118" s="4"/>
      <c r="J118" s="4"/>
      <c r="K118" s="4"/>
      <c r="L118" s="4"/>
      <c r="M118" s="4"/>
      <c r="N118" s="4"/>
      <c r="O118" s="4"/>
      <c r="P118" s="4"/>
      <c r="Q118" s="4"/>
      <c r="R118" s="4"/>
      <c r="S118" s="4"/>
      <c r="T118" s="4"/>
      <c r="U118" s="4"/>
      <c r="V118" s="4"/>
      <c r="W118" s="4"/>
      <c r="X118" s="4" t="s">
        <v>81</v>
      </c>
      <c r="Y118" s="4"/>
      <c r="Z118" s="4"/>
      <c r="AA118" s="4"/>
      <c r="AB118" s="4"/>
      <c r="AC118" s="4"/>
      <c r="AD118" s="4"/>
      <c r="AE118" s="4"/>
      <c r="AF118" s="4"/>
      <c r="AG118" s="4"/>
      <c r="AH118" s="4"/>
      <c r="AI118" s="4"/>
    </row>
    <row r="119" ht="16" customHeight="1" s="4" customFormat="1">
      <c r="A119" s="4">
        <v>118</v>
      </c>
      <c r="B119" s="4" t="s">
        <v>460</v>
      </c>
      <c r="C119" s="4">
        <v>6</v>
      </c>
      <c r="D119" s="4" t="s">
        <v>461</v>
      </c>
      <c r="E119" s="4" t="s">
        <v>36</v>
      </c>
      <c r="F119" s="4">
        <v>431.44</v>
      </c>
      <c r="G119" s="4"/>
      <c r="H119" s="4"/>
      <c r="I119" s="4"/>
      <c r="J119" s="4"/>
      <c r="K119" s="4"/>
      <c r="L119" s="4"/>
      <c r="M119" s="4"/>
      <c r="N119" s="4"/>
      <c r="O119" s="4"/>
      <c r="P119" s="4"/>
      <c r="Q119" s="4"/>
      <c r="R119" s="4"/>
      <c r="S119" s="4"/>
      <c r="T119" s="4"/>
      <c r="U119" s="4"/>
      <c r="V119" s="4"/>
      <c r="W119" s="4"/>
      <c r="X119" s="4"/>
      <c r="Y119" s="4" t="s">
        <v>246</v>
      </c>
      <c r="Z119" s="4"/>
      <c r="AA119" s="4"/>
      <c r="AB119" s="4"/>
      <c r="AC119" s="4"/>
      <c r="AD119" s="4"/>
      <c r="AE119" s="4"/>
      <c r="AF119" s="4"/>
      <c r="AG119" s="4"/>
      <c r="AH119" s="4"/>
      <c r="AI119" s="4"/>
    </row>
    <row r="120" ht="16" customHeight="1" s="4" customFormat="1">
      <c r="A120" s="4">
        <v>119</v>
      </c>
      <c r="B120" s="4" t="s">
        <v>462</v>
      </c>
      <c r="C120" s="4">
        <v>6</v>
      </c>
      <c r="D120" s="4" t="s">
        <v>463</v>
      </c>
      <c r="E120" s="4" t="s">
        <v>36</v>
      </c>
      <c r="F120" s="4">
        <v>467.33</v>
      </c>
      <c r="G120" s="4">
        <v>1110</v>
      </c>
      <c r="H120" s="4"/>
      <c r="I120" s="4"/>
      <c r="J120" s="4"/>
      <c r="K120" s="4"/>
      <c r="L120" s="4"/>
      <c r="M120" s="4"/>
      <c r="N120" s="4"/>
      <c r="O120" s="4"/>
      <c r="P120" s="4"/>
      <c r="Q120" s="4"/>
      <c r="R120" s="4"/>
      <c r="S120" s="4" t="s">
        <v>81</v>
      </c>
      <c r="T120" s="4"/>
      <c r="U120" s="4"/>
      <c r="V120" s="4"/>
      <c r="W120" s="4"/>
      <c r="X120" s="4"/>
      <c r="Y120" s="4"/>
      <c r="Z120" s="4"/>
      <c r="AA120" s="4"/>
      <c r="AB120" s="4"/>
      <c r="AC120" s="4"/>
      <c r="AD120" s="4"/>
      <c r="AE120" s="4" t="s">
        <v>81</v>
      </c>
      <c r="AF120" s="4"/>
      <c r="AG120" s="4"/>
      <c r="AH120" s="4"/>
      <c r="AI120" s="4"/>
    </row>
    <row r="121" ht="16" customHeight="1" s="4" customFormat="1">
      <c r="A121" s="4">
        <v>120</v>
      </c>
      <c r="B121" s="4" t="s">
        <v>464</v>
      </c>
      <c r="C121" s="4">
        <v>6</v>
      </c>
      <c r="D121" s="4" t="s">
        <v>465</v>
      </c>
      <c r="E121" s="4" t="s">
        <v>36</v>
      </c>
      <c r="F121" s="4">
        <v>700</v>
      </c>
      <c r="G121" s="4"/>
      <c r="H121" s="4"/>
      <c r="I121" s="4"/>
      <c r="J121" s="4"/>
      <c r="K121" s="4"/>
      <c r="L121" s="4"/>
      <c r="M121" s="4"/>
      <c r="N121" s="4"/>
      <c r="O121" s="4"/>
      <c r="P121" s="4"/>
      <c r="Q121" s="4"/>
      <c r="R121" s="4"/>
      <c r="S121" s="4"/>
      <c r="T121" s="4"/>
      <c r="U121" s="4"/>
      <c r="V121" s="4"/>
      <c r="W121" s="4"/>
      <c r="X121" s="4"/>
      <c r="Y121" s="4" t="s">
        <v>81</v>
      </c>
      <c r="Z121" s="4"/>
      <c r="AA121" s="4"/>
      <c r="AB121" s="4"/>
      <c r="AC121" s="4"/>
      <c r="AD121" s="4"/>
      <c r="AE121" s="4"/>
      <c r="AF121" s="4"/>
      <c r="AG121" s="4"/>
      <c r="AH121" s="4"/>
      <c r="AI121" s="4"/>
    </row>
    <row r="122" ht="16" customHeight="1" s="4" customFormat="1">
      <c r="A122" s="4">
        <v>121</v>
      </c>
      <c r="B122" s="4" t="s">
        <v>466</v>
      </c>
      <c r="C122" s="4">
        <v>6</v>
      </c>
      <c r="D122" s="4" t="s">
        <v>467</v>
      </c>
      <c r="E122" s="4" t="s">
        <v>349</v>
      </c>
      <c r="F122" s="4">
        <v>2498.13</v>
      </c>
      <c r="G122" s="4"/>
      <c r="H122" s="4"/>
      <c r="I122" s="4"/>
      <c r="J122" s="4"/>
      <c r="K122" s="4"/>
      <c r="L122" s="4"/>
      <c r="M122" s="4"/>
      <c r="N122" s="4"/>
      <c r="O122" s="4"/>
      <c r="P122" s="4"/>
      <c r="Q122" s="4"/>
      <c r="R122" s="4"/>
      <c r="S122" s="4"/>
      <c r="T122" s="4"/>
      <c r="U122" s="4"/>
      <c r="V122" s="4" t="s">
        <v>83</v>
      </c>
      <c r="W122" s="4"/>
      <c r="X122" s="4"/>
      <c r="Y122" s="4"/>
      <c r="Z122" s="4"/>
      <c r="AA122" s="4"/>
      <c r="AB122" s="4"/>
      <c r="AC122" s="4"/>
      <c r="AD122" s="4"/>
      <c r="AE122" s="4"/>
      <c r="AF122" s="4"/>
      <c r="AG122" s="4"/>
      <c r="AH122" s="4"/>
      <c r="AI122" s="4"/>
    </row>
    <row r="123" ht="16" customHeight="1" s="4" customFormat="1">
      <c r="A123" s="4">
        <v>122</v>
      </c>
      <c r="B123" s="4" t="s">
        <v>468</v>
      </c>
      <c r="C123" s="4">
        <v>6</v>
      </c>
      <c r="D123" s="4" t="s">
        <v>469</v>
      </c>
      <c r="E123" s="4" t="s">
        <v>145</v>
      </c>
      <c r="F123" s="4">
        <v>18.54</v>
      </c>
      <c r="G123" s="4"/>
      <c r="H123" s="4"/>
      <c r="I123" s="4"/>
      <c r="J123" s="4"/>
      <c r="K123" s="4"/>
      <c r="L123" s="4"/>
      <c r="M123" s="4"/>
      <c r="N123" s="4"/>
      <c r="O123" s="4"/>
      <c r="P123" s="4"/>
      <c r="Q123" s="4"/>
      <c r="R123" s="4"/>
      <c r="S123" s="4"/>
      <c r="T123" s="4"/>
      <c r="U123" s="4"/>
      <c r="V123" s="4"/>
      <c r="W123" s="4" t="s">
        <v>246</v>
      </c>
      <c r="X123" s="4"/>
      <c r="Y123" s="4"/>
      <c r="Z123" s="4"/>
      <c r="AA123" s="4"/>
      <c r="AB123" s="4"/>
      <c r="AC123" s="4"/>
      <c r="AD123" s="4"/>
      <c r="AE123" s="4"/>
      <c r="AF123" s="4"/>
      <c r="AG123" s="4"/>
      <c r="AH123" s="4"/>
      <c r="AI123" s="4"/>
    </row>
    <row r="124" ht="16" customHeight="1" s="4" customFormat="1">
      <c r="A124" s="4">
        <v>123</v>
      </c>
      <c r="B124" s="4" t="s">
        <v>470</v>
      </c>
      <c r="C124" s="4">
        <v>6</v>
      </c>
      <c r="D124" s="4" t="s">
        <v>471</v>
      </c>
      <c r="E124" s="4" t="s">
        <v>36</v>
      </c>
      <c r="F124" s="4">
        <v>100.1</v>
      </c>
      <c r="G124" s="4"/>
      <c r="H124" s="4"/>
      <c r="I124" s="4"/>
      <c r="J124" s="4"/>
      <c r="K124" s="4"/>
      <c r="L124" s="4"/>
      <c r="M124" s="4"/>
      <c r="N124" s="4"/>
      <c r="O124" s="4"/>
      <c r="P124" s="4"/>
      <c r="Q124" s="4"/>
      <c r="R124" s="4"/>
      <c r="S124" s="4"/>
      <c r="T124" s="4"/>
      <c r="U124" s="4"/>
      <c r="V124" s="4"/>
      <c r="W124" s="4"/>
      <c r="X124" s="4"/>
      <c r="Y124" s="4"/>
      <c r="Z124" s="4"/>
      <c r="AA124" s="4"/>
      <c r="AB124" s="4" t="s">
        <v>83</v>
      </c>
      <c r="AC124" s="4"/>
      <c r="AD124" s="4"/>
      <c r="AE124" s="4"/>
      <c r="AF124" s="4"/>
      <c r="AG124" s="4"/>
      <c r="AH124" s="4"/>
      <c r="AI124" s="4"/>
    </row>
    <row r="125" ht="16" customHeight="1" s="4" customFormat="1">
      <c r="A125" s="4">
        <v>124</v>
      </c>
      <c r="B125" s="4" t="s">
        <v>472</v>
      </c>
      <c r="C125" s="4">
        <v>6</v>
      </c>
      <c r="D125" s="4" t="s">
        <v>301</v>
      </c>
      <c r="E125" s="4" t="s">
        <v>36</v>
      </c>
      <c r="F125" s="4">
        <v>5</v>
      </c>
      <c r="G125" s="4"/>
      <c r="H125" s="4"/>
      <c r="I125" s="4"/>
      <c r="J125" s="4"/>
      <c r="K125" s="4"/>
      <c r="L125" s="4"/>
      <c r="M125" s="4"/>
      <c r="N125" s="4"/>
      <c r="O125" s="4"/>
      <c r="P125" s="4"/>
      <c r="Q125" s="4"/>
      <c r="R125" s="4"/>
      <c r="S125" s="4"/>
      <c r="T125" s="4"/>
      <c r="U125" s="4" t="s">
        <v>83</v>
      </c>
      <c r="V125" s="4"/>
      <c r="W125" s="4"/>
      <c r="X125" s="4"/>
      <c r="Y125" s="4"/>
      <c r="Z125" s="4"/>
      <c r="AA125" s="4"/>
      <c r="AB125" s="4"/>
      <c r="AC125" s="4"/>
      <c r="AD125" s="4"/>
      <c r="AE125" s="4"/>
      <c r="AF125" s="4"/>
      <c r="AG125" s="4"/>
      <c r="AH125" s="4"/>
      <c r="AI125" s="4"/>
    </row>
    <row r="126" ht="16" customHeight="1" s="4" customFormat="1">
      <c r="A126" s="4">
        <v>125</v>
      </c>
      <c r="B126" s="4" t="s">
        <v>473</v>
      </c>
      <c r="C126" s="4">
        <v>6</v>
      </c>
      <c r="D126" s="4" t="s">
        <v>474</v>
      </c>
      <c r="E126" s="4" t="s">
        <v>36</v>
      </c>
      <c r="F126" s="4">
        <v>0</v>
      </c>
      <c r="G126" s="4"/>
      <c r="H126" s="4"/>
      <c r="I126" s="4"/>
      <c r="J126" s="4"/>
      <c r="K126" s="4"/>
      <c r="L126" s="4"/>
      <c r="M126" s="4"/>
      <c r="N126" s="4"/>
      <c r="O126" s="4"/>
      <c r="P126" s="4"/>
      <c r="Q126" s="4"/>
      <c r="R126" s="4"/>
      <c r="S126" s="4"/>
      <c r="T126" s="4"/>
      <c r="U126" s="4"/>
      <c r="V126" s="4" t="s">
        <v>81</v>
      </c>
      <c r="W126" s="4"/>
      <c r="X126" s="4"/>
      <c r="Y126" s="4"/>
      <c r="Z126" s="4"/>
      <c r="AA126" s="4"/>
      <c r="AB126" s="4"/>
      <c r="AC126" s="4"/>
      <c r="AD126" s="4"/>
      <c r="AE126" s="4"/>
      <c r="AF126" s="4"/>
      <c r="AG126" s="4"/>
      <c r="AH126" s="4"/>
      <c r="AI126" s="4"/>
    </row>
    <row r="127" ht="16" customHeight="1" s="4" customFormat="1">
      <c r="A127" s="4">
        <v>126</v>
      </c>
      <c r="B127" s="4" t="s">
        <v>475</v>
      </c>
      <c r="C127" s="4">
        <v>6</v>
      </c>
      <c r="D127" s="4" t="s">
        <v>85</v>
      </c>
      <c r="E127" s="4" t="s">
        <v>36</v>
      </c>
      <c r="F127" s="4">
        <v>1</v>
      </c>
      <c r="G127" s="4"/>
      <c r="H127" s="4"/>
      <c r="I127" s="4"/>
      <c r="J127" s="4"/>
      <c r="K127" s="4"/>
      <c r="L127" s="4"/>
      <c r="M127" s="4"/>
      <c r="N127" s="4"/>
      <c r="O127" s="4"/>
      <c r="P127" s="4"/>
      <c r="Q127" s="4" t="s">
        <v>246</v>
      </c>
      <c r="R127" s="4"/>
      <c r="S127" s="4"/>
      <c r="T127" s="4"/>
      <c r="U127" s="4"/>
      <c r="V127" s="4"/>
      <c r="W127" s="4"/>
      <c r="X127" s="4"/>
      <c r="Y127" s="4"/>
      <c r="Z127" s="4"/>
      <c r="AA127" s="4"/>
      <c r="AB127" s="4"/>
      <c r="AC127" s="4"/>
      <c r="AD127" s="4"/>
      <c r="AE127" s="4"/>
      <c r="AF127" s="4"/>
      <c r="AG127" s="4"/>
      <c r="AH127" s="4"/>
      <c r="AI127" s="4"/>
    </row>
    <row r="128" ht="16" customHeight="1" s="4" customFormat="1">
      <c r="A128" s="4">
        <v>127</v>
      </c>
      <c r="B128" s="4" t="s">
        <v>476</v>
      </c>
      <c r="C128" s="4">
        <v>6</v>
      </c>
      <c r="D128" s="4" t="s">
        <v>477</v>
      </c>
      <c r="E128" s="4" t="s">
        <v>36</v>
      </c>
      <c r="F128" s="4">
        <v>2145.34</v>
      </c>
      <c r="G128" s="4">
        <v>0.1</v>
      </c>
      <c r="H128" s="4"/>
      <c r="I128" s="4"/>
      <c r="J128" s="4"/>
      <c r="K128" s="4"/>
      <c r="L128" s="4"/>
      <c r="M128" s="4" t="s">
        <v>81</v>
      </c>
      <c r="N128" s="4"/>
      <c r="O128" s="4"/>
      <c r="P128" s="4"/>
      <c r="Q128" s="4"/>
      <c r="R128" s="4"/>
      <c r="S128" s="4"/>
      <c r="T128" s="4"/>
      <c r="U128" s="4"/>
      <c r="V128" s="4"/>
      <c r="W128" s="4"/>
      <c r="X128" s="4"/>
      <c r="Y128" s="4"/>
      <c r="Z128" s="4"/>
      <c r="AA128" s="4"/>
      <c r="AB128" s="4"/>
      <c r="AC128" s="4"/>
      <c r="AD128" s="4"/>
      <c r="AE128" s="4"/>
      <c r="AF128" s="4"/>
      <c r="AG128" s="4"/>
      <c r="AH128" s="4"/>
      <c r="AI128" s="4"/>
    </row>
    <row r="129" ht="16" customHeight="1" s="4" customFormat="1">
      <c r="A129" s="4">
        <v>128</v>
      </c>
      <c r="B129" s="4" t="s">
        <v>478</v>
      </c>
      <c r="C129" s="4">
        <v>6</v>
      </c>
      <c r="D129" s="4" t="s">
        <v>479</v>
      </c>
      <c r="E129" s="4" t="s">
        <v>96</v>
      </c>
      <c r="F129" s="4">
        <v>1410</v>
      </c>
      <c r="G129" s="4">
        <v>128.8</v>
      </c>
      <c r="H129" s="4" t="s">
        <v>81</v>
      </c>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16" customHeight="1" s="4" customFormat="1">
      <c r="A130" s="4">
        <v>129</v>
      </c>
      <c r="B130" s="4" t="s">
        <v>480</v>
      </c>
      <c r="C130" s="4">
        <v>6</v>
      </c>
      <c r="D130" s="4" t="s">
        <v>481</v>
      </c>
      <c r="E130" s="4" t="s">
        <v>167</v>
      </c>
      <c r="F130" s="4">
        <v>7402.32</v>
      </c>
      <c r="G130" s="4">
        <v>734.7</v>
      </c>
      <c r="H130" s="4"/>
      <c r="I130" s="4"/>
      <c r="J130" s="4"/>
      <c r="K130" s="4"/>
      <c r="L130" s="4"/>
      <c r="M130" s="4"/>
      <c r="N130" s="4" t="s">
        <v>81</v>
      </c>
      <c r="O130" s="4"/>
      <c r="P130" s="4"/>
      <c r="Q130" s="4"/>
      <c r="R130" s="4"/>
      <c r="S130" s="4"/>
      <c r="T130" s="4"/>
      <c r="U130" s="4"/>
      <c r="V130" s="4"/>
      <c r="W130" s="4"/>
      <c r="X130" s="4"/>
      <c r="Y130" s="4"/>
      <c r="Z130" s="4"/>
      <c r="AA130" s="4"/>
      <c r="AB130" s="4"/>
      <c r="AC130" s="4"/>
      <c r="AD130" s="4"/>
      <c r="AE130" s="4"/>
      <c r="AF130" s="4"/>
      <c r="AG130" s="4"/>
      <c r="AH130" s="4"/>
      <c r="AI130" s="4"/>
    </row>
    <row r="131" ht="16" customHeight="1" s="4" customFormat="1">
      <c r="A131" s="4">
        <v>130</v>
      </c>
      <c r="B131" s="4" t="s">
        <v>482</v>
      </c>
      <c r="C131" s="4">
        <v>6</v>
      </c>
      <c r="D131" s="4" t="s">
        <v>467</v>
      </c>
      <c r="E131" s="4" t="s">
        <v>36</v>
      </c>
      <c r="F131" s="4">
        <v>20751.77</v>
      </c>
      <c r="G131" s="4"/>
      <c r="H131" s="4"/>
      <c r="I131" s="4"/>
      <c r="J131" s="4"/>
      <c r="K131" s="4"/>
      <c r="L131" s="4"/>
      <c r="M131" s="4"/>
      <c r="N131" s="4"/>
      <c r="O131" s="4"/>
      <c r="P131" s="4"/>
      <c r="Q131" s="4"/>
      <c r="R131" s="4" t="s">
        <v>81</v>
      </c>
      <c r="S131" s="4"/>
      <c r="T131" s="4"/>
      <c r="U131" s="4"/>
      <c r="V131" s="4"/>
      <c r="W131" s="4"/>
      <c r="X131" s="4"/>
      <c r="Y131" s="4"/>
      <c r="Z131" s="4"/>
      <c r="AA131" s="4"/>
      <c r="AB131" s="4"/>
      <c r="AC131" s="4"/>
      <c r="AD131" s="4"/>
      <c r="AE131" s="4"/>
      <c r="AF131" s="4"/>
      <c r="AG131" s="4"/>
      <c r="AH131" s="4"/>
      <c r="AI131" s="4"/>
    </row>
    <row r="132" ht="16" customHeight="1" s="4" customFormat="1">
      <c r="A132" s="4">
        <v>131</v>
      </c>
      <c r="B132" s="4" t="s">
        <v>483</v>
      </c>
      <c r="C132" s="4">
        <v>6</v>
      </c>
      <c r="D132" s="4" t="s">
        <v>484</v>
      </c>
      <c r="E132" s="4" t="s">
        <v>96</v>
      </c>
      <c r="F132" s="4">
        <v>200</v>
      </c>
      <c r="G132" s="4"/>
      <c r="H132" s="4"/>
      <c r="I132" s="4"/>
      <c r="J132" s="4"/>
      <c r="K132" s="4"/>
      <c r="L132" s="4"/>
      <c r="M132" s="4"/>
      <c r="N132" s="4"/>
      <c r="O132" s="4"/>
      <c r="P132" s="4"/>
      <c r="Q132" s="4"/>
      <c r="R132" s="4"/>
      <c r="S132" s="4"/>
      <c r="T132" s="4"/>
      <c r="U132" s="4"/>
      <c r="V132" s="4"/>
      <c r="W132" s="4"/>
      <c r="X132" s="4"/>
      <c r="Y132" s="4"/>
      <c r="Z132" s="4" t="s">
        <v>246</v>
      </c>
      <c r="AA132" s="4"/>
      <c r="AB132" s="4" t="s">
        <v>246</v>
      </c>
      <c r="AC132" s="4"/>
      <c r="AD132" s="4"/>
      <c r="AE132" s="4"/>
      <c r="AF132" s="4"/>
      <c r="AG132" s="4"/>
      <c r="AH132" s="4"/>
      <c r="AI132" s="4"/>
    </row>
    <row r="133" ht="16" customHeight="1" s="4" customFormat="1">
      <c r="A133" s="4">
        <v>132</v>
      </c>
      <c r="B133" s="4" t="s">
        <v>485</v>
      </c>
      <c r="C133" s="4">
        <v>6</v>
      </c>
      <c r="D133" s="4" t="s">
        <v>486</v>
      </c>
      <c r="E133" s="4" t="s">
        <v>411</v>
      </c>
      <c r="F133" s="4">
        <v>1</v>
      </c>
      <c r="G133" s="4"/>
      <c r="H133" s="4"/>
      <c r="I133" s="4"/>
      <c r="J133" s="4"/>
      <c r="K133" s="4"/>
      <c r="L133" s="4"/>
      <c r="M133" s="4"/>
      <c r="N133" s="4"/>
      <c r="O133" s="4"/>
      <c r="P133" s="4"/>
      <c r="Q133" s="4" t="s">
        <v>248</v>
      </c>
      <c r="R133" s="4"/>
      <c r="S133" s="4"/>
      <c r="T133" s="4"/>
      <c r="U133" s="4"/>
      <c r="V133" s="4"/>
      <c r="W133" s="4"/>
      <c r="X133" s="4"/>
      <c r="Y133" s="4"/>
      <c r="Z133" s="4"/>
      <c r="AA133" s="4"/>
      <c r="AB133" s="4"/>
      <c r="AC133" s="4"/>
      <c r="AD133" s="4"/>
      <c r="AE133" s="4"/>
      <c r="AF133" s="4"/>
      <c r="AG133" s="4"/>
      <c r="AH133" s="4"/>
      <c r="AI133" s="4"/>
    </row>
    <row r="134" ht="16" customHeight="1" s="4" customFormat="1">
      <c r="A134" s="4">
        <v>133</v>
      </c>
      <c r="B134" s="4" t="s">
        <v>487</v>
      </c>
      <c r="C134" s="4">
        <v>6</v>
      </c>
      <c r="D134" s="4" t="s">
        <v>341</v>
      </c>
      <c r="E134" s="4" t="s">
        <v>36</v>
      </c>
      <c r="F134" s="4">
        <v>988</v>
      </c>
      <c r="G134" s="4">
        <v>342</v>
      </c>
      <c r="H134" s="4"/>
      <c r="I134" s="4"/>
      <c r="J134" s="4"/>
      <c r="K134" s="4"/>
      <c r="L134" s="4"/>
      <c r="M134" s="4" t="s">
        <v>246</v>
      </c>
      <c r="N134" s="4"/>
      <c r="O134" s="4"/>
      <c r="P134" s="4"/>
      <c r="Q134" s="4"/>
      <c r="R134" s="4"/>
      <c r="S134" s="4"/>
      <c r="T134" s="4"/>
      <c r="U134" s="4"/>
      <c r="V134" s="4"/>
      <c r="W134" s="4"/>
      <c r="X134" s="4"/>
      <c r="Y134" s="4"/>
      <c r="Z134" s="4"/>
      <c r="AA134" s="4"/>
      <c r="AB134" s="4"/>
      <c r="AC134" s="4"/>
      <c r="AD134" s="4"/>
      <c r="AE134" s="4"/>
      <c r="AF134" s="4"/>
      <c r="AG134" s="4"/>
      <c r="AH134" s="4"/>
      <c r="AI134" s="4"/>
    </row>
    <row r="135" ht="16" customHeight="1" s="4" customFormat="1">
      <c r="A135" s="4">
        <v>134</v>
      </c>
      <c r="B135" s="4" t="s">
        <v>488</v>
      </c>
      <c r="C135" s="4">
        <v>6</v>
      </c>
      <c r="D135" s="4" t="s">
        <v>489</v>
      </c>
      <c r="E135" s="4" t="s">
        <v>93</v>
      </c>
      <c r="F135" s="4">
        <v>1677.19</v>
      </c>
      <c r="G135" s="4">
        <v>636.7</v>
      </c>
      <c r="H135" s="4"/>
      <c r="I135" s="4"/>
      <c r="J135" s="4"/>
      <c r="K135" s="4"/>
      <c r="L135" s="4"/>
      <c r="M135" s="4"/>
      <c r="N135" s="4"/>
      <c r="O135" s="4"/>
      <c r="P135" s="4"/>
      <c r="Q135" s="4"/>
      <c r="R135" s="4"/>
      <c r="S135" s="4" t="s">
        <v>81</v>
      </c>
      <c r="T135" s="4"/>
      <c r="U135" s="4"/>
      <c r="V135" s="4"/>
      <c r="W135" s="4"/>
      <c r="X135" s="4"/>
      <c r="Y135" s="4"/>
      <c r="Z135" s="4"/>
      <c r="AA135" s="4"/>
      <c r="AB135" s="4"/>
      <c r="AC135" s="4"/>
      <c r="AD135" s="4"/>
      <c r="AE135" s="4"/>
      <c r="AF135" s="4"/>
      <c r="AG135" s="4"/>
      <c r="AH135" s="4"/>
      <c r="AI135" s="4"/>
    </row>
    <row r="136" ht="16" customHeight="1" s="4" customFormat="1">
      <c r="A136" s="4">
        <v>135</v>
      </c>
      <c r="B136" s="4" t="s">
        <v>490</v>
      </c>
      <c r="C136" s="4">
        <v>6</v>
      </c>
      <c r="D136" s="4" t="s">
        <v>85</v>
      </c>
      <c r="E136" s="4" t="s">
        <v>36</v>
      </c>
      <c r="F136" s="4">
        <v>5</v>
      </c>
      <c r="G136" s="4"/>
      <c r="H136" s="4"/>
      <c r="I136" s="4"/>
      <c r="J136" s="4"/>
      <c r="K136" s="4"/>
      <c r="L136" s="4"/>
      <c r="M136" s="4"/>
      <c r="N136" s="4"/>
      <c r="O136" s="4"/>
      <c r="P136" s="4"/>
      <c r="Q136" s="4" t="s">
        <v>246</v>
      </c>
      <c r="R136" s="4"/>
      <c r="S136" s="4"/>
      <c r="T136" s="4"/>
      <c r="U136" s="4"/>
      <c r="V136" s="4"/>
      <c r="W136" s="4"/>
      <c r="X136" s="4"/>
      <c r="Y136" s="4"/>
      <c r="Z136" s="4"/>
      <c r="AA136" s="4"/>
      <c r="AB136" s="4"/>
      <c r="AC136" s="4"/>
      <c r="AD136" s="4"/>
      <c r="AE136" s="4"/>
      <c r="AF136" s="4"/>
      <c r="AG136" s="4"/>
      <c r="AH136" s="4"/>
      <c r="AI136" s="4"/>
    </row>
    <row r="137" ht="16" customHeight="1" s="4" customFormat="1">
      <c r="A137" s="4">
        <v>136</v>
      </c>
      <c r="B137" s="4" t="s">
        <v>491</v>
      </c>
      <c r="C137" s="4">
        <v>6</v>
      </c>
      <c r="D137" s="4" t="s">
        <v>492</v>
      </c>
      <c r="E137" s="4" t="s">
        <v>36</v>
      </c>
      <c r="F137" s="4">
        <v>455</v>
      </c>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t="s">
        <v>424</v>
      </c>
      <c r="AH137" s="4"/>
      <c r="AI137" s="4"/>
    </row>
    <row r="138" ht="16" customHeight="1" s="4" customFormat="1">
      <c r="A138" s="4">
        <v>137</v>
      </c>
      <c r="B138" s="4" t="s">
        <v>493</v>
      </c>
      <c r="C138" s="4">
        <v>6</v>
      </c>
      <c r="D138" s="4" t="s">
        <v>494</v>
      </c>
      <c r="E138" s="4" t="s">
        <v>36</v>
      </c>
      <c r="F138" s="4">
        <v>0</v>
      </c>
      <c r="G138" s="4"/>
      <c r="H138" s="4"/>
      <c r="I138" s="4"/>
      <c r="J138" s="4"/>
      <c r="K138" s="4"/>
      <c r="L138" s="4"/>
      <c r="M138" s="4"/>
      <c r="N138" s="4"/>
      <c r="O138" s="4"/>
      <c r="P138" s="4"/>
      <c r="Q138" s="4"/>
      <c r="R138" s="4"/>
      <c r="S138" s="4"/>
      <c r="T138" s="4"/>
      <c r="U138" s="4"/>
      <c r="V138" s="4" t="s">
        <v>81</v>
      </c>
      <c r="W138" s="4"/>
      <c r="X138" s="4"/>
      <c r="Y138" s="4"/>
      <c r="Z138" s="4"/>
      <c r="AA138" s="4"/>
      <c r="AB138" s="4"/>
      <c r="AC138" s="4"/>
      <c r="AD138" s="4"/>
      <c r="AE138" s="4"/>
      <c r="AF138" s="4"/>
      <c r="AG138" s="4"/>
      <c r="AH138" s="4"/>
      <c r="AI138" s="4"/>
    </row>
    <row r="139" ht="16" customHeight="1" s="4" customFormat="1">
      <c r="A139" s="4">
        <v>138</v>
      </c>
      <c r="B139" s="4" t="s">
        <v>104</v>
      </c>
      <c r="C139" s="4">
        <v>6</v>
      </c>
      <c r="D139" s="4" t="s">
        <v>105</v>
      </c>
      <c r="E139" s="4" t="s">
        <v>90</v>
      </c>
      <c r="F139" s="4">
        <v>0</v>
      </c>
      <c r="G139" s="4"/>
      <c r="H139" s="4"/>
      <c r="I139" s="4"/>
      <c r="J139" s="4"/>
      <c r="K139" s="4"/>
      <c r="L139" s="4"/>
      <c r="M139" s="4"/>
      <c r="N139" s="4" t="s">
        <v>248</v>
      </c>
      <c r="O139" s="4"/>
      <c r="P139" s="4"/>
      <c r="Q139" s="4"/>
      <c r="R139" s="4"/>
      <c r="S139" s="4"/>
      <c r="T139" s="4"/>
      <c r="U139" s="4"/>
      <c r="V139" s="4"/>
      <c r="W139" s="4"/>
      <c r="X139" s="4"/>
      <c r="Y139" s="4"/>
      <c r="Z139" s="4"/>
      <c r="AA139" s="4"/>
      <c r="AB139" s="4"/>
      <c r="AC139" s="4"/>
      <c r="AD139" s="4"/>
      <c r="AE139" s="4"/>
      <c r="AF139" s="4"/>
      <c r="AG139" s="4"/>
      <c r="AH139" s="4"/>
      <c r="AI139" s="4"/>
    </row>
    <row r="140" ht="16" customHeight="1" s="4" customFormat="1">
      <c r="A140" s="4">
        <v>139</v>
      </c>
      <c r="B140" s="4" t="s">
        <v>495</v>
      </c>
      <c r="C140" s="4">
        <v>5</v>
      </c>
      <c r="D140" s="4" t="s">
        <v>496</v>
      </c>
      <c r="E140" s="4" t="s">
        <v>384</v>
      </c>
      <c r="F140" s="4">
        <v>0</v>
      </c>
      <c r="G140" s="4">
        <v>50.9</v>
      </c>
      <c r="H140" s="4"/>
      <c r="I140" s="4"/>
      <c r="J140" s="4"/>
      <c r="K140" s="4"/>
      <c r="L140" s="4"/>
      <c r="M140" s="4"/>
      <c r="N140" s="4"/>
      <c r="O140" s="4"/>
      <c r="P140" s="4"/>
      <c r="Q140" s="4"/>
      <c r="R140" s="4"/>
      <c r="S140" s="4"/>
      <c r="T140" s="4"/>
      <c r="U140" s="4"/>
      <c r="V140" s="4"/>
      <c r="W140" s="4"/>
      <c r="X140" s="4"/>
      <c r="Y140" s="4"/>
      <c r="Z140" s="4"/>
      <c r="AA140" s="4"/>
      <c r="AB140" s="4"/>
      <c r="AC140" s="4"/>
      <c r="AD140" s="4"/>
      <c r="AE140" s="4" t="s">
        <v>81</v>
      </c>
      <c r="AF140" s="4"/>
      <c r="AG140" s="4"/>
      <c r="AH140" s="4"/>
      <c r="AI140" s="4"/>
    </row>
    <row r="141" ht="16" customHeight="1" s="4" customFormat="1">
      <c r="A141" s="4">
        <v>140</v>
      </c>
      <c r="B141" s="4" t="s">
        <v>497</v>
      </c>
      <c r="C141" s="4">
        <v>5</v>
      </c>
      <c r="D141" s="4" t="s">
        <v>498</v>
      </c>
      <c r="E141" s="4" t="s">
        <v>36</v>
      </c>
      <c r="F141" s="4">
        <v>2000</v>
      </c>
      <c r="G141" s="4">
        <v>33</v>
      </c>
      <c r="H141" s="4"/>
      <c r="I141" s="4"/>
      <c r="J141" s="4"/>
      <c r="K141" s="4"/>
      <c r="L141" s="4"/>
      <c r="M141" s="4"/>
      <c r="N141" s="4"/>
      <c r="O141" s="4"/>
      <c r="P141" s="4"/>
      <c r="Q141" s="4"/>
      <c r="R141" s="4"/>
      <c r="S141" s="4"/>
      <c r="T141" s="4"/>
      <c r="U141" s="4"/>
      <c r="V141" s="4"/>
      <c r="W141" s="4" t="s">
        <v>246</v>
      </c>
      <c r="X141" s="4"/>
      <c r="Y141" s="4"/>
      <c r="Z141" s="4"/>
      <c r="AA141" s="4"/>
      <c r="AB141" s="4"/>
      <c r="AC141" s="4"/>
      <c r="AD141" s="4"/>
      <c r="AE141" s="4"/>
      <c r="AF141" s="4"/>
      <c r="AG141" s="4"/>
      <c r="AH141" s="4"/>
      <c r="AI141" s="4"/>
    </row>
    <row r="142" ht="16" customHeight="1" s="4" customFormat="1">
      <c r="A142" s="4">
        <v>141</v>
      </c>
      <c r="B142" s="4" t="s">
        <v>499</v>
      </c>
      <c r="C142" s="4">
        <v>5</v>
      </c>
      <c r="D142" s="4" t="s">
        <v>500</v>
      </c>
      <c r="E142" s="4" t="s">
        <v>36</v>
      </c>
      <c r="F142" s="4">
        <v>528.78</v>
      </c>
      <c r="G142" s="4">
        <v>24</v>
      </c>
      <c r="H142" s="4"/>
      <c r="I142" s="4"/>
      <c r="J142" s="4"/>
      <c r="K142" s="4"/>
      <c r="L142" s="4"/>
      <c r="M142" s="4"/>
      <c r="N142" s="4"/>
      <c r="O142" s="4"/>
      <c r="P142" s="4"/>
      <c r="Q142" s="4"/>
      <c r="R142" s="4"/>
      <c r="S142" s="4"/>
      <c r="T142" s="4"/>
      <c r="U142" s="4"/>
      <c r="V142" s="4"/>
      <c r="W142" s="4"/>
      <c r="X142" s="4"/>
      <c r="Y142" s="4"/>
      <c r="Z142" s="4"/>
      <c r="AA142" s="4" t="s">
        <v>81</v>
      </c>
      <c r="AB142" s="4"/>
      <c r="AC142" s="4"/>
      <c r="AD142" s="4"/>
      <c r="AE142" s="4"/>
      <c r="AF142" s="4"/>
      <c r="AG142" s="4"/>
      <c r="AH142" s="4"/>
      <c r="AI142" s="4"/>
    </row>
    <row r="143" ht="16" customHeight="1" s="4" customFormat="1">
      <c r="A143" s="4">
        <v>142</v>
      </c>
      <c r="B143" s="4" t="s">
        <v>501</v>
      </c>
      <c r="C143" s="4">
        <v>5</v>
      </c>
      <c r="D143" s="4" t="s">
        <v>502</v>
      </c>
      <c r="E143" s="4" t="s">
        <v>503</v>
      </c>
      <c r="F143" s="4">
        <v>1331.11</v>
      </c>
      <c r="G143" s="4">
        <v>23.2</v>
      </c>
      <c r="H143" s="4"/>
      <c r="I143" s="4"/>
      <c r="J143" s="4"/>
      <c r="K143" s="4"/>
      <c r="L143" s="4"/>
      <c r="M143" s="4"/>
      <c r="N143" s="4"/>
      <c r="O143" s="4"/>
      <c r="P143" s="4"/>
      <c r="Q143" s="4"/>
      <c r="R143" s="4"/>
      <c r="S143" s="4"/>
      <c r="T143" s="4"/>
      <c r="U143" s="4"/>
      <c r="V143" s="4"/>
      <c r="W143" s="4"/>
      <c r="X143" s="4"/>
      <c r="Y143" s="4"/>
      <c r="Z143" s="4"/>
      <c r="AA143" s="4"/>
      <c r="AB143" s="4"/>
      <c r="AC143" s="4"/>
      <c r="AD143" s="4" t="s">
        <v>246</v>
      </c>
      <c r="AE143" s="4"/>
      <c r="AF143" s="4"/>
      <c r="AG143" s="4"/>
      <c r="AH143" s="4"/>
      <c r="AI143" s="4"/>
    </row>
    <row r="144" ht="16" customHeight="1" s="4" customFormat="1">
      <c r="A144" s="4">
        <v>143</v>
      </c>
      <c r="B144" s="4" t="s">
        <v>504</v>
      </c>
      <c r="C144" s="4">
        <v>5</v>
      </c>
      <c r="D144" s="4" t="s">
        <v>505</v>
      </c>
      <c r="E144" s="4" t="s">
        <v>90</v>
      </c>
      <c r="F144" s="4">
        <v>915.11</v>
      </c>
      <c r="G144" s="4">
        <v>450</v>
      </c>
      <c r="H144" s="4"/>
      <c r="I144" s="4"/>
      <c r="J144" s="4"/>
      <c r="K144" s="4"/>
      <c r="L144" s="4"/>
      <c r="M144" s="4"/>
      <c r="N144" s="4"/>
      <c r="O144" s="4"/>
      <c r="P144" s="4"/>
      <c r="Q144" s="4"/>
      <c r="R144" s="4"/>
      <c r="S144" s="4"/>
      <c r="T144" s="4"/>
      <c r="U144" s="4"/>
      <c r="V144" s="4"/>
      <c r="W144" s="4"/>
      <c r="X144" s="4"/>
      <c r="Y144" s="4" t="s">
        <v>81</v>
      </c>
      <c r="Z144" s="4"/>
      <c r="AA144" s="4"/>
      <c r="AB144" s="4"/>
      <c r="AC144" s="4"/>
      <c r="AD144" s="4"/>
      <c r="AE144" s="4"/>
      <c r="AF144" s="4"/>
      <c r="AG144" s="4"/>
      <c r="AH144" s="4"/>
      <c r="AI144" s="4"/>
    </row>
    <row r="145" ht="16" customHeight="1" s="4" customFormat="1">
      <c r="A145" s="4">
        <v>144</v>
      </c>
      <c r="B145" s="4" t="s">
        <v>506</v>
      </c>
      <c r="C145" s="4">
        <v>5</v>
      </c>
      <c r="D145" s="4" t="s">
        <v>507</v>
      </c>
      <c r="E145" s="4" t="s">
        <v>36</v>
      </c>
      <c r="F145" s="4">
        <v>103451.23</v>
      </c>
      <c r="G145" s="4"/>
      <c r="H145" s="4"/>
      <c r="I145" s="4"/>
      <c r="J145" s="4"/>
      <c r="K145" s="4"/>
      <c r="L145" s="4"/>
      <c r="M145" s="4"/>
      <c r="N145" s="4"/>
      <c r="O145" s="4"/>
      <c r="P145" s="4"/>
      <c r="Q145" s="4"/>
      <c r="R145" s="4" t="s">
        <v>81</v>
      </c>
      <c r="S145" s="4"/>
      <c r="T145" s="4"/>
      <c r="U145" s="4"/>
      <c r="V145" s="4"/>
      <c r="W145" s="4"/>
      <c r="X145" s="4"/>
      <c r="Y145" s="4"/>
      <c r="Z145" s="4"/>
      <c r="AA145" s="4"/>
      <c r="AB145" s="4"/>
      <c r="AC145" s="4"/>
      <c r="AD145" s="4"/>
      <c r="AE145" s="4"/>
      <c r="AF145" s="4"/>
      <c r="AG145" s="4"/>
      <c r="AH145" s="4"/>
      <c r="AI145" s="4"/>
    </row>
    <row r="146" ht="16" customHeight="1" s="4" customFormat="1">
      <c r="A146" s="4">
        <v>145</v>
      </c>
      <c r="B146" s="4" t="s">
        <v>508</v>
      </c>
      <c r="C146" s="4">
        <v>5</v>
      </c>
      <c r="D146" s="4" t="s">
        <v>509</v>
      </c>
      <c r="E146" s="4" t="s">
        <v>96</v>
      </c>
      <c r="F146" s="4">
        <v>32.5</v>
      </c>
      <c r="G146" s="4"/>
      <c r="H146" s="4"/>
      <c r="I146" s="4"/>
      <c r="J146" s="4"/>
      <c r="K146" s="4"/>
      <c r="L146" s="4"/>
      <c r="M146" s="4"/>
      <c r="N146" s="4"/>
      <c r="O146" s="4"/>
      <c r="P146" s="4"/>
      <c r="Q146" s="4"/>
      <c r="R146" s="4"/>
      <c r="S146" s="4"/>
      <c r="T146" s="4"/>
      <c r="U146" s="4"/>
      <c r="V146" s="4"/>
      <c r="W146" s="4"/>
      <c r="X146" s="4"/>
      <c r="Y146" s="4"/>
      <c r="Z146" s="4" t="s">
        <v>246</v>
      </c>
      <c r="AA146" s="4"/>
      <c r="AB146" s="4" t="s">
        <v>246</v>
      </c>
      <c r="AC146" s="4"/>
      <c r="AD146" s="4"/>
      <c r="AE146" s="4"/>
      <c r="AF146" s="4"/>
      <c r="AG146" s="4"/>
      <c r="AH146" s="4"/>
      <c r="AI146" s="4"/>
    </row>
    <row r="147" ht="16" customHeight="1" s="4" customFormat="1">
      <c r="A147" s="4">
        <v>146</v>
      </c>
      <c r="B147" s="4" t="s">
        <v>510</v>
      </c>
      <c r="C147" s="4">
        <v>5</v>
      </c>
      <c r="D147" s="4" t="s">
        <v>511</v>
      </c>
      <c r="E147" s="4" t="s">
        <v>512</v>
      </c>
      <c r="F147" s="4">
        <v>5.47</v>
      </c>
      <c r="G147" s="4"/>
      <c r="H147" s="4"/>
      <c r="I147" s="4"/>
      <c r="J147" s="4"/>
      <c r="K147" s="4"/>
      <c r="L147" s="4"/>
      <c r="M147" s="4"/>
      <c r="N147" s="4"/>
      <c r="O147" s="4"/>
      <c r="P147" s="4"/>
      <c r="Q147" s="4"/>
      <c r="R147" s="4"/>
      <c r="S147" s="4"/>
      <c r="T147" s="4"/>
      <c r="U147" s="4"/>
      <c r="V147" s="4"/>
      <c r="W147" s="4"/>
      <c r="X147" s="4"/>
      <c r="Y147" s="4"/>
      <c r="Z147" s="4"/>
      <c r="AA147" s="4"/>
      <c r="AB147" s="4" t="s">
        <v>246</v>
      </c>
      <c r="AC147" s="4"/>
      <c r="AD147" s="4"/>
      <c r="AE147" s="4"/>
      <c r="AF147" s="4"/>
      <c r="AG147" s="4"/>
      <c r="AH147" s="4"/>
      <c r="AI147" s="4"/>
    </row>
    <row r="148" ht="16" customHeight="1" s="4" customFormat="1">
      <c r="A148" s="4">
        <v>147</v>
      </c>
      <c r="B148" s="4" t="s">
        <v>513</v>
      </c>
      <c r="C148" s="4">
        <v>5</v>
      </c>
      <c r="D148" s="4" t="s">
        <v>514</v>
      </c>
      <c r="E148" s="4" t="s">
        <v>148</v>
      </c>
      <c r="F148" s="4">
        <v>52</v>
      </c>
      <c r="G148" s="4"/>
      <c r="H148" s="4"/>
      <c r="I148" s="4"/>
      <c r="J148" s="4"/>
      <c r="K148" s="4"/>
      <c r="L148" s="4"/>
      <c r="M148" s="4"/>
      <c r="N148" s="4"/>
      <c r="O148" s="4"/>
      <c r="P148" s="4"/>
      <c r="Q148" s="4"/>
      <c r="R148" s="4"/>
      <c r="S148" s="4"/>
      <c r="T148" s="4"/>
      <c r="U148" s="4"/>
      <c r="V148" s="4"/>
      <c r="W148" s="4"/>
      <c r="X148" s="4"/>
      <c r="Y148" s="4"/>
      <c r="Z148" s="4" t="s">
        <v>246</v>
      </c>
      <c r="AA148" s="4"/>
      <c r="AB148" s="4" t="s">
        <v>246</v>
      </c>
      <c r="AC148" s="4"/>
      <c r="AD148" s="4"/>
      <c r="AE148" s="4"/>
      <c r="AF148" s="4"/>
      <c r="AG148" s="4"/>
      <c r="AH148" s="4"/>
      <c r="AI148" s="4"/>
    </row>
    <row r="149" ht="16" customHeight="1" s="4" customFormat="1">
      <c r="A149" s="4">
        <v>148</v>
      </c>
      <c r="B149" s="4" t="s">
        <v>515</v>
      </c>
      <c r="C149" s="4">
        <v>5</v>
      </c>
      <c r="D149" s="4" t="s">
        <v>516</v>
      </c>
      <c r="E149" s="4" t="s">
        <v>135</v>
      </c>
      <c r="F149" s="4">
        <v>19200.71</v>
      </c>
      <c r="G149" s="4"/>
      <c r="H149" s="4"/>
      <c r="I149" s="4"/>
      <c r="J149" s="4"/>
      <c r="K149" s="4"/>
      <c r="L149" s="4"/>
      <c r="M149" s="4"/>
      <c r="N149" s="4"/>
      <c r="O149" s="4"/>
      <c r="P149" s="4"/>
      <c r="Q149" s="4"/>
      <c r="R149" s="4" t="s">
        <v>81</v>
      </c>
      <c r="S149" s="4"/>
      <c r="T149" s="4"/>
      <c r="U149" s="4"/>
      <c r="V149" s="4"/>
      <c r="W149" s="4"/>
      <c r="X149" s="4"/>
      <c r="Y149" s="4"/>
      <c r="Z149" s="4"/>
      <c r="AA149" s="4"/>
      <c r="AB149" s="4"/>
      <c r="AC149" s="4"/>
      <c r="AD149" s="4"/>
      <c r="AE149" s="4"/>
      <c r="AF149" s="4"/>
      <c r="AG149" s="4"/>
      <c r="AH149" s="4"/>
      <c r="AI149" s="4"/>
    </row>
    <row r="150" ht="16" customHeight="1" s="4" customFormat="1">
      <c r="A150" s="4">
        <v>149</v>
      </c>
      <c r="B150" s="4" t="s">
        <v>517</v>
      </c>
      <c r="C150" s="4">
        <v>5</v>
      </c>
      <c r="D150" s="4" t="s">
        <v>518</v>
      </c>
      <c r="E150" s="4" t="s">
        <v>36</v>
      </c>
      <c r="F150" s="4">
        <v>1022.88</v>
      </c>
      <c r="G150" s="4">
        <v>138.4</v>
      </c>
      <c r="H150" s="4"/>
      <c r="I150" s="4"/>
      <c r="J150" s="4"/>
      <c r="K150" s="4"/>
      <c r="L150" s="4"/>
      <c r="M150" s="4"/>
      <c r="N150" s="4"/>
      <c r="O150" s="4"/>
      <c r="P150" s="4"/>
      <c r="Q150" s="4"/>
      <c r="R150" s="4" t="s">
        <v>81</v>
      </c>
      <c r="S150" s="4"/>
      <c r="T150" s="4"/>
      <c r="U150" s="4"/>
      <c r="V150" s="4"/>
      <c r="W150" s="4"/>
      <c r="X150" s="4"/>
      <c r="Y150" s="4"/>
      <c r="Z150" s="4"/>
      <c r="AA150" s="4"/>
      <c r="AB150" s="4"/>
      <c r="AC150" s="4"/>
      <c r="AD150" s="4"/>
      <c r="AE150" s="4"/>
      <c r="AF150" s="4"/>
      <c r="AG150" s="4"/>
      <c r="AH150" s="4"/>
      <c r="AI150" s="4"/>
    </row>
    <row r="151" ht="16" customHeight="1" s="4" customFormat="1">
      <c r="A151" s="4">
        <v>150</v>
      </c>
      <c r="B151" s="4" t="s">
        <v>519</v>
      </c>
      <c r="C151" s="4">
        <v>5</v>
      </c>
      <c r="D151" s="4" t="s">
        <v>359</v>
      </c>
      <c r="E151" s="4" t="s">
        <v>36</v>
      </c>
      <c r="F151" s="4">
        <v>62.21</v>
      </c>
      <c r="G151" s="4"/>
      <c r="H151" s="4"/>
      <c r="I151" s="4"/>
      <c r="J151" s="4"/>
      <c r="K151" s="4"/>
      <c r="L151" s="4"/>
      <c r="M151" s="4"/>
      <c r="N151" s="4"/>
      <c r="O151" s="4"/>
      <c r="P151" s="4"/>
      <c r="Q151" s="4"/>
      <c r="R151" s="4"/>
      <c r="S151" s="4"/>
      <c r="T151" s="4"/>
      <c r="U151" s="4"/>
      <c r="V151" s="4"/>
      <c r="W151" s="4"/>
      <c r="X151" s="4"/>
      <c r="Y151" s="4" t="s">
        <v>246</v>
      </c>
      <c r="Z151" s="4"/>
      <c r="AA151" s="4"/>
      <c r="AB151" s="4"/>
      <c r="AC151" s="4"/>
      <c r="AD151" s="4"/>
      <c r="AE151" s="4"/>
      <c r="AF151" s="4"/>
      <c r="AG151" s="4"/>
      <c r="AH151" s="4"/>
      <c r="AI151" s="4"/>
    </row>
    <row r="152" ht="16" customHeight="1" s="4" customFormat="1">
      <c r="A152" s="4">
        <v>151</v>
      </c>
      <c r="B152" s="4" t="s">
        <v>520</v>
      </c>
      <c r="C152" s="4">
        <v>5</v>
      </c>
      <c r="D152" s="4" t="s">
        <v>521</v>
      </c>
      <c r="E152" s="4" t="s">
        <v>135</v>
      </c>
      <c r="F152" s="4">
        <v>5309.15</v>
      </c>
      <c r="G152" s="4">
        <v>360</v>
      </c>
      <c r="H152" s="4"/>
      <c r="I152" s="4"/>
      <c r="J152" s="4"/>
      <c r="K152" s="4"/>
      <c r="L152" s="4"/>
      <c r="M152" s="4"/>
      <c r="N152" s="4"/>
      <c r="O152" s="4"/>
      <c r="P152" s="4"/>
      <c r="Q152" s="4"/>
      <c r="R152" s="4"/>
      <c r="S152" s="4"/>
      <c r="T152" s="4"/>
      <c r="U152" s="4"/>
      <c r="V152" s="4" t="s">
        <v>81</v>
      </c>
      <c r="W152" s="4"/>
      <c r="X152" s="4"/>
      <c r="Y152" s="4"/>
      <c r="Z152" s="4"/>
      <c r="AA152" s="4"/>
      <c r="AB152" s="4"/>
      <c r="AC152" s="4"/>
      <c r="AD152" s="4"/>
      <c r="AE152" s="4"/>
      <c r="AF152" s="4"/>
      <c r="AG152" s="4"/>
      <c r="AH152" s="4"/>
      <c r="AI152" s="4"/>
    </row>
    <row r="153" ht="16" customHeight="1" s="4" customFormat="1">
      <c r="A153" s="4">
        <v>152</v>
      </c>
      <c r="B153" s="4" t="s">
        <v>522</v>
      </c>
      <c r="C153" s="4">
        <v>5</v>
      </c>
      <c r="D153" s="4" t="s">
        <v>523</v>
      </c>
      <c r="E153" s="4" t="s">
        <v>135</v>
      </c>
      <c r="F153" s="4">
        <v>583930.28</v>
      </c>
      <c r="G153" s="4">
        <v>27.8</v>
      </c>
      <c r="H153" s="4"/>
      <c r="I153" s="4"/>
      <c r="J153" s="4"/>
      <c r="K153" s="4"/>
      <c r="L153" s="4"/>
      <c r="M153" s="4"/>
      <c r="N153" s="4" t="s">
        <v>252</v>
      </c>
      <c r="O153" s="4"/>
      <c r="P153" s="4"/>
      <c r="Q153" s="4"/>
      <c r="R153" s="4"/>
      <c r="S153" s="4"/>
      <c r="T153" s="4"/>
      <c r="U153" s="4"/>
      <c r="V153" s="4"/>
      <c r="W153" s="4"/>
      <c r="X153" s="4"/>
      <c r="Y153" s="4"/>
      <c r="Z153" s="4"/>
      <c r="AA153" s="4"/>
      <c r="AB153" s="4"/>
      <c r="AC153" s="4"/>
      <c r="AD153" s="4"/>
      <c r="AE153" s="4"/>
      <c r="AF153" s="4"/>
      <c r="AG153" s="4"/>
      <c r="AH153" s="4"/>
      <c r="AI153" s="4"/>
    </row>
    <row r="154" ht="16" customHeight="1" s="4" customFormat="1">
      <c r="A154" s="4">
        <v>153</v>
      </c>
      <c r="B154" s="4" t="s">
        <v>524</v>
      </c>
      <c r="C154" s="4">
        <v>5</v>
      </c>
      <c r="D154" s="4" t="s">
        <v>525</v>
      </c>
      <c r="E154" s="4" t="s">
        <v>36</v>
      </c>
      <c r="F154" s="4">
        <v>5</v>
      </c>
      <c r="G154" s="4"/>
      <c r="H154" s="4"/>
      <c r="I154" s="4"/>
      <c r="J154" s="4"/>
      <c r="K154" s="4"/>
      <c r="L154" s="4"/>
      <c r="M154" s="4" t="s">
        <v>246</v>
      </c>
      <c r="N154" s="4"/>
      <c r="O154" s="4"/>
      <c r="P154" s="4"/>
      <c r="Q154" s="4"/>
      <c r="R154" s="4"/>
      <c r="S154" s="4"/>
      <c r="T154" s="4"/>
      <c r="U154" s="4"/>
      <c r="V154" s="4"/>
      <c r="W154" s="4"/>
      <c r="X154" s="4"/>
      <c r="Y154" s="4"/>
      <c r="Z154" s="4"/>
      <c r="AA154" s="4"/>
      <c r="AB154" s="4"/>
      <c r="AC154" s="4"/>
      <c r="AD154" s="4"/>
      <c r="AE154" s="4"/>
      <c r="AF154" s="4"/>
      <c r="AG154" s="4"/>
      <c r="AH154" s="4"/>
      <c r="AI154" s="4"/>
    </row>
    <row r="155" ht="16" customHeight="1" s="4" customFormat="1">
      <c r="A155" s="4">
        <v>154</v>
      </c>
      <c r="B155" s="4" t="s">
        <v>526</v>
      </c>
      <c r="C155" s="4">
        <v>5</v>
      </c>
      <c r="D155" s="4" t="s">
        <v>527</v>
      </c>
      <c r="E155" s="4" t="s">
        <v>36</v>
      </c>
      <c r="F155" s="4">
        <v>2238.48</v>
      </c>
      <c r="G155" s="4">
        <v>3323.9</v>
      </c>
      <c r="H155" s="4"/>
      <c r="I155" s="4"/>
      <c r="J155" s="4"/>
      <c r="K155" s="4"/>
      <c r="L155" s="4"/>
      <c r="M155" s="4"/>
      <c r="N155" s="4"/>
      <c r="O155" s="4"/>
      <c r="P155" s="4"/>
      <c r="Q155" s="4"/>
      <c r="R155" s="4"/>
      <c r="S155" s="4"/>
      <c r="T155" s="4"/>
      <c r="U155" s="4"/>
      <c r="V155" s="4"/>
      <c r="W155" s="4"/>
      <c r="X155" s="4"/>
      <c r="Y155" s="4" t="s">
        <v>246</v>
      </c>
      <c r="Z155" s="4"/>
      <c r="AA155" s="4"/>
      <c r="AB155" s="4"/>
      <c r="AC155" s="4"/>
      <c r="AD155" s="4"/>
      <c r="AE155" s="4"/>
      <c r="AF155" s="4"/>
      <c r="AG155" s="4"/>
      <c r="AH155" s="4"/>
      <c r="AI155" s="4"/>
    </row>
    <row r="156" ht="16" customHeight="1" s="4" customFormat="1">
      <c r="A156" s="4">
        <v>155</v>
      </c>
      <c r="B156" s="4" t="s">
        <v>528</v>
      </c>
      <c r="C156" s="4">
        <v>5</v>
      </c>
      <c r="D156" s="4" t="s">
        <v>529</v>
      </c>
      <c r="E156" s="4" t="s">
        <v>36</v>
      </c>
      <c r="F156" s="4">
        <v>88090.91</v>
      </c>
      <c r="G156" s="4">
        <v>358.5</v>
      </c>
      <c r="H156" s="4"/>
      <c r="I156" s="4"/>
      <c r="J156" s="4"/>
      <c r="K156" s="4"/>
      <c r="L156" s="4"/>
      <c r="M156" s="4"/>
      <c r="N156" s="4"/>
      <c r="O156" s="4"/>
      <c r="P156" s="4"/>
      <c r="Q156" s="4"/>
      <c r="R156" s="4"/>
      <c r="S156" s="4" t="s">
        <v>246</v>
      </c>
      <c r="T156" s="4"/>
      <c r="U156" s="4"/>
      <c r="V156" s="4"/>
      <c r="W156" s="4"/>
      <c r="X156" s="4"/>
      <c r="Y156" s="4"/>
      <c r="Z156" s="4"/>
      <c r="AA156" s="4"/>
      <c r="AB156" s="4"/>
      <c r="AC156" s="4"/>
      <c r="AD156" s="4"/>
      <c r="AE156" s="4"/>
      <c r="AF156" s="4"/>
      <c r="AG156" s="4"/>
      <c r="AH156" s="4"/>
      <c r="AI156" s="4"/>
    </row>
    <row r="157" ht="16" customHeight="1" s="4" customFormat="1">
      <c r="A157" s="4">
        <v>156</v>
      </c>
      <c r="B157" s="4" t="s">
        <v>530</v>
      </c>
      <c r="C157" s="4">
        <v>5</v>
      </c>
      <c r="D157" s="4" t="s">
        <v>531</v>
      </c>
      <c r="E157" s="4" t="s">
        <v>36</v>
      </c>
      <c r="F157" s="4">
        <v>10</v>
      </c>
      <c r="G157" s="4"/>
      <c r="H157" s="4"/>
      <c r="I157" s="4"/>
      <c r="J157" s="4"/>
      <c r="K157" s="4"/>
      <c r="L157" s="4"/>
      <c r="M157" s="4" t="s">
        <v>81</v>
      </c>
      <c r="N157" s="4"/>
      <c r="O157" s="4"/>
      <c r="P157" s="4"/>
      <c r="Q157" s="4"/>
      <c r="R157" s="4"/>
      <c r="S157" s="4"/>
      <c r="T157" s="4"/>
      <c r="U157" s="4"/>
      <c r="V157" s="4"/>
      <c r="W157" s="4"/>
      <c r="X157" s="4"/>
      <c r="Y157" s="4"/>
      <c r="Z157" s="4"/>
      <c r="AA157" s="4"/>
      <c r="AB157" s="4"/>
      <c r="AC157" s="4"/>
      <c r="AD157" s="4"/>
      <c r="AE157" s="4"/>
      <c r="AF157" s="4"/>
      <c r="AG157" s="4"/>
      <c r="AH157" s="4"/>
      <c r="AI157" s="4"/>
    </row>
    <row r="158" ht="16" customHeight="1" s="4" customFormat="1">
      <c r="A158" s="4">
        <v>157</v>
      </c>
      <c r="B158" s="4" t="s">
        <v>532</v>
      </c>
      <c r="C158" s="4">
        <v>5</v>
      </c>
      <c r="D158" s="4" t="s">
        <v>533</v>
      </c>
      <c r="E158" s="4" t="s">
        <v>36</v>
      </c>
      <c r="F158" s="4">
        <v>27296.64</v>
      </c>
      <c r="G158" s="4"/>
      <c r="H158" s="4"/>
      <c r="I158" s="4"/>
      <c r="J158" s="4"/>
      <c r="K158" s="4"/>
      <c r="L158" s="4"/>
      <c r="M158" s="4"/>
      <c r="N158" s="4"/>
      <c r="O158" s="4"/>
      <c r="P158" s="4"/>
      <c r="Q158" s="4" t="s">
        <v>81</v>
      </c>
      <c r="R158" s="4"/>
      <c r="S158" s="4"/>
      <c r="T158" s="4"/>
      <c r="U158" s="4"/>
      <c r="V158" s="4"/>
      <c r="W158" s="4"/>
      <c r="X158" s="4"/>
      <c r="Y158" s="4"/>
      <c r="Z158" s="4"/>
      <c r="AA158" s="4"/>
      <c r="AB158" s="4"/>
      <c r="AC158" s="4"/>
      <c r="AD158" s="4"/>
      <c r="AE158" s="4"/>
      <c r="AF158" s="4"/>
      <c r="AG158" s="4"/>
      <c r="AH158" s="4"/>
      <c r="AI158" s="4"/>
    </row>
    <row r="159" ht="16" customHeight="1" s="4" customFormat="1">
      <c r="A159" s="4">
        <v>158</v>
      </c>
      <c r="B159" s="4" t="s">
        <v>534</v>
      </c>
      <c r="C159" s="4">
        <v>5</v>
      </c>
      <c r="D159" s="4" t="s">
        <v>535</v>
      </c>
      <c r="E159" s="4" t="s">
        <v>90</v>
      </c>
      <c r="F159" s="4">
        <v>9854.57</v>
      </c>
      <c r="G159" s="4">
        <v>501.6</v>
      </c>
      <c r="H159" s="4"/>
      <c r="I159" s="4"/>
      <c r="J159" s="4"/>
      <c r="K159" s="4"/>
      <c r="L159" s="4"/>
      <c r="M159" s="4"/>
      <c r="N159" s="4"/>
      <c r="O159" s="4"/>
      <c r="P159" s="4"/>
      <c r="Q159" s="4"/>
      <c r="R159" s="4"/>
      <c r="S159" s="4"/>
      <c r="T159" s="4"/>
      <c r="U159" s="4"/>
      <c r="V159" s="4"/>
      <c r="W159" s="4"/>
      <c r="X159" s="4"/>
      <c r="Y159" s="4" t="s">
        <v>81</v>
      </c>
      <c r="Z159" s="4"/>
      <c r="AA159" s="4"/>
      <c r="AB159" s="4"/>
      <c r="AC159" s="4"/>
      <c r="AD159" s="4"/>
      <c r="AE159" s="4"/>
      <c r="AF159" s="4"/>
      <c r="AG159" s="4"/>
      <c r="AH159" s="4"/>
      <c r="AI159" s="4"/>
    </row>
    <row r="160" ht="16" customHeight="1" s="4" customFormat="1">
      <c r="A160" s="4">
        <v>159</v>
      </c>
      <c r="B160" s="4" t="s">
        <v>536</v>
      </c>
      <c r="C160" s="4">
        <v>5</v>
      </c>
      <c r="D160" s="4" t="s">
        <v>297</v>
      </c>
      <c r="E160" s="4" t="s">
        <v>119</v>
      </c>
      <c r="F160" s="4">
        <v>5</v>
      </c>
      <c r="G160" s="4"/>
      <c r="H160" s="4"/>
      <c r="I160" s="4"/>
      <c r="J160" s="4"/>
      <c r="K160" s="4"/>
      <c r="L160" s="4"/>
      <c r="M160" s="4"/>
      <c r="N160" s="4" t="s">
        <v>246</v>
      </c>
      <c r="O160" s="4"/>
      <c r="P160" s="4"/>
      <c r="Q160" s="4"/>
      <c r="R160" s="4"/>
      <c r="S160" s="4"/>
      <c r="T160" s="4"/>
      <c r="U160" s="4"/>
      <c r="V160" s="4"/>
      <c r="W160" s="4"/>
      <c r="X160" s="4"/>
      <c r="Y160" s="4"/>
      <c r="Z160" s="4"/>
      <c r="AA160" s="4"/>
      <c r="AB160" s="4"/>
      <c r="AC160" s="4"/>
      <c r="AD160" s="4"/>
      <c r="AE160" s="4"/>
      <c r="AF160" s="4"/>
      <c r="AG160" s="4"/>
      <c r="AH160" s="4"/>
      <c r="AI160" s="4"/>
    </row>
    <row r="161" ht="16" customHeight="1" s="4" customFormat="1">
      <c r="A161" s="4">
        <v>160</v>
      </c>
      <c r="B161" s="4" t="s">
        <v>537</v>
      </c>
      <c r="C161" s="4">
        <v>4</v>
      </c>
      <c r="D161" s="4" t="s">
        <v>496</v>
      </c>
      <c r="E161" s="4" t="s">
        <v>414</v>
      </c>
      <c r="F161" s="4">
        <v>4148.76</v>
      </c>
      <c r="G161" s="4"/>
      <c r="H161" s="4"/>
      <c r="I161" s="4"/>
      <c r="J161" s="4"/>
      <c r="K161" s="4"/>
      <c r="L161" s="4"/>
      <c r="M161" s="4"/>
      <c r="N161" s="4"/>
      <c r="O161" s="4"/>
      <c r="P161" s="4"/>
      <c r="Q161" s="4"/>
      <c r="R161" s="4"/>
      <c r="S161" s="4"/>
      <c r="T161" s="4"/>
      <c r="U161" s="4"/>
      <c r="V161" s="4" t="s">
        <v>246</v>
      </c>
      <c r="W161" s="4"/>
      <c r="X161" s="4"/>
      <c r="Y161" s="4"/>
      <c r="Z161" s="4"/>
      <c r="AA161" s="4"/>
      <c r="AB161" s="4"/>
      <c r="AC161" s="4"/>
      <c r="AD161" s="4"/>
      <c r="AE161" s="4"/>
      <c r="AF161" s="4"/>
      <c r="AG161" s="4"/>
      <c r="AH161" s="4"/>
      <c r="AI161" s="4"/>
    </row>
    <row r="162" ht="16" customHeight="1" s="4" customFormat="1">
      <c r="A162" s="4">
        <v>161</v>
      </c>
      <c r="B162" s="4" t="s">
        <v>538</v>
      </c>
      <c r="C162" s="4">
        <v>4</v>
      </c>
      <c r="D162" s="4" t="s">
        <v>539</v>
      </c>
      <c r="E162" s="4" t="s">
        <v>36</v>
      </c>
      <c r="F162" s="4">
        <v>164.99</v>
      </c>
      <c r="G162" s="4">
        <v>169.4</v>
      </c>
      <c r="H162" s="4"/>
      <c r="I162" s="4"/>
      <c r="J162" s="4"/>
      <c r="K162" s="4"/>
      <c r="L162" s="4"/>
      <c r="M162" s="4"/>
      <c r="N162" s="4"/>
      <c r="O162" s="4"/>
      <c r="P162" s="4"/>
      <c r="Q162" s="4"/>
      <c r="R162" s="4"/>
      <c r="S162" s="4"/>
      <c r="T162" s="4"/>
      <c r="U162" s="4"/>
      <c r="V162" s="4" t="s">
        <v>246</v>
      </c>
      <c r="W162" s="4"/>
      <c r="X162" s="4"/>
      <c r="Y162" s="4"/>
      <c r="Z162" s="4"/>
      <c r="AA162" s="4"/>
      <c r="AB162" s="4"/>
      <c r="AC162" s="4"/>
      <c r="AD162" s="4"/>
      <c r="AE162" s="4"/>
      <c r="AF162" s="4"/>
      <c r="AG162" s="4"/>
      <c r="AH162" s="4"/>
      <c r="AI162" s="4"/>
    </row>
    <row r="163" ht="16" customHeight="1" s="4" customFormat="1">
      <c r="A163" s="4">
        <v>162</v>
      </c>
      <c r="B163" s="4" t="s">
        <v>540</v>
      </c>
      <c r="C163" s="4">
        <v>4</v>
      </c>
      <c r="D163" s="4" t="s">
        <v>137</v>
      </c>
      <c r="E163" s="4" t="s">
        <v>93</v>
      </c>
      <c r="F163" s="4">
        <v>6.67</v>
      </c>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t="s">
        <v>246</v>
      </c>
      <c r="AH163" s="4"/>
      <c r="AI163" s="4"/>
    </row>
    <row r="164" ht="16" customHeight="1" s="4" customFormat="1">
      <c r="A164" s="4">
        <v>163</v>
      </c>
      <c r="B164" s="4" t="s">
        <v>541</v>
      </c>
      <c r="C164" s="4">
        <v>4</v>
      </c>
      <c r="D164" s="4" t="s">
        <v>542</v>
      </c>
      <c r="E164" s="4" t="s">
        <v>119</v>
      </c>
      <c r="F164" s="4">
        <v>1</v>
      </c>
      <c r="G164" s="4"/>
      <c r="H164" s="4"/>
      <c r="I164" s="4"/>
      <c r="J164" s="4"/>
      <c r="K164" s="4"/>
      <c r="L164" s="4"/>
      <c r="M164" s="4"/>
      <c r="N164" s="4" t="s">
        <v>246</v>
      </c>
      <c r="O164" s="4"/>
      <c r="P164" s="4"/>
      <c r="Q164" s="4"/>
      <c r="R164" s="4"/>
      <c r="S164" s="4"/>
      <c r="T164" s="4"/>
      <c r="U164" s="4"/>
      <c r="V164" s="4"/>
      <c r="W164" s="4"/>
      <c r="X164" s="4"/>
      <c r="Y164" s="4"/>
      <c r="Z164" s="4"/>
      <c r="AA164" s="4"/>
      <c r="AB164" s="4"/>
      <c r="AC164" s="4"/>
      <c r="AD164" s="4"/>
      <c r="AE164" s="4"/>
      <c r="AF164" s="4"/>
      <c r="AG164" s="4"/>
      <c r="AH164" s="4"/>
      <c r="AI164" s="4"/>
    </row>
    <row r="165" ht="16" customHeight="1" s="4" customFormat="1">
      <c r="A165" s="4">
        <v>164</v>
      </c>
      <c r="B165" s="4" t="s">
        <v>543</v>
      </c>
      <c r="C165" s="4">
        <v>4</v>
      </c>
      <c r="D165" s="4" t="s">
        <v>544</v>
      </c>
      <c r="E165" s="4" t="s">
        <v>36</v>
      </c>
      <c r="F165" s="4">
        <v>3424.17</v>
      </c>
      <c r="G165" s="4">
        <v>315</v>
      </c>
      <c r="H165" s="4"/>
      <c r="I165" s="4"/>
      <c r="J165" s="4"/>
      <c r="K165" s="4"/>
      <c r="L165" s="4"/>
      <c r="M165" s="4"/>
      <c r="N165" s="4"/>
      <c r="O165" s="4"/>
      <c r="P165" s="4"/>
      <c r="Q165" s="4"/>
      <c r="R165" s="4"/>
      <c r="S165" s="4"/>
      <c r="T165" s="4"/>
      <c r="U165" s="4"/>
      <c r="V165" s="4"/>
      <c r="W165" s="4"/>
      <c r="X165" s="4" t="s">
        <v>81</v>
      </c>
      <c r="Y165" s="4"/>
      <c r="Z165" s="4"/>
      <c r="AA165" s="4"/>
      <c r="AB165" s="4"/>
      <c r="AC165" s="4"/>
      <c r="AD165" s="4"/>
      <c r="AE165" s="4"/>
      <c r="AF165" s="4"/>
      <c r="AG165" s="4"/>
      <c r="AH165" s="4"/>
      <c r="AI165" s="4"/>
    </row>
    <row r="166" ht="16" customHeight="1" s="4" customFormat="1">
      <c r="A166" s="4">
        <v>165</v>
      </c>
      <c r="B166" s="4" t="s">
        <v>545</v>
      </c>
      <c r="C166" s="4">
        <v>4</v>
      </c>
      <c r="D166" s="4" t="s">
        <v>546</v>
      </c>
      <c r="E166" s="4" t="s">
        <v>119</v>
      </c>
      <c r="F166" s="4">
        <v>118731.47</v>
      </c>
      <c r="G166" s="4"/>
      <c r="H166" s="4"/>
      <c r="I166" s="4"/>
      <c r="J166" s="4"/>
      <c r="K166" s="4"/>
      <c r="L166" s="4"/>
      <c r="M166" s="4"/>
      <c r="N166" s="4"/>
      <c r="O166" s="4"/>
      <c r="P166" s="4"/>
      <c r="Q166" s="4"/>
      <c r="R166" s="4"/>
      <c r="S166" s="4" t="s">
        <v>246</v>
      </c>
      <c r="T166" s="4"/>
      <c r="U166" s="4"/>
      <c r="V166" s="4"/>
      <c r="W166" s="4"/>
      <c r="X166" s="4"/>
      <c r="Y166" s="4"/>
      <c r="Z166" s="4"/>
      <c r="AA166" s="4"/>
      <c r="AB166" s="4"/>
      <c r="AC166" s="4"/>
      <c r="AD166" s="4"/>
      <c r="AE166" s="4"/>
      <c r="AF166" s="4"/>
      <c r="AG166" s="4"/>
      <c r="AH166" s="4"/>
      <c r="AI166" s="4"/>
    </row>
    <row r="167" ht="16" customHeight="1" s="4" customFormat="1">
      <c r="A167" s="4">
        <v>166</v>
      </c>
      <c r="B167" s="4" t="s">
        <v>547</v>
      </c>
      <c r="C167" s="4">
        <v>4</v>
      </c>
      <c r="D167" s="4" t="s">
        <v>348</v>
      </c>
      <c r="E167" s="4" t="s">
        <v>36</v>
      </c>
      <c r="F167" s="4">
        <v>500</v>
      </c>
      <c r="G167" s="4"/>
      <c r="H167" s="4"/>
      <c r="I167" s="4"/>
      <c r="J167" s="4"/>
      <c r="K167" s="4"/>
      <c r="L167" s="4"/>
      <c r="M167" s="4"/>
      <c r="N167" s="4"/>
      <c r="O167" s="4"/>
      <c r="P167" s="4"/>
      <c r="Q167" s="4"/>
      <c r="R167" s="4"/>
      <c r="S167" s="4"/>
      <c r="T167" s="4"/>
      <c r="U167" s="4"/>
      <c r="V167" s="4" t="s">
        <v>81</v>
      </c>
      <c r="W167" s="4"/>
      <c r="X167" s="4"/>
      <c r="Y167" s="4"/>
      <c r="Z167" s="4"/>
      <c r="AA167" s="4"/>
      <c r="AB167" s="4"/>
      <c r="AC167" s="4"/>
      <c r="AD167" s="4"/>
      <c r="AE167" s="4"/>
      <c r="AF167" s="4"/>
      <c r="AG167" s="4"/>
      <c r="AH167" s="4"/>
      <c r="AI167" s="4"/>
    </row>
    <row r="168" ht="16" customHeight="1" s="4" customFormat="1">
      <c r="A168" s="4">
        <v>167</v>
      </c>
      <c r="B168" s="4" t="s">
        <v>548</v>
      </c>
      <c r="C168" s="4">
        <v>4</v>
      </c>
      <c r="D168" s="4" t="s">
        <v>137</v>
      </c>
      <c r="E168" s="4" t="s">
        <v>93</v>
      </c>
      <c r="F168" s="4">
        <v>1336.9</v>
      </c>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t="s">
        <v>81</v>
      </c>
      <c r="AH168" s="4"/>
      <c r="AI168" s="4"/>
    </row>
    <row r="169" ht="16" customHeight="1" s="4" customFormat="1">
      <c r="A169" s="4">
        <v>168</v>
      </c>
      <c r="B169" s="4" t="s">
        <v>549</v>
      </c>
      <c r="C169" s="4">
        <v>4</v>
      </c>
      <c r="D169" s="4" t="s">
        <v>550</v>
      </c>
      <c r="E169" s="4" t="s">
        <v>36</v>
      </c>
      <c r="F169" s="4">
        <v>636.7</v>
      </c>
      <c r="G169" s="4"/>
      <c r="H169" s="4"/>
      <c r="I169" s="4"/>
      <c r="J169" s="4"/>
      <c r="K169" s="4"/>
      <c r="L169" s="4"/>
      <c r="M169" s="4" t="s">
        <v>246</v>
      </c>
      <c r="N169" s="4"/>
      <c r="O169" s="4"/>
      <c r="P169" s="4"/>
      <c r="Q169" s="4"/>
      <c r="R169" s="4"/>
      <c r="S169" s="4"/>
      <c r="T169" s="4"/>
      <c r="U169" s="4"/>
      <c r="V169" s="4"/>
      <c r="W169" s="4"/>
      <c r="X169" s="4"/>
      <c r="Y169" s="4"/>
      <c r="Z169" s="4"/>
      <c r="AA169" s="4"/>
      <c r="AB169" s="4"/>
      <c r="AC169" s="4"/>
      <c r="AD169" s="4"/>
      <c r="AE169" s="4"/>
      <c r="AF169" s="4"/>
      <c r="AG169" s="4"/>
      <c r="AH169" s="4"/>
      <c r="AI169" s="4"/>
    </row>
    <row r="170" ht="16" customHeight="1" s="4" customFormat="1">
      <c r="A170" s="4">
        <v>169</v>
      </c>
      <c r="B170" s="4" t="s">
        <v>551</v>
      </c>
      <c r="C170" s="4">
        <v>4</v>
      </c>
      <c r="D170" s="4" t="s">
        <v>299</v>
      </c>
      <c r="E170" s="4" t="s">
        <v>93</v>
      </c>
      <c r="F170" s="4">
        <v>5</v>
      </c>
      <c r="G170" s="4"/>
      <c r="H170" s="4"/>
      <c r="I170" s="4"/>
      <c r="J170" s="4"/>
      <c r="K170" s="4"/>
      <c r="L170" s="4"/>
      <c r="M170" s="4"/>
      <c r="N170" s="4"/>
      <c r="O170" s="4"/>
      <c r="P170" s="4"/>
      <c r="Q170" s="4" t="s">
        <v>81</v>
      </c>
      <c r="R170" s="4"/>
      <c r="S170" s="4"/>
      <c r="T170" s="4"/>
      <c r="U170" s="4"/>
      <c r="V170" s="4"/>
      <c r="W170" s="4"/>
      <c r="X170" s="4"/>
      <c r="Y170" s="4"/>
      <c r="Z170" s="4"/>
      <c r="AA170" s="4"/>
      <c r="AB170" s="4"/>
      <c r="AC170" s="4"/>
      <c r="AD170" s="4"/>
      <c r="AE170" s="4"/>
      <c r="AF170" s="4"/>
      <c r="AG170" s="4"/>
      <c r="AH170" s="4"/>
      <c r="AI170" s="4"/>
    </row>
    <row r="171" ht="16" customHeight="1" s="4" customFormat="1">
      <c r="A171" s="4">
        <v>170</v>
      </c>
      <c r="B171" s="4" t="s">
        <v>552</v>
      </c>
      <c r="C171" s="4">
        <v>4</v>
      </c>
      <c r="D171" s="4" t="s">
        <v>332</v>
      </c>
      <c r="E171" s="4" t="s">
        <v>135</v>
      </c>
      <c r="F171" s="4">
        <v>1</v>
      </c>
      <c r="G171" s="4"/>
      <c r="H171" s="4"/>
      <c r="I171" s="4"/>
      <c r="J171" s="4"/>
      <c r="K171" s="4"/>
      <c r="L171" s="4"/>
      <c r="M171" s="4"/>
      <c r="N171" s="4" t="s">
        <v>246</v>
      </c>
      <c r="O171" s="4"/>
      <c r="P171" s="4"/>
      <c r="Q171" s="4"/>
      <c r="R171" s="4"/>
      <c r="S171" s="4"/>
      <c r="T171" s="4"/>
      <c r="U171" s="4"/>
      <c r="V171" s="4"/>
      <c r="W171" s="4"/>
      <c r="X171" s="4"/>
      <c r="Y171" s="4"/>
      <c r="Z171" s="4"/>
      <c r="AA171" s="4"/>
      <c r="AB171" s="4"/>
      <c r="AC171" s="4"/>
      <c r="AD171" s="4"/>
      <c r="AE171" s="4"/>
      <c r="AF171" s="4"/>
      <c r="AG171" s="4"/>
      <c r="AH171" s="4"/>
      <c r="AI171" s="4"/>
    </row>
    <row r="172" ht="16" customHeight="1" s="4" customFormat="1">
      <c r="A172" s="4">
        <v>171</v>
      </c>
      <c r="B172" s="4" t="s">
        <v>553</v>
      </c>
      <c r="C172" s="4">
        <v>4</v>
      </c>
      <c r="D172" s="4" t="s">
        <v>554</v>
      </c>
      <c r="E172" s="4" t="s">
        <v>135</v>
      </c>
      <c r="F172" s="4">
        <v>500.2</v>
      </c>
      <c r="G172" s="4"/>
      <c r="H172" s="4"/>
      <c r="I172" s="4"/>
      <c r="J172" s="4"/>
      <c r="K172" s="4"/>
      <c r="L172" s="4"/>
      <c r="M172" s="4"/>
      <c r="N172" s="4"/>
      <c r="O172" s="4"/>
      <c r="P172" s="4"/>
      <c r="Q172" s="4"/>
      <c r="R172" s="4"/>
      <c r="S172" s="4"/>
      <c r="T172" s="4"/>
      <c r="U172" s="4"/>
      <c r="V172" s="4"/>
      <c r="W172" s="4"/>
      <c r="X172" s="4"/>
      <c r="Y172" s="4"/>
      <c r="Z172" s="4"/>
      <c r="AA172" s="4"/>
      <c r="AB172" s="4" t="s">
        <v>246</v>
      </c>
      <c r="AC172" s="4"/>
      <c r="AD172" s="4"/>
      <c r="AE172" s="4"/>
      <c r="AF172" s="4"/>
      <c r="AG172" s="4"/>
      <c r="AH172" s="4"/>
      <c r="AI172" s="4"/>
    </row>
    <row r="173" ht="16" customHeight="1" s="4" customFormat="1">
      <c r="A173" s="4">
        <v>172</v>
      </c>
      <c r="B173" s="4" t="s">
        <v>555</v>
      </c>
      <c r="C173" s="4">
        <v>4</v>
      </c>
      <c r="D173" s="4" t="s">
        <v>556</v>
      </c>
      <c r="E173" s="4" t="s">
        <v>36</v>
      </c>
      <c r="F173" s="4">
        <v>556.55</v>
      </c>
      <c r="G173" s="4">
        <v>24</v>
      </c>
      <c r="H173" s="4"/>
      <c r="I173" s="4"/>
      <c r="J173" s="4"/>
      <c r="K173" s="4"/>
      <c r="L173" s="4"/>
      <c r="M173" s="4"/>
      <c r="N173" s="4"/>
      <c r="O173" s="4"/>
      <c r="P173" s="4"/>
      <c r="Q173" s="4" t="s">
        <v>81</v>
      </c>
      <c r="R173" s="4"/>
      <c r="S173" s="4"/>
      <c r="T173" s="4"/>
      <c r="U173" s="4"/>
      <c r="V173" s="4"/>
      <c r="W173" s="4"/>
      <c r="X173" s="4"/>
      <c r="Y173" s="4"/>
      <c r="Z173" s="4"/>
      <c r="AA173" s="4"/>
      <c r="AB173" s="4"/>
      <c r="AC173" s="4"/>
      <c r="AD173" s="4"/>
      <c r="AE173" s="4"/>
      <c r="AF173" s="4"/>
      <c r="AG173" s="4"/>
      <c r="AH173" s="4"/>
      <c r="AI173" s="4"/>
    </row>
    <row r="174" ht="16" customHeight="1" s="4" customFormat="1">
      <c r="A174" s="4">
        <v>173</v>
      </c>
      <c r="B174" s="4" t="s">
        <v>557</v>
      </c>
      <c r="C174" s="4">
        <v>4</v>
      </c>
      <c r="D174" s="4" t="s">
        <v>558</v>
      </c>
      <c r="E174" s="4" t="s">
        <v>119</v>
      </c>
      <c r="F174" s="4">
        <v>9011.74</v>
      </c>
      <c r="G174" s="4"/>
      <c r="H174" s="4"/>
      <c r="I174" s="4"/>
      <c r="J174" s="4"/>
      <c r="K174" s="4"/>
      <c r="L174" s="4"/>
      <c r="M174" s="4"/>
      <c r="N174" s="4"/>
      <c r="O174" s="4"/>
      <c r="P174" s="4"/>
      <c r="Q174" s="4"/>
      <c r="R174" s="4"/>
      <c r="S174" s="4"/>
      <c r="T174" s="4"/>
      <c r="U174" s="4"/>
      <c r="V174" s="4" t="s">
        <v>246</v>
      </c>
      <c r="W174" s="4"/>
      <c r="X174" s="4"/>
      <c r="Y174" s="4"/>
      <c r="Z174" s="4"/>
      <c r="AA174" s="4"/>
      <c r="AB174" s="4"/>
      <c r="AC174" s="4"/>
      <c r="AD174" s="4"/>
      <c r="AE174" s="4"/>
      <c r="AF174" s="4"/>
      <c r="AG174" s="4"/>
      <c r="AH174" s="4"/>
      <c r="AI174" s="4"/>
    </row>
    <row r="175" ht="16" customHeight="1" s="4" customFormat="1">
      <c r="A175" s="4">
        <v>174</v>
      </c>
      <c r="B175" s="4" t="s">
        <v>559</v>
      </c>
      <c r="C175" s="4">
        <v>4</v>
      </c>
      <c r="D175" s="4" t="s">
        <v>560</v>
      </c>
      <c r="E175" s="4" t="s">
        <v>512</v>
      </c>
      <c r="F175" s="4">
        <v>4113.31</v>
      </c>
      <c r="G175" s="4"/>
      <c r="H175" s="4"/>
      <c r="I175" s="4"/>
      <c r="J175" s="4"/>
      <c r="K175" s="4"/>
      <c r="L175" s="4"/>
      <c r="M175" s="4"/>
      <c r="N175" s="4"/>
      <c r="O175" s="4"/>
      <c r="P175" s="4"/>
      <c r="Q175" s="4"/>
      <c r="R175" s="4"/>
      <c r="S175" s="4"/>
      <c r="T175" s="4"/>
      <c r="U175" s="4"/>
      <c r="V175" s="4"/>
      <c r="W175" s="4"/>
      <c r="X175" s="4"/>
      <c r="Y175" s="4"/>
      <c r="Z175" s="4"/>
      <c r="AA175" s="4"/>
      <c r="AB175" s="4" t="s">
        <v>246</v>
      </c>
      <c r="AC175" s="4"/>
      <c r="AD175" s="4"/>
      <c r="AE175" s="4"/>
      <c r="AF175" s="4"/>
      <c r="AG175" s="4"/>
      <c r="AH175" s="4"/>
      <c r="AI175" s="4"/>
    </row>
    <row r="176" ht="16" customHeight="1" s="4" customFormat="1">
      <c r="A176" s="4">
        <v>175</v>
      </c>
      <c r="B176" s="4" t="s">
        <v>561</v>
      </c>
      <c r="C176" s="4">
        <v>4</v>
      </c>
      <c r="D176" s="4" t="s">
        <v>562</v>
      </c>
      <c r="E176" s="4" t="s">
        <v>99</v>
      </c>
      <c r="F176" s="4">
        <v>5</v>
      </c>
      <c r="G176" s="4"/>
      <c r="H176" s="4"/>
      <c r="I176" s="4"/>
      <c r="J176" s="4"/>
      <c r="K176" s="4"/>
      <c r="L176" s="4"/>
      <c r="M176" s="4"/>
      <c r="N176" s="4"/>
      <c r="O176" s="4"/>
      <c r="P176" s="4"/>
      <c r="Q176" s="4" t="s">
        <v>257</v>
      </c>
      <c r="R176" s="4"/>
      <c r="S176" s="4"/>
      <c r="T176" s="4"/>
      <c r="U176" s="4"/>
      <c r="V176" s="4"/>
      <c r="W176" s="4"/>
      <c r="X176" s="4"/>
      <c r="Y176" s="4"/>
      <c r="Z176" s="4"/>
      <c r="AA176" s="4"/>
      <c r="AB176" s="4"/>
      <c r="AC176" s="4"/>
      <c r="AD176" s="4"/>
      <c r="AE176" s="4"/>
      <c r="AF176" s="4"/>
      <c r="AG176" s="4"/>
      <c r="AH176" s="4"/>
      <c r="AI176" s="4"/>
    </row>
    <row r="177" ht="16" customHeight="1" s="4" customFormat="1">
      <c r="A177" s="4">
        <v>176</v>
      </c>
      <c r="B177" s="4" t="s">
        <v>563</v>
      </c>
      <c r="C177" s="4">
        <v>4</v>
      </c>
      <c r="D177" s="4" t="s">
        <v>564</v>
      </c>
      <c r="E177" s="4" t="s">
        <v>119</v>
      </c>
      <c r="F177" s="4">
        <v>1</v>
      </c>
      <c r="G177" s="4"/>
      <c r="H177" s="4"/>
      <c r="I177" s="4"/>
      <c r="J177" s="4"/>
      <c r="K177" s="4"/>
      <c r="L177" s="4"/>
      <c r="M177" s="4"/>
      <c r="N177" s="4"/>
      <c r="O177" s="4"/>
      <c r="P177" s="4"/>
      <c r="Q177" s="4" t="s">
        <v>81</v>
      </c>
      <c r="R177" s="4"/>
      <c r="S177" s="4"/>
      <c r="T177" s="4"/>
      <c r="U177" s="4"/>
      <c r="V177" s="4"/>
      <c r="W177" s="4"/>
      <c r="X177" s="4"/>
      <c r="Y177" s="4"/>
      <c r="Z177" s="4"/>
      <c r="AA177" s="4"/>
      <c r="AB177" s="4"/>
      <c r="AC177" s="4"/>
      <c r="AD177" s="4"/>
      <c r="AE177" s="4"/>
      <c r="AF177" s="4"/>
      <c r="AG177" s="4"/>
      <c r="AH177" s="4"/>
      <c r="AI177" s="4"/>
    </row>
    <row r="178" ht="16" customHeight="1" s="4" customFormat="1">
      <c r="A178" s="4">
        <v>177</v>
      </c>
      <c r="B178" s="4" t="s">
        <v>565</v>
      </c>
      <c r="C178" s="4">
        <v>4</v>
      </c>
      <c r="D178" s="4" t="s">
        <v>566</v>
      </c>
      <c r="E178" s="4" t="s">
        <v>567</v>
      </c>
      <c r="F178" s="4">
        <v>363.32</v>
      </c>
      <c r="G178" s="4">
        <v>10.5</v>
      </c>
      <c r="H178" s="4"/>
      <c r="I178" s="4"/>
      <c r="J178" s="4"/>
      <c r="K178" s="4"/>
      <c r="L178" s="4"/>
      <c r="M178" s="4"/>
      <c r="N178" s="4"/>
      <c r="O178" s="4"/>
      <c r="P178" s="4"/>
      <c r="Q178" s="4"/>
      <c r="R178" s="4"/>
      <c r="S178" s="4"/>
      <c r="T178" s="4"/>
      <c r="U178" s="4"/>
      <c r="V178" s="4"/>
      <c r="W178" s="4"/>
      <c r="X178" s="4"/>
      <c r="Y178" s="4"/>
      <c r="Z178" s="4" t="s">
        <v>81</v>
      </c>
      <c r="AA178" s="4"/>
      <c r="AB178" s="4"/>
      <c r="AC178" s="4"/>
      <c r="AD178" s="4"/>
      <c r="AE178" s="4"/>
      <c r="AF178" s="4"/>
      <c r="AG178" s="4"/>
      <c r="AH178" s="4"/>
      <c r="AI178" s="4"/>
    </row>
    <row r="179" ht="16" customHeight="1" s="4" customFormat="1">
      <c r="A179" s="4">
        <v>178</v>
      </c>
      <c r="B179" s="4" t="s">
        <v>568</v>
      </c>
      <c r="C179" s="4">
        <v>4</v>
      </c>
      <c r="D179" s="4" t="s">
        <v>569</v>
      </c>
      <c r="E179" s="4" t="s">
        <v>567</v>
      </c>
      <c r="F179" s="4">
        <v>297.48</v>
      </c>
      <c r="G179" s="4">
        <v>28.8</v>
      </c>
      <c r="H179" s="4"/>
      <c r="I179" s="4"/>
      <c r="J179" s="4"/>
      <c r="K179" s="4"/>
      <c r="L179" s="4"/>
      <c r="M179" s="4"/>
      <c r="N179" s="4"/>
      <c r="O179" s="4"/>
      <c r="P179" s="4"/>
      <c r="Q179" s="4"/>
      <c r="R179" s="4"/>
      <c r="S179" s="4"/>
      <c r="T179" s="4"/>
      <c r="U179" s="4"/>
      <c r="V179" s="4"/>
      <c r="W179" s="4"/>
      <c r="X179" s="4"/>
      <c r="Y179" s="4"/>
      <c r="Z179" s="4" t="s">
        <v>81</v>
      </c>
      <c r="AA179" s="4"/>
      <c r="AB179" s="4"/>
      <c r="AC179" s="4"/>
      <c r="AD179" s="4"/>
      <c r="AE179" s="4"/>
      <c r="AF179" s="4"/>
      <c r="AG179" s="4"/>
      <c r="AH179" s="4"/>
      <c r="AI179" s="4"/>
    </row>
    <row r="180" ht="16" customHeight="1" s="4" customFormat="1">
      <c r="A180" s="4">
        <v>179</v>
      </c>
      <c r="B180" s="4" t="s">
        <v>570</v>
      </c>
      <c r="C180" s="4">
        <v>4</v>
      </c>
      <c r="D180" s="4" t="s">
        <v>132</v>
      </c>
      <c r="E180" s="4" t="s">
        <v>93</v>
      </c>
      <c r="F180" s="4">
        <v>1949.65</v>
      </c>
      <c r="G180" s="4">
        <v>403.9</v>
      </c>
      <c r="H180" s="4"/>
      <c r="I180" s="4"/>
      <c r="J180" s="4"/>
      <c r="K180" s="4"/>
      <c r="L180" s="4"/>
      <c r="M180" s="4"/>
      <c r="N180" s="4"/>
      <c r="O180" s="4"/>
      <c r="P180" s="4"/>
      <c r="Q180" s="4"/>
      <c r="R180" s="4"/>
      <c r="S180" s="4"/>
      <c r="T180" s="4"/>
      <c r="U180" s="4"/>
      <c r="V180" s="4"/>
      <c r="W180" s="4"/>
      <c r="X180" s="4"/>
      <c r="Y180" s="4"/>
      <c r="Z180" s="4"/>
      <c r="AA180" s="4"/>
      <c r="AB180" s="4"/>
      <c r="AC180" s="4"/>
      <c r="AD180" s="4" t="s">
        <v>81</v>
      </c>
      <c r="AE180" s="4"/>
      <c r="AF180" s="4"/>
      <c r="AG180" s="4"/>
      <c r="AH180" s="4"/>
      <c r="AI180" s="4"/>
    </row>
    <row r="181" ht="16" customHeight="1" s="4" customFormat="1">
      <c r="A181" s="4">
        <v>180</v>
      </c>
      <c r="B181" s="4" t="s">
        <v>571</v>
      </c>
      <c r="C181" s="4">
        <v>4</v>
      </c>
      <c r="D181" s="4" t="s">
        <v>572</v>
      </c>
      <c r="E181" s="4" t="s">
        <v>36</v>
      </c>
      <c r="F181" s="4">
        <v>36180.88</v>
      </c>
      <c r="G181" s="4">
        <v>3486.4</v>
      </c>
      <c r="H181" s="4"/>
      <c r="I181" s="4" t="s">
        <v>81</v>
      </c>
      <c r="J181" s="4"/>
      <c r="K181" s="4"/>
      <c r="L181" s="4"/>
      <c r="M181" s="4"/>
      <c r="N181" s="4"/>
      <c r="O181" s="4"/>
      <c r="P181" s="4"/>
      <c r="Q181" s="4"/>
      <c r="R181" s="4"/>
      <c r="S181" s="4"/>
      <c r="T181" s="4"/>
      <c r="U181" s="4"/>
      <c r="V181" s="4"/>
      <c r="W181" s="4" t="s">
        <v>81</v>
      </c>
      <c r="X181" s="4"/>
      <c r="Y181" s="4"/>
      <c r="Z181" s="4"/>
      <c r="AA181" s="4"/>
      <c r="AB181" s="4"/>
      <c r="AC181" s="4"/>
      <c r="AD181" s="4"/>
      <c r="AE181" s="4"/>
      <c r="AF181" s="4"/>
      <c r="AG181" s="4"/>
      <c r="AH181" s="4"/>
      <c r="AI181" s="4"/>
    </row>
    <row r="182" ht="16" customHeight="1" s="4" customFormat="1">
      <c r="A182" s="4">
        <v>181</v>
      </c>
      <c r="B182" s="4" t="s">
        <v>573</v>
      </c>
      <c r="C182" s="4">
        <v>4</v>
      </c>
      <c r="D182" s="4" t="s">
        <v>574</v>
      </c>
      <c r="E182" s="4" t="s">
        <v>575</v>
      </c>
      <c r="F182" s="4">
        <v>1492.25</v>
      </c>
      <c r="G182" s="4">
        <v>1198.3</v>
      </c>
      <c r="H182" s="4"/>
      <c r="I182" s="4"/>
      <c r="J182" s="4"/>
      <c r="K182" s="4"/>
      <c r="L182" s="4"/>
      <c r="M182" s="4"/>
      <c r="N182" s="4"/>
      <c r="O182" s="4"/>
      <c r="P182" s="4"/>
      <c r="Q182" s="4" t="s">
        <v>81</v>
      </c>
      <c r="R182" s="4"/>
      <c r="S182" s="4"/>
      <c r="T182" s="4"/>
      <c r="U182" s="4"/>
      <c r="V182" s="4"/>
      <c r="W182" s="4"/>
      <c r="X182" s="4"/>
      <c r="Y182" s="4"/>
      <c r="Z182" s="4"/>
      <c r="AA182" s="4"/>
      <c r="AB182" s="4"/>
      <c r="AC182" s="4"/>
      <c r="AD182" s="4"/>
      <c r="AE182" s="4"/>
      <c r="AF182" s="4"/>
      <c r="AG182" s="4"/>
      <c r="AH182" s="4"/>
      <c r="AI182" s="4"/>
    </row>
    <row r="183" ht="16" customHeight="1" s="4" customFormat="1">
      <c r="A183" s="4">
        <v>182</v>
      </c>
      <c r="B183" s="4" t="s">
        <v>576</v>
      </c>
      <c r="C183" s="4">
        <v>4</v>
      </c>
      <c r="D183" s="4" t="s">
        <v>577</v>
      </c>
      <c r="E183" s="4" t="s">
        <v>36</v>
      </c>
      <c r="F183" s="4">
        <v>8124.61</v>
      </c>
      <c r="G183" s="4">
        <v>1564.7</v>
      </c>
      <c r="H183" s="4"/>
      <c r="I183" s="4" t="s">
        <v>81</v>
      </c>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16" customHeight="1" s="4" customFormat="1">
      <c r="A184" s="4">
        <v>183</v>
      </c>
      <c r="B184" s="4" t="s">
        <v>578</v>
      </c>
      <c r="C184" s="4">
        <v>4</v>
      </c>
      <c r="D184" s="4" t="s">
        <v>579</v>
      </c>
      <c r="E184" s="4" t="s">
        <v>411</v>
      </c>
      <c r="F184" s="4">
        <v>18778.73</v>
      </c>
      <c r="G184" s="4"/>
      <c r="H184" s="4"/>
      <c r="I184" s="4"/>
      <c r="J184" s="4"/>
      <c r="K184" s="4"/>
      <c r="L184" s="4"/>
      <c r="M184" s="4"/>
      <c r="N184" s="4"/>
      <c r="O184" s="4"/>
      <c r="P184" s="4"/>
      <c r="Q184" s="4"/>
      <c r="R184" s="4"/>
      <c r="S184" s="4" t="s">
        <v>580</v>
      </c>
      <c r="T184" s="4"/>
      <c r="U184" s="4"/>
      <c r="V184" s="4"/>
      <c r="W184" s="4" t="s">
        <v>81</v>
      </c>
      <c r="X184" s="4"/>
      <c r="Y184" s="4"/>
      <c r="Z184" s="4" t="s">
        <v>251</v>
      </c>
      <c r="AA184" s="4"/>
      <c r="AB184" s="4"/>
      <c r="AC184" s="4"/>
      <c r="AD184" s="4"/>
      <c r="AE184" s="4"/>
      <c r="AF184" s="4"/>
      <c r="AG184" s="4"/>
      <c r="AH184" s="4"/>
      <c r="AI184" s="4"/>
    </row>
    <row r="185" ht="16" customHeight="1" s="4" customFormat="1">
      <c r="A185" s="4">
        <v>184</v>
      </c>
      <c r="B185" s="4" t="s">
        <v>581</v>
      </c>
      <c r="C185" s="4">
        <v>4</v>
      </c>
      <c r="D185" s="4" t="s">
        <v>582</v>
      </c>
      <c r="E185" s="4" t="s">
        <v>411</v>
      </c>
      <c r="F185" s="4">
        <v>49436.47</v>
      </c>
      <c r="G185" s="4"/>
      <c r="H185" s="4"/>
      <c r="I185" s="4"/>
      <c r="J185" s="4"/>
      <c r="K185" s="4"/>
      <c r="L185" s="4"/>
      <c r="M185" s="4"/>
      <c r="N185" s="4"/>
      <c r="O185" s="4"/>
      <c r="P185" s="4"/>
      <c r="Q185" s="4"/>
      <c r="R185" s="4"/>
      <c r="S185" s="4"/>
      <c r="T185" s="4"/>
      <c r="U185" s="4"/>
      <c r="V185" s="4" t="s">
        <v>81</v>
      </c>
      <c r="W185" s="4" t="s">
        <v>246</v>
      </c>
      <c r="X185" s="4"/>
      <c r="Y185" s="4"/>
      <c r="Z185" s="4"/>
      <c r="AA185" s="4"/>
      <c r="AB185" s="4" t="s">
        <v>583</v>
      </c>
      <c r="AC185" s="4"/>
      <c r="AD185" s="4"/>
      <c r="AE185" s="4"/>
      <c r="AF185" s="4"/>
      <c r="AG185" s="4"/>
      <c r="AH185" s="4"/>
      <c r="AI185" s="4"/>
    </row>
    <row r="186" ht="16" customHeight="1" s="4" customFormat="1">
      <c r="A186" s="4">
        <v>185</v>
      </c>
      <c r="B186" s="4" t="s">
        <v>584</v>
      </c>
      <c r="C186" s="4">
        <v>4</v>
      </c>
      <c r="D186" s="4" t="s">
        <v>585</v>
      </c>
      <c r="E186" s="4" t="s">
        <v>36</v>
      </c>
      <c r="F186" s="4">
        <v>5627.85</v>
      </c>
      <c r="G186" s="4">
        <v>1795.8</v>
      </c>
      <c r="H186" s="4"/>
      <c r="I186" s="4"/>
      <c r="J186" s="4"/>
      <c r="K186" s="4"/>
      <c r="L186" s="4"/>
      <c r="M186" s="4"/>
      <c r="N186" s="4"/>
      <c r="O186" s="4"/>
      <c r="P186" s="4"/>
      <c r="Q186" s="4"/>
      <c r="R186" s="4"/>
      <c r="S186" s="4"/>
      <c r="T186" s="4"/>
      <c r="U186" s="4" t="s">
        <v>81</v>
      </c>
      <c r="V186" s="4"/>
      <c r="W186" s="4"/>
      <c r="X186" s="4"/>
      <c r="Y186" s="4"/>
      <c r="Z186" s="4"/>
      <c r="AA186" s="4"/>
      <c r="AB186" s="4"/>
      <c r="AC186" s="4"/>
      <c r="AD186" s="4"/>
      <c r="AE186" s="4"/>
      <c r="AF186" s="4"/>
      <c r="AG186" s="4"/>
      <c r="AH186" s="4"/>
      <c r="AI186" s="4"/>
    </row>
    <row r="187" ht="16" customHeight="1" s="4" customFormat="1">
      <c r="A187" s="4">
        <v>186</v>
      </c>
      <c r="B187" s="4" t="s">
        <v>586</v>
      </c>
      <c r="C187" s="4">
        <v>4</v>
      </c>
      <c r="D187" s="4" t="s">
        <v>587</v>
      </c>
      <c r="E187" s="4" t="s">
        <v>36</v>
      </c>
      <c r="F187" s="4">
        <v>369.6</v>
      </c>
      <c r="G187" s="4">
        <v>28.7</v>
      </c>
      <c r="H187" s="4"/>
      <c r="I187" s="4"/>
      <c r="J187" s="4"/>
      <c r="K187" s="4"/>
      <c r="L187" s="4"/>
      <c r="M187" s="4"/>
      <c r="N187" s="4"/>
      <c r="O187" s="4"/>
      <c r="P187" s="4"/>
      <c r="Q187" s="4"/>
      <c r="R187" s="4"/>
      <c r="S187" s="4"/>
      <c r="T187" s="4"/>
      <c r="U187" s="4"/>
      <c r="V187" s="4" t="s">
        <v>246</v>
      </c>
      <c r="W187" s="4"/>
      <c r="X187" s="4"/>
      <c r="Y187" s="4"/>
      <c r="Z187" s="4"/>
      <c r="AA187" s="4"/>
      <c r="AB187" s="4"/>
      <c r="AC187" s="4"/>
      <c r="AD187" s="4"/>
      <c r="AE187" s="4"/>
      <c r="AF187" s="4"/>
      <c r="AG187" s="4"/>
      <c r="AH187" s="4"/>
      <c r="AI187" s="4"/>
    </row>
    <row r="188" ht="16" customHeight="1" s="4" customFormat="1">
      <c r="A188" s="4">
        <v>187</v>
      </c>
      <c r="B188" s="4" t="s">
        <v>588</v>
      </c>
      <c r="C188" s="4">
        <v>4</v>
      </c>
      <c r="D188" s="4" t="s">
        <v>589</v>
      </c>
      <c r="E188" s="4" t="s">
        <v>93</v>
      </c>
      <c r="F188" s="4">
        <v>1244.38</v>
      </c>
      <c r="G188" s="4">
        <v>41.5</v>
      </c>
      <c r="H188" s="4"/>
      <c r="I188" s="4"/>
      <c r="J188" s="4"/>
      <c r="K188" s="4"/>
      <c r="L188" s="4"/>
      <c r="M188" s="4"/>
      <c r="N188" s="4"/>
      <c r="O188" s="4"/>
      <c r="P188" s="4"/>
      <c r="Q188" s="4"/>
      <c r="R188" s="4"/>
      <c r="S188" s="4"/>
      <c r="T188" s="4"/>
      <c r="U188" s="4"/>
      <c r="V188" s="4"/>
      <c r="W188" s="4"/>
      <c r="X188" s="4"/>
      <c r="Y188" s="4"/>
      <c r="Z188" s="4"/>
      <c r="AA188" s="4"/>
      <c r="AB188" s="4"/>
      <c r="AC188" s="4"/>
      <c r="AD188" s="4" t="s">
        <v>81</v>
      </c>
      <c r="AE188" s="4"/>
      <c r="AF188" s="4"/>
      <c r="AG188" s="4"/>
      <c r="AH188" s="4"/>
      <c r="AI188" s="4"/>
    </row>
    <row r="189" ht="16" customHeight="1" s="4" customFormat="1">
      <c r="A189" s="4">
        <v>188</v>
      </c>
      <c r="B189" s="4" t="s">
        <v>590</v>
      </c>
      <c r="C189" s="4">
        <v>4</v>
      </c>
      <c r="D189" s="4" t="s">
        <v>591</v>
      </c>
      <c r="E189" s="4" t="s">
        <v>36</v>
      </c>
      <c r="F189" s="4">
        <v>15978.13</v>
      </c>
      <c r="G189" s="4"/>
      <c r="H189" s="4"/>
      <c r="I189" s="4"/>
      <c r="J189" s="4"/>
      <c r="K189" s="4"/>
      <c r="L189" s="4"/>
      <c r="M189" s="4"/>
      <c r="N189" s="4"/>
      <c r="O189" s="4"/>
      <c r="P189" s="4"/>
      <c r="Q189" s="4"/>
      <c r="R189" s="4"/>
      <c r="S189" s="4"/>
      <c r="T189" s="4"/>
      <c r="U189" s="4"/>
      <c r="V189" s="4"/>
      <c r="W189" s="4" t="s">
        <v>246</v>
      </c>
      <c r="X189" s="4"/>
      <c r="Y189" s="4"/>
      <c r="Z189" s="4"/>
      <c r="AA189" s="4"/>
      <c r="AB189" s="4"/>
      <c r="AC189" s="4"/>
      <c r="AD189" s="4"/>
      <c r="AE189" s="4"/>
      <c r="AF189" s="4"/>
      <c r="AG189" s="4"/>
      <c r="AH189" s="4"/>
      <c r="AI189" s="4"/>
    </row>
    <row r="190" ht="16" customHeight="1" s="4" customFormat="1">
      <c r="A190" s="4">
        <v>189</v>
      </c>
      <c r="B190" s="4" t="s">
        <v>304</v>
      </c>
      <c r="C190" s="4">
        <v>4</v>
      </c>
      <c r="D190" s="4" t="s">
        <v>587</v>
      </c>
      <c r="E190" s="4" t="s">
        <v>93</v>
      </c>
      <c r="F190" s="4">
        <v>3911.69</v>
      </c>
      <c r="G190" s="4">
        <v>603</v>
      </c>
      <c r="H190" s="4"/>
      <c r="I190" s="4"/>
      <c r="J190" s="4"/>
      <c r="K190" s="4" t="s">
        <v>81</v>
      </c>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16" customHeight="1" s="4" customFormat="1">
      <c r="A191" s="4">
        <v>190</v>
      </c>
      <c r="B191" s="4" t="s">
        <v>592</v>
      </c>
      <c r="C191" s="4">
        <v>4</v>
      </c>
      <c r="D191" s="4" t="s">
        <v>593</v>
      </c>
      <c r="E191" s="4" t="s">
        <v>36</v>
      </c>
      <c r="F191" s="4">
        <v>49850.38</v>
      </c>
      <c r="G191" s="4"/>
      <c r="H191" s="4"/>
      <c r="I191" s="4"/>
      <c r="J191" s="4"/>
      <c r="K191" s="4"/>
      <c r="L191" s="4"/>
      <c r="M191" s="4"/>
      <c r="N191" s="4"/>
      <c r="O191" s="4"/>
      <c r="P191" s="4"/>
      <c r="Q191" s="4"/>
      <c r="R191" s="4"/>
      <c r="S191" s="4"/>
      <c r="T191" s="4" t="s">
        <v>246</v>
      </c>
      <c r="U191" s="4"/>
      <c r="V191" s="4" t="s">
        <v>83</v>
      </c>
      <c r="W191" s="4"/>
      <c r="X191" s="4"/>
      <c r="Y191" s="4"/>
      <c r="Z191" s="4"/>
      <c r="AA191" s="4"/>
      <c r="AB191" s="4"/>
      <c r="AC191" s="4"/>
      <c r="AD191" s="4"/>
      <c r="AE191" s="4"/>
      <c r="AF191" s="4"/>
      <c r="AG191" s="4"/>
      <c r="AH191" s="4"/>
      <c r="AI191" s="4"/>
    </row>
    <row r="192" ht="16" customHeight="1" s="4" customFormat="1">
      <c r="A192" s="4">
        <v>191</v>
      </c>
      <c r="B192" s="4" t="s">
        <v>594</v>
      </c>
      <c r="C192" s="4">
        <v>4</v>
      </c>
      <c r="D192" s="4" t="s">
        <v>589</v>
      </c>
      <c r="E192" s="4" t="s">
        <v>36</v>
      </c>
      <c r="F192" s="4">
        <v>37028.53</v>
      </c>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t="s">
        <v>246</v>
      </c>
      <c r="AH192" s="4"/>
      <c r="AI192" s="4"/>
    </row>
    <row r="193" ht="16" customHeight="1" s="4" customFormat="1">
      <c r="A193" s="4">
        <v>192</v>
      </c>
      <c r="B193" s="4" t="s">
        <v>595</v>
      </c>
      <c r="C193" s="4">
        <v>4</v>
      </c>
      <c r="D193" s="4" t="s">
        <v>596</v>
      </c>
      <c r="E193" s="4" t="s">
        <v>36</v>
      </c>
      <c r="F193" s="4">
        <v>1000</v>
      </c>
      <c r="G193" s="4"/>
      <c r="H193" s="4"/>
      <c r="I193" s="4"/>
      <c r="J193" s="4"/>
      <c r="K193" s="4"/>
      <c r="L193" s="4"/>
      <c r="M193" s="4"/>
      <c r="N193" s="4"/>
      <c r="O193" s="4"/>
      <c r="P193" s="4"/>
      <c r="Q193" s="4"/>
      <c r="R193" s="4"/>
      <c r="S193" s="4"/>
      <c r="T193" s="4"/>
      <c r="U193" s="4"/>
      <c r="V193" s="4"/>
      <c r="W193" s="4"/>
      <c r="X193" s="4"/>
      <c r="Y193" s="4"/>
      <c r="Z193" s="4"/>
      <c r="AA193" s="4" t="s">
        <v>246</v>
      </c>
      <c r="AB193" s="4"/>
      <c r="AC193" s="4"/>
      <c r="AD193" s="4"/>
      <c r="AE193" s="4"/>
      <c r="AF193" s="4"/>
      <c r="AG193" s="4"/>
      <c r="AH193" s="4"/>
      <c r="AI193" s="4"/>
    </row>
    <row r="194" ht="16" customHeight="1" s="4" customFormat="1">
      <c r="A194" s="4">
        <v>193</v>
      </c>
      <c r="B194" s="4" t="s">
        <v>597</v>
      </c>
      <c r="C194" s="4">
        <v>4</v>
      </c>
      <c r="D194" s="4" t="s">
        <v>598</v>
      </c>
      <c r="E194" s="4" t="s">
        <v>36</v>
      </c>
      <c r="F194" s="4">
        <v>0</v>
      </c>
      <c r="G194" s="4"/>
      <c r="H194" s="4"/>
      <c r="I194" s="4"/>
      <c r="J194" s="4"/>
      <c r="K194" s="4"/>
      <c r="L194" s="4"/>
      <c r="M194" s="4"/>
      <c r="N194" s="4"/>
      <c r="O194" s="4"/>
      <c r="P194" s="4"/>
      <c r="Q194" s="4"/>
      <c r="R194" s="4"/>
      <c r="S194" s="4"/>
      <c r="T194" s="4"/>
      <c r="U194" s="4"/>
      <c r="V194" s="4"/>
      <c r="W194" s="4"/>
      <c r="X194" s="4" t="s">
        <v>81</v>
      </c>
      <c r="Y194" s="4"/>
      <c r="Z194" s="4"/>
      <c r="AA194" s="4"/>
      <c r="AB194" s="4"/>
      <c r="AC194" s="4"/>
      <c r="AD194" s="4"/>
      <c r="AE194" s="4"/>
      <c r="AF194" s="4"/>
      <c r="AG194" s="4"/>
      <c r="AH194" s="4"/>
      <c r="AI194" s="4"/>
    </row>
    <row r="195" ht="16" customHeight="1" s="4" customFormat="1">
      <c r="A195" s="4">
        <v>194</v>
      </c>
      <c r="B195" s="4" t="s">
        <v>599</v>
      </c>
      <c r="C195" s="4">
        <v>4</v>
      </c>
      <c r="D195" s="4" t="s">
        <v>600</v>
      </c>
      <c r="E195" s="4" t="s">
        <v>93</v>
      </c>
      <c r="F195" s="4">
        <v>0</v>
      </c>
      <c r="G195" s="4"/>
      <c r="H195" s="4"/>
      <c r="I195" s="4"/>
      <c r="J195" s="4"/>
      <c r="K195" s="4"/>
      <c r="L195" s="4"/>
      <c r="M195" s="4"/>
      <c r="N195" s="4"/>
      <c r="O195" s="4"/>
      <c r="P195" s="4"/>
      <c r="Q195" s="4"/>
      <c r="R195" s="4" t="s">
        <v>81</v>
      </c>
      <c r="S195" s="4"/>
      <c r="T195" s="4"/>
      <c r="U195" s="4"/>
      <c r="V195" s="4"/>
      <c r="W195" s="4"/>
      <c r="X195" s="4"/>
      <c r="Y195" s="4"/>
      <c r="Z195" s="4"/>
      <c r="AA195" s="4"/>
      <c r="AB195" s="4"/>
      <c r="AC195" s="4"/>
      <c r="AD195" s="4"/>
      <c r="AE195" s="4"/>
      <c r="AF195" s="4"/>
      <c r="AG195" s="4"/>
      <c r="AH195" s="4"/>
      <c r="AI195" s="4"/>
    </row>
    <row r="196" ht="16" customHeight="1" s="4" customFormat="1">
      <c r="A196" s="4">
        <v>195</v>
      </c>
      <c r="B196" s="4" t="s">
        <v>601</v>
      </c>
      <c r="C196" s="4">
        <v>3</v>
      </c>
      <c r="D196" s="4" t="s">
        <v>602</v>
      </c>
      <c r="E196" s="4" t="s">
        <v>36</v>
      </c>
      <c r="F196" s="4">
        <v>0</v>
      </c>
      <c r="G196" s="4"/>
      <c r="H196" s="4"/>
      <c r="I196" s="4"/>
      <c r="J196" s="4"/>
      <c r="K196" s="4"/>
      <c r="L196" s="4"/>
      <c r="M196" s="4"/>
      <c r="N196" s="4"/>
      <c r="O196" s="4"/>
      <c r="P196" s="4"/>
      <c r="Q196" s="4"/>
      <c r="R196" s="4"/>
      <c r="S196" s="4"/>
      <c r="T196" s="4"/>
      <c r="U196" s="4"/>
      <c r="V196" s="4"/>
      <c r="W196" s="4"/>
      <c r="X196" s="4" t="s">
        <v>81</v>
      </c>
      <c r="Y196" s="4"/>
      <c r="Z196" s="4"/>
      <c r="AA196" s="4"/>
      <c r="AB196" s="4"/>
      <c r="AC196" s="4"/>
      <c r="AD196" s="4"/>
      <c r="AE196" s="4"/>
      <c r="AF196" s="4"/>
      <c r="AG196" s="4"/>
      <c r="AH196" s="4"/>
      <c r="AI196" s="4"/>
    </row>
    <row r="197" ht="16" customHeight="1" s="4" customFormat="1">
      <c r="A197" s="4">
        <v>196</v>
      </c>
      <c r="B197" s="4" t="s">
        <v>603</v>
      </c>
      <c r="C197" s="4">
        <v>3</v>
      </c>
      <c r="D197" s="4" t="s">
        <v>604</v>
      </c>
      <c r="E197" s="4" t="s">
        <v>135</v>
      </c>
      <c r="F197" s="4">
        <v>26663.12</v>
      </c>
      <c r="G197" s="4"/>
      <c r="H197" s="4"/>
      <c r="I197" s="4"/>
      <c r="J197" s="4"/>
      <c r="K197" s="4"/>
      <c r="L197" s="4"/>
      <c r="M197" s="4"/>
      <c r="N197" s="4"/>
      <c r="O197" s="4"/>
      <c r="P197" s="4"/>
      <c r="Q197" s="4"/>
      <c r="R197" s="4"/>
      <c r="S197" s="4"/>
      <c r="T197" s="4"/>
      <c r="U197" s="4"/>
      <c r="V197" s="4"/>
      <c r="W197" s="4"/>
      <c r="X197" s="4"/>
      <c r="Y197" s="4"/>
      <c r="Z197" s="4"/>
      <c r="AA197" s="4" t="s">
        <v>246</v>
      </c>
      <c r="AB197" s="4"/>
      <c r="AC197" s="4"/>
      <c r="AD197" s="4"/>
      <c r="AE197" s="4"/>
      <c r="AF197" s="4"/>
      <c r="AG197" s="4"/>
      <c r="AH197" s="4"/>
      <c r="AI197" s="4"/>
    </row>
    <row r="198" ht="16" customHeight="1" s="4" customFormat="1">
      <c r="A198" s="4">
        <v>197</v>
      </c>
      <c r="B198" s="4" t="s">
        <v>605</v>
      </c>
      <c r="C198" s="4">
        <v>3</v>
      </c>
      <c r="D198" s="4" t="s">
        <v>109</v>
      </c>
      <c r="E198" s="4" t="s">
        <v>36</v>
      </c>
      <c r="F198" s="4">
        <v>97319.25</v>
      </c>
      <c r="G198" s="4">
        <v>1615.3</v>
      </c>
      <c r="H198" s="4"/>
      <c r="I198" s="4" t="s">
        <v>81</v>
      </c>
      <c r="J198" s="4"/>
      <c r="K198" s="4"/>
      <c r="L198" s="4"/>
      <c r="M198" s="4"/>
      <c r="N198" s="4"/>
      <c r="O198" s="4"/>
      <c r="P198" s="4"/>
      <c r="Q198" s="4"/>
      <c r="R198" s="4"/>
      <c r="S198" s="4"/>
      <c r="T198" s="4"/>
      <c r="U198" s="4"/>
      <c r="V198" s="4"/>
      <c r="W198" s="4"/>
      <c r="X198" s="4"/>
      <c r="Y198" s="4"/>
      <c r="Z198" s="4"/>
      <c r="AA198" s="4"/>
      <c r="AB198" s="4"/>
      <c r="AC198" s="4"/>
      <c r="AD198" s="4"/>
      <c r="AE198" s="4"/>
      <c r="AF198" s="4"/>
      <c r="AG198" s="4" t="s">
        <v>246</v>
      </c>
      <c r="AH198" s="4"/>
      <c r="AI198" s="4"/>
    </row>
    <row r="199" ht="16" customHeight="1" s="4" customFormat="1">
      <c r="A199" s="4">
        <v>198</v>
      </c>
      <c r="B199" s="4" t="s">
        <v>606</v>
      </c>
      <c r="C199" s="4">
        <v>3</v>
      </c>
      <c r="D199" s="4" t="s">
        <v>607</v>
      </c>
      <c r="E199" s="4" t="s">
        <v>36</v>
      </c>
      <c r="F199" s="4">
        <v>1585.58</v>
      </c>
      <c r="G199" s="4">
        <v>613</v>
      </c>
      <c r="H199" s="4"/>
      <c r="I199" s="4"/>
      <c r="J199" s="4"/>
      <c r="K199" s="4"/>
      <c r="L199" s="4"/>
      <c r="M199" s="4"/>
      <c r="N199" s="4"/>
      <c r="O199" s="4"/>
      <c r="P199" s="4"/>
      <c r="Q199" s="4"/>
      <c r="R199" s="4"/>
      <c r="S199" s="4"/>
      <c r="T199" s="4"/>
      <c r="U199" s="4"/>
      <c r="V199" s="4"/>
      <c r="W199" s="4"/>
      <c r="X199" s="4" t="s">
        <v>81</v>
      </c>
      <c r="Y199" s="4"/>
      <c r="Z199" s="4"/>
      <c r="AA199" s="4"/>
      <c r="AB199" s="4"/>
      <c r="AC199" s="4"/>
      <c r="AD199" s="4"/>
      <c r="AE199" s="4"/>
      <c r="AF199" s="4"/>
      <c r="AG199" s="4"/>
      <c r="AH199" s="4"/>
      <c r="AI199" s="4"/>
    </row>
    <row r="200" ht="16" customHeight="1" s="4" customFormat="1">
      <c r="A200" s="4">
        <v>199</v>
      </c>
      <c r="B200" s="4" t="s">
        <v>608</v>
      </c>
      <c r="C200" s="4">
        <v>3</v>
      </c>
      <c r="D200" s="4" t="s">
        <v>609</v>
      </c>
      <c r="E200" s="4" t="s">
        <v>36</v>
      </c>
      <c r="F200" s="4">
        <v>15060.32</v>
      </c>
      <c r="G200" s="4">
        <v>6545.6</v>
      </c>
      <c r="H200" s="4"/>
      <c r="I200" s="4"/>
      <c r="J200" s="4"/>
      <c r="K200" s="4"/>
      <c r="L200" s="4"/>
      <c r="M200" s="4"/>
      <c r="N200" s="4"/>
      <c r="O200" s="4"/>
      <c r="P200" s="4"/>
      <c r="Q200" s="4"/>
      <c r="R200" s="4"/>
      <c r="S200" s="4"/>
      <c r="T200" s="4" t="s">
        <v>246</v>
      </c>
      <c r="U200" s="4"/>
      <c r="V200" s="4"/>
      <c r="W200" s="4"/>
      <c r="X200" s="4"/>
      <c r="Y200" s="4"/>
      <c r="Z200" s="4"/>
      <c r="AA200" s="4"/>
      <c r="AB200" s="4"/>
      <c r="AC200" s="4"/>
      <c r="AD200" s="4"/>
      <c r="AE200" s="4"/>
      <c r="AF200" s="4"/>
      <c r="AG200" s="4"/>
      <c r="AH200" s="4"/>
      <c r="AI200" s="4"/>
    </row>
    <row r="201" ht="16" customHeight="1" s="4" customFormat="1">
      <c r="A201" s="4">
        <v>200</v>
      </c>
      <c r="B201" s="4" t="s">
        <v>610</v>
      </c>
      <c r="C201" s="4">
        <v>3</v>
      </c>
      <c r="D201" s="4" t="s">
        <v>611</v>
      </c>
      <c r="E201" s="4" t="s">
        <v>411</v>
      </c>
      <c r="F201" s="4">
        <v>1549.87</v>
      </c>
      <c r="G201" s="4">
        <v>344.6</v>
      </c>
      <c r="H201" s="4"/>
      <c r="I201" s="4"/>
      <c r="J201" s="4"/>
      <c r="K201" s="4"/>
      <c r="L201" s="4"/>
      <c r="M201" s="4"/>
      <c r="N201" s="4"/>
      <c r="O201" s="4"/>
      <c r="P201" s="4"/>
      <c r="Q201" s="4"/>
      <c r="R201" s="4"/>
      <c r="S201" s="4"/>
      <c r="T201" s="4"/>
      <c r="U201" s="4"/>
      <c r="V201" s="4"/>
      <c r="W201" s="4"/>
      <c r="X201" s="4"/>
      <c r="Y201" s="4" t="s">
        <v>81</v>
      </c>
      <c r="Z201" s="4"/>
      <c r="AA201" s="4"/>
      <c r="AB201" s="4"/>
      <c r="AC201" s="4"/>
      <c r="AD201" s="4"/>
      <c r="AE201" s="4"/>
      <c r="AF201" s="4"/>
      <c r="AG201" s="4"/>
      <c r="AH201" s="4"/>
      <c r="AI201" s="4"/>
    </row>
    <row r="202" ht="16" customHeight="1" s="4" customFormat="1">
      <c r="A202" s="4">
        <v>201</v>
      </c>
      <c r="B202" s="4" t="s">
        <v>612</v>
      </c>
      <c r="C202" s="4">
        <v>3</v>
      </c>
      <c r="D202" s="4" t="s">
        <v>613</v>
      </c>
      <c r="E202" s="4" t="s">
        <v>36</v>
      </c>
      <c r="F202" s="4">
        <v>28632.27</v>
      </c>
      <c r="G202" s="4">
        <v>178</v>
      </c>
      <c r="H202" s="4"/>
      <c r="I202" s="4"/>
      <c r="J202" s="4"/>
      <c r="K202" s="4"/>
      <c r="L202" s="4"/>
      <c r="M202" s="4"/>
      <c r="N202" s="4"/>
      <c r="O202" s="4"/>
      <c r="P202" s="4"/>
      <c r="Q202" s="4"/>
      <c r="R202" s="4"/>
      <c r="S202" s="4"/>
      <c r="T202" s="4"/>
      <c r="U202" s="4"/>
      <c r="V202" s="4"/>
      <c r="W202" s="4"/>
      <c r="X202" s="4" t="s">
        <v>424</v>
      </c>
      <c r="Y202" s="4"/>
      <c r="Z202" s="4"/>
      <c r="AA202" s="4"/>
      <c r="AB202" s="4"/>
      <c r="AC202" s="4"/>
      <c r="AD202" s="4"/>
      <c r="AE202" s="4"/>
      <c r="AF202" s="4"/>
      <c r="AG202" s="4"/>
      <c r="AH202" s="4"/>
      <c r="AI202" s="4"/>
    </row>
    <row r="203" ht="16" customHeight="1" s="4" customFormat="1">
      <c r="A203" s="4">
        <v>202</v>
      </c>
      <c r="B203" s="4" t="s">
        <v>614</v>
      </c>
      <c r="C203" s="4">
        <v>3</v>
      </c>
      <c r="D203" s="4" t="s">
        <v>436</v>
      </c>
      <c r="E203" s="4" t="s">
        <v>36</v>
      </c>
      <c r="F203" s="4">
        <v>5324</v>
      </c>
      <c r="G203" s="4">
        <v>59400.2</v>
      </c>
      <c r="H203" s="4"/>
      <c r="I203" s="4"/>
      <c r="J203" s="4"/>
      <c r="K203" s="4"/>
      <c r="L203" s="4"/>
      <c r="M203" s="4"/>
      <c r="N203" s="4"/>
      <c r="O203" s="4"/>
      <c r="P203" s="4"/>
      <c r="Q203" s="4"/>
      <c r="R203" s="4"/>
      <c r="S203" s="4"/>
      <c r="T203" s="4"/>
      <c r="U203" s="4"/>
      <c r="V203" s="4" t="s">
        <v>246</v>
      </c>
      <c r="W203" s="4"/>
      <c r="X203" s="4"/>
      <c r="Y203" s="4"/>
      <c r="Z203" s="4"/>
      <c r="AA203" s="4"/>
      <c r="AB203" s="4"/>
      <c r="AC203" s="4"/>
      <c r="AD203" s="4"/>
      <c r="AE203" s="4"/>
      <c r="AF203" s="4"/>
      <c r="AG203" s="4"/>
      <c r="AH203" s="4"/>
      <c r="AI203" s="4"/>
    </row>
    <row r="204" ht="16" customHeight="1" s="4" customFormat="1">
      <c r="A204" s="4">
        <v>203</v>
      </c>
      <c r="B204" s="4" t="s">
        <v>615</v>
      </c>
      <c r="C204" s="4">
        <v>3</v>
      </c>
      <c r="D204" s="4" t="s">
        <v>616</v>
      </c>
      <c r="E204" s="4" t="s">
        <v>36</v>
      </c>
      <c r="F204" s="4">
        <v>1299.04</v>
      </c>
      <c r="G204" s="4">
        <v>636</v>
      </c>
      <c r="H204" s="4"/>
      <c r="I204" s="4"/>
      <c r="J204" s="4"/>
      <c r="K204" s="4"/>
      <c r="L204" s="4"/>
      <c r="M204" s="4"/>
      <c r="N204" s="4"/>
      <c r="O204" s="4"/>
      <c r="P204" s="4"/>
      <c r="Q204" s="4" t="s">
        <v>246</v>
      </c>
      <c r="R204" s="4"/>
      <c r="S204" s="4"/>
      <c r="T204" s="4"/>
      <c r="U204" s="4"/>
      <c r="V204" s="4"/>
      <c r="W204" s="4"/>
      <c r="X204" s="4"/>
      <c r="Y204" s="4"/>
      <c r="Z204" s="4"/>
      <c r="AA204" s="4"/>
      <c r="AB204" s="4"/>
      <c r="AC204" s="4"/>
      <c r="AD204" s="4"/>
      <c r="AE204" s="4"/>
      <c r="AF204" s="4"/>
      <c r="AG204" s="4"/>
      <c r="AH204" s="4"/>
      <c r="AI204" s="4"/>
    </row>
    <row r="205" ht="16" customHeight="1" s="4" customFormat="1">
      <c r="A205" s="4">
        <v>204</v>
      </c>
      <c r="B205" s="4" t="s">
        <v>617</v>
      </c>
      <c r="C205" s="4">
        <v>3</v>
      </c>
      <c r="D205" s="4" t="s">
        <v>618</v>
      </c>
      <c r="E205" s="4" t="s">
        <v>93</v>
      </c>
      <c r="F205" s="4">
        <v>6272.57</v>
      </c>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t="s">
        <v>81</v>
      </c>
      <c r="AH205" s="4"/>
      <c r="AI205" s="4"/>
    </row>
    <row r="206" ht="16" customHeight="1" s="4" customFormat="1">
      <c r="A206" s="4">
        <v>205</v>
      </c>
      <c r="B206" s="4" t="s">
        <v>619</v>
      </c>
      <c r="C206" s="4">
        <v>3</v>
      </c>
      <c r="D206" s="4" t="s">
        <v>620</v>
      </c>
      <c r="E206" s="4" t="s">
        <v>349</v>
      </c>
      <c r="F206" s="4">
        <v>10432.96</v>
      </c>
      <c r="G206" s="4"/>
      <c r="H206" s="4"/>
      <c r="I206" s="4"/>
      <c r="J206" s="4"/>
      <c r="K206" s="4"/>
      <c r="L206" s="4"/>
      <c r="M206" s="4"/>
      <c r="N206" s="4"/>
      <c r="O206" s="4"/>
      <c r="P206" s="4"/>
      <c r="Q206" s="4"/>
      <c r="R206" s="4"/>
      <c r="S206" s="4"/>
      <c r="T206" s="4"/>
      <c r="U206" s="4"/>
      <c r="V206" s="4"/>
      <c r="W206" s="4" t="s">
        <v>81</v>
      </c>
      <c r="X206" s="4"/>
      <c r="Y206" s="4"/>
      <c r="Z206" s="4"/>
      <c r="AA206" s="4"/>
      <c r="AB206" s="4"/>
      <c r="AC206" s="4"/>
      <c r="AD206" s="4"/>
      <c r="AE206" s="4"/>
      <c r="AF206" s="4"/>
      <c r="AG206" s="4"/>
      <c r="AH206" s="4"/>
      <c r="AI206" s="4"/>
    </row>
    <row r="207" ht="16" customHeight="1" s="4" customFormat="1">
      <c r="A207" s="4">
        <v>206</v>
      </c>
      <c r="B207" s="4" t="s">
        <v>621</v>
      </c>
      <c r="C207" s="4">
        <v>3</v>
      </c>
      <c r="D207" s="4" t="s">
        <v>275</v>
      </c>
      <c r="E207" s="4" t="s">
        <v>119</v>
      </c>
      <c r="F207" s="4">
        <v>194785.72</v>
      </c>
      <c r="G207" s="4">
        <v>1530</v>
      </c>
      <c r="H207" s="4"/>
      <c r="I207" s="4"/>
      <c r="J207" s="4"/>
      <c r="K207" s="4"/>
      <c r="L207" s="4"/>
      <c r="M207" s="4"/>
      <c r="N207" s="4"/>
      <c r="O207" s="4"/>
      <c r="P207" s="4"/>
      <c r="Q207" s="4"/>
      <c r="R207" s="4"/>
      <c r="S207" s="4"/>
      <c r="T207" s="4" t="s">
        <v>246</v>
      </c>
      <c r="U207" s="4"/>
      <c r="V207" s="4"/>
      <c r="W207" s="4"/>
      <c r="X207" s="4"/>
      <c r="Y207" s="4"/>
      <c r="Z207" s="4"/>
      <c r="AA207" s="4"/>
      <c r="AB207" s="4"/>
      <c r="AC207" s="4"/>
      <c r="AD207" s="4"/>
      <c r="AE207" s="4"/>
      <c r="AF207" s="4"/>
      <c r="AG207" s="4"/>
      <c r="AH207" s="4"/>
      <c r="AI207" s="4"/>
    </row>
    <row r="208" ht="16" customHeight="1" s="4" customFormat="1">
      <c r="A208" s="4">
        <v>207</v>
      </c>
      <c r="B208" s="4" t="s">
        <v>622</v>
      </c>
      <c r="C208" s="4">
        <v>3</v>
      </c>
      <c r="D208" s="4" t="s">
        <v>623</v>
      </c>
      <c r="E208" s="4" t="s">
        <v>93</v>
      </c>
      <c r="F208" s="4">
        <v>1014.31</v>
      </c>
      <c r="G208" s="4"/>
      <c r="H208" s="4"/>
      <c r="I208" s="4"/>
      <c r="J208" s="4"/>
      <c r="K208" s="4" t="s">
        <v>81</v>
      </c>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16" customHeight="1" s="4" customFormat="1">
      <c r="A209" s="4">
        <v>208</v>
      </c>
      <c r="B209" s="4" t="s">
        <v>624</v>
      </c>
      <c r="C209" s="4">
        <v>3</v>
      </c>
      <c r="D209" s="4" t="s">
        <v>625</v>
      </c>
      <c r="E209" s="4" t="s">
        <v>99</v>
      </c>
      <c r="F209" s="4">
        <v>6181.85</v>
      </c>
      <c r="G209" s="4">
        <v>15939.1</v>
      </c>
      <c r="H209" s="4"/>
      <c r="I209" s="4"/>
      <c r="J209" s="4"/>
      <c r="K209" s="4"/>
      <c r="L209" s="4"/>
      <c r="M209" s="4"/>
      <c r="N209" s="4"/>
      <c r="O209" s="4"/>
      <c r="P209" s="4"/>
      <c r="Q209" s="4"/>
      <c r="R209" s="4"/>
      <c r="S209" s="4"/>
      <c r="T209" s="4"/>
      <c r="U209" s="4"/>
      <c r="V209" s="4"/>
      <c r="W209" s="4" t="s">
        <v>81</v>
      </c>
      <c r="X209" s="4"/>
      <c r="Y209" s="4"/>
      <c r="Z209" s="4"/>
      <c r="AA209" s="4"/>
      <c r="AB209" s="4"/>
      <c r="AC209" s="4"/>
      <c r="AD209" s="4"/>
      <c r="AE209" s="4"/>
      <c r="AF209" s="4"/>
      <c r="AG209" s="4"/>
      <c r="AH209" s="4"/>
      <c r="AI209" s="4"/>
    </row>
    <row r="210" ht="16" customHeight="1" s="4" customFormat="1">
      <c r="A210" s="4">
        <v>209</v>
      </c>
      <c r="B210" s="4" t="s">
        <v>626</v>
      </c>
      <c r="C210" s="4">
        <v>3</v>
      </c>
      <c r="D210" s="4" t="s">
        <v>87</v>
      </c>
      <c r="E210" s="4" t="s">
        <v>384</v>
      </c>
      <c r="F210" s="4">
        <v>6711.68</v>
      </c>
      <c r="G210" s="4">
        <v>2270</v>
      </c>
      <c r="H210" s="4"/>
      <c r="I210" s="4"/>
      <c r="J210" s="4"/>
      <c r="K210" s="4"/>
      <c r="L210" s="4"/>
      <c r="M210" s="4"/>
      <c r="N210" s="4"/>
      <c r="O210" s="4"/>
      <c r="P210" s="4"/>
      <c r="Q210" s="4"/>
      <c r="R210" s="4"/>
      <c r="S210" s="4"/>
      <c r="T210" s="4"/>
      <c r="U210" s="4"/>
      <c r="V210" s="4"/>
      <c r="W210" s="4"/>
      <c r="X210" s="4"/>
      <c r="Y210" s="4"/>
      <c r="Z210" s="4"/>
      <c r="AA210" s="4"/>
      <c r="AB210" s="4"/>
      <c r="AC210" s="4"/>
      <c r="AD210" s="4" t="s">
        <v>81</v>
      </c>
      <c r="AE210" s="4"/>
      <c r="AF210" s="4"/>
      <c r="AG210" s="4"/>
      <c r="AH210" s="4"/>
      <c r="AI210" s="4"/>
    </row>
    <row r="211" ht="16" customHeight="1" s="4" customFormat="1">
      <c r="A211" s="4">
        <v>210</v>
      </c>
      <c r="B211" s="4" t="s">
        <v>627</v>
      </c>
      <c r="C211" s="4">
        <v>3</v>
      </c>
      <c r="D211" s="4" t="s">
        <v>628</v>
      </c>
      <c r="E211" s="4" t="s">
        <v>36</v>
      </c>
      <c r="F211" s="4">
        <v>4112.3</v>
      </c>
      <c r="G211" s="4">
        <v>727.8</v>
      </c>
      <c r="H211" s="4"/>
      <c r="I211" s="4"/>
      <c r="J211" s="4"/>
      <c r="K211" s="4"/>
      <c r="L211" s="4"/>
      <c r="M211" s="4"/>
      <c r="N211" s="4"/>
      <c r="O211" s="4"/>
      <c r="P211" s="4"/>
      <c r="Q211" s="4"/>
      <c r="R211" s="4"/>
      <c r="S211" s="4"/>
      <c r="T211" s="4"/>
      <c r="U211" s="4"/>
      <c r="V211" s="4" t="s">
        <v>246</v>
      </c>
      <c r="W211" s="4"/>
      <c r="X211" s="4"/>
      <c r="Y211" s="4"/>
      <c r="Z211" s="4"/>
      <c r="AA211" s="4"/>
      <c r="AB211" s="4"/>
      <c r="AC211" s="4"/>
      <c r="AD211" s="4"/>
      <c r="AE211" s="4"/>
      <c r="AF211" s="4"/>
      <c r="AG211" s="4"/>
      <c r="AH211" s="4"/>
      <c r="AI211" s="4"/>
    </row>
    <row r="212" ht="16" customHeight="1" s="4" customFormat="1">
      <c r="A212" s="4">
        <v>211</v>
      </c>
      <c r="B212" s="4" t="s">
        <v>629</v>
      </c>
      <c r="C212" s="4">
        <v>3</v>
      </c>
      <c r="D212" s="4" t="s">
        <v>630</v>
      </c>
      <c r="E212" s="4" t="s">
        <v>36</v>
      </c>
      <c r="F212" s="4">
        <v>7887.24</v>
      </c>
      <c r="G212" s="4">
        <v>6654.8</v>
      </c>
      <c r="H212" s="4"/>
      <c r="I212" s="4"/>
      <c r="J212" s="4"/>
      <c r="K212" s="4"/>
      <c r="L212" s="4"/>
      <c r="M212" s="4"/>
      <c r="N212" s="4"/>
      <c r="O212" s="4"/>
      <c r="P212" s="4"/>
      <c r="Q212" s="4"/>
      <c r="R212" s="4"/>
      <c r="S212" s="4"/>
      <c r="T212" s="4"/>
      <c r="U212" s="4"/>
      <c r="V212" s="4"/>
      <c r="W212" s="4" t="s">
        <v>83</v>
      </c>
      <c r="X212" s="4"/>
      <c r="Y212" s="4"/>
      <c r="Z212" s="4"/>
      <c r="AA212" s="4"/>
      <c r="AB212" s="4"/>
      <c r="AC212" s="4"/>
      <c r="AD212" s="4"/>
      <c r="AE212" s="4"/>
      <c r="AF212" s="4"/>
      <c r="AG212" s="4"/>
      <c r="AH212" s="4"/>
      <c r="AI212" s="4"/>
    </row>
    <row r="213" ht="16" customHeight="1" s="4" customFormat="1">
      <c r="A213" s="4">
        <v>212</v>
      </c>
      <c r="B213" s="4" t="s">
        <v>631</v>
      </c>
      <c r="C213" s="4">
        <v>3</v>
      </c>
      <c r="D213" s="4" t="s">
        <v>632</v>
      </c>
      <c r="E213" s="4" t="s">
        <v>349</v>
      </c>
      <c r="F213" s="4">
        <v>2019.5</v>
      </c>
      <c r="G213" s="4">
        <v>4810</v>
      </c>
      <c r="H213" s="4"/>
      <c r="I213" s="4"/>
      <c r="J213" s="4"/>
      <c r="K213" s="4"/>
      <c r="L213" s="4"/>
      <c r="M213" s="4"/>
      <c r="N213" s="4"/>
      <c r="O213" s="4"/>
      <c r="P213" s="4"/>
      <c r="Q213" s="4"/>
      <c r="R213" s="4"/>
      <c r="S213" s="4"/>
      <c r="T213" s="4"/>
      <c r="U213" s="4"/>
      <c r="V213" s="4"/>
      <c r="W213" s="4" t="s">
        <v>81</v>
      </c>
      <c r="X213" s="4"/>
      <c r="Y213" s="4"/>
      <c r="Z213" s="4"/>
      <c r="AA213" s="4"/>
      <c r="AB213" s="4"/>
      <c r="AC213" s="4"/>
      <c r="AD213" s="4"/>
      <c r="AE213" s="4"/>
      <c r="AF213" s="4"/>
      <c r="AG213" s="4"/>
      <c r="AH213" s="4"/>
      <c r="AI213" s="4"/>
    </row>
    <row r="214" ht="16" customHeight="1" s="4" customFormat="1">
      <c r="A214" s="4">
        <v>213</v>
      </c>
      <c r="B214" s="4" t="s">
        <v>633</v>
      </c>
      <c r="C214" s="4">
        <v>3</v>
      </c>
      <c r="D214" s="4" t="s">
        <v>634</v>
      </c>
      <c r="E214" s="4" t="s">
        <v>349</v>
      </c>
      <c r="F214" s="4">
        <v>7700.53</v>
      </c>
      <c r="G214" s="4">
        <v>2458.7</v>
      </c>
      <c r="H214" s="4"/>
      <c r="I214" s="4"/>
      <c r="J214" s="4"/>
      <c r="K214" s="4"/>
      <c r="L214" s="4"/>
      <c r="M214" s="4"/>
      <c r="N214" s="4"/>
      <c r="O214" s="4"/>
      <c r="P214" s="4"/>
      <c r="Q214" s="4"/>
      <c r="R214" s="4"/>
      <c r="S214" s="4"/>
      <c r="T214" s="4"/>
      <c r="U214" s="4"/>
      <c r="V214" s="4" t="s">
        <v>246</v>
      </c>
      <c r="W214" s="4"/>
      <c r="X214" s="4"/>
      <c r="Y214" s="4"/>
      <c r="Z214" s="4"/>
      <c r="AA214" s="4"/>
      <c r="AB214" s="4"/>
      <c r="AC214" s="4"/>
      <c r="AD214" s="4"/>
      <c r="AE214" s="4"/>
      <c r="AF214" s="4"/>
      <c r="AG214" s="4"/>
      <c r="AH214" s="4"/>
      <c r="AI214" s="4"/>
    </row>
    <row r="215" ht="16" customHeight="1" s="4" customFormat="1">
      <c r="A215" s="4">
        <v>214</v>
      </c>
      <c r="B215" s="4" t="s">
        <v>635</v>
      </c>
      <c r="C215" s="4">
        <v>3</v>
      </c>
      <c r="D215" s="4" t="s">
        <v>357</v>
      </c>
      <c r="E215" s="4" t="s">
        <v>135</v>
      </c>
      <c r="F215" s="4">
        <v>420.54</v>
      </c>
      <c r="G215" s="4">
        <v>79.8</v>
      </c>
      <c r="H215" s="4"/>
      <c r="I215" s="4"/>
      <c r="J215" s="4"/>
      <c r="K215" s="4"/>
      <c r="L215" s="4"/>
      <c r="M215" s="4"/>
      <c r="N215" s="4" t="s">
        <v>246</v>
      </c>
      <c r="O215" s="4"/>
      <c r="P215" s="4"/>
      <c r="Q215" s="4"/>
      <c r="R215" s="4"/>
      <c r="S215" s="4"/>
      <c r="T215" s="4"/>
      <c r="U215" s="4"/>
      <c r="V215" s="4"/>
      <c r="W215" s="4"/>
      <c r="X215" s="4"/>
      <c r="Y215" s="4"/>
      <c r="Z215" s="4"/>
      <c r="AA215" s="4"/>
      <c r="AB215" s="4"/>
      <c r="AC215" s="4"/>
      <c r="AD215" s="4"/>
      <c r="AE215" s="4"/>
      <c r="AF215" s="4"/>
      <c r="AG215" s="4"/>
      <c r="AH215" s="4"/>
      <c r="AI215" s="4"/>
    </row>
    <row r="216" ht="16" customHeight="1" s="4" customFormat="1">
      <c r="A216" s="4">
        <v>215</v>
      </c>
      <c r="B216" s="4" t="s">
        <v>636</v>
      </c>
      <c r="C216" s="4">
        <v>3</v>
      </c>
      <c r="D216" s="4" t="s">
        <v>637</v>
      </c>
      <c r="E216" s="4" t="s">
        <v>90</v>
      </c>
      <c r="F216" s="4">
        <v>102</v>
      </c>
      <c r="G216" s="4">
        <v>3.5</v>
      </c>
      <c r="H216" s="4"/>
      <c r="I216" s="4"/>
      <c r="J216" s="4"/>
      <c r="K216" s="4"/>
      <c r="L216" s="4"/>
      <c r="M216" s="4"/>
      <c r="N216" s="4"/>
      <c r="O216" s="4"/>
      <c r="P216" s="4"/>
      <c r="Q216" s="4"/>
      <c r="R216" s="4"/>
      <c r="S216" s="4"/>
      <c r="T216" s="4"/>
      <c r="U216" s="4"/>
      <c r="V216" s="4"/>
      <c r="W216" s="4"/>
      <c r="X216" s="4"/>
      <c r="Y216" s="4"/>
      <c r="Z216" s="4"/>
      <c r="AA216" s="4"/>
      <c r="AB216" s="4" t="s">
        <v>246</v>
      </c>
      <c r="AC216" s="4"/>
      <c r="AD216" s="4"/>
      <c r="AE216" s="4"/>
      <c r="AF216" s="4"/>
      <c r="AG216" s="4"/>
      <c r="AH216" s="4"/>
      <c r="AI216" s="4"/>
    </row>
    <row r="217" ht="16" customHeight="1" s="4" customFormat="1">
      <c r="A217" s="4">
        <v>216</v>
      </c>
      <c r="B217" s="4" t="s">
        <v>638</v>
      </c>
      <c r="C217" s="4">
        <v>3</v>
      </c>
      <c r="D217" s="4" t="s">
        <v>639</v>
      </c>
      <c r="E217" s="4" t="s">
        <v>567</v>
      </c>
      <c r="F217" s="4">
        <v>1889.99</v>
      </c>
      <c r="G217" s="4">
        <v>15.5</v>
      </c>
      <c r="H217" s="4"/>
      <c r="I217" s="4"/>
      <c r="J217" s="4"/>
      <c r="K217" s="4"/>
      <c r="L217" s="4"/>
      <c r="M217" s="4"/>
      <c r="N217" s="4"/>
      <c r="O217" s="4"/>
      <c r="P217" s="4"/>
      <c r="Q217" s="4"/>
      <c r="R217" s="4"/>
      <c r="S217" s="4"/>
      <c r="T217" s="4"/>
      <c r="U217" s="4"/>
      <c r="V217" s="4"/>
      <c r="W217" s="4"/>
      <c r="X217" s="4"/>
      <c r="Y217" s="4"/>
      <c r="Z217" s="4" t="s">
        <v>81</v>
      </c>
      <c r="AA217" s="4"/>
      <c r="AB217" s="4"/>
      <c r="AC217" s="4"/>
      <c r="AD217" s="4"/>
      <c r="AE217" s="4"/>
      <c r="AF217" s="4"/>
      <c r="AG217" s="4"/>
      <c r="AH217" s="4"/>
      <c r="AI217" s="4"/>
    </row>
    <row r="218" ht="16" customHeight="1" s="4" customFormat="1">
      <c r="A218" s="4">
        <v>217</v>
      </c>
      <c r="B218" s="4" t="s">
        <v>640</v>
      </c>
      <c r="C218" s="4">
        <v>3</v>
      </c>
      <c r="D218" s="4" t="s">
        <v>641</v>
      </c>
      <c r="E218" s="4" t="s">
        <v>167</v>
      </c>
      <c r="F218" s="4">
        <v>4870.25</v>
      </c>
      <c r="G218" s="4"/>
      <c r="H218" s="4"/>
      <c r="I218" s="4"/>
      <c r="J218" s="4"/>
      <c r="K218" s="4"/>
      <c r="L218" s="4"/>
      <c r="M218" s="4"/>
      <c r="N218" s="4"/>
      <c r="O218" s="4"/>
      <c r="P218" s="4"/>
      <c r="Q218" s="4"/>
      <c r="R218" s="4" t="s">
        <v>81</v>
      </c>
      <c r="S218" s="4"/>
      <c r="T218" s="4"/>
      <c r="U218" s="4"/>
      <c r="V218" s="4"/>
      <c r="W218" s="4"/>
      <c r="X218" s="4"/>
      <c r="Y218" s="4"/>
      <c r="Z218" s="4"/>
      <c r="AA218" s="4"/>
      <c r="AB218" s="4"/>
      <c r="AC218" s="4"/>
      <c r="AD218" s="4"/>
      <c r="AE218" s="4"/>
      <c r="AF218" s="4"/>
      <c r="AG218" s="4"/>
      <c r="AH218" s="4"/>
      <c r="AI218" s="4"/>
    </row>
    <row r="219" ht="16" customHeight="1" s="4" customFormat="1">
      <c r="A219" s="4">
        <v>218</v>
      </c>
      <c r="B219" s="4" t="s">
        <v>642</v>
      </c>
      <c r="C219" s="4">
        <v>3</v>
      </c>
      <c r="D219" s="4" t="s">
        <v>643</v>
      </c>
      <c r="E219" s="4" t="s">
        <v>644</v>
      </c>
      <c r="F219" s="4">
        <v>1800</v>
      </c>
      <c r="G219" s="4"/>
      <c r="H219" s="4"/>
      <c r="I219" s="4"/>
      <c r="J219" s="4"/>
      <c r="K219" s="4"/>
      <c r="L219" s="4"/>
      <c r="M219" s="4"/>
      <c r="N219" s="4"/>
      <c r="O219" s="4"/>
      <c r="P219" s="4"/>
      <c r="Q219" s="4"/>
      <c r="R219" s="4"/>
      <c r="S219" s="4"/>
      <c r="T219" s="4"/>
      <c r="U219" s="4"/>
      <c r="V219" s="4"/>
      <c r="W219" s="4"/>
      <c r="X219" s="4"/>
      <c r="Y219" s="4"/>
      <c r="Z219" s="4"/>
      <c r="AA219" s="4"/>
      <c r="AB219" s="4" t="s">
        <v>83</v>
      </c>
      <c r="AC219" s="4"/>
      <c r="AD219" s="4"/>
      <c r="AE219" s="4"/>
      <c r="AF219" s="4"/>
      <c r="AG219" s="4"/>
      <c r="AH219" s="4"/>
      <c r="AI219" s="4"/>
    </row>
    <row r="220" ht="16" customHeight="1" s="4" customFormat="1">
      <c r="A220" s="4">
        <v>219</v>
      </c>
      <c r="B220" s="4" t="s">
        <v>645</v>
      </c>
      <c r="C220" s="4">
        <v>3</v>
      </c>
      <c r="D220" s="4" t="s">
        <v>164</v>
      </c>
      <c r="E220" s="4" t="s">
        <v>36</v>
      </c>
      <c r="F220" s="4">
        <v>11500</v>
      </c>
      <c r="G220" s="4"/>
      <c r="H220" s="4"/>
      <c r="I220" s="4"/>
      <c r="J220" s="4"/>
      <c r="K220" s="4"/>
      <c r="L220" s="4"/>
      <c r="M220" s="4"/>
      <c r="N220" s="4"/>
      <c r="O220" s="4"/>
      <c r="P220" s="4"/>
      <c r="Q220" s="4"/>
      <c r="R220" s="4"/>
      <c r="S220" s="4"/>
      <c r="T220" s="4"/>
      <c r="U220" s="4"/>
      <c r="V220" s="4"/>
      <c r="W220" s="4"/>
      <c r="X220" s="4"/>
      <c r="Y220" s="4"/>
      <c r="Z220" s="4"/>
      <c r="AA220" s="4" t="s">
        <v>246</v>
      </c>
      <c r="AB220" s="4"/>
      <c r="AC220" s="4"/>
      <c r="AD220" s="4"/>
      <c r="AE220" s="4"/>
      <c r="AF220" s="4"/>
      <c r="AG220" s="4"/>
      <c r="AH220" s="4"/>
      <c r="AI220" s="4"/>
    </row>
    <row r="221" ht="16" customHeight="1" s="4" customFormat="1">
      <c r="A221" s="4">
        <v>220</v>
      </c>
      <c r="B221" s="4" t="s">
        <v>646</v>
      </c>
      <c r="C221" s="4">
        <v>3</v>
      </c>
      <c r="D221" s="4" t="s">
        <v>511</v>
      </c>
      <c r="E221" s="4" t="s">
        <v>36</v>
      </c>
      <c r="F221" s="4">
        <v>900</v>
      </c>
      <c r="G221" s="4"/>
      <c r="H221" s="4"/>
      <c r="I221" s="4"/>
      <c r="J221" s="4"/>
      <c r="K221" s="4"/>
      <c r="L221" s="4"/>
      <c r="M221" s="4"/>
      <c r="N221" s="4"/>
      <c r="O221" s="4"/>
      <c r="P221" s="4"/>
      <c r="Q221" s="4" t="s">
        <v>81</v>
      </c>
      <c r="R221" s="4"/>
      <c r="S221" s="4"/>
      <c r="T221" s="4"/>
      <c r="U221" s="4"/>
      <c r="V221" s="4"/>
      <c r="W221" s="4"/>
      <c r="X221" s="4"/>
      <c r="Y221" s="4"/>
      <c r="Z221" s="4"/>
      <c r="AA221" s="4"/>
      <c r="AB221" s="4"/>
      <c r="AC221" s="4"/>
      <c r="AD221" s="4"/>
      <c r="AE221" s="4"/>
      <c r="AF221" s="4"/>
      <c r="AG221" s="4"/>
      <c r="AH221" s="4"/>
      <c r="AI221" s="4"/>
    </row>
    <row r="222" ht="16" customHeight="1" s="4" customFormat="1">
      <c r="A222" s="4">
        <v>221</v>
      </c>
      <c r="B222" s="4" t="s">
        <v>647</v>
      </c>
      <c r="C222" s="4">
        <v>3</v>
      </c>
      <c r="D222" s="4" t="s">
        <v>297</v>
      </c>
      <c r="E222" s="4" t="s">
        <v>36</v>
      </c>
      <c r="F222" s="4">
        <v>124.96</v>
      </c>
      <c r="G222" s="4"/>
      <c r="H222" s="4"/>
      <c r="I222" s="4"/>
      <c r="J222" s="4"/>
      <c r="K222" s="4"/>
      <c r="L222" s="4"/>
      <c r="M222" s="4"/>
      <c r="N222" s="4"/>
      <c r="O222" s="4"/>
      <c r="P222" s="4"/>
      <c r="Q222" s="4"/>
      <c r="R222" s="4"/>
      <c r="S222" s="4" t="s">
        <v>246</v>
      </c>
      <c r="T222" s="4"/>
      <c r="U222" s="4"/>
      <c r="V222" s="4"/>
      <c r="W222" s="4"/>
      <c r="X222" s="4"/>
      <c r="Y222" s="4"/>
      <c r="Z222" s="4"/>
      <c r="AA222" s="4"/>
      <c r="AB222" s="4"/>
      <c r="AC222" s="4"/>
      <c r="AD222" s="4"/>
      <c r="AE222" s="4"/>
      <c r="AF222" s="4"/>
      <c r="AG222" s="4"/>
      <c r="AH222" s="4"/>
      <c r="AI222" s="4"/>
    </row>
    <row r="223" ht="16" customHeight="1" s="4" customFormat="1">
      <c r="A223" s="4">
        <v>222</v>
      </c>
      <c r="B223" s="4" t="s">
        <v>648</v>
      </c>
      <c r="C223" s="4">
        <v>3</v>
      </c>
      <c r="D223" s="4" t="s">
        <v>546</v>
      </c>
      <c r="E223" s="4" t="s">
        <v>36</v>
      </c>
      <c r="F223" s="4">
        <v>63715.5</v>
      </c>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t="s">
        <v>81</v>
      </c>
      <c r="AH223" s="4"/>
      <c r="AI223" s="4"/>
    </row>
    <row r="224" ht="16" customHeight="1" s="4" customFormat="1">
      <c r="A224" s="4">
        <v>223</v>
      </c>
      <c r="B224" s="4" t="s">
        <v>649</v>
      </c>
      <c r="C224" s="4">
        <v>3</v>
      </c>
      <c r="D224" s="4" t="s">
        <v>650</v>
      </c>
      <c r="E224" s="4" t="s">
        <v>36</v>
      </c>
      <c r="F224" s="4">
        <v>100005</v>
      </c>
      <c r="G224" s="4"/>
      <c r="H224" s="4"/>
      <c r="I224" s="4"/>
      <c r="J224" s="4"/>
      <c r="K224" s="4"/>
      <c r="L224" s="4"/>
      <c r="M224" s="4"/>
      <c r="N224" s="4"/>
      <c r="O224" s="4"/>
      <c r="P224" s="4"/>
      <c r="Q224" s="4" t="s">
        <v>651</v>
      </c>
      <c r="R224" s="4"/>
      <c r="S224" s="4"/>
      <c r="T224" s="4"/>
      <c r="U224" s="4"/>
      <c r="V224" s="4"/>
      <c r="W224" s="4"/>
      <c r="X224" s="4"/>
      <c r="Y224" s="4"/>
      <c r="Z224" s="4"/>
      <c r="AA224" s="4"/>
      <c r="AB224" s="4"/>
      <c r="AC224" s="4"/>
      <c r="AD224" s="4"/>
      <c r="AE224" s="4"/>
      <c r="AF224" s="4"/>
      <c r="AG224" s="4"/>
      <c r="AH224" s="4"/>
      <c r="AI224" s="4"/>
    </row>
    <row r="225" ht="16" customHeight="1" s="4" customFormat="1">
      <c r="A225" s="4">
        <v>224</v>
      </c>
      <c r="B225" s="4" t="s">
        <v>652</v>
      </c>
      <c r="C225" s="4">
        <v>3</v>
      </c>
      <c r="D225" s="4" t="s">
        <v>653</v>
      </c>
      <c r="E225" s="4" t="s">
        <v>145</v>
      </c>
      <c r="F225" s="4">
        <v>20467.97</v>
      </c>
      <c r="G225" s="4"/>
      <c r="H225" s="4"/>
      <c r="I225" s="4"/>
      <c r="J225" s="4"/>
      <c r="K225" s="4"/>
      <c r="L225" s="4"/>
      <c r="M225" s="4"/>
      <c r="N225" s="4"/>
      <c r="O225" s="4"/>
      <c r="P225" s="4"/>
      <c r="Q225" s="4"/>
      <c r="R225" s="4"/>
      <c r="S225" s="4" t="s">
        <v>246</v>
      </c>
      <c r="T225" s="4"/>
      <c r="U225" s="4"/>
      <c r="V225" s="4"/>
      <c r="W225" s="4"/>
      <c r="X225" s="4"/>
      <c r="Y225" s="4"/>
      <c r="Z225" s="4"/>
      <c r="AA225" s="4"/>
      <c r="AB225" s="4"/>
      <c r="AC225" s="4"/>
      <c r="AD225" s="4"/>
      <c r="AE225" s="4"/>
      <c r="AF225" s="4"/>
      <c r="AG225" s="4"/>
      <c r="AH225" s="4"/>
      <c r="AI225" s="4"/>
    </row>
    <row r="226" ht="16" customHeight="1" s="4" customFormat="1">
      <c r="A226" s="4">
        <v>225</v>
      </c>
      <c r="B226" s="4" t="s">
        <v>654</v>
      </c>
      <c r="C226" s="4">
        <v>3</v>
      </c>
      <c r="D226" s="4" t="s">
        <v>655</v>
      </c>
      <c r="E226" s="4" t="s">
        <v>93</v>
      </c>
      <c r="F226" s="4">
        <v>4512.99</v>
      </c>
      <c r="G226" s="4">
        <v>381</v>
      </c>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t="s">
        <v>81</v>
      </c>
      <c r="AH226" s="4"/>
      <c r="AI226" s="4"/>
    </row>
    <row r="227" ht="16" customHeight="1" s="4" customFormat="1">
      <c r="A227" s="4">
        <v>226</v>
      </c>
      <c r="B227" s="4" t="s">
        <v>656</v>
      </c>
      <c r="C227" s="4">
        <v>3</v>
      </c>
      <c r="D227" s="4" t="s">
        <v>657</v>
      </c>
      <c r="E227" s="4" t="s">
        <v>36</v>
      </c>
      <c r="F227" s="4">
        <v>11359.74</v>
      </c>
      <c r="G227" s="4">
        <v>18874.8</v>
      </c>
      <c r="H227" s="4"/>
      <c r="I227" s="4" t="s">
        <v>81</v>
      </c>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16" customHeight="1" s="4" customFormat="1">
      <c r="A228" s="4">
        <v>227</v>
      </c>
      <c r="B228" s="4" t="s">
        <v>658</v>
      </c>
      <c r="C228" s="4">
        <v>3</v>
      </c>
      <c r="D228" s="4" t="s">
        <v>498</v>
      </c>
      <c r="E228" s="4" t="s">
        <v>36</v>
      </c>
      <c r="F228" s="4">
        <v>9591.41</v>
      </c>
      <c r="G228" s="4">
        <v>542.4</v>
      </c>
      <c r="H228" s="4"/>
      <c r="I228" s="4"/>
      <c r="J228" s="4"/>
      <c r="K228" s="4"/>
      <c r="L228" s="4"/>
      <c r="M228" s="4"/>
      <c r="N228" s="4"/>
      <c r="O228" s="4"/>
      <c r="P228" s="4"/>
      <c r="Q228" s="4"/>
      <c r="R228" s="4"/>
      <c r="S228" s="4"/>
      <c r="T228" s="4"/>
      <c r="U228" s="4"/>
      <c r="V228" s="4"/>
      <c r="W228" s="4" t="s">
        <v>246</v>
      </c>
      <c r="X228" s="4"/>
      <c r="Y228" s="4"/>
      <c r="Z228" s="4"/>
      <c r="AA228" s="4"/>
      <c r="AB228" s="4"/>
      <c r="AC228" s="4"/>
      <c r="AD228" s="4"/>
      <c r="AE228" s="4"/>
      <c r="AF228" s="4"/>
      <c r="AG228" s="4"/>
      <c r="AH228" s="4"/>
      <c r="AI228" s="4"/>
    </row>
    <row r="229" ht="16" customHeight="1" s="4" customFormat="1">
      <c r="A229" s="4">
        <v>228</v>
      </c>
      <c r="B229" s="4" t="s">
        <v>659</v>
      </c>
      <c r="C229" s="4">
        <v>3</v>
      </c>
      <c r="D229" s="4" t="s">
        <v>660</v>
      </c>
      <c r="E229" s="4" t="s">
        <v>36</v>
      </c>
      <c r="F229" s="4">
        <v>9464.79</v>
      </c>
      <c r="G229" s="4">
        <v>10981.4</v>
      </c>
      <c r="H229" s="4"/>
      <c r="I229" s="4"/>
      <c r="J229" s="4"/>
      <c r="K229" s="4"/>
      <c r="L229" s="4"/>
      <c r="M229" s="4" t="s">
        <v>81</v>
      </c>
      <c r="N229" s="4"/>
      <c r="O229" s="4"/>
      <c r="P229" s="4"/>
      <c r="Q229" s="4"/>
      <c r="R229" s="4"/>
      <c r="S229" s="4"/>
      <c r="T229" s="4"/>
      <c r="U229" s="4"/>
      <c r="V229" s="4"/>
      <c r="W229" s="4"/>
      <c r="X229" s="4"/>
      <c r="Y229" s="4"/>
      <c r="Z229" s="4"/>
      <c r="AA229" s="4"/>
      <c r="AB229" s="4"/>
      <c r="AC229" s="4"/>
      <c r="AD229" s="4"/>
      <c r="AE229" s="4"/>
      <c r="AF229" s="4"/>
      <c r="AG229" s="4"/>
      <c r="AH229" s="4"/>
      <c r="AI229" s="4"/>
    </row>
    <row r="230" ht="16" customHeight="1" s="4" customFormat="1">
      <c r="A230" s="4">
        <v>229</v>
      </c>
      <c r="B230" s="4" t="s">
        <v>661</v>
      </c>
      <c r="C230" s="4">
        <v>3</v>
      </c>
      <c r="D230" s="4" t="s">
        <v>662</v>
      </c>
      <c r="E230" s="4" t="s">
        <v>36</v>
      </c>
      <c r="F230" s="4">
        <v>138.44</v>
      </c>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t="s">
        <v>81</v>
      </c>
      <c r="AH230" s="4"/>
      <c r="AI230" s="4"/>
    </row>
    <row r="231" ht="16" customHeight="1" s="4" customFormat="1">
      <c r="A231" s="4">
        <v>230</v>
      </c>
      <c r="B231" s="4" t="s">
        <v>663</v>
      </c>
      <c r="C231" s="4">
        <v>3</v>
      </c>
      <c r="D231" s="4" t="s">
        <v>664</v>
      </c>
      <c r="E231" s="4" t="s">
        <v>93</v>
      </c>
      <c r="F231" s="4">
        <v>3252.38</v>
      </c>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t="s">
        <v>81</v>
      </c>
      <c r="AH231" s="4"/>
      <c r="AI231" s="4"/>
    </row>
    <row r="232" ht="16" customHeight="1" s="4" customFormat="1">
      <c r="A232" s="4">
        <v>231</v>
      </c>
      <c r="B232" s="4" t="s">
        <v>665</v>
      </c>
      <c r="C232" s="4">
        <v>3</v>
      </c>
      <c r="D232" s="4" t="s">
        <v>666</v>
      </c>
      <c r="E232" s="4" t="s">
        <v>90</v>
      </c>
      <c r="F232" s="4">
        <v>1528.81</v>
      </c>
      <c r="G232" s="4">
        <v>5.5</v>
      </c>
      <c r="H232" s="4"/>
      <c r="I232" s="4"/>
      <c r="J232" s="4"/>
      <c r="K232" s="4"/>
      <c r="L232" s="4"/>
      <c r="M232" s="4"/>
      <c r="N232" s="4"/>
      <c r="O232" s="4"/>
      <c r="P232" s="4"/>
      <c r="Q232" s="4"/>
      <c r="R232" s="4"/>
      <c r="S232" s="4"/>
      <c r="T232" s="4"/>
      <c r="U232" s="4"/>
      <c r="V232" s="4"/>
      <c r="W232" s="4"/>
      <c r="X232" s="4"/>
      <c r="Y232" s="4"/>
      <c r="Z232" s="4"/>
      <c r="AA232" s="4"/>
      <c r="AB232" s="4" t="s">
        <v>246</v>
      </c>
      <c r="AC232" s="4"/>
      <c r="AD232" s="4"/>
      <c r="AE232" s="4"/>
      <c r="AF232" s="4"/>
      <c r="AG232" s="4"/>
      <c r="AH232" s="4"/>
      <c r="AI232" s="4"/>
    </row>
    <row r="233" ht="16" customHeight="1" s="4" customFormat="1">
      <c r="A233" s="4">
        <v>232</v>
      </c>
      <c r="B233" s="4" t="s">
        <v>667</v>
      </c>
      <c r="C233" s="4">
        <v>3</v>
      </c>
      <c r="D233" s="4" t="s">
        <v>378</v>
      </c>
      <c r="E233" s="4" t="s">
        <v>36</v>
      </c>
      <c r="F233" s="4">
        <v>7883.45</v>
      </c>
      <c r="G233" s="4"/>
      <c r="H233" s="4"/>
      <c r="I233" s="4"/>
      <c r="J233" s="4"/>
      <c r="K233" s="4"/>
      <c r="L233" s="4"/>
      <c r="M233" s="4"/>
      <c r="N233" s="4"/>
      <c r="O233" s="4"/>
      <c r="P233" s="4"/>
      <c r="Q233" s="4"/>
      <c r="R233" s="4"/>
      <c r="S233" s="4"/>
      <c r="T233" s="4" t="s">
        <v>424</v>
      </c>
      <c r="U233" s="4"/>
      <c r="V233" s="4"/>
      <c r="W233" s="4"/>
      <c r="X233" s="4"/>
      <c r="Y233" s="4"/>
      <c r="Z233" s="4"/>
      <c r="AA233" s="4"/>
      <c r="AB233" s="4"/>
      <c r="AC233" s="4"/>
      <c r="AD233" s="4"/>
      <c r="AE233" s="4"/>
      <c r="AF233" s="4"/>
      <c r="AG233" s="4"/>
      <c r="AH233" s="4"/>
      <c r="AI233" s="4"/>
    </row>
    <row r="234" ht="16" customHeight="1" s="4" customFormat="1">
      <c r="A234" s="4">
        <v>233</v>
      </c>
      <c r="B234" s="4" t="s">
        <v>668</v>
      </c>
      <c r="C234" s="4">
        <v>3</v>
      </c>
      <c r="D234" s="4" t="s">
        <v>669</v>
      </c>
      <c r="E234" s="4" t="s">
        <v>36</v>
      </c>
      <c r="F234" s="4">
        <v>100</v>
      </c>
      <c r="G234" s="4">
        <v>4</v>
      </c>
      <c r="H234" s="4"/>
      <c r="I234" s="4"/>
      <c r="J234" s="4"/>
      <c r="K234" s="4"/>
      <c r="L234" s="4"/>
      <c r="M234" s="4"/>
      <c r="N234" s="4"/>
      <c r="O234" s="4"/>
      <c r="P234" s="4"/>
      <c r="Q234" s="4"/>
      <c r="R234" s="4"/>
      <c r="S234" s="4"/>
      <c r="T234" s="4" t="s">
        <v>81</v>
      </c>
      <c r="U234" s="4"/>
      <c r="V234" s="4"/>
      <c r="W234" s="4"/>
      <c r="X234" s="4"/>
      <c r="Y234" s="4"/>
      <c r="Z234" s="4"/>
      <c r="AA234" s="4"/>
      <c r="AB234" s="4"/>
      <c r="AC234" s="4"/>
      <c r="AD234" s="4"/>
      <c r="AE234" s="4"/>
      <c r="AF234" s="4"/>
      <c r="AG234" s="4"/>
      <c r="AH234" s="4"/>
      <c r="AI234" s="4"/>
    </row>
    <row r="235" ht="16" customHeight="1" s="4" customFormat="1">
      <c r="A235" s="4">
        <v>234</v>
      </c>
      <c r="B235" s="4" t="s">
        <v>670</v>
      </c>
      <c r="C235" s="4">
        <v>3</v>
      </c>
      <c r="D235" s="4" t="s">
        <v>671</v>
      </c>
      <c r="E235" s="4" t="s">
        <v>36</v>
      </c>
      <c r="F235" s="4">
        <v>100</v>
      </c>
      <c r="G235" s="4"/>
      <c r="H235" s="4"/>
      <c r="I235" s="4"/>
      <c r="J235" s="4"/>
      <c r="K235" s="4"/>
      <c r="L235" s="4"/>
      <c r="M235" s="4"/>
      <c r="N235" s="4"/>
      <c r="O235" s="4"/>
      <c r="P235" s="4"/>
      <c r="Q235" s="4"/>
      <c r="R235" s="4"/>
      <c r="S235" s="4" t="s">
        <v>246</v>
      </c>
      <c r="T235" s="4"/>
      <c r="U235" s="4"/>
      <c r="V235" s="4"/>
      <c r="W235" s="4"/>
      <c r="X235" s="4"/>
      <c r="Y235" s="4"/>
      <c r="Z235" s="4"/>
      <c r="AA235" s="4"/>
      <c r="AB235" s="4"/>
      <c r="AC235" s="4"/>
      <c r="AD235" s="4"/>
      <c r="AE235" s="4"/>
      <c r="AF235" s="4"/>
      <c r="AG235" s="4"/>
      <c r="AH235" s="4"/>
      <c r="AI235" s="4"/>
    </row>
    <row r="236" ht="16" customHeight="1" s="4" customFormat="1">
      <c r="A236" s="4">
        <v>235</v>
      </c>
      <c r="B236" s="4" t="s">
        <v>672</v>
      </c>
      <c r="C236" s="4">
        <v>3</v>
      </c>
      <c r="D236" s="4" t="s">
        <v>673</v>
      </c>
      <c r="E236" s="4" t="s">
        <v>135</v>
      </c>
      <c r="F236" s="4">
        <v>17444.58</v>
      </c>
      <c r="G236" s="4"/>
      <c r="H236" s="4"/>
      <c r="I236" s="4"/>
      <c r="J236" s="4"/>
      <c r="K236" s="4"/>
      <c r="L236" s="4"/>
      <c r="M236" s="4"/>
      <c r="N236" s="4" t="s">
        <v>246</v>
      </c>
      <c r="O236" s="4"/>
      <c r="P236" s="4"/>
      <c r="Q236" s="4"/>
      <c r="R236" s="4"/>
      <c r="S236" s="4"/>
      <c r="T236" s="4"/>
      <c r="U236" s="4"/>
      <c r="V236" s="4"/>
      <c r="W236" s="4"/>
      <c r="X236" s="4"/>
      <c r="Y236" s="4"/>
      <c r="Z236" s="4"/>
      <c r="AA236" s="4"/>
      <c r="AB236" s="4"/>
      <c r="AC236" s="4"/>
      <c r="AD236" s="4"/>
      <c r="AE236" s="4"/>
      <c r="AF236" s="4"/>
      <c r="AG236" s="4"/>
      <c r="AH236" s="4"/>
      <c r="AI236" s="4"/>
    </row>
    <row r="237" ht="16" customHeight="1" s="4" customFormat="1">
      <c r="A237" s="4">
        <v>236</v>
      </c>
      <c r="B237" s="4" t="s">
        <v>674</v>
      </c>
      <c r="C237" s="4">
        <v>3</v>
      </c>
      <c r="D237" s="4" t="s">
        <v>662</v>
      </c>
      <c r="E237" s="4" t="s">
        <v>36</v>
      </c>
      <c r="F237" s="4">
        <v>49205.12</v>
      </c>
      <c r="G237" s="4"/>
      <c r="H237" s="4"/>
      <c r="I237" s="4"/>
      <c r="J237" s="4"/>
      <c r="K237" s="4"/>
      <c r="L237" s="4"/>
      <c r="M237" s="4"/>
      <c r="N237" s="4"/>
      <c r="O237" s="4"/>
      <c r="P237" s="4"/>
      <c r="Q237" s="4" t="s">
        <v>81</v>
      </c>
      <c r="R237" s="4"/>
      <c r="S237" s="4"/>
      <c r="T237" s="4"/>
      <c r="U237" s="4"/>
      <c r="V237" s="4"/>
      <c r="W237" s="4"/>
      <c r="X237" s="4"/>
      <c r="Y237" s="4"/>
      <c r="Z237" s="4"/>
      <c r="AA237" s="4"/>
      <c r="AB237" s="4"/>
      <c r="AC237" s="4"/>
      <c r="AD237" s="4"/>
      <c r="AE237" s="4"/>
      <c r="AF237" s="4"/>
      <c r="AG237" s="4"/>
      <c r="AH237" s="4"/>
      <c r="AI237" s="4"/>
    </row>
    <row r="238" ht="16" customHeight="1" s="4" customFormat="1">
      <c r="A238" s="4">
        <v>237</v>
      </c>
      <c r="B238" s="4" t="s">
        <v>131</v>
      </c>
      <c r="C238" s="4">
        <v>3</v>
      </c>
      <c r="D238" s="4" t="s">
        <v>132</v>
      </c>
      <c r="E238" s="4" t="s">
        <v>99</v>
      </c>
      <c r="F238" s="4">
        <v>24106</v>
      </c>
      <c r="G238" s="4">
        <v>1206.4</v>
      </c>
      <c r="H238" s="4" t="s">
        <v>83</v>
      </c>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16" customHeight="1" s="4" customFormat="1">
      <c r="A239" s="4">
        <v>238</v>
      </c>
      <c r="B239" s="4" t="s">
        <v>675</v>
      </c>
      <c r="C239" s="4">
        <v>3</v>
      </c>
      <c r="D239" s="4" t="s">
        <v>319</v>
      </c>
      <c r="E239" s="4" t="s">
        <v>148</v>
      </c>
      <c r="F239" s="4">
        <v>2655.84</v>
      </c>
      <c r="G239" s="4">
        <v>469.6</v>
      </c>
      <c r="H239" s="4"/>
      <c r="I239" s="4"/>
      <c r="J239" s="4"/>
      <c r="K239" s="4"/>
      <c r="L239" s="4"/>
      <c r="M239" s="4"/>
      <c r="N239" s="4"/>
      <c r="O239" s="4"/>
      <c r="P239" s="4"/>
      <c r="Q239" s="4"/>
      <c r="R239" s="4"/>
      <c r="S239" s="4"/>
      <c r="T239" s="4"/>
      <c r="U239" s="4"/>
      <c r="V239" s="4"/>
      <c r="W239" s="4" t="s">
        <v>424</v>
      </c>
      <c r="X239" s="4"/>
      <c r="Y239" s="4"/>
      <c r="Z239" s="4"/>
      <c r="AA239" s="4"/>
      <c r="AB239" s="4"/>
      <c r="AC239" s="4"/>
      <c r="AD239" s="4"/>
      <c r="AE239" s="4"/>
      <c r="AF239" s="4"/>
      <c r="AG239" s="4"/>
      <c r="AH239" s="4"/>
      <c r="AI239" s="4"/>
    </row>
    <row r="240" ht="16" customHeight="1" s="4" customFormat="1">
      <c r="A240" s="4">
        <v>239</v>
      </c>
      <c r="B240" s="4" t="s">
        <v>676</v>
      </c>
      <c r="C240" s="4">
        <v>3</v>
      </c>
      <c r="D240" s="4" t="s">
        <v>677</v>
      </c>
      <c r="E240" s="4" t="s">
        <v>36</v>
      </c>
      <c r="F240" s="4">
        <v>107954.6</v>
      </c>
      <c r="G240" s="4"/>
      <c r="H240" s="4"/>
      <c r="I240" s="4"/>
      <c r="J240" s="4"/>
      <c r="K240" s="4"/>
      <c r="L240" s="4"/>
      <c r="M240" s="4"/>
      <c r="N240" s="4"/>
      <c r="O240" s="4"/>
      <c r="P240" s="4"/>
      <c r="Q240" s="4"/>
      <c r="R240" s="4"/>
      <c r="S240" s="4"/>
      <c r="T240" s="4"/>
      <c r="U240" s="4"/>
      <c r="V240" s="4"/>
      <c r="W240" s="4"/>
      <c r="X240" s="4"/>
      <c r="Y240" s="4"/>
      <c r="Z240" s="4"/>
      <c r="AA240" s="4" t="s">
        <v>81</v>
      </c>
      <c r="AB240" s="4"/>
      <c r="AC240" s="4"/>
      <c r="AD240" s="4"/>
      <c r="AE240" s="4"/>
      <c r="AF240" s="4"/>
      <c r="AG240" s="4"/>
      <c r="AH240" s="4"/>
      <c r="AI240" s="4"/>
    </row>
    <row r="241" ht="16" customHeight="1" s="4" customFormat="1">
      <c r="A241" s="4">
        <v>240</v>
      </c>
      <c r="B241" s="4" t="s">
        <v>678</v>
      </c>
      <c r="C241" s="4">
        <v>3</v>
      </c>
      <c r="D241" s="4" t="s">
        <v>137</v>
      </c>
      <c r="E241" s="4" t="s">
        <v>119</v>
      </c>
      <c r="F241" s="4">
        <v>24875.95</v>
      </c>
      <c r="G241" s="4">
        <v>4338.4</v>
      </c>
      <c r="H241" s="4"/>
      <c r="I241" s="4"/>
      <c r="J241" s="4"/>
      <c r="K241" s="4"/>
      <c r="L241" s="4"/>
      <c r="M241" s="4"/>
      <c r="N241" s="4"/>
      <c r="O241" s="4"/>
      <c r="P241" s="4"/>
      <c r="Q241" s="4"/>
      <c r="R241" s="4"/>
      <c r="S241" s="4" t="s">
        <v>424</v>
      </c>
      <c r="T241" s="4"/>
      <c r="U241" s="4"/>
      <c r="V241" s="4"/>
      <c r="W241" s="4"/>
      <c r="X241" s="4"/>
      <c r="Y241" s="4"/>
      <c r="Z241" s="4"/>
      <c r="AA241" s="4"/>
      <c r="AB241" s="4"/>
      <c r="AC241" s="4"/>
      <c r="AD241" s="4"/>
      <c r="AE241" s="4"/>
      <c r="AF241" s="4"/>
      <c r="AG241" s="4"/>
      <c r="AH241" s="4"/>
      <c r="AI241" s="4"/>
    </row>
    <row r="242" ht="16" customHeight="1" s="4" customFormat="1">
      <c r="A242" s="4">
        <v>241</v>
      </c>
      <c r="B242" s="4" t="s">
        <v>679</v>
      </c>
      <c r="C242" s="4">
        <v>3</v>
      </c>
      <c r="D242" s="4" t="s">
        <v>680</v>
      </c>
      <c r="E242" s="4" t="s">
        <v>93</v>
      </c>
      <c r="F242" s="4">
        <v>8491.21</v>
      </c>
      <c r="G242" s="4"/>
      <c r="H242" s="4"/>
      <c r="I242" s="4"/>
      <c r="J242" s="4"/>
      <c r="K242" s="4"/>
      <c r="L242" s="4"/>
      <c r="M242" s="4"/>
      <c r="N242" s="4"/>
      <c r="O242" s="4"/>
      <c r="P242" s="4"/>
      <c r="Q242" s="4"/>
      <c r="R242" s="4"/>
      <c r="S242" s="4" t="s">
        <v>424</v>
      </c>
      <c r="T242" s="4"/>
      <c r="U242" s="4"/>
      <c r="V242" s="4"/>
      <c r="W242" s="4"/>
      <c r="X242" s="4"/>
      <c r="Y242" s="4"/>
      <c r="Z242" s="4"/>
      <c r="AA242" s="4"/>
      <c r="AB242" s="4"/>
      <c r="AC242" s="4"/>
      <c r="AD242" s="4"/>
      <c r="AE242" s="4"/>
      <c r="AF242" s="4"/>
      <c r="AG242" s="4"/>
      <c r="AH242" s="4"/>
      <c r="AI242" s="4"/>
    </row>
    <row r="243" ht="16" customHeight="1" s="4" customFormat="1">
      <c r="A243" s="4">
        <v>242</v>
      </c>
      <c r="B243" s="4" t="s">
        <v>681</v>
      </c>
      <c r="C243" s="4">
        <v>3</v>
      </c>
      <c r="D243" s="4" t="s">
        <v>682</v>
      </c>
      <c r="E243" s="4" t="s">
        <v>36</v>
      </c>
      <c r="F243" s="4">
        <v>5</v>
      </c>
      <c r="G243" s="4"/>
      <c r="H243" s="4"/>
      <c r="I243" s="4"/>
      <c r="J243" s="4"/>
      <c r="K243" s="4"/>
      <c r="L243" s="4"/>
      <c r="M243" s="4"/>
      <c r="N243" s="4"/>
      <c r="O243" s="4"/>
      <c r="P243" s="4"/>
      <c r="Q243" s="4"/>
      <c r="R243" s="4"/>
      <c r="S243" s="4"/>
      <c r="T243" s="4"/>
      <c r="U243" s="4"/>
      <c r="V243" s="4" t="s">
        <v>81</v>
      </c>
      <c r="W243" s="4"/>
      <c r="X243" s="4"/>
      <c r="Y243" s="4"/>
      <c r="Z243" s="4"/>
      <c r="AA243" s="4"/>
      <c r="AB243" s="4"/>
      <c r="AC243" s="4"/>
      <c r="AD243" s="4"/>
      <c r="AE243" s="4"/>
      <c r="AF243" s="4"/>
      <c r="AG243" s="4"/>
      <c r="AH243" s="4"/>
      <c r="AI243" s="4"/>
    </row>
    <row r="244" ht="16" customHeight="1" s="4" customFormat="1">
      <c r="A244" s="4">
        <v>243</v>
      </c>
      <c r="B244" s="4" t="s">
        <v>683</v>
      </c>
      <c r="C244" s="4">
        <v>3</v>
      </c>
      <c r="D244" s="4" t="s">
        <v>502</v>
      </c>
      <c r="E244" s="4" t="s">
        <v>93</v>
      </c>
      <c r="F244" s="4">
        <v>5.14</v>
      </c>
      <c r="G244" s="4"/>
      <c r="H244" s="4"/>
      <c r="I244" s="4"/>
      <c r="J244" s="4"/>
      <c r="K244" s="4"/>
      <c r="L244" s="4"/>
      <c r="M244" s="4"/>
      <c r="N244" s="4"/>
      <c r="O244" s="4"/>
      <c r="P244" s="4"/>
      <c r="Q244" s="4"/>
      <c r="R244" s="4"/>
      <c r="S244" s="4"/>
      <c r="T244" s="4"/>
      <c r="U244" s="4"/>
      <c r="V244" s="4"/>
      <c r="W244" s="4" t="s">
        <v>81</v>
      </c>
      <c r="X244" s="4"/>
      <c r="Y244" s="4"/>
      <c r="Z244" s="4"/>
      <c r="AA244" s="4"/>
      <c r="AB244" s="4"/>
      <c r="AC244" s="4"/>
      <c r="AD244" s="4"/>
      <c r="AE244" s="4"/>
      <c r="AF244" s="4"/>
      <c r="AG244" s="4"/>
      <c r="AH244" s="4"/>
      <c r="AI244" s="4"/>
    </row>
    <row r="245" ht="16" customHeight="1" s="4" customFormat="1">
      <c r="A245" s="4">
        <v>244</v>
      </c>
      <c r="B245" s="4" t="s">
        <v>684</v>
      </c>
      <c r="C245" s="4">
        <v>3</v>
      </c>
      <c r="D245" s="4" t="s">
        <v>359</v>
      </c>
      <c r="E245" s="4" t="s">
        <v>36</v>
      </c>
      <c r="F245" s="4">
        <v>2200</v>
      </c>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t="s">
        <v>246</v>
      </c>
      <c r="AH245" s="4"/>
      <c r="AI245" s="4"/>
    </row>
    <row r="246" ht="16" customHeight="1" s="4" customFormat="1">
      <c r="A246" s="4">
        <v>245</v>
      </c>
      <c r="B246" s="4" t="s">
        <v>685</v>
      </c>
      <c r="C246" s="4">
        <v>3</v>
      </c>
      <c r="D246" s="4" t="s">
        <v>686</v>
      </c>
      <c r="E246" s="4" t="s">
        <v>36</v>
      </c>
      <c r="F246" s="4">
        <v>4757.68</v>
      </c>
      <c r="G246" s="4"/>
      <c r="H246" s="4"/>
      <c r="I246" s="4"/>
      <c r="J246" s="4"/>
      <c r="K246" s="4"/>
      <c r="L246" s="4"/>
      <c r="M246" s="4" t="s">
        <v>246</v>
      </c>
      <c r="N246" s="4"/>
      <c r="O246" s="4"/>
      <c r="P246" s="4"/>
      <c r="Q246" s="4"/>
      <c r="R246" s="4"/>
      <c r="S246" s="4"/>
      <c r="T246" s="4"/>
      <c r="U246" s="4"/>
      <c r="V246" s="4"/>
      <c r="W246" s="4"/>
      <c r="X246" s="4"/>
      <c r="Y246" s="4"/>
      <c r="Z246" s="4"/>
      <c r="AA246" s="4"/>
      <c r="AB246" s="4"/>
      <c r="AC246" s="4"/>
      <c r="AD246" s="4"/>
      <c r="AE246" s="4"/>
      <c r="AF246" s="4"/>
      <c r="AG246" s="4"/>
      <c r="AH246" s="4"/>
      <c r="AI246" s="4"/>
    </row>
    <row r="247" ht="16" customHeight="1" s="4" customFormat="1">
      <c r="A247" s="4">
        <v>246</v>
      </c>
      <c r="B247" s="4" t="s">
        <v>687</v>
      </c>
      <c r="C247" s="4">
        <v>3</v>
      </c>
      <c r="D247" s="4" t="s">
        <v>378</v>
      </c>
      <c r="E247" s="4" t="s">
        <v>36</v>
      </c>
      <c r="F247" s="4">
        <v>25798.97</v>
      </c>
      <c r="G247" s="4">
        <v>4635</v>
      </c>
      <c r="H247" s="4"/>
      <c r="I247" s="4"/>
      <c r="J247" s="4"/>
      <c r="K247" s="4"/>
      <c r="L247" s="4"/>
      <c r="M247" s="4" t="s">
        <v>246</v>
      </c>
      <c r="N247" s="4"/>
      <c r="O247" s="4"/>
      <c r="P247" s="4"/>
      <c r="Q247" s="4"/>
      <c r="R247" s="4"/>
      <c r="S247" s="4"/>
      <c r="T247" s="4"/>
      <c r="U247" s="4"/>
      <c r="V247" s="4"/>
      <c r="W247" s="4"/>
      <c r="X247" s="4"/>
      <c r="Y247" s="4"/>
      <c r="Z247" s="4"/>
      <c r="AA247" s="4"/>
      <c r="AB247" s="4"/>
      <c r="AC247" s="4"/>
      <c r="AD247" s="4"/>
      <c r="AE247" s="4"/>
      <c r="AF247" s="4"/>
      <c r="AG247" s="4"/>
      <c r="AH247" s="4"/>
      <c r="AI247" s="4"/>
    </row>
    <row r="248" ht="16" customHeight="1" s="4" customFormat="1">
      <c r="A248" s="4">
        <v>247</v>
      </c>
      <c r="B248" s="4" t="s">
        <v>688</v>
      </c>
      <c r="C248" s="4">
        <v>3</v>
      </c>
      <c r="D248" s="4" t="s">
        <v>673</v>
      </c>
      <c r="E248" s="4" t="s">
        <v>135</v>
      </c>
      <c r="F248" s="4">
        <v>85601</v>
      </c>
      <c r="G248" s="4"/>
      <c r="H248" s="4"/>
      <c r="I248" s="4"/>
      <c r="J248" s="4"/>
      <c r="K248" s="4"/>
      <c r="L248" s="4"/>
      <c r="M248" s="4"/>
      <c r="N248" s="4" t="s">
        <v>246</v>
      </c>
      <c r="O248" s="4"/>
      <c r="P248" s="4"/>
      <c r="Q248" s="4"/>
      <c r="R248" s="4"/>
      <c r="S248" s="4"/>
      <c r="T248" s="4"/>
      <c r="U248" s="4"/>
      <c r="V248" s="4"/>
      <c r="W248" s="4"/>
      <c r="X248" s="4"/>
      <c r="Y248" s="4"/>
      <c r="Z248" s="4"/>
      <c r="AA248" s="4"/>
      <c r="AB248" s="4"/>
      <c r="AC248" s="4"/>
      <c r="AD248" s="4"/>
      <c r="AE248" s="4"/>
      <c r="AF248" s="4"/>
      <c r="AG248" s="4"/>
      <c r="AH248" s="4"/>
      <c r="AI248" s="4"/>
    </row>
    <row r="249" ht="16" customHeight="1" s="4" customFormat="1">
      <c r="A249" s="4">
        <v>248</v>
      </c>
      <c r="B249" s="4" t="s">
        <v>689</v>
      </c>
      <c r="C249" s="4">
        <v>3</v>
      </c>
      <c r="D249" s="4" t="s">
        <v>690</v>
      </c>
      <c r="E249" s="4" t="s">
        <v>36</v>
      </c>
      <c r="F249" s="4">
        <v>25000</v>
      </c>
      <c r="G249" s="4">
        <v>905</v>
      </c>
      <c r="H249" s="4"/>
      <c r="I249" s="4"/>
      <c r="J249" s="4"/>
      <c r="K249" s="4"/>
      <c r="L249" s="4"/>
      <c r="M249" s="4"/>
      <c r="N249" s="4"/>
      <c r="O249" s="4"/>
      <c r="P249" s="4"/>
      <c r="Q249" s="4"/>
      <c r="R249" s="4" t="s">
        <v>81</v>
      </c>
      <c r="S249" s="4"/>
      <c r="T249" s="4"/>
      <c r="U249" s="4"/>
      <c r="V249" s="4"/>
      <c r="W249" s="4"/>
      <c r="X249" s="4"/>
      <c r="Y249" s="4"/>
      <c r="Z249" s="4"/>
      <c r="AA249" s="4"/>
      <c r="AB249" s="4"/>
      <c r="AC249" s="4"/>
      <c r="AD249" s="4"/>
      <c r="AE249" s="4"/>
      <c r="AF249" s="4"/>
      <c r="AG249" s="4"/>
      <c r="AH249" s="4"/>
      <c r="AI249" s="4"/>
    </row>
    <row r="250" ht="16" customHeight="1" s="4" customFormat="1">
      <c r="A250" s="4">
        <v>249</v>
      </c>
      <c r="B250" s="4" t="s">
        <v>691</v>
      </c>
      <c r="C250" s="4">
        <v>3</v>
      </c>
      <c r="D250" s="4" t="s">
        <v>564</v>
      </c>
      <c r="E250" s="4" t="s">
        <v>119</v>
      </c>
      <c r="F250" s="4">
        <v>23685.31</v>
      </c>
      <c r="G250" s="4"/>
      <c r="H250" s="4"/>
      <c r="I250" s="4"/>
      <c r="J250" s="4"/>
      <c r="K250" s="4"/>
      <c r="L250" s="4"/>
      <c r="M250" s="4"/>
      <c r="N250" s="4"/>
      <c r="O250" s="4"/>
      <c r="P250" s="4"/>
      <c r="Q250" s="4" t="s">
        <v>81</v>
      </c>
      <c r="R250" s="4"/>
      <c r="S250" s="4"/>
      <c r="T250" s="4"/>
      <c r="U250" s="4"/>
      <c r="V250" s="4"/>
      <c r="W250" s="4"/>
      <c r="X250" s="4"/>
      <c r="Y250" s="4"/>
      <c r="Z250" s="4"/>
      <c r="AA250" s="4"/>
      <c r="AB250" s="4"/>
      <c r="AC250" s="4"/>
      <c r="AD250" s="4"/>
      <c r="AE250" s="4"/>
      <c r="AF250" s="4"/>
      <c r="AG250" s="4"/>
      <c r="AH250" s="4"/>
      <c r="AI250" s="4"/>
    </row>
    <row r="251" ht="16" customHeight="1" s="4" customFormat="1">
      <c r="A251" s="4">
        <v>250</v>
      </c>
      <c r="B251" s="4" t="s">
        <v>692</v>
      </c>
      <c r="C251" s="4">
        <v>2</v>
      </c>
      <c r="D251" s="4" t="s">
        <v>693</v>
      </c>
      <c r="E251" s="4" t="s">
        <v>694</v>
      </c>
      <c r="F251" s="4">
        <v>100</v>
      </c>
      <c r="G251" s="4">
        <v>1882.5</v>
      </c>
      <c r="H251" s="4"/>
      <c r="I251" s="4"/>
      <c r="J251" s="4"/>
      <c r="K251" s="4"/>
      <c r="L251" s="4"/>
      <c r="M251" s="4"/>
      <c r="N251" s="4"/>
      <c r="O251" s="4"/>
      <c r="P251" s="4"/>
      <c r="Q251" s="4"/>
      <c r="R251" s="4"/>
      <c r="S251" s="4"/>
      <c r="T251" s="4"/>
      <c r="U251" s="4" t="s">
        <v>424</v>
      </c>
      <c r="V251" s="4"/>
      <c r="W251" s="4"/>
      <c r="X251" s="4"/>
      <c r="Y251" s="4"/>
      <c r="Z251" s="4"/>
      <c r="AA251" s="4"/>
      <c r="AB251" s="4"/>
      <c r="AC251" s="4"/>
      <c r="AD251" s="4"/>
      <c r="AE251" s="4"/>
      <c r="AF251" s="4"/>
      <c r="AG251" s="4"/>
      <c r="AH251" s="4"/>
      <c r="AI251" s="4"/>
    </row>
    <row r="252" ht="16" customHeight="1" s="4" customFormat="1">
      <c r="A252" s="4">
        <v>251</v>
      </c>
      <c r="B252" s="4" t="s">
        <v>695</v>
      </c>
      <c r="C252" s="4">
        <v>2</v>
      </c>
      <c r="D252" s="4" t="s">
        <v>696</v>
      </c>
      <c r="E252" s="4" t="s">
        <v>36</v>
      </c>
      <c r="F252" s="4">
        <v>297.5</v>
      </c>
      <c r="G252" s="4">
        <v>0.4</v>
      </c>
      <c r="H252" s="4"/>
      <c r="I252" s="4"/>
      <c r="J252" s="4"/>
      <c r="K252" s="4"/>
      <c r="L252" s="4"/>
      <c r="M252" s="4"/>
      <c r="N252" s="4"/>
      <c r="O252" s="4"/>
      <c r="P252" s="4"/>
      <c r="Q252" s="4"/>
      <c r="R252" s="4"/>
      <c r="S252" s="4"/>
      <c r="T252" s="4"/>
      <c r="U252" s="4"/>
      <c r="V252" s="4" t="s">
        <v>81</v>
      </c>
      <c r="W252" s="4"/>
      <c r="X252" s="4"/>
      <c r="Y252" s="4"/>
      <c r="Z252" s="4"/>
      <c r="AA252" s="4"/>
      <c r="AB252" s="4"/>
      <c r="AC252" s="4"/>
      <c r="AD252" s="4"/>
      <c r="AE252" s="4"/>
      <c r="AF252" s="4"/>
      <c r="AG252" s="4"/>
      <c r="AH252" s="4"/>
      <c r="AI252" s="4"/>
    </row>
    <row r="253" ht="16" customHeight="1" s="4" customFormat="1">
      <c r="A253" s="4">
        <v>252</v>
      </c>
      <c r="B253" s="4" t="s">
        <v>697</v>
      </c>
      <c r="C253" s="4">
        <v>2</v>
      </c>
      <c r="D253" s="4" t="s">
        <v>423</v>
      </c>
      <c r="E253" s="4" t="s">
        <v>36</v>
      </c>
      <c r="F253" s="4">
        <v>109952.39</v>
      </c>
      <c r="G253" s="4"/>
      <c r="H253" s="4"/>
      <c r="I253" s="4"/>
      <c r="J253" s="4"/>
      <c r="K253" s="4"/>
      <c r="L253" s="4"/>
      <c r="M253" s="4"/>
      <c r="N253" s="4"/>
      <c r="O253" s="4"/>
      <c r="P253" s="4"/>
      <c r="Q253" s="4"/>
      <c r="R253" s="4"/>
      <c r="S253" s="4"/>
      <c r="T253" s="4"/>
      <c r="U253" s="4"/>
      <c r="V253" s="4"/>
      <c r="W253" s="4"/>
      <c r="X253" s="4"/>
      <c r="Y253" s="4" t="s">
        <v>81</v>
      </c>
      <c r="Z253" s="4"/>
      <c r="AA253" s="4"/>
      <c r="AB253" s="4"/>
      <c r="AC253" s="4"/>
      <c r="AD253" s="4"/>
      <c r="AE253" s="4"/>
      <c r="AF253" s="4"/>
      <c r="AG253" s="4"/>
      <c r="AH253" s="4"/>
      <c r="AI253" s="4"/>
    </row>
    <row r="254" ht="16" customHeight="1" s="4" customFormat="1">
      <c r="A254" s="4">
        <v>253</v>
      </c>
      <c r="B254" s="4" t="s">
        <v>698</v>
      </c>
      <c r="C254" s="4">
        <v>2</v>
      </c>
      <c r="D254" s="4" t="s">
        <v>699</v>
      </c>
      <c r="E254" s="4" t="s">
        <v>36</v>
      </c>
      <c r="F254" s="4">
        <v>126444.58</v>
      </c>
      <c r="G254" s="4"/>
      <c r="H254" s="4"/>
      <c r="I254" s="4"/>
      <c r="J254" s="4"/>
      <c r="K254" s="4"/>
      <c r="L254" s="4"/>
      <c r="M254" s="4" t="s">
        <v>246</v>
      </c>
      <c r="N254" s="4"/>
      <c r="O254" s="4"/>
      <c r="P254" s="4"/>
      <c r="Q254" s="4"/>
      <c r="R254" s="4"/>
      <c r="S254" s="4"/>
      <c r="T254" s="4"/>
      <c r="U254" s="4"/>
      <c r="V254" s="4"/>
      <c r="W254" s="4"/>
      <c r="X254" s="4"/>
      <c r="Y254" s="4"/>
      <c r="Z254" s="4"/>
      <c r="AA254" s="4"/>
      <c r="AB254" s="4"/>
      <c r="AC254" s="4"/>
      <c r="AD254" s="4"/>
      <c r="AE254" s="4"/>
      <c r="AF254" s="4"/>
      <c r="AG254" s="4"/>
      <c r="AH254" s="4"/>
      <c r="AI254" s="4"/>
    </row>
    <row r="255" ht="16" customHeight="1" s="4" customFormat="1">
      <c r="A255" s="4">
        <v>254</v>
      </c>
      <c r="B255" s="4" t="s">
        <v>700</v>
      </c>
      <c r="C255" s="4">
        <v>2</v>
      </c>
      <c r="D255" s="4" t="s">
        <v>701</v>
      </c>
      <c r="E255" s="4" t="s">
        <v>167</v>
      </c>
      <c r="F255" s="4">
        <v>92569.9</v>
      </c>
      <c r="G255" s="4">
        <v>10734</v>
      </c>
      <c r="H255" s="4"/>
      <c r="I255" s="4"/>
      <c r="J255" s="4"/>
      <c r="K255" s="4"/>
      <c r="L255" s="4"/>
      <c r="M255" s="4"/>
      <c r="N255" s="4"/>
      <c r="O255" s="4"/>
      <c r="P255" s="4"/>
      <c r="Q255" s="4"/>
      <c r="R255" s="4"/>
      <c r="S255" s="4" t="s">
        <v>424</v>
      </c>
      <c r="T255" s="4"/>
      <c r="U255" s="4"/>
      <c r="V255" s="4"/>
      <c r="W255" s="4"/>
      <c r="X255" s="4"/>
      <c r="Y255" s="4"/>
      <c r="Z255" s="4"/>
      <c r="AA255" s="4"/>
      <c r="AB255" s="4"/>
      <c r="AC255" s="4"/>
      <c r="AD255" s="4"/>
      <c r="AE255" s="4"/>
      <c r="AF255" s="4"/>
      <c r="AG255" s="4"/>
      <c r="AH255" s="4"/>
      <c r="AI255" s="4"/>
    </row>
    <row r="256" ht="16" customHeight="1" s="4" customFormat="1">
      <c r="A256" s="4">
        <v>255</v>
      </c>
      <c r="B256" s="4" t="s">
        <v>702</v>
      </c>
      <c r="C256" s="4">
        <v>2</v>
      </c>
      <c r="D256" s="4" t="s">
        <v>319</v>
      </c>
      <c r="E256" s="4" t="s">
        <v>93</v>
      </c>
      <c r="F256" s="4">
        <v>16938.7</v>
      </c>
      <c r="G256" s="4">
        <v>2272.1</v>
      </c>
      <c r="H256" s="4"/>
      <c r="I256" s="4" t="s">
        <v>246</v>
      </c>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16" customHeight="1" s="4" customFormat="1">
      <c r="A257" s="4">
        <v>256</v>
      </c>
      <c r="B257" s="4" t="s">
        <v>97</v>
      </c>
      <c r="C257" s="4">
        <v>2</v>
      </c>
      <c r="D257" s="4" t="s">
        <v>98</v>
      </c>
      <c r="E257" s="4" t="s">
        <v>99</v>
      </c>
      <c r="F257" s="4">
        <v>3400.02</v>
      </c>
      <c r="G257" s="4">
        <v>175</v>
      </c>
      <c r="H257" s="4" t="s">
        <v>81</v>
      </c>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16" customHeight="1" s="4" customFormat="1">
      <c r="A258" s="4">
        <v>257</v>
      </c>
      <c r="B258" s="4" t="s">
        <v>703</v>
      </c>
      <c r="C258" s="4">
        <v>2</v>
      </c>
      <c r="D258" s="4" t="s">
        <v>704</v>
      </c>
      <c r="E258" s="4" t="s">
        <v>36</v>
      </c>
      <c r="F258" s="4">
        <v>640.84</v>
      </c>
      <c r="G258" s="4">
        <v>466.8</v>
      </c>
      <c r="H258" s="4"/>
      <c r="I258" s="4"/>
      <c r="J258" s="4"/>
      <c r="K258" s="4"/>
      <c r="L258" s="4"/>
      <c r="M258" s="4"/>
      <c r="N258" s="4"/>
      <c r="O258" s="4"/>
      <c r="P258" s="4"/>
      <c r="Q258" s="4"/>
      <c r="R258" s="4" t="s">
        <v>81</v>
      </c>
      <c r="S258" s="4"/>
      <c r="T258" s="4"/>
      <c r="U258" s="4"/>
      <c r="V258" s="4"/>
      <c r="W258" s="4"/>
      <c r="X258" s="4"/>
      <c r="Y258" s="4"/>
      <c r="Z258" s="4"/>
      <c r="AA258" s="4"/>
      <c r="AB258" s="4"/>
      <c r="AC258" s="4"/>
      <c r="AD258" s="4"/>
      <c r="AE258" s="4"/>
      <c r="AF258" s="4"/>
      <c r="AG258" s="4"/>
      <c r="AH258" s="4"/>
      <c r="AI258" s="4"/>
    </row>
    <row r="259" ht="16" customHeight="1" s="4" customFormat="1">
      <c r="A259" s="4">
        <v>258</v>
      </c>
      <c r="B259" s="4" t="s">
        <v>705</v>
      </c>
      <c r="C259" s="4">
        <v>2</v>
      </c>
      <c r="D259" s="4" t="s">
        <v>297</v>
      </c>
      <c r="E259" s="4" t="s">
        <v>119</v>
      </c>
      <c r="F259" s="4">
        <v>4710.8</v>
      </c>
      <c r="G259" s="4">
        <v>20</v>
      </c>
      <c r="H259" s="4"/>
      <c r="I259" s="4"/>
      <c r="J259" s="4"/>
      <c r="K259" s="4"/>
      <c r="L259" s="4"/>
      <c r="M259" s="4"/>
      <c r="N259" s="4" t="s">
        <v>81</v>
      </c>
      <c r="O259" s="4"/>
      <c r="P259" s="4"/>
      <c r="Q259" s="4"/>
      <c r="R259" s="4"/>
      <c r="S259" s="4"/>
      <c r="T259" s="4"/>
      <c r="U259" s="4"/>
      <c r="V259" s="4"/>
      <c r="W259" s="4"/>
      <c r="X259" s="4"/>
      <c r="Y259" s="4"/>
      <c r="Z259" s="4"/>
      <c r="AA259" s="4"/>
      <c r="AB259" s="4"/>
      <c r="AC259" s="4"/>
      <c r="AD259" s="4"/>
      <c r="AE259" s="4"/>
      <c r="AF259" s="4"/>
      <c r="AG259" s="4"/>
      <c r="AH259" s="4"/>
      <c r="AI259" s="4"/>
    </row>
    <row r="260" ht="16" customHeight="1" s="4" customFormat="1">
      <c r="A260" s="4">
        <v>259</v>
      </c>
      <c r="B260" s="4" t="s">
        <v>706</v>
      </c>
      <c r="C260" s="4">
        <v>2</v>
      </c>
      <c r="D260" s="4" t="s">
        <v>707</v>
      </c>
      <c r="E260" s="4" t="s">
        <v>135</v>
      </c>
      <c r="F260" s="4">
        <v>885.65</v>
      </c>
      <c r="G260" s="4">
        <v>35</v>
      </c>
      <c r="H260" s="4"/>
      <c r="I260" s="4"/>
      <c r="J260" s="4"/>
      <c r="K260" s="4"/>
      <c r="L260" s="4"/>
      <c r="M260" s="4"/>
      <c r="N260" s="4" t="s">
        <v>708</v>
      </c>
      <c r="O260" s="4"/>
      <c r="P260" s="4"/>
      <c r="Q260" s="4"/>
      <c r="R260" s="4"/>
      <c r="S260" s="4"/>
      <c r="T260" s="4"/>
      <c r="U260" s="4"/>
      <c r="V260" s="4"/>
      <c r="W260" s="4"/>
      <c r="X260" s="4"/>
      <c r="Y260" s="4"/>
      <c r="Z260" s="4"/>
      <c r="AA260" s="4"/>
      <c r="AB260" s="4"/>
      <c r="AC260" s="4"/>
      <c r="AD260" s="4"/>
      <c r="AE260" s="4"/>
      <c r="AF260" s="4"/>
      <c r="AG260" s="4"/>
      <c r="AH260" s="4"/>
      <c r="AI260" s="4"/>
    </row>
    <row r="261" ht="16" customHeight="1" s="4" customFormat="1">
      <c r="A261" s="4">
        <v>260</v>
      </c>
      <c r="B261" s="4" t="s">
        <v>709</v>
      </c>
      <c r="C261" s="4">
        <v>2</v>
      </c>
      <c r="D261" s="4" t="s">
        <v>710</v>
      </c>
      <c r="E261" s="4" t="s">
        <v>36</v>
      </c>
      <c r="F261" s="4">
        <v>21838.71</v>
      </c>
      <c r="G261" s="4">
        <v>350</v>
      </c>
      <c r="H261" s="4"/>
      <c r="I261" s="4"/>
      <c r="J261" s="4"/>
      <c r="K261" s="4"/>
      <c r="L261" s="4"/>
      <c r="M261" s="4"/>
      <c r="N261" s="4"/>
      <c r="O261" s="4"/>
      <c r="P261" s="4"/>
      <c r="Q261" s="4"/>
      <c r="R261" s="4"/>
      <c r="S261" s="4"/>
      <c r="T261" s="4"/>
      <c r="U261" s="4"/>
      <c r="V261" s="4"/>
      <c r="W261" s="4"/>
      <c r="X261" s="4"/>
      <c r="Y261" s="4"/>
      <c r="Z261" s="4"/>
      <c r="AA261" s="4" t="s">
        <v>424</v>
      </c>
      <c r="AB261" s="4"/>
      <c r="AC261" s="4"/>
      <c r="AD261" s="4"/>
      <c r="AE261" s="4"/>
      <c r="AF261" s="4"/>
      <c r="AG261" s="4"/>
      <c r="AH261" s="4"/>
      <c r="AI261" s="4"/>
    </row>
    <row r="262" ht="16" customHeight="1" s="4" customFormat="1">
      <c r="A262" s="4">
        <v>261</v>
      </c>
      <c r="B262" s="4" t="s">
        <v>711</v>
      </c>
      <c r="C262" s="4">
        <v>2</v>
      </c>
      <c r="D262" s="4" t="s">
        <v>712</v>
      </c>
      <c r="E262" s="4" t="s">
        <v>36</v>
      </c>
      <c r="F262" s="4">
        <v>18000</v>
      </c>
      <c r="G262" s="4">
        <v>150</v>
      </c>
      <c r="H262" s="4"/>
      <c r="I262" s="4"/>
      <c r="J262" s="4"/>
      <c r="K262" s="4"/>
      <c r="L262" s="4"/>
      <c r="M262" s="4"/>
      <c r="N262" s="4"/>
      <c r="O262" s="4"/>
      <c r="P262" s="4"/>
      <c r="Q262" s="4"/>
      <c r="R262" s="4"/>
      <c r="S262" s="4"/>
      <c r="T262" s="4"/>
      <c r="U262" s="4"/>
      <c r="V262" s="4"/>
      <c r="W262" s="4"/>
      <c r="X262" s="4"/>
      <c r="Y262" s="4"/>
      <c r="Z262" s="4"/>
      <c r="AA262" s="4" t="s">
        <v>81</v>
      </c>
      <c r="AB262" s="4"/>
      <c r="AC262" s="4"/>
      <c r="AD262" s="4"/>
      <c r="AE262" s="4"/>
      <c r="AF262" s="4"/>
      <c r="AG262" s="4"/>
      <c r="AH262" s="4"/>
      <c r="AI262" s="4"/>
    </row>
    <row r="263" ht="16" customHeight="1" s="4" customFormat="1">
      <c r="A263" s="4">
        <v>262</v>
      </c>
      <c r="B263" s="4" t="s">
        <v>713</v>
      </c>
      <c r="C263" s="4">
        <v>2</v>
      </c>
      <c r="D263" s="4" t="s">
        <v>591</v>
      </c>
      <c r="E263" s="4" t="s">
        <v>714</v>
      </c>
      <c r="F263" s="4">
        <v>472260</v>
      </c>
      <c r="G263" s="4">
        <v>6405</v>
      </c>
      <c r="H263" s="4"/>
      <c r="I263" s="4"/>
      <c r="J263" s="4"/>
      <c r="K263" s="4"/>
      <c r="L263" s="4"/>
      <c r="M263" s="4"/>
      <c r="N263" s="4"/>
      <c r="O263" s="4"/>
      <c r="P263" s="4"/>
      <c r="Q263" s="4" t="s">
        <v>246</v>
      </c>
      <c r="R263" s="4"/>
      <c r="S263" s="4"/>
      <c r="T263" s="4"/>
      <c r="U263" s="4"/>
      <c r="V263" s="4"/>
      <c r="W263" s="4"/>
      <c r="X263" s="4"/>
      <c r="Y263" s="4"/>
      <c r="Z263" s="4"/>
      <c r="AA263" s="4"/>
      <c r="AB263" s="4"/>
      <c r="AC263" s="4"/>
      <c r="AD263" s="4"/>
      <c r="AE263" s="4"/>
      <c r="AF263" s="4"/>
      <c r="AG263" s="4"/>
      <c r="AH263" s="4"/>
      <c r="AI263" s="4"/>
    </row>
    <row r="264" ht="16" customHeight="1" s="4" customFormat="1">
      <c r="A264" s="4">
        <v>263</v>
      </c>
      <c r="B264" s="4" t="s">
        <v>715</v>
      </c>
      <c r="C264" s="4">
        <v>2</v>
      </c>
      <c r="D264" s="4" t="s">
        <v>591</v>
      </c>
      <c r="E264" s="4" t="s">
        <v>36</v>
      </c>
      <c r="F264" s="4">
        <v>320660.97</v>
      </c>
      <c r="G264" s="4">
        <v>8800</v>
      </c>
      <c r="H264" s="4"/>
      <c r="I264" s="4"/>
      <c r="J264" s="4"/>
      <c r="K264" s="4"/>
      <c r="L264" s="4"/>
      <c r="M264" s="4"/>
      <c r="N264" s="4"/>
      <c r="O264" s="4"/>
      <c r="P264" s="4"/>
      <c r="Q264" s="4"/>
      <c r="R264" s="4"/>
      <c r="S264" s="4"/>
      <c r="T264" s="4"/>
      <c r="U264" s="4" t="s">
        <v>246</v>
      </c>
      <c r="V264" s="4"/>
      <c r="W264" s="4"/>
      <c r="X264" s="4"/>
      <c r="Y264" s="4"/>
      <c r="Z264" s="4"/>
      <c r="AA264" s="4"/>
      <c r="AB264" s="4"/>
      <c r="AC264" s="4"/>
      <c r="AD264" s="4"/>
      <c r="AE264" s="4"/>
      <c r="AF264" s="4"/>
      <c r="AG264" s="4"/>
      <c r="AH264" s="4"/>
      <c r="AI264" s="4"/>
    </row>
    <row r="265" ht="16" customHeight="1" s="4" customFormat="1">
      <c r="A265" s="4">
        <v>264</v>
      </c>
      <c r="B265" s="4" t="s">
        <v>716</v>
      </c>
      <c r="C265" s="4">
        <v>2</v>
      </c>
      <c r="D265" s="4" t="s">
        <v>150</v>
      </c>
      <c r="E265" s="4" t="s">
        <v>36</v>
      </c>
      <c r="F265" s="4">
        <v>12791.44</v>
      </c>
      <c r="G265" s="4">
        <v>0.2</v>
      </c>
      <c r="H265" s="4"/>
      <c r="I265" s="4"/>
      <c r="J265" s="4"/>
      <c r="K265" s="4"/>
      <c r="L265" s="4"/>
      <c r="M265" s="4" t="s">
        <v>246</v>
      </c>
      <c r="N265" s="4"/>
      <c r="O265" s="4"/>
      <c r="P265" s="4"/>
      <c r="Q265" s="4"/>
      <c r="R265" s="4"/>
      <c r="S265" s="4"/>
      <c r="T265" s="4"/>
      <c r="U265" s="4"/>
      <c r="V265" s="4"/>
      <c r="W265" s="4"/>
      <c r="X265" s="4"/>
      <c r="Y265" s="4"/>
      <c r="Z265" s="4"/>
      <c r="AA265" s="4"/>
      <c r="AB265" s="4"/>
      <c r="AC265" s="4"/>
      <c r="AD265" s="4"/>
      <c r="AE265" s="4"/>
      <c r="AF265" s="4"/>
      <c r="AG265" s="4"/>
      <c r="AH265" s="4"/>
      <c r="AI265" s="4"/>
    </row>
    <row r="266" ht="16" customHeight="1" s="4" customFormat="1">
      <c r="A266" s="4">
        <v>265</v>
      </c>
      <c r="B266" s="4" t="s">
        <v>717</v>
      </c>
      <c r="C266" s="4">
        <v>2</v>
      </c>
      <c r="D266" s="4" t="s">
        <v>718</v>
      </c>
      <c r="E266" s="4" t="s">
        <v>36</v>
      </c>
      <c r="F266" s="4">
        <v>5</v>
      </c>
      <c r="G266" s="4"/>
      <c r="H266" s="4"/>
      <c r="I266" s="4"/>
      <c r="J266" s="4"/>
      <c r="K266" s="4"/>
      <c r="L266" s="4"/>
      <c r="M266" s="4"/>
      <c r="N266" s="4"/>
      <c r="O266" s="4"/>
      <c r="P266" s="4"/>
      <c r="Q266" s="4"/>
      <c r="R266" s="4"/>
      <c r="S266" s="4"/>
      <c r="T266" s="4"/>
      <c r="U266" s="4"/>
      <c r="V266" s="4" t="s">
        <v>81</v>
      </c>
      <c r="W266" s="4"/>
      <c r="X266" s="4"/>
      <c r="Y266" s="4"/>
      <c r="Z266" s="4"/>
      <c r="AA266" s="4"/>
      <c r="AB266" s="4"/>
      <c r="AC266" s="4"/>
      <c r="AD266" s="4"/>
      <c r="AE266" s="4"/>
      <c r="AF266" s="4"/>
      <c r="AG266" s="4"/>
      <c r="AH266" s="4"/>
      <c r="AI266" s="4"/>
    </row>
    <row r="267" ht="16" customHeight="1" s="4" customFormat="1">
      <c r="A267" s="4">
        <v>266</v>
      </c>
      <c r="B267" s="4" t="s">
        <v>719</v>
      </c>
      <c r="C267" s="4">
        <v>2</v>
      </c>
      <c r="D267" s="4" t="s">
        <v>283</v>
      </c>
      <c r="E267" s="4" t="s">
        <v>93</v>
      </c>
      <c r="F267" s="4">
        <v>8415.69</v>
      </c>
      <c r="G267" s="4"/>
      <c r="H267" s="4"/>
      <c r="I267" s="4"/>
      <c r="J267" s="4"/>
      <c r="K267" s="4"/>
      <c r="L267" s="4"/>
      <c r="M267" s="4"/>
      <c r="N267" s="4"/>
      <c r="O267" s="4"/>
      <c r="P267" s="4"/>
      <c r="Q267" s="4"/>
      <c r="R267" s="4"/>
      <c r="S267" s="4"/>
      <c r="T267" s="4"/>
      <c r="U267" s="4"/>
      <c r="V267" s="4"/>
      <c r="W267" s="4"/>
      <c r="X267" s="4"/>
      <c r="Y267" s="4"/>
      <c r="Z267" s="4"/>
      <c r="AA267" s="4"/>
      <c r="AB267" s="4" t="s">
        <v>81</v>
      </c>
      <c r="AC267" s="4"/>
      <c r="AD267" s="4"/>
      <c r="AE267" s="4"/>
      <c r="AF267" s="4"/>
      <c r="AG267" s="4"/>
      <c r="AH267" s="4"/>
      <c r="AI267" s="4"/>
    </row>
    <row r="268" ht="16" customHeight="1" s="4" customFormat="1">
      <c r="A268" s="4">
        <v>267</v>
      </c>
      <c r="B268" s="4" t="s">
        <v>720</v>
      </c>
      <c r="C268" s="4">
        <v>2</v>
      </c>
      <c r="D268" s="4" t="s">
        <v>699</v>
      </c>
      <c r="E268" s="4" t="s">
        <v>148</v>
      </c>
      <c r="F268" s="4">
        <v>100</v>
      </c>
      <c r="G268" s="4"/>
      <c r="H268" s="4"/>
      <c r="I268" s="4"/>
      <c r="J268" s="4"/>
      <c r="K268" s="4"/>
      <c r="L268" s="4"/>
      <c r="M268" s="4"/>
      <c r="N268" s="4"/>
      <c r="O268" s="4"/>
      <c r="P268" s="4"/>
      <c r="Q268" s="4"/>
      <c r="R268" s="4"/>
      <c r="S268" s="4"/>
      <c r="T268" s="4"/>
      <c r="U268" s="4"/>
      <c r="V268" s="4"/>
      <c r="W268" s="4"/>
      <c r="X268" s="4"/>
      <c r="Y268" s="4"/>
      <c r="Z268" s="4" t="s">
        <v>246</v>
      </c>
      <c r="AA268" s="4"/>
      <c r="AB268" s="4"/>
      <c r="AC268" s="4"/>
      <c r="AD268" s="4"/>
      <c r="AE268" s="4"/>
      <c r="AF268" s="4"/>
      <c r="AG268" s="4"/>
      <c r="AH268" s="4"/>
      <c r="AI268" s="4"/>
    </row>
    <row r="269" ht="16" customHeight="1" s="4" customFormat="1">
      <c r="A269" s="4">
        <v>268</v>
      </c>
      <c r="B269" s="4" t="s">
        <v>721</v>
      </c>
      <c r="C269" s="4">
        <v>2</v>
      </c>
      <c r="D269" s="4" t="s">
        <v>699</v>
      </c>
      <c r="E269" s="4" t="s">
        <v>148</v>
      </c>
      <c r="F269" s="4">
        <v>100</v>
      </c>
      <c r="G269" s="4"/>
      <c r="H269" s="4"/>
      <c r="I269" s="4"/>
      <c r="J269" s="4"/>
      <c r="K269" s="4"/>
      <c r="L269" s="4"/>
      <c r="M269" s="4"/>
      <c r="N269" s="4"/>
      <c r="O269" s="4"/>
      <c r="P269" s="4"/>
      <c r="Q269" s="4"/>
      <c r="R269" s="4"/>
      <c r="S269" s="4"/>
      <c r="T269" s="4"/>
      <c r="U269" s="4"/>
      <c r="V269" s="4"/>
      <c r="W269" s="4"/>
      <c r="X269" s="4"/>
      <c r="Y269" s="4"/>
      <c r="Z269" s="4" t="s">
        <v>246</v>
      </c>
      <c r="AA269" s="4"/>
      <c r="AB269" s="4"/>
      <c r="AC269" s="4"/>
      <c r="AD269" s="4"/>
      <c r="AE269" s="4"/>
      <c r="AF269" s="4"/>
      <c r="AG269" s="4"/>
      <c r="AH269" s="4"/>
      <c r="AI269" s="4"/>
    </row>
    <row r="270" ht="16" customHeight="1" s="4" customFormat="1">
      <c r="A270" s="4">
        <v>269</v>
      </c>
      <c r="B270" s="4" t="s">
        <v>722</v>
      </c>
      <c r="C270" s="4">
        <v>2</v>
      </c>
      <c r="D270" s="4" t="s">
        <v>699</v>
      </c>
      <c r="E270" s="4" t="s">
        <v>148</v>
      </c>
      <c r="F270" s="4">
        <v>100</v>
      </c>
      <c r="G270" s="4"/>
      <c r="H270" s="4"/>
      <c r="I270" s="4"/>
      <c r="J270" s="4"/>
      <c r="K270" s="4"/>
      <c r="L270" s="4"/>
      <c r="M270" s="4"/>
      <c r="N270" s="4"/>
      <c r="O270" s="4"/>
      <c r="P270" s="4"/>
      <c r="Q270" s="4"/>
      <c r="R270" s="4"/>
      <c r="S270" s="4"/>
      <c r="T270" s="4"/>
      <c r="U270" s="4"/>
      <c r="V270" s="4"/>
      <c r="W270" s="4"/>
      <c r="X270" s="4"/>
      <c r="Y270" s="4"/>
      <c r="Z270" s="4" t="s">
        <v>246</v>
      </c>
      <c r="AA270" s="4"/>
      <c r="AB270" s="4"/>
      <c r="AC270" s="4"/>
      <c r="AD270" s="4"/>
      <c r="AE270" s="4"/>
      <c r="AF270" s="4"/>
      <c r="AG270" s="4"/>
      <c r="AH270" s="4"/>
      <c r="AI270" s="4"/>
    </row>
    <row r="271" ht="16" customHeight="1" s="4" customFormat="1">
      <c r="A271" s="4">
        <v>270</v>
      </c>
      <c r="B271" s="4" t="s">
        <v>723</v>
      </c>
      <c r="C271" s="4">
        <v>2</v>
      </c>
      <c r="D271" s="4" t="s">
        <v>699</v>
      </c>
      <c r="E271" s="4" t="s">
        <v>148</v>
      </c>
      <c r="F271" s="4">
        <v>100</v>
      </c>
      <c r="G271" s="4"/>
      <c r="H271" s="4"/>
      <c r="I271" s="4"/>
      <c r="J271" s="4"/>
      <c r="K271" s="4"/>
      <c r="L271" s="4"/>
      <c r="M271" s="4"/>
      <c r="N271" s="4"/>
      <c r="O271" s="4"/>
      <c r="P271" s="4"/>
      <c r="Q271" s="4"/>
      <c r="R271" s="4"/>
      <c r="S271" s="4"/>
      <c r="T271" s="4"/>
      <c r="U271" s="4"/>
      <c r="V271" s="4"/>
      <c r="W271" s="4"/>
      <c r="X271" s="4"/>
      <c r="Y271" s="4"/>
      <c r="Z271" s="4" t="s">
        <v>246</v>
      </c>
      <c r="AA271" s="4"/>
      <c r="AB271" s="4"/>
      <c r="AC271" s="4"/>
      <c r="AD271" s="4"/>
      <c r="AE271" s="4"/>
      <c r="AF271" s="4"/>
      <c r="AG271" s="4"/>
      <c r="AH271" s="4"/>
      <c r="AI271" s="4"/>
    </row>
    <row r="272" ht="16" customHeight="1" s="4" customFormat="1">
      <c r="A272" s="4">
        <v>271</v>
      </c>
      <c r="B272" s="4" t="s">
        <v>724</v>
      </c>
      <c r="C272" s="4">
        <v>2</v>
      </c>
      <c r="D272" s="4" t="s">
        <v>725</v>
      </c>
      <c r="E272" s="4" t="s">
        <v>36</v>
      </c>
      <c r="F272" s="4">
        <v>12195</v>
      </c>
      <c r="G272" s="4"/>
      <c r="H272" s="4"/>
      <c r="I272" s="4"/>
      <c r="J272" s="4"/>
      <c r="K272" s="4"/>
      <c r="L272" s="4"/>
      <c r="M272" s="4"/>
      <c r="N272" s="4"/>
      <c r="O272" s="4"/>
      <c r="P272" s="4"/>
      <c r="Q272" s="4"/>
      <c r="R272" s="4"/>
      <c r="S272" s="4" t="s">
        <v>246</v>
      </c>
      <c r="T272" s="4"/>
      <c r="U272" s="4"/>
      <c r="V272" s="4"/>
      <c r="W272" s="4"/>
      <c r="X272" s="4"/>
      <c r="Y272" s="4"/>
      <c r="Z272" s="4"/>
      <c r="AA272" s="4"/>
      <c r="AB272" s="4"/>
      <c r="AC272" s="4"/>
      <c r="AD272" s="4"/>
      <c r="AE272" s="4"/>
      <c r="AF272" s="4"/>
      <c r="AG272" s="4"/>
      <c r="AH272" s="4"/>
      <c r="AI272" s="4"/>
    </row>
    <row r="273" ht="16" customHeight="1" s="4" customFormat="1">
      <c r="A273" s="4">
        <v>272</v>
      </c>
      <c r="B273" s="4" t="s">
        <v>726</v>
      </c>
      <c r="C273" s="4">
        <v>2</v>
      </c>
      <c r="D273" s="4" t="s">
        <v>727</v>
      </c>
      <c r="E273" s="4" t="s">
        <v>503</v>
      </c>
      <c r="F273" s="4">
        <v>107279.73</v>
      </c>
      <c r="G273" s="4">
        <v>248.4</v>
      </c>
      <c r="H273" s="4"/>
      <c r="I273" s="4"/>
      <c r="J273" s="4"/>
      <c r="K273" s="4" t="s">
        <v>81</v>
      </c>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16" customHeight="1" s="4" customFormat="1">
      <c r="A274" s="4">
        <v>273</v>
      </c>
      <c r="B274" s="4" t="s">
        <v>728</v>
      </c>
      <c r="C274" s="4">
        <v>2</v>
      </c>
      <c r="D274" s="4" t="s">
        <v>729</v>
      </c>
      <c r="E274" s="4" t="s">
        <v>36</v>
      </c>
      <c r="F274" s="4">
        <v>244515.97</v>
      </c>
      <c r="G274" s="4">
        <v>420</v>
      </c>
      <c r="H274" s="4"/>
      <c r="I274" s="4"/>
      <c r="J274" s="4"/>
      <c r="K274" s="4"/>
      <c r="L274" s="4"/>
      <c r="M274" s="4"/>
      <c r="N274" s="4"/>
      <c r="O274" s="4"/>
      <c r="P274" s="4"/>
      <c r="Q274" s="4"/>
      <c r="R274" s="4"/>
      <c r="S274" s="4"/>
      <c r="T274" s="4"/>
      <c r="U274" s="4"/>
      <c r="V274" s="4"/>
      <c r="W274" s="4"/>
      <c r="X274" s="4"/>
      <c r="Y274" s="4"/>
      <c r="Z274" s="4"/>
      <c r="AA274" s="4" t="s">
        <v>81</v>
      </c>
      <c r="AB274" s="4"/>
      <c r="AC274" s="4"/>
      <c r="AD274" s="4"/>
      <c r="AE274" s="4"/>
      <c r="AF274" s="4"/>
      <c r="AG274" s="4"/>
      <c r="AH274" s="4"/>
      <c r="AI274" s="4"/>
    </row>
    <row r="275" ht="16" customHeight="1" s="4" customFormat="1">
      <c r="A275" s="4">
        <v>274</v>
      </c>
      <c r="B275" s="4" t="s">
        <v>136</v>
      </c>
      <c r="C275" s="4">
        <v>2</v>
      </c>
      <c r="D275" s="4" t="s">
        <v>137</v>
      </c>
      <c r="E275" s="4" t="s">
        <v>138</v>
      </c>
      <c r="F275" s="4">
        <v>184903.02</v>
      </c>
      <c r="G275" s="4">
        <v>8329</v>
      </c>
      <c r="H275" s="4"/>
      <c r="I275" s="4"/>
      <c r="J275" s="4"/>
      <c r="K275" s="4"/>
      <c r="L275" s="4"/>
      <c r="M275" s="4"/>
      <c r="N275" s="4"/>
      <c r="O275" s="4"/>
      <c r="P275" s="4"/>
      <c r="Q275" s="4"/>
      <c r="R275" s="4"/>
      <c r="S275" s="4"/>
      <c r="T275" s="4"/>
      <c r="U275" s="4" t="s">
        <v>246</v>
      </c>
      <c r="V275" s="4"/>
      <c r="W275" s="4"/>
      <c r="X275" s="4"/>
      <c r="Y275" s="4"/>
      <c r="Z275" s="4"/>
      <c r="AA275" s="4"/>
      <c r="AB275" s="4"/>
      <c r="AC275" s="4"/>
      <c r="AD275" s="4"/>
      <c r="AE275" s="4"/>
      <c r="AF275" s="4"/>
      <c r="AG275" s="4"/>
      <c r="AH275" s="4"/>
      <c r="AI275" s="4"/>
    </row>
    <row r="276" ht="16" customHeight="1" s="4" customFormat="1">
      <c r="A276" s="4">
        <v>275</v>
      </c>
      <c r="B276" s="4" t="s">
        <v>730</v>
      </c>
      <c r="C276" s="4">
        <v>2</v>
      </c>
      <c r="D276" s="4" t="s">
        <v>731</v>
      </c>
      <c r="E276" s="4" t="s">
        <v>36</v>
      </c>
      <c r="F276" s="4">
        <v>402000</v>
      </c>
      <c r="G276" s="4"/>
      <c r="H276" s="4"/>
      <c r="I276" s="4"/>
      <c r="J276" s="4"/>
      <c r="K276" s="4"/>
      <c r="L276" s="4"/>
      <c r="M276" s="4"/>
      <c r="N276" s="4"/>
      <c r="O276" s="4"/>
      <c r="P276" s="4"/>
      <c r="Q276" s="4"/>
      <c r="R276" s="4"/>
      <c r="S276" s="4"/>
      <c r="T276" s="4"/>
      <c r="U276" s="4"/>
      <c r="V276" s="4"/>
      <c r="W276" s="4"/>
      <c r="X276" s="4"/>
      <c r="Y276" s="4" t="s">
        <v>81</v>
      </c>
      <c r="Z276" s="4"/>
      <c r="AA276" s="4"/>
      <c r="AB276" s="4"/>
      <c r="AC276" s="4"/>
      <c r="AD276" s="4"/>
      <c r="AE276" s="4"/>
      <c r="AF276" s="4"/>
      <c r="AG276" s="4"/>
      <c r="AH276" s="4"/>
      <c r="AI276" s="4"/>
    </row>
    <row r="277" ht="16" customHeight="1" s="4" customFormat="1">
      <c r="A277" s="4">
        <v>276</v>
      </c>
      <c r="B277" s="4" t="s">
        <v>732</v>
      </c>
      <c r="C277" s="4">
        <v>2</v>
      </c>
      <c r="D277" s="4" t="s">
        <v>348</v>
      </c>
      <c r="E277" s="4" t="s">
        <v>36</v>
      </c>
      <c r="F277" s="4">
        <v>23410</v>
      </c>
      <c r="G277" s="4">
        <v>2414</v>
      </c>
      <c r="H277" s="4"/>
      <c r="I277" s="4"/>
      <c r="J277" s="4"/>
      <c r="K277" s="4"/>
      <c r="L277" s="4"/>
      <c r="M277" s="4"/>
      <c r="N277" s="4"/>
      <c r="O277" s="4"/>
      <c r="P277" s="4"/>
      <c r="Q277" s="4" t="s">
        <v>81</v>
      </c>
      <c r="R277" s="4"/>
      <c r="S277" s="4"/>
      <c r="T277" s="4"/>
      <c r="U277" s="4"/>
      <c r="V277" s="4"/>
      <c r="W277" s="4"/>
      <c r="X277" s="4"/>
      <c r="Y277" s="4"/>
      <c r="Z277" s="4"/>
      <c r="AA277" s="4"/>
      <c r="AB277" s="4"/>
      <c r="AC277" s="4"/>
      <c r="AD277" s="4"/>
      <c r="AE277" s="4"/>
      <c r="AF277" s="4"/>
      <c r="AG277" s="4"/>
      <c r="AH277" s="4"/>
      <c r="AI277" s="4"/>
    </row>
    <row r="278" ht="16" customHeight="1" s="4" customFormat="1">
      <c r="A278" s="4">
        <v>277</v>
      </c>
      <c r="B278" s="4" t="s">
        <v>733</v>
      </c>
      <c r="C278" s="4">
        <v>2</v>
      </c>
      <c r="D278" s="4" t="s">
        <v>734</v>
      </c>
      <c r="E278" s="4" t="s">
        <v>714</v>
      </c>
      <c r="F278" s="4">
        <v>804113.68</v>
      </c>
      <c r="G278" s="4">
        <v>44215</v>
      </c>
      <c r="H278" s="4"/>
      <c r="I278" s="4"/>
      <c r="J278" s="4"/>
      <c r="K278" s="4"/>
      <c r="L278" s="4"/>
      <c r="M278" s="4"/>
      <c r="N278" s="4"/>
      <c r="O278" s="4"/>
      <c r="P278" s="4"/>
      <c r="Q278" s="4"/>
      <c r="R278" s="4"/>
      <c r="S278" s="4"/>
      <c r="T278" s="4" t="s">
        <v>246</v>
      </c>
      <c r="U278" s="4"/>
      <c r="V278" s="4"/>
      <c r="W278" s="4"/>
      <c r="X278" s="4"/>
      <c r="Y278" s="4"/>
      <c r="Z278" s="4"/>
      <c r="AA278" s="4"/>
      <c r="AB278" s="4"/>
      <c r="AC278" s="4"/>
      <c r="AD278" s="4"/>
      <c r="AE278" s="4"/>
      <c r="AF278" s="4"/>
      <c r="AG278" s="4"/>
      <c r="AH278" s="4"/>
      <c r="AI278" s="4"/>
    </row>
    <row r="279" ht="16" customHeight="1" s="4" customFormat="1">
      <c r="A279" s="4">
        <v>278</v>
      </c>
      <c r="B279" s="4" t="s">
        <v>735</v>
      </c>
      <c r="C279" s="4">
        <v>2</v>
      </c>
      <c r="D279" s="4" t="s">
        <v>560</v>
      </c>
      <c r="E279" s="4" t="s">
        <v>135</v>
      </c>
      <c r="F279" s="4">
        <v>14547.02</v>
      </c>
      <c r="G279" s="4">
        <v>1532.5</v>
      </c>
      <c r="H279" s="4"/>
      <c r="I279" s="4"/>
      <c r="J279" s="4"/>
      <c r="K279" s="4"/>
      <c r="L279" s="4"/>
      <c r="M279" s="4"/>
      <c r="N279" s="4"/>
      <c r="O279" s="4"/>
      <c r="P279" s="4"/>
      <c r="Q279" s="4"/>
      <c r="R279" s="4"/>
      <c r="S279" s="4"/>
      <c r="T279" s="4"/>
      <c r="U279" s="4"/>
      <c r="V279" s="4" t="s">
        <v>246</v>
      </c>
      <c r="W279" s="4"/>
      <c r="X279" s="4"/>
      <c r="Y279" s="4"/>
      <c r="Z279" s="4"/>
      <c r="AA279" s="4"/>
      <c r="AB279" s="4"/>
      <c r="AC279" s="4"/>
      <c r="AD279" s="4"/>
      <c r="AE279" s="4"/>
      <c r="AF279" s="4"/>
      <c r="AG279" s="4"/>
      <c r="AH279" s="4"/>
      <c r="AI279" s="4"/>
    </row>
    <row r="280" ht="16" customHeight="1" s="4" customFormat="1">
      <c r="A280" s="4">
        <v>279</v>
      </c>
      <c r="B280" s="4" t="s">
        <v>736</v>
      </c>
      <c r="C280" s="4">
        <v>2</v>
      </c>
      <c r="D280" s="4" t="s">
        <v>737</v>
      </c>
      <c r="E280" s="4" t="s">
        <v>349</v>
      </c>
      <c r="F280" s="4">
        <v>6426.38</v>
      </c>
      <c r="G280" s="4">
        <v>300</v>
      </c>
      <c r="H280" s="4"/>
      <c r="I280" s="4"/>
      <c r="J280" s="4"/>
      <c r="K280" s="4"/>
      <c r="L280" s="4"/>
      <c r="M280" s="4"/>
      <c r="N280" s="4"/>
      <c r="O280" s="4"/>
      <c r="P280" s="4"/>
      <c r="Q280" s="4"/>
      <c r="R280" s="4"/>
      <c r="S280" s="4"/>
      <c r="T280" s="4"/>
      <c r="U280" s="4"/>
      <c r="V280" s="4" t="s">
        <v>246</v>
      </c>
      <c r="W280" s="4"/>
      <c r="X280" s="4"/>
      <c r="Y280" s="4"/>
      <c r="Z280" s="4"/>
      <c r="AA280" s="4"/>
      <c r="AB280" s="4"/>
      <c r="AC280" s="4"/>
      <c r="AD280" s="4"/>
      <c r="AE280" s="4"/>
      <c r="AF280" s="4"/>
      <c r="AG280" s="4"/>
      <c r="AH280" s="4"/>
      <c r="AI280" s="4"/>
    </row>
    <row r="281" ht="16" customHeight="1" s="4" customFormat="1">
      <c r="A281" s="4">
        <v>280</v>
      </c>
      <c r="B281" s="4" t="s">
        <v>738</v>
      </c>
      <c r="C281" s="4">
        <v>2</v>
      </c>
      <c r="D281" s="4" t="s">
        <v>739</v>
      </c>
      <c r="E281" s="4" t="s">
        <v>36</v>
      </c>
      <c r="F281" s="4">
        <v>23495.91</v>
      </c>
      <c r="G281" s="4"/>
      <c r="H281" s="4"/>
      <c r="I281" s="4"/>
      <c r="J281" s="4"/>
      <c r="K281" s="4"/>
      <c r="L281" s="4"/>
      <c r="M281" s="4"/>
      <c r="N281" s="4"/>
      <c r="O281" s="4"/>
      <c r="P281" s="4"/>
      <c r="Q281" s="4"/>
      <c r="R281" s="4"/>
      <c r="S281" s="4"/>
      <c r="T281" s="4"/>
      <c r="U281" s="4"/>
      <c r="V281" s="4" t="s">
        <v>740</v>
      </c>
      <c r="W281" s="4"/>
      <c r="X281" s="4"/>
      <c r="Y281" s="4"/>
      <c r="Z281" s="4"/>
      <c r="AA281" s="4"/>
      <c r="AB281" s="4"/>
      <c r="AC281" s="4"/>
      <c r="AD281" s="4"/>
      <c r="AE281" s="4"/>
      <c r="AF281" s="4"/>
      <c r="AG281" s="4"/>
      <c r="AH281" s="4"/>
      <c r="AI281" s="4"/>
    </row>
    <row r="282" ht="16" customHeight="1" s="4" customFormat="1">
      <c r="A282" s="4">
        <v>281</v>
      </c>
      <c r="B282" s="4" t="s">
        <v>741</v>
      </c>
      <c r="C282" s="4">
        <v>2</v>
      </c>
      <c r="D282" s="4" t="s">
        <v>742</v>
      </c>
      <c r="E282" s="4" t="s">
        <v>36</v>
      </c>
      <c r="F282" s="4">
        <v>124835.32</v>
      </c>
      <c r="G282" s="4">
        <v>4669.7</v>
      </c>
      <c r="H282" s="4"/>
      <c r="I282" s="4" t="s">
        <v>246</v>
      </c>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16" customHeight="1" s="4" customFormat="1">
      <c r="A283" s="4">
        <v>282</v>
      </c>
      <c r="B283" s="4" t="s">
        <v>743</v>
      </c>
      <c r="C283" s="4">
        <v>2</v>
      </c>
      <c r="D283" s="4" t="s">
        <v>562</v>
      </c>
      <c r="E283" s="4" t="s">
        <v>36</v>
      </c>
      <c r="F283" s="4">
        <v>35715.62</v>
      </c>
      <c r="G283" s="4">
        <v>3505</v>
      </c>
      <c r="H283" s="4"/>
      <c r="I283" s="4"/>
      <c r="J283" s="4"/>
      <c r="K283" s="4"/>
      <c r="L283" s="4"/>
      <c r="M283" s="4"/>
      <c r="N283" s="4"/>
      <c r="O283" s="4"/>
      <c r="P283" s="4"/>
      <c r="Q283" s="4"/>
      <c r="R283" s="4"/>
      <c r="S283" s="4"/>
      <c r="T283" s="4"/>
      <c r="U283" s="4"/>
      <c r="V283" s="4"/>
      <c r="W283" s="4"/>
      <c r="X283" s="4"/>
      <c r="Y283" s="4"/>
      <c r="Z283" s="4"/>
      <c r="AA283" s="4"/>
      <c r="AB283" s="4" t="s">
        <v>583</v>
      </c>
      <c r="AC283" s="4"/>
      <c r="AD283" s="4"/>
      <c r="AE283" s="4"/>
      <c r="AF283" s="4"/>
      <c r="AG283" s="4"/>
      <c r="AH283" s="4"/>
      <c r="AI283" s="4"/>
    </row>
    <row r="284" ht="16" customHeight="1" s="4" customFormat="1">
      <c r="A284" s="4">
        <v>283</v>
      </c>
      <c r="B284" s="4" t="s">
        <v>744</v>
      </c>
      <c r="C284" s="4">
        <v>2</v>
      </c>
      <c r="D284" s="4" t="s">
        <v>745</v>
      </c>
      <c r="E284" s="4" t="s">
        <v>36</v>
      </c>
      <c r="F284" s="4">
        <v>10232.45</v>
      </c>
      <c r="G284" s="4"/>
      <c r="H284" s="4"/>
      <c r="I284" s="4" t="s">
        <v>81</v>
      </c>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16" customHeight="1" s="4" customFormat="1">
      <c r="A285" s="4">
        <v>284</v>
      </c>
      <c r="B285" s="4" t="s">
        <v>746</v>
      </c>
      <c r="C285" s="4">
        <v>2</v>
      </c>
      <c r="D285" s="4" t="s">
        <v>747</v>
      </c>
      <c r="E285" s="4" t="s">
        <v>167</v>
      </c>
      <c r="F285" s="4">
        <v>991.45</v>
      </c>
      <c r="G285" s="4">
        <v>1640</v>
      </c>
      <c r="H285" s="4"/>
      <c r="I285" s="4"/>
      <c r="J285" s="4"/>
      <c r="K285" s="4"/>
      <c r="L285" s="4"/>
      <c r="M285" s="4" t="s">
        <v>246</v>
      </c>
      <c r="N285" s="4"/>
      <c r="O285" s="4"/>
      <c r="P285" s="4"/>
      <c r="Q285" s="4"/>
      <c r="R285" s="4"/>
      <c r="S285" s="4"/>
      <c r="T285" s="4"/>
      <c r="U285" s="4"/>
      <c r="V285" s="4"/>
      <c r="W285" s="4"/>
      <c r="X285" s="4"/>
      <c r="Y285" s="4"/>
      <c r="Z285" s="4"/>
      <c r="AA285" s="4"/>
      <c r="AB285" s="4"/>
      <c r="AC285" s="4"/>
      <c r="AD285" s="4"/>
      <c r="AE285" s="4"/>
      <c r="AF285" s="4"/>
      <c r="AG285" s="4"/>
      <c r="AH285" s="4"/>
      <c r="AI285" s="4"/>
    </row>
    <row r="286" ht="16" customHeight="1" s="4" customFormat="1">
      <c r="A286" s="4">
        <v>285</v>
      </c>
      <c r="B286" s="4" t="s">
        <v>748</v>
      </c>
      <c r="C286" s="4">
        <v>2</v>
      </c>
      <c r="D286" s="4" t="s">
        <v>749</v>
      </c>
      <c r="E286" s="4" t="s">
        <v>411</v>
      </c>
      <c r="F286" s="4">
        <v>1758.56</v>
      </c>
      <c r="G286" s="4">
        <v>652.2</v>
      </c>
      <c r="H286" s="4"/>
      <c r="I286" s="4"/>
      <c r="J286" s="4"/>
      <c r="K286" s="4"/>
      <c r="L286" s="4"/>
      <c r="M286" s="4"/>
      <c r="N286" s="4"/>
      <c r="O286" s="4"/>
      <c r="P286" s="4"/>
      <c r="Q286" s="4"/>
      <c r="R286" s="4" t="s">
        <v>81</v>
      </c>
      <c r="S286" s="4"/>
      <c r="T286" s="4"/>
      <c r="U286" s="4"/>
      <c r="V286" s="4"/>
      <c r="W286" s="4"/>
      <c r="X286" s="4"/>
      <c r="Y286" s="4"/>
      <c r="Z286" s="4"/>
      <c r="AA286" s="4"/>
      <c r="AB286" s="4"/>
      <c r="AC286" s="4"/>
      <c r="AD286" s="4"/>
      <c r="AE286" s="4"/>
      <c r="AF286" s="4"/>
      <c r="AG286" s="4"/>
      <c r="AH286" s="4"/>
      <c r="AI286" s="4"/>
    </row>
    <row r="287" ht="16" customHeight="1" s="4" customFormat="1">
      <c r="A287" s="4">
        <v>286</v>
      </c>
      <c r="B287" s="4" t="s">
        <v>750</v>
      </c>
      <c r="C287" s="4">
        <v>2</v>
      </c>
      <c r="D287" s="4" t="s">
        <v>751</v>
      </c>
      <c r="E287" s="4" t="s">
        <v>36</v>
      </c>
      <c r="F287" s="4">
        <v>9561.77</v>
      </c>
      <c r="G287" s="4">
        <v>3592.2</v>
      </c>
      <c r="H287" s="4"/>
      <c r="I287" s="4"/>
      <c r="J287" s="4"/>
      <c r="K287" s="4"/>
      <c r="L287" s="4"/>
      <c r="M287" s="4"/>
      <c r="N287" s="4"/>
      <c r="O287" s="4"/>
      <c r="P287" s="4"/>
      <c r="Q287" s="4"/>
      <c r="R287" s="4"/>
      <c r="S287" s="4"/>
      <c r="T287" s="4" t="s">
        <v>81</v>
      </c>
      <c r="U287" s="4"/>
      <c r="V287" s="4"/>
      <c r="W287" s="4"/>
      <c r="X287" s="4"/>
      <c r="Y287" s="4"/>
      <c r="Z287" s="4"/>
      <c r="AA287" s="4"/>
      <c r="AB287" s="4"/>
      <c r="AC287" s="4"/>
      <c r="AD287" s="4"/>
      <c r="AE287" s="4"/>
      <c r="AF287" s="4"/>
      <c r="AG287" s="4"/>
      <c r="AH287" s="4"/>
      <c r="AI287" s="4"/>
    </row>
    <row r="288" ht="16" customHeight="1" s="4" customFormat="1">
      <c r="A288" s="4">
        <v>287</v>
      </c>
      <c r="B288" s="4" t="s">
        <v>752</v>
      </c>
      <c r="C288" s="4">
        <v>2</v>
      </c>
      <c r="D288" s="4" t="s">
        <v>753</v>
      </c>
      <c r="E288" s="4" t="s">
        <v>36</v>
      </c>
      <c r="F288" s="4">
        <v>9591.98</v>
      </c>
      <c r="G288" s="4"/>
      <c r="H288" s="4"/>
      <c r="I288" s="4"/>
      <c r="J288" s="4"/>
      <c r="K288" s="4"/>
      <c r="L288" s="4"/>
      <c r="M288" s="4"/>
      <c r="N288" s="4"/>
      <c r="O288" s="4"/>
      <c r="P288" s="4"/>
      <c r="Q288" s="4"/>
      <c r="R288" s="4"/>
      <c r="S288" s="4"/>
      <c r="T288" s="4"/>
      <c r="U288" s="4"/>
      <c r="V288" s="4" t="s">
        <v>246</v>
      </c>
      <c r="W288" s="4"/>
      <c r="X288" s="4"/>
      <c r="Y288" s="4"/>
      <c r="Z288" s="4"/>
      <c r="AA288" s="4"/>
      <c r="AB288" s="4"/>
      <c r="AC288" s="4"/>
      <c r="AD288" s="4"/>
      <c r="AE288" s="4"/>
      <c r="AF288" s="4"/>
      <c r="AG288" s="4"/>
      <c r="AH288" s="4"/>
      <c r="AI288" s="4"/>
    </row>
    <row r="289" ht="16" customHeight="1" s="4" customFormat="1">
      <c r="A289" s="4">
        <v>288</v>
      </c>
      <c r="B289" s="4" t="s">
        <v>754</v>
      </c>
      <c r="C289" s="4">
        <v>2</v>
      </c>
      <c r="D289" s="4" t="s">
        <v>755</v>
      </c>
      <c r="E289" s="4" t="s">
        <v>714</v>
      </c>
      <c r="F289" s="4">
        <v>6902.3</v>
      </c>
      <c r="G289" s="4">
        <v>5.3</v>
      </c>
      <c r="H289" s="4"/>
      <c r="I289" s="4" t="s">
        <v>246</v>
      </c>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16" customHeight="1" s="4" customFormat="1">
      <c r="A290" s="4">
        <v>289</v>
      </c>
      <c r="B290" s="4" t="s">
        <v>756</v>
      </c>
      <c r="C290" s="4">
        <v>2</v>
      </c>
      <c r="D290" s="4" t="s">
        <v>757</v>
      </c>
      <c r="E290" s="4" t="s">
        <v>135</v>
      </c>
      <c r="F290" s="4">
        <v>209759.95</v>
      </c>
      <c r="G290" s="4"/>
      <c r="H290" s="4"/>
      <c r="I290" s="4"/>
      <c r="J290" s="4"/>
      <c r="K290" s="4"/>
      <c r="L290" s="4"/>
      <c r="M290" s="4"/>
      <c r="N290" s="4"/>
      <c r="O290" s="4"/>
      <c r="P290" s="4"/>
      <c r="Q290" s="4"/>
      <c r="R290" s="4"/>
      <c r="S290" s="4"/>
      <c r="T290" s="4"/>
      <c r="U290" s="4"/>
      <c r="V290" s="4" t="s">
        <v>246</v>
      </c>
      <c r="W290" s="4"/>
      <c r="X290" s="4"/>
      <c r="Y290" s="4"/>
      <c r="Z290" s="4"/>
      <c r="AA290" s="4"/>
      <c r="AB290" s="4"/>
      <c r="AC290" s="4"/>
      <c r="AD290" s="4"/>
      <c r="AE290" s="4"/>
      <c r="AF290" s="4"/>
      <c r="AG290" s="4"/>
      <c r="AH290" s="4"/>
      <c r="AI290" s="4"/>
    </row>
    <row r="291" ht="16" customHeight="1" s="4" customFormat="1">
      <c r="A291" s="4">
        <v>290</v>
      </c>
      <c r="B291" s="4" t="s">
        <v>758</v>
      </c>
      <c r="C291" s="4">
        <v>2</v>
      </c>
      <c r="D291" s="4" t="s">
        <v>759</v>
      </c>
      <c r="E291" s="4" t="s">
        <v>119</v>
      </c>
      <c r="F291" s="4">
        <v>921.57</v>
      </c>
      <c r="G291" s="4"/>
      <c r="H291" s="4"/>
      <c r="I291" s="4"/>
      <c r="J291" s="4"/>
      <c r="K291" s="4"/>
      <c r="L291" s="4"/>
      <c r="M291" s="4"/>
      <c r="N291" s="4"/>
      <c r="O291" s="4"/>
      <c r="P291" s="4"/>
      <c r="Q291" s="4"/>
      <c r="R291" s="4"/>
      <c r="S291" s="4"/>
      <c r="T291" s="4"/>
      <c r="U291" s="4"/>
      <c r="V291" s="4"/>
      <c r="W291" s="4"/>
      <c r="X291" s="4"/>
      <c r="Y291" s="4" t="s">
        <v>81</v>
      </c>
      <c r="Z291" s="4"/>
      <c r="AA291" s="4"/>
      <c r="AB291" s="4"/>
      <c r="AC291" s="4"/>
      <c r="AD291" s="4"/>
      <c r="AE291" s="4"/>
      <c r="AF291" s="4"/>
      <c r="AG291" s="4"/>
      <c r="AH291" s="4"/>
      <c r="AI291" s="4"/>
    </row>
    <row r="292" ht="16" customHeight="1" s="4" customFormat="1">
      <c r="A292" s="4">
        <v>291</v>
      </c>
      <c r="B292" s="4" t="s">
        <v>760</v>
      </c>
      <c r="C292" s="4">
        <v>2</v>
      </c>
      <c r="D292" s="4" t="s">
        <v>761</v>
      </c>
      <c r="E292" s="4" t="s">
        <v>36</v>
      </c>
      <c r="F292" s="4">
        <v>3308.85</v>
      </c>
      <c r="G292" s="4">
        <v>90.8</v>
      </c>
      <c r="H292" s="4"/>
      <c r="I292" s="4"/>
      <c r="J292" s="4"/>
      <c r="K292" s="4"/>
      <c r="L292" s="4"/>
      <c r="M292" s="4"/>
      <c r="N292" s="4"/>
      <c r="O292" s="4"/>
      <c r="P292" s="4"/>
      <c r="Q292" s="4"/>
      <c r="R292" s="4"/>
      <c r="S292" s="4"/>
      <c r="T292" s="4"/>
      <c r="U292" s="4"/>
      <c r="V292" s="4"/>
      <c r="W292" s="4"/>
      <c r="X292" s="4"/>
      <c r="Y292" s="4"/>
      <c r="Z292" s="4"/>
      <c r="AA292" s="4" t="s">
        <v>81</v>
      </c>
      <c r="AB292" s="4"/>
      <c r="AC292" s="4"/>
      <c r="AD292" s="4"/>
      <c r="AE292" s="4"/>
      <c r="AF292" s="4"/>
      <c r="AG292" s="4"/>
      <c r="AH292" s="4"/>
      <c r="AI292" s="4"/>
    </row>
    <row r="293" ht="16" customHeight="1" s="4" customFormat="1">
      <c r="A293" s="4">
        <v>292</v>
      </c>
      <c r="B293" s="4" t="s">
        <v>762</v>
      </c>
      <c r="C293" s="4">
        <v>2</v>
      </c>
      <c r="D293" s="4" t="s">
        <v>763</v>
      </c>
      <c r="E293" s="4" t="s">
        <v>36</v>
      </c>
      <c r="F293" s="4">
        <v>1588.18</v>
      </c>
      <c r="G293" s="4">
        <v>1350</v>
      </c>
      <c r="H293" s="4"/>
      <c r="I293" s="4"/>
      <c r="J293" s="4"/>
      <c r="K293" s="4"/>
      <c r="L293" s="4"/>
      <c r="M293" s="4"/>
      <c r="N293" s="4"/>
      <c r="O293" s="4"/>
      <c r="P293" s="4"/>
      <c r="Q293" s="4"/>
      <c r="R293" s="4"/>
      <c r="S293" s="4"/>
      <c r="T293" s="4" t="s">
        <v>246</v>
      </c>
      <c r="U293" s="4"/>
      <c r="V293" s="4"/>
      <c r="W293" s="4"/>
      <c r="X293" s="4"/>
      <c r="Y293" s="4"/>
      <c r="Z293" s="4"/>
      <c r="AA293" s="4"/>
      <c r="AB293" s="4"/>
      <c r="AC293" s="4"/>
      <c r="AD293" s="4"/>
      <c r="AE293" s="4"/>
      <c r="AF293" s="4"/>
      <c r="AG293" s="4"/>
      <c r="AH293" s="4"/>
      <c r="AI293" s="4"/>
    </row>
    <row r="294" ht="16" customHeight="1" s="4" customFormat="1">
      <c r="A294" s="4">
        <v>293</v>
      </c>
      <c r="B294" s="4" t="s">
        <v>764</v>
      </c>
      <c r="C294" s="4">
        <v>2</v>
      </c>
      <c r="D294" s="4" t="s">
        <v>765</v>
      </c>
      <c r="E294" s="4" t="s">
        <v>36</v>
      </c>
      <c r="F294" s="4">
        <v>26194.68</v>
      </c>
      <c r="G294" s="4">
        <v>22374.5</v>
      </c>
      <c r="H294" s="4"/>
      <c r="I294" s="4"/>
      <c r="J294" s="4"/>
      <c r="K294" s="4"/>
      <c r="L294" s="4"/>
      <c r="M294" s="4"/>
      <c r="N294" s="4"/>
      <c r="O294" s="4"/>
      <c r="P294" s="4"/>
      <c r="Q294" s="4"/>
      <c r="R294" s="4"/>
      <c r="S294" s="4"/>
      <c r="T294" s="4"/>
      <c r="U294" s="4" t="s">
        <v>81</v>
      </c>
      <c r="V294" s="4"/>
      <c r="W294" s="4"/>
      <c r="X294" s="4"/>
      <c r="Y294" s="4"/>
      <c r="Z294" s="4"/>
      <c r="AA294" s="4"/>
      <c r="AB294" s="4"/>
      <c r="AC294" s="4"/>
      <c r="AD294" s="4"/>
      <c r="AE294" s="4"/>
      <c r="AF294" s="4"/>
      <c r="AG294" s="4"/>
      <c r="AH294" s="4"/>
      <c r="AI294" s="4"/>
    </row>
    <row r="295" ht="16" customHeight="1" s="4" customFormat="1">
      <c r="A295" s="4">
        <v>294</v>
      </c>
      <c r="B295" s="4" t="s">
        <v>766</v>
      </c>
      <c r="C295" s="4">
        <v>2</v>
      </c>
      <c r="D295" s="4" t="s">
        <v>767</v>
      </c>
      <c r="E295" s="4" t="s">
        <v>36</v>
      </c>
      <c r="F295" s="4">
        <v>4703.81</v>
      </c>
      <c r="G295" s="4">
        <v>403.8</v>
      </c>
      <c r="H295" s="4"/>
      <c r="I295" s="4"/>
      <c r="J295" s="4"/>
      <c r="K295" s="4"/>
      <c r="L295" s="4"/>
      <c r="M295" s="4"/>
      <c r="N295" s="4"/>
      <c r="O295" s="4"/>
      <c r="P295" s="4"/>
      <c r="Q295" s="4"/>
      <c r="R295" s="4"/>
      <c r="S295" s="4"/>
      <c r="T295" s="4"/>
      <c r="U295" s="4"/>
      <c r="V295" s="4" t="s">
        <v>246</v>
      </c>
      <c r="W295" s="4"/>
      <c r="X295" s="4"/>
      <c r="Y295" s="4"/>
      <c r="Z295" s="4"/>
      <c r="AA295" s="4"/>
      <c r="AB295" s="4"/>
      <c r="AC295" s="4"/>
      <c r="AD295" s="4"/>
      <c r="AE295" s="4"/>
      <c r="AF295" s="4"/>
      <c r="AG295" s="4"/>
      <c r="AH295" s="4"/>
      <c r="AI295" s="4"/>
    </row>
    <row r="296" ht="16" customHeight="1" s="4" customFormat="1">
      <c r="A296" s="4">
        <v>295</v>
      </c>
      <c r="B296" s="4" t="s">
        <v>768</v>
      </c>
      <c r="C296" s="4">
        <v>2</v>
      </c>
      <c r="D296" s="4" t="s">
        <v>769</v>
      </c>
      <c r="E296" s="4" t="s">
        <v>36</v>
      </c>
      <c r="F296" s="4">
        <v>69699.08</v>
      </c>
      <c r="G296" s="4"/>
      <c r="H296" s="4"/>
      <c r="I296" s="4"/>
      <c r="J296" s="4"/>
      <c r="K296" s="4"/>
      <c r="L296" s="4"/>
      <c r="M296" s="4"/>
      <c r="N296" s="4"/>
      <c r="O296" s="4"/>
      <c r="P296" s="4"/>
      <c r="Q296" s="4"/>
      <c r="R296" s="4"/>
      <c r="S296" s="4"/>
      <c r="T296" s="4" t="s">
        <v>246</v>
      </c>
      <c r="U296" s="4"/>
      <c r="V296" s="4"/>
      <c r="W296" s="4"/>
      <c r="X296" s="4"/>
      <c r="Y296" s="4"/>
      <c r="Z296" s="4"/>
      <c r="AA296" s="4"/>
      <c r="AB296" s="4"/>
      <c r="AC296" s="4"/>
      <c r="AD296" s="4"/>
      <c r="AE296" s="4"/>
      <c r="AF296" s="4"/>
      <c r="AG296" s="4"/>
      <c r="AH296" s="4"/>
      <c r="AI296" s="4"/>
    </row>
    <row r="297" ht="16" customHeight="1" s="4" customFormat="1">
      <c r="A297" s="4">
        <v>296</v>
      </c>
      <c r="B297" s="4" t="s">
        <v>770</v>
      </c>
      <c r="C297" s="4">
        <v>2</v>
      </c>
      <c r="D297" s="4" t="s">
        <v>771</v>
      </c>
      <c r="E297" s="4" t="s">
        <v>36</v>
      </c>
      <c r="F297" s="4">
        <v>11129.35</v>
      </c>
      <c r="G297" s="4">
        <v>2299.5</v>
      </c>
      <c r="H297" s="4"/>
      <c r="I297" s="4"/>
      <c r="J297" s="4"/>
      <c r="K297" s="4"/>
      <c r="L297" s="4"/>
      <c r="M297" s="4"/>
      <c r="N297" s="4"/>
      <c r="O297" s="4"/>
      <c r="P297" s="4"/>
      <c r="Q297" s="4"/>
      <c r="R297" s="4"/>
      <c r="S297" s="4"/>
      <c r="T297" s="4"/>
      <c r="U297" s="4"/>
      <c r="V297" s="4"/>
      <c r="W297" s="4" t="s">
        <v>246</v>
      </c>
      <c r="X297" s="4"/>
      <c r="Y297" s="4"/>
      <c r="Z297" s="4"/>
      <c r="AA297" s="4"/>
      <c r="AB297" s="4"/>
      <c r="AC297" s="4"/>
      <c r="AD297" s="4"/>
      <c r="AE297" s="4"/>
      <c r="AF297" s="4"/>
      <c r="AG297" s="4"/>
      <c r="AH297" s="4"/>
      <c r="AI297" s="4"/>
    </row>
    <row r="298" ht="16" customHeight="1" s="4" customFormat="1">
      <c r="A298" s="4">
        <v>297</v>
      </c>
      <c r="B298" s="4" t="s">
        <v>772</v>
      </c>
      <c r="C298" s="4">
        <v>2</v>
      </c>
      <c r="D298" s="4" t="s">
        <v>544</v>
      </c>
      <c r="E298" s="4" t="s">
        <v>135</v>
      </c>
      <c r="F298" s="4">
        <v>14921.76</v>
      </c>
      <c r="G298" s="4">
        <v>1170.7</v>
      </c>
      <c r="H298" s="4"/>
      <c r="I298" s="4"/>
      <c r="J298" s="4"/>
      <c r="K298" s="4"/>
      <c r="L298" s="4"/>
      <c r="M298" s="4"/>
      <c r="N298" s="4"/>
      <c r="O298" s="4"/>
      <c r="P298" s="4"/>
      <c r="Q298" s="4"/>
      <c r="R298" s="4"/>
      <c r="S298" s="4"/>
      <c r="T298" s="4"/>
      <c r="U298" s="4"/>
      <c r="V298" s="4" t="s">
        <v>246</v>
      </c>
      <c r="W298" s="4"/>
      <c r="X298" s="4"/>
      <c r="Y298" s="4"/>
      <c r="Z298" s="4"/>
      <c r="AA298" s="4"/>
      <c r="AB298" s="4"/>
      <c r="AC298" s="4"/>
      <c r="AD298" s="4"/>
      <c r="AE298" s="4"/>
      <c r="AF298" s="4"/>
      <c r="AG298" s="4"/>
      <c r="AH298" s="4"/>
      <c r="AI298" s="4"/>
    </row>
    <row r="299" ht="16" customHeight="1" s="4" customFormat="1">
      <c r="A299" s="4">
        <v>298</v>
      </c>
      <c r="B299" s="4" t="s">
        <v>773</v>
      </c>
      <c r="C299" s="4">
        <v>2</v>
      </c>
      <c r="D299" s="4" t="s">
        <v>774</v>
      </c>
      <c r="E299" s="4" t="s">
        <v>36</v>
      </c>
      <c r="F299" s="4">
        <v>40863.12</v>
      </c>
      <c r="G299" s="4">
        <v>16932.1</v>
      </c>
      <c r="H299" s="4"/>
      <c r="I299" s="4"/>
      <c r="J299" s="4"/>
      <c r="K299" s="4"/>
      <c r="L299" s="4"/>
      <c r="M299" s="4"/>
      <c r="N299" s="4"/>
      <c r="O299" s="4"/>
      <c r="P299" s="4"/>
      <c r="Q299" s="4"/>
      <c r="R299" s="4"/>
      <c r="S299" s="4"/>
      <c r="T299" s="4"/>
      <c r="U299" s="4" t="s">
        <v>775</v>
      </c>
      <c r="V299" s="4"/>
      <c r="W299" s="4"/>
      <c r="X299" s="4"/>
      <c r="Y299" s="4"/>
      <c r="Z299" s="4"/>
      <c r="AA299" s="4"/>
      <c r="AB299" s="4"/>
      <c r="AC299" s="4"/>
      <c r="AD299" s="4"/>
      <c r="AE299" s="4"/>
      <c r="AF299" s="4"/>
      <c r="AG299" s="4"/>
      <c r="AH299" s="4"/>
      <c r="AI299" s="4"/>
    </row>
    <row r="300" ht="16" customHeight="1" s="4" customFormat="1">
      <c r="A300" s="4">
        <v>299</v>
      </c>
      <c r="B300" s="4" t="s">
        <v>776</v>
      </c>
      <c r="C300" s="4">
        <v>2</v>
      </c>
      <c r="D300" s="4" t="s">
        <v>777</v>
      </c>
      <c r="E300" s="4" t="s">
        <v>778</v>
      </c>
      <c r="F300" s="4">
        <v>7061.67</v>
      </c>
      <c r="G300" s="4">
        <v>1166.6</v>
      </c>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t="s">
        <v>81</v>
      </c>
      <c r="AH300" s="4"/>
      <c r="AI300" s="4"/>
    </row>
    <row r="301" ht="16" customHeight="1" s="4" customFormat="1">
      <c r="A301" s="4">
        <v>300</v>
      </c>
      <c r="B301" s="4" t="s">
        <v>779</v>
      </c>
      <c r="C301" s="4">
        <v>2</v>
      </c>
      <c r="D301" s="4" t="s">
        <v>780</v>
      </c>
      <c r="E301" s="4" t="s">
        <v>36</v>
      </c>
      <c r="F301" s="4">
        <v>4595.79</v>
      </c>
      <c r="G301" s="4">
        <v>865.9</v>
      </c>
      <c r="H301" s="4"/>
      <c r="I301" s="4"/>
      <c r="J301" s="4"/>
      <c r="K301" s="4"/>
      <c r="L301" s="4"/>
      <c r="M301" s="4"/>
      <c r="N301" s="4"/>
      <c r="O301" s="4"/>
      <c r="P301" s="4"/>
      <c r="Q301" s="4"/>
      <c r="R301" s="4"/>
      <c r="S301" s="4"/>
      <c r="T301" s="4"/>
      <c r="U301" s="4"/>
      <c r="V301" s="4"/>
      <c r="W301" s="4"/>
      <c r="X301" s="4"/>
      <c r="Y301" s="4" t="s">
        <v>81</v>
      </c>
      <c r="Z301" s="4"/>
      <c r="AA301" s="4"/>
      <c r="AB301" s="4"/>
      <c r="AC301" s="4"/>
      <c r="AD301" s="4"/>
      <c r="AE301" s="4"/>
      <c r="AF301" s="4"/>
      <c r="AG301" s="4"/>
      <c r="AH301" s="4"/>
      <c r="AI301" s="4"/>
    </row>
    <row r="302" ht="16" customHeight="1" s="4" customFormat="1">
      <c r="A302" s="4">
        <v>301</v>
      </c>
      <c r="B302" s="4" t="s">
        <v>781</v>
      </c>
      <c r="C302" s="4">
        <v>2</v>
      </c>
      <c r="D302" s="4" t="s">
        <v>531</v>
      </c>
      <c r="E302" s="4" t="s">
        <v>36</v>
      </c>
      <c r="F302" s="4">
        <v>12851.91</v>
      </c>
      <c r="G302" s="4">
        <v>145</v>
      </c>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t="s">
        <v>128</v>
      </c>
      <c r="AH302" s="4"/>
      <c r="AI302" s="4"/>
    </row>
    <row r="303" ht="16" customHeight="1" s="4" customFormat="1">
      <c r="A303" s="4">
        <v>302</v>
      </c>
      <c r="B303" s="4" t="s">
        <v>782</v>
      </c>
      <c r="C303" s="4">
        <v>2</v>
      </c>
      <c r="D303" s="4" t="s">
        <v>591</v>
      </c>
      <c r="E303" s="4" t="s">
        <v>36</v>
      </c>
      <c r="F303" s="4">
        <v>27949.78</v>
      </c>
      <c r="G303" s="4"/>
      <c r="H303" s="4"/>
      <c r="I303" s="4"/>
      <c r="J303" s="4"/>
      <c r="K303" s="4"/>
      <c r="L303" s="4"/>
      <c r="M303" s="4"/>
      <c r="N303" s="4"/>
      <c r="O303" s="4"/>
      <c r="P303" s="4"/>
      <c r="Q303" s="4"/>
      <c r="R303" s="4"/>
      <c r="S303" s="4"/>
      <c r="T303" s="4"/>
      <c r="U303" s="4"/>
      <c r="V303" s="4"/>
      <c r="W303" s="4" t="s">
        <v>246</v>
      </c>
      <c r="X303" s="4"/>
      <c r="Y303" s="4"/>
      <c r="Z303" s="4"/>
      <c r="AA303" s="4"/>
      <c r="AB303" s="4"/>
      <c r="AC303" s="4"/>
      <c r="AD303" s="4"/>
      <c r="AE303" s="4"/>
      <c r="AF303" s="4"/>
      <c r="AG303" s="4"/>
      <c r="AH303" s="4"/>
      <c r="AI303" s="4"/>
    </row>
    <row r="304" ht="16" customHeight="1" s="4" customFormat="1">
      <c r="A304" s="4">
        <v>303</v>
      </c>
      <c r="B304" s="4" t="s">
        <v>783</v>
      </c>
      <c r="C304" s="4">
        <v>2</v>
      </c>
      <c r="D304" s="4" t="s">
        <v>784</v>
      </c>
      <c r="E304" s="4" t="s">
        <v>36</v>
      </c>
      <c r="F304" s="4">
        <v>18836.61</v>
      </c>
      <c r="G304" s="4">
        <v>3495.8</v>
      </c>
      <c r="H304" s="4"/>
      <c r="I304" s="4"/>
      <c r="J304" s="4"/>
      <c r="K304" s="4"/>
      <c r="L304" s="4"/>
      <c r="M304" s="4"/>
      <c r="N304" s="4"/>
      <c r="O304" s="4"/>
      <c r="P304" s="4"/>
      <c r="Q304" s="4"/>
      <c r="R304" s="4"/>
      <c r="S304" s="4"/>
      <c r="T304" s="4"/>
      <c r="U304" s="4"/>
      <c r="V304" s="4"/>
      <c r="W304" s="4" t="s">
        <v>246</v>
      </c>
      <c r="X304" s="4"/>
      <c r="Y304" s="4"/>
      <c r="Z304" s="4"/>
      <c r="AA304" s="4"/>
      <c r="AB304" s="4"/>
      <c r="AC304" s="4"/>
      <c r="AD304" s="4"/>
      <c r="AE304" s="4"/>
      <c r="AF304" s="4"/>
      <c r="AG304" s="4"/>
      <c r="AH304" s="4"/>
      <c r="AI304" s="4"/>
    </row>
    <row r="305" ht="16" customHeight="1" s="4" customFormat="1">
      <c r="A305" s="4">
        <v>304</v>
      </c>
      <c r="B305" s="4" t="s">
        <v>785</v>
      </c>
      <c r="C305" s="4">
        <v>2</v>
      </c>
      <c r="D305" s="4" t="s">
        <v>786</v>
      </c>
      <c r="E305" s="4" t="s">
        <v>36</v>
      </c>
      <c r="F305" s="4">
        <v>61811.14</v>
      </c>
      <c r="G305" s="4"/>
      <c r="H305" s="4"/>
      <c r="I305" s="4"/>
      <c r="J305" s="4"/>
      <c r="K305" s="4"/>
      <c r="L305" s="4"/>
      <c r="M305" s="4"/>
      <c r="N305" s="4"/>
      <c r="O305" s="4"/>
      <c r="P305" s="4"/>
      <c r="Q305" s="4"/>
      <c r="R305" s="4"/>
      <c r="S305" s="4"/>
      <c r="T305" s="4"/>
      <c r="U305" s="4"/>
      <c r="V305" s="4"/>
      <c r="W305" s="4"/>
      <c r="X305" s="4"/>
      <c r="Y305" s="4" t="s">
        <v>81</v>
      </c>
      <c r="Z305" s="4"/>
      <c r="AA305" s="4"/>
      <c r="AB305" s="4"/>
      <c r="AC305" s="4"/>
      <c r="AD305" s="4"/>
      <c r="AE305" s="4"/>
      <c r="AF305" s="4"/>
      <c r="AG305" s="4"/>
      <c r="AH305" s="4"/>
      <c r="AI305" s="4"/>
    </row>
    <row r="306" ht="16" customHeight="1" s="4" customFormat="1">
      <c r="A306" s="4">
        <v>305</v>
      </c>
      <c r="B306" s="4" t="s">
        <v>787</v>
      </c>
      <c r="C306" s="4">
        <v>2</v>
      </c>
      <c r="D306" s="4" t="s">
        <v>788</v>
      </c>
      <c r="E306" s="4" t="s">
        <v>135</v>
      </c>
      <c r="F306" s="4">
        <v>11430.88</v>
      </c>
      <c r="G306" s="4">
        <v>323</v>
      </c>
      <c r="H306" s="4"/>
      <c r="I306" s="4"/>
      <c r="J306" s="4"/>
      <c r="K306" s="4"/>
      <c r="L306" s="4"/>
      <c r="M306" s="4"/>
      <c r="N306" s="4"/>
      <c r="O306" s="4"/>
      <c r="P306" s="4"/>
      <c r="Q306" s="4"/>
      <c r="R306" s="4"/>
      <c r="S306" s="4"/>
      <c r="T306" s="4"/>
      <c r="U306" s="4"/>
      <c r="V306" s="4"/>
      <c r="W306" s="4"/>
      <c r="X306" s="4"/>
      <c r="Y306" s="4"/>
      <c r="Z306" s="4"/>
      <c r="AA306" s="4" t="s">
        <v>424</v>
      </c>
      <c r="AB306" s="4"/>
      <c r="AC306" s="4"/>
      <c r="AD306" s="4"/>
      <c r="AE306" s="4"/>
      <c r="AF306" s="4"/>
      <c r="AG306" s="4"/>
      <c r="AH306" s="4"/>
      <c r="AI306" s="4"/>
    </row>
    <row r="307" ht="16" customHeight="1" s="4" customFormat="1">
      <c r="A307" s="4">
        <v>306</v>
      </c>
      <c r="B307" s="4" t="s">
        <v>789</v>
      </c>
      <c r="C307" s="4">
        <v>2</v>
      </c>
      <c r="D307" s="4" t="s">
        <v>790</v>
      </c>
      <c r="E307" s="4" t="s">
        <v>167</v>
      </c>
      <c r="F307" s="4">
        <v>0</v>
      </c>
      <c r="G307" s="4"/>
      <c r="H307" s="4"/>
      <c r="I307" s="4"/>
      <c r="J307" s="4"/>
      <c r="K307" s="4"/>
      <c r="L307" s="4"/>
      <c r="M307" s="4"/>
      <c r="N307" s="4"/>
      <c r="O307" s="4"/>
      <c r="P307" s="4"/>
      <c r="Q307" s="4"/>
      <c r="R307" s="4"/>
      <c r="S307" s="4"/>
      <c r="T307" s="4"/>
      <c r="U307" s="4"/>
      <c r="V307" s="4" t="s">
        <v>81</v>
      </c>
      <c r="W307" s="4"/>
      <c r="X307" s="4"/>
      <c r="Y307" s="4"/>
      <c r="Z307" s="4"/>
      <c r="AA307" s="4"/>
      <c r="AB307" s="4"/>
      <c r="AC307" s="4"/>
      <c r="AD307" s="4"/>
      <c r="AE307" s="4"/>
      <c r="AF307" s="4"/>
      <c r="AG307" s="4"/>
      <c r="AH307" s="4"/>
      <c r="AI307" s="4"/>
    </row>
    <row r="308" ht="16" customHeight="1" s="4" customFormat="1">
      <c r="A308" s="4">
        <v>307</v>
      </c>
      <c r="B308" s="4" t="s">
        <v>791</v>
      </c>
      <c r="C308" s="4">
        <v>2</v>
      </c>
      <c r="D308" s="4" t="s">
        <v>792</v>
      </c>
      <c r="E308" s="4" t="s">
        <v>36</v>
      </c>
      <c r="F308" s="4">
        <v>3364.21</v>
      </c>
      <c r="G308" s="4"/>
      <c r="H308" s="4"/>
      <c r="I308" s="4"/>
      <c r="J308" s="4"/>
      <c r="K308" s="4"/>
      <c r="L308" s="4"/>
      <c r="M308" s="4"/>
      <c r="N308" s="4"/>
      <c r="O308" s="4"/>
      <c r="P308" s="4"/>
      <c r="Q308" s="4"/>
      <c r="R308" s="4"/>
      <c r="S308" s="4" t="s">
        <v>246</v>
      </c>
      <c r="T308" s="4"/>
      <c r="U308" s="4"/>
      <c r="V308" s="4"/>
      <c r="W308" s="4"/>
      <c r="X308" s="4"/>
      <c r="Y308" s="4"/>
      <c r="Z308" s="4" t="s">
        <v>246</v>
      </c>
      <c r="AA308" s="4"/>
      <c r="AB308" s="4"/>
      <c r="AC308" s="4"/>
      <c r="AD308" s="4"/>
      <c r="AE308" s="4"/>
      <c r="AF308" s="4"/>
      <c r="AG308" s="4"/>
      <c r="AH308" s="4"/>
      <c r="AI308" s="4"/>
    </row>
    <row r="309" ht="16" customHeight="1" s="4" customFormat="1">
      <c r="A309" s="4">
        <v>308</v>
      </c>
      <c r="B309" s="4" t="s">
        <v>793</v>
      </c>
      <c r="C309" s="4">
        <v>2</v>
      </c>
      <c r="D309" s="4" t="s">
        <v>794</v>
      </c>
      <c r="E309" s="4" t="s">
        <v>36</v>
      </c>
      <c r="F309" s="4">
        <v>376.6</v>
      </c>
      <c r="G309" s="4">
        <v>15.9</v>
      </c>
      <c r="H309" s="4"/>
      <c r="I309" s="4"/>
      <c r="J309" s="4"/>
      <c r="K309" s="4"/>
      <c r="L309" s="4"/>
      <c r="M309" s="4"/>
      <c r="N309" s="4"/>
      <c r="O309" s="4"/>
      <c r="P309" s="4"/>
      <c r="Q309" s="4"/>
      <c r="R309" s="4"/>
      <c r="S309" s="4"/>
      <c r="T309" s="4"/>
      <c r="U309" s="4"/>
      <c r="V309" s="4" t="s">
        <v>246</v>
      </c>
      <c r="W309" s="4"/>
      <c r="X309" s="4"/>
      <c r="Y309" s="4"/>
      <c r="Z309" s="4"/>
      <c r="AA309" s="4"/>
      <c r="AB309" s="4"/>
      <c r="AC309" s="4"/>
      <c r="AD309" s="4"/>
      <c r="AE309" s="4"/>
      <c r="AF309" s="4"/>
      <c r="AG309" s="4"/>
      <c r="AH309" s="4"/>
      <c r="AI309" s="4"/>
    </row>
    <row r="310" ht="16" customHeight="1" s="4" customFormat="1">
      <c r="A310" s="4">
        <v>309</v>
      </c>
      <c r="B310" s="4" t="s">
        <v>795</v>
      </c>
      <c r="C310" s="4">
        <v>2</v>
      </c>
      <c r="D310" s="4" t="s">
        <v>796</v>
      </c>
      <c r="E310" s="4" t="s">
        <v>93</v>
      </c>
      <c r="F310" s="4">
        <v>30989.33</v>
      </c>
      <c r="G310" s="4">
        <v>247.8</v>
      </c>
      <c r="H310" s="4"/>
      <c r="I310" s="4"/>
      <c r="J310" s="4"/>
      <c r="K310" s="4"/>
      <c r="L310" s="4"/>
      <c r="M310" s="4"/>
      <c r="N310" s="4"/>
      <c r="O310" s="4"/>
      <c r="P310" s="4"/>
      <c r="Q310" s="4"/>
      <c r="R310" s="4"/>
      <c r="S310" s="4" t="s">
        <v>246</v>
      </c>
      <c r="T310" s="4"/>
      <c r="U310" s="4"/>
      <c r="V310" s="4"/>
      <c r="W310" s="4"/>
      <c r="X310" s="4"/>
      <c r="Y310" s="4"/>
      <c r="Z310" s="4"/>
      <c r="AA310" s="4"/>
      <c r="AB310" s="4"/>
      <c r="AC310" s="4"/>
      <c r="AD310" s="4"/>
      <c r="AE310" s="4"/>
      <c r="AF310" s="4"/>
      <c r="AG310" s="4"/>
      <c r="AH310" s="4"/>
      <c r="AI310" s="4"/>
    </row>
    <row r="311" ht="16" customHeight="1" s="4" customFormat="1">
      <c r="A311" s="4">
        <v>310</v>
      </c>
      <c r="B311" s="4" t="s">
        <v>797</v>
      </c>
      <c r="C311" s="4">
        <v>1</v>
      </c>
      <c r="D311" s="4" t="s">
        <v>639</v>
      </c>
      <c r="E311" s="4" t="s">
        <v>36</v>
      </c>
      <c r="F311" s="4">
        <v>5803.37</v>
      </c>
      <c r="G311" s="4">
        <v>1520</v>
      </c>
      <c r="H311" s="4"/>
      <c r="I311" s="4"/>
      <c r="J311" s="4"/>
      <c r="K311" s="4"/>
      <c r="L311" s="4"/>
      <c r="M311" s="4" t="s">
        <v>246</v>
      </c>
      <c r="N311" s="4"/>
      <c r="O311" s="4"/>
      <c r="P311" s="4"/>
      <c r="Q311" s="4"/>
      <c r="R311" s="4"/>
      <c r="S311" s="4"/>
      <c r="T311" s="4"/>
      <c r="U311" s="4"/>
      <c r="V311" s="4"/>
      <c r="W311" s="4"/>
      <c r="X311" s="4"/>
      <c r="Y311" s="4"/>
      <c r="Z311" s="4"/>
      <c r="AA311" s="4"/>
      <c r="AB311" s="4"/>
      <c r="AC311" s="4"/>
      <c r="AD311" s="4"/>
      <c r="AE311" s="4"/>
      <c r="AF311" s="4"/>
      <c r="AG311" s="4"/>
      <c r="AH311" s="4"/>
      <c r="AI311" s="4"/>
    </row>
    <row r="312" ht="16" customHeight="1" s="4" customFormat="1">
      <c r="A312" s="4">
        <v>311</v>
      </c>
      <c r="B312" s="4" t="s">
        <v>798</v>
      </c>
      <c r="C312" s="4">
        <v>1</v>
      </c>
      <c r="D312" s="4" t="s">
        <v>799</v>
      </c>
      <c r="E312" s="4" t="s">
        <v>36</v>
      </c>
      <c r="F312" s="4">
        <v>77910.61</v>
      </c>
      <c r="G312" s="4"/>
      <c r="H312" s="4"/>
      <c r="I312" s="4"/>
      <c r="J312" s="4"/>
      <c r="K312" s="4"/>
      <c r="L312" s="4"/>
      <c r="M312" s="4" t="s">
        <v>246</v>
      </c>
      <c r="N312" s="4"/>
      <c r="O312" s="4"/>
      <c r="P312" s="4"/>
      <c r="Q312" s="4"/>
      <c r="R312" s="4"/>
      <c r="S312" s="4"/>
      <c r="T312" s="4"/>
      <c r="U312" s="4"/>
      <c r="V312" s="4"/>
      <c r="W312" s="4"/>
      <c r="X312" s="4"/>
      <c r="Y312" s="4"/>
      <c r="Z312" s="4"/>
      <c r="AA312" s="4"/>
      <c r="AB312" s="4"/>
      <c r="AC312" s="4"/>
      <c r="AD312" s="4"/>
      <c r="AE312" s="4"/>
      <c r="AF312" s="4"/>
      <c r="AG312" s="4"/>
      <c r="AH312" s="4"/>
      <c r="AI312" s="4"/>
    </row>
    <row r="313" ht="16" customHeight="1" s="4" customFormat="1">
      <c r="A313" s="4">
        <v>312</v>
      </c>
      <c r="B313" s="4" t="s">
        <v>800</v>
      </c>
      <c r="C313" s="4">
        <v>1</v>
      </c>
      <c r="D313" s="4" t="s">
        <v>801</v>
      </c>
      <c r="E313" s="4" t="s">
        <v>36</v>
      </c>
      <c r="F313" s="4">
        <v>5099.84</v>
      </c>
      <c r="G313" s="4"/>
      <c r="H313" s="4"/>
      <c r="I313" s="4"/>
      <c r="J313" s="4"/>
      <c r="K313" s="4"/>
      <c r="L313" s="4"/>
      <c r="M313" s="4"/>
      <c r="N313" s="4"/>
      <c r="O313" s="4"/>
      <c r="P313" s="4"/>
      <c r="Q313" s="4"/>
      <c r="R313" s="4"/>
      <c r="S313" s="4"/>
      <c r="T313" s="4"/>
      <c r="U313" s="4"/>
      <c r="V313" s="4"/>
      <c r="W313" s="4"/>
      <c r="X313" s="4"/>
      <c r="Y313" s="4" t="s">
        <v>802</v>
      </c>
      <c r="Z313" s="4"/>
      <c r="AA313" s="4"/>
      <c r="AB313" s="4"/>
      <c r="AC313" s="4"/>
      <c r="AD313" s="4"/>
      <c r="AE313" s="4"/>
      <c r="AF313" s="4"/>
      <c r="AG313" s="4"/>
      <c r="AH313" s="4"/>
      <c r="AI313" s="4"/>
    </row>
    <row r="314" ht="16" customHeight="1" s="4" customFormat="1">
      <c r="A314" s="4">
        <v>313</v>
      </c>
      <c r="B314" s="4" t="s">
        <v>803</v>
      </c>
      <c r="C314" s="4">
        <v>1</v>
      </c>
      <c r="D314" s="4" t="s">
        <v>799</v>
      </c>
      <c r="E314" s="4" t="s">
        <v>411</v>
      </c>
      <c r="F314" s="4">
        <v>143152.8</v>
      </c>
      <c r="G314" s="4">
        <v>1235.4</v>
      </c>
      <c r="H314" s="4"/>
      <c r="I314" s="4"/>
      <c r="J314" s="4"/>
      <c r="K314" s="4"/>
      <c r="L314" s="4"/>
      <c r="M314" s="4"/>
      <c r="N314" s="4"/>
      <c r="O314" s="4"/>
      <c r="P314" s="4"/>
      <c r="Q314" s="4"/>
      <c r="R314" s="4"/>
      <c r="S314" s="4"/>
      <c r="T314" s="4"/>
      <c r="U314" s="4"/>
      <c r="V314" s="4" t="s">
        <v>246</v>
      </c>
      <c r="W314" s="4"/>
      <c r="X314" s="4"/>
      <c r="Y314" s="4"/>
      <c r="Z314" s="4"/>
      <c r="AA314" s="4"/>
      <c r="AB314" s="4"/>
      <c r="AC314" s="4"/>
      <c r="AD314" s="4"/>
      <c r="AE314" s="4"/>
      <c r="AF314" s="4"/>
      <c r="AG314" s="4"/>
      <c r="AH314" s="4"/>
      <c r="AI314" s="4"/>
    </row>
    <row r="315" ht="16" customHeight="1" s="4" customFormat="1">
      <c r="A315" s="4">
        <v>314</v>
      </c>
      <c r="B315" s="4" t="s">
        <v>804</v>
      </c>
      <c r="C315" s="4">
        <v>1</v>
      </c>
      <c r="D315" s="4" t="s">
        <v>805</v>
      </c>
      <c r="E315" s="4" t="s">
        <v>36</v>
      </c>
      <c r="F315" s="4">
        <v>73647.55</v>
      </c>
      <c r="G315" s="4">
        <v>3387.1</v>
      </c>
      <c r="H315" s="4"/>
      <c r="I315" s="4"/>
      <c r="J315" s="4"/>
      <c r="K315" s="4"/>
      <c r="L315" s="4"/>
      <c r="M315" s="4"/>
      <c r="N315" s="4"/>
      <c r="O315" s="4"/>
      <c r="P315" s="4"/>
      <c r="Q315" s="4"/>
      <c r="R315" s="4"/>
      <c r="S315" s="4"/>
      <c r="T315" s="4"/>
      <c r="U315" s="4"/>
      <c r="V315" s="4"/>
      <c r="W315" s="4"/>
      <c r="X315" s="4"/>
      <c r="Y315" s="4"/>
      <c r="Z315" s="4"/>
      <c r="AA315" s="4" t="s">
        <v>651</v>
      </c>
      <c r="AB315" s="4"/>
      <c r="AC315" s="4"/>
      <c r="AD315" s="4"/>
      <c r="AE315" s="4"/>
      <c r="AF315" s="4"/>
      <c r="AG315" s="4"/>
      <c r="AH315" s="4"/>
      <c r="AI315" s="4"/>
    </row>
    <row r="316" ht="16" customHeight="1" s="4" customFormat="1">
      <c r="A316" s="4">
        <v>315</v>
      </c>
      <c r="B316" s="4" t="s">
        <v>806</v>
      </c>
      <c r="C316" s="4">
        <v>1</v>
      </c>
      <c r="D316" s="4" t="s">
        <v>807</v>
      </c>
      <c r="E316" s="4" t="s">
        <v>808</v>
      </c>
      <c r="F316" s="4">
        <v>3977</v>
      </c>
      <c r="G316" s="4">
        <v>601</v>
      </c>
      <c r="H316" s="4"/>
      <c r="I316" s="4"/>
      <c r="J316" s="4"/>
      <c r="K316" s="4"/>
      <c r="L316" s="4"/>
      <c r="M316" s="4"/>
      <c r="N316" s="4"/>
      <c r="O316" s="4"/>
      <c r="P316" s="4"/>
      <c r="Q316" s="4"/>
      <c r="R316" s="4"/>
      <c r="S316" s="4"/>
      <c r="T316" s="4"/>
      <c r="U316" s="4"/>
      <c r="V316" s="4" t="s">
        <v>248</v>
      </c>
      <c r="W316" s="4"/>
      <c r="X316" s="4"/>
      <c r="Y316" s="4"/>
      <c r="Z316" s="4"/>
      <c r="AA316" s="4"/>
      <c r="AB316" s="4"/>
      <c r="AC316" s="4"/>
      <c r="AD316" s="4"/>
      <c r="AE316" s="4"/>
      <c r="AF316" s="4"/>
      <c r="AG316" s="4"/>
      <c r="AH316" s="4"/>
      <c r="AI316" s="4"/>
    </row>
    <row r="317" ht="16" customHeight="1" s="4" customFormat="1">
      <c r="A317" s="4">
        <v>316</v>
      </c>
      <c r="B317" s="4" t="s">
        <v>809</v>
      </c>
      <c r="C317" s="4">
        <v>1</v>
      </c>
      <c r="D317" s="4" t="s">
        <v>443</v>
      </c>
      <c r="E317" s="4" t="s">
        <v>567</v>
      </c>
      <c r="F317" s="4">
        <v>194263.02</v>
      </c>
      <c r="G317" s="4">
        <v>1420.5</v>
      </c>
      <c r="H317" s="4"/>
      <c r="I317" s="4"/>
      <c r="J317" s="4"/>
      <c r="K317" s="4"/>
      <c r="L317" s="4"/>
      <c r="M317" s="4"/>
      <c r="N317" s="4"/>
      <c r="O317" s="4"/>
      <c r="P317" s="4"/>
      <c r="Q317" s="4"/>
      <c r="R317" s="4"/>
      <c r="S317" s="4"/>
      <c r="T317" s="4"/>
      <c r="U317" s="4"/>
      <c r="V317" s="4"/>
      <c r="W317" s="4"/>
      <c r="X317" s="4"/>
      <c r="Y317" s="4"/>
      <c r="Z317" s="4" t="s">
        <v>81</v>
      </c>
      <c r="AA317" s="4"/>
      <c r="AB317" s="4"/>
      <c r="AC317" s="4"/>
      <c r="AD317" s="4"/>
      <c r="AE317" s="4"/>
      <c r="AF317" s="4"/>
      <c r="AG317" s="4"/>
      <c r="AH317" s="4"/>
      <c r="AI317" s="4"/>
    </row>
    <row r="318" ht="16" customHeight="1" s="4" customFormat="1">
      <c r="A318" s="4">
        <v>317</v>
      </c>
      <c r="B318" s="4" t="s">
        <v>810</v>
      </c>
      <c r="C318" s="4">
        <v>1</v>
      </c>
      <c r="D318" s="4" t="s">
        <v>436</v>
      </c>
      <c r="E318" s="4" t="s">
        <v>93</v>
      </c>
      <c r="F318" s="4">
        <v>331038.78</v>
      </c>
      <c r="G318" s="4">
        <v>13578.5</v>
      </c>
      <c r="H318" s="4"/>
      <c r="I318" s="4"/>
      <c r="J318" s="4"/>
      <c r="K318" s="4"/>
      <c r="L318" s="4"/>
      <c r="M318" s="4"/>
      <c r="N318" s="4"/>
      <c r="O318" s="4"/>
      <c r="P318" s="4"/>
      <c r="Q318" s="4"/>
      <c r="R318" s="4"/>
      <c r="S318" s="4" t="s">
        <v>246</v>
      </c>
      <c r="T318" s="4"/>
      <c r="U318" s="4"/>
      <c r="V318" s="4"/>
      <c r="W318" s="4"/>
      <c r="X318" s="4"/>
      <c r="Y318" s="4"/>
      <c r="Z318" s="4"/>
      <c r="AA318" s="4"/>
      <c r="AB318" s="4"/>
      <c r="AC318" s="4"/>
      <c r="AD318" s="4"/>
      <c r="AE318" s="4"/>
      <c r="AF318" s="4"/>
      <c r="AG318" s="4"/>
      <c r="AH318" s="4"/>
      <c r="AI318" s="4"/>
    </row>
    <row r="319" ht="16" customHeight="1" s="4" customFormat="1">
      <c r="A319" s="4">
        <v>318</v>
      </c>
      <c r="B319" s="4" t="s">
        <v>811</v>
      </c>
      <c r="C319" s="4">
        <v>1</v>
      </c>
      <c r="D319" s="4" t="s">
        <v>812</v>
      </c>
      <c r="E319" s="4" t="s">
        <v>96</v>
      </c>
      <c r="F319" s="4">
        <v>7755.15</v>
      </c>
      <c r="G319" s="4">
        <v>25</v>
      </c>
      <c r="H319" s="4" t="s">
        <v>83</v>
      </c>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16" customHeight="1" s="4" customFormat="1">
      <c r="A320" s="4">
        <v>319</v>
      </c>
      <c r="B320" s="4" t="s">
        <v>813</v>
      </c>
      <c r="C320" s="4">
        <v>1</v>
      </c>
      <c r="D320" s="4" t="s">
        <v>814</v>
      </c>
      <c r="E320" s="4" t="s">
        <v>36</v>
      </c>
      <c r="F320" s="4">
        <v>27512.64</v>
      </c>
      <c r="G320" s="4">
        <v>31117.5</v>
      </c>
      <c r="H320" s="4"/>
      <c r="I320" s="4"/>
      <c r="J320" s="4"/>
      <c r="K320" s="4"/>
      <c r="L320" s="4"/>
      <c r="M320" s="4"/>
      <c r="N320" s="4"/>
      <c r="O320" s="4"/>
      <c r="P320" s="4"/>
      <c r="Q320" s="4" t="s">
        <v>815</v>
      </c>
      <c r="R320" s="4"/>
      <c r="S320" s="4"/>
      <c r="T320" s="4"/>
      <c r="U320" s="4"/>
      <c r="V320" s="4"/>
      <c r="W320" s="4"/>
      <c r="X320" s="4"/>
      <c r="Y320" s="4"/>
      <c r="Z320" s="4"/>
      <c r="AA320" s="4"/>
      <c r="AB320" s="4"/>
      <c r="AC320" s="4"/>
      <c r="AD320" s="4"/>
      <c r="AE320" s="4"/>
      <c r="AF320" s="4"/>
      <c r="AG320" s="4"/>
      <c r="AH320" s="4"/>
      <c r="AI320" s="4"/>
    </row>
    <row r="321" ht="16" customHeight="1" s="4" customFormat="1">
      <c r="A321" s="4">
        <v>320</v>
      </c>
      <c r="B321" s="4" t="s">
        <v>168</v>
      </c>
      <c r="C321" s="4">
        <v>1</v>
      </c>
      <c r="D321" s="4" t="s">
        <v>169</v>
      </c>
      <c r="E321" s="4" t="s">
        <v>93</v>
      </c>
      <c r="F321" s="4">
        <v>22062.45</v>
      </c>
      <c r="G321" s="4">
        <v>6185</v>
      </c>
      <c r="H321" s="4"/>
      <c r="I321" s="4"/>
      <c r="J321" s="4"/>
      <c r="K321" s="4"/>
      <c r="L321" s="4"/>
      <c r="M321" s="4"/>
      <c r="N321" s="4"/>
      <c r="O321" s="4"/>
      <c r="P321" s="4"/>
      <c r="Q321" s="4"/>
      <c r="R321" s="4"/>
      <c r="S321" s="4"/>
      <c r="T321" s="4"/>
      <c r="U321" s="4"/>
      <c r="V321" s="4"/>
      <c r="W321" s="4"/>
      <c r="X321" s="4"/>
      <c r="Y321" s="4"/>
      <c r="Z321" s="4"/>
      <c r="AA321" s="4"/>
      <c r="AB321" s="4"/>
      <c r="AC321" s="4"/>
      <c r="AD321" s="4"/>
      <c r="AE321" s="4" t="s">
        <v>81</v>
      </c>
      <c r="AF321" s="4"/>
      <c r="AG321" s="4"/>
      <c r="AH321" s="4"/>
      <c r="AI321" s="4"/>
    </row>
    <row r="322" ht="16" customHeight="1" s="4" customFormat="1">
      <c r="A322" s="4">
        <v>321</v>
      </c>
      <c r="B322" s="4" t="s">
        <v>170</v>
      </c>
      <c r="C322" s="4">
        <v>1</v>
      </c>
      <c r="D322" s="4" t="s">
        <v>171</v>
      </c>
      <c r="E322" s="4" t="s">
        <v>93</v>
      </c>
      <c r="F322" s="4">
        <v>0</v>
      </c>
      <c r="G322" s="4">
        <v>15</v>
      </c>
      <c r="H322" s="4" t="s">
        <v>81</v>
      </c>
      <c r="I322" s="4"/>
      <c r="J322" s="4"/>
      <c r="K322" s="4"/>
      <c r="L322" s="4"/>
      <c r="M322" s="4"/>
      <c r="N322" s="4"/>
      <c r="O322" s="4"/>
      <c r="P322" s="4"/>
      <c r="Q322" s="4"/>
      <c r="R322" s="4"/>
      <c r="S322" s="4"/>
      <c r="T322" s="4"/>
      <c r="U322" s="4"/>
      <c r="V322" s="4"/>
      <c r="W322" s="4"/>
      <c r="X322" s="4"/>
      <c r="Y322" s="4"/>
      <c r="Z322" s="4"/>
      <c r="AA322" s="4"/>
      <c r="AB322" s="4"/>
      <c r="AC322" s="4"/>
      <c r="AD322" s="4" t="s">
        <v>81</v>
      </c>
      <c r="AE322" s="4"/>
      <c r="AF322" s="4"/>
      <c r="AG322" s="4"/>
      <c r="AH322" s="4"/>
      <c r="AI322" s="4"/>
    </row>
    <row r="323" ht="16" customHeight="1" s="4" customFormat="1">
      <c r="A323" s="4">
        <v>322</v>
      </c>
      <c r="B323" s="4" t="s">
        <v>816</v>
      </c>
      <c r="C323" s="4">
        <v>1</v>
      </c>
      <c r="D323" s="4" t="s">
        <v>817</v>
      </c>
      <c r="E323" s="4" t="s">
        <v>135</v>
      </c>
      <c r="F323" s="4">
        <v>11200</v>
      </c>
      <c r="G323" s="4"/>
      <c r="H323" s="4"/>
      <c r="I323" s="4"/>
      <c r="J323" s="4"/>
      <c r="K323" s="4"/>
      <c r="L323" s="4" t="s">
        <v>424</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16" customHeight="1" s="4" customFormat="1">
      <c r="A324" s="4">
        <v>323</v>
      </c>
      <c r="B324" s="4" t="s">
        <v>818</v>
      </c>
      <c r="C324" s="4">
        <v>1</v>
      </c>
      <c r="D324" s="4" t="s">
        <v>819</v>
      </c>
      <c r="E324" s="4" t="s">
        <v>93</v>
      </c>
      <c r="F324" s="4">
        <v>55600</v>
      </c>
      <c r="G324" s="4">
        <v>2839</v>
      </c>
      <c r="H324" s="4"/>
      <c r="I324" s="4"/>
      <c r="J324" s="4"/>
      <c r="K324" s="4"/>
      <c r="L324" s="4"/>
      <c r="M324" s="4"/>
      <c r="N324" s="4"/>
      <c r="O324" s="4"/>
      <c r="P324" s="4"/>
      <c r="Q324" s="4"/>
      <c r="R324" s="4"/>
      <c r="S324" s="4"/>
      <c r="T324" s="4"/>
      <c r="U324" s="4" t="s">
        <v>246</v>
      </c>
      <c r="V324" s="4"/>
      <c r="W324" s="4"/>
      <c r="X324" s="4"/>
      <c r="Y324" s="4"/>
      <c r="Z324" s="4"/>
      <c r="AA324" s="4"/>
      <c r="AB324" s="4"/>
      <c r="AC324" s="4"/>
      <c r="AD324" s="4"/>
      <c r="AE324" s="4"/>
      <c r="AF324" s="4"/>
      <c r="AG324" s="4"/>
      <c r="AH324" s="4"/>
      <c r="AI324" s="4"/>
    </row>
    <row r="325" ht="16" customHeight="1" s="4" customFormat="1">
      <c r="A325" s="4">
        <v>324</v>
      </c>
      <c r="B325" s="4" t="s">
        <v>820</v>
      </c>
      <c r="C325" s="4">
        <v>1</v>
      </c>
      <c r="D325" s="4" t="s">
        <v>819</v>
      </c>
      <c r="E325" s="4" t="s">
        <v>93</v>
      </c>
      <c r="F325" s="4">
        <v>104000</v>
      </c>
      <c r="G325" s="4">
        <v>3129</v>
      </c>
      <c r="H325" s="4"/>
      <c r="I325" s="4"/>
      <c r="J325" s="4"/>
      <c r="K325" s="4"/>
      <c r="L325" s="4"/>
      <c r="M325" s="4"/>
      <c r="N325" s="4"/>
      <c r="O325" s="4"/>
      <c r="P325" s="4"/>
      <c r="Q325" s="4"/>
      <c r="R325" s="4"/>
      <c r="S325" s="4"/>
      <c r="T325" s="4"/>
      <c r="U325" s="4" t="s">
        <v>246</v>
      </c>
      <c r="V325" s="4"/>
      <c r="W325" s="4"/>
      <c r="X325" s="4"/>
      <c r="Y325" s="4"/>
      <c r="Z325" s="4"/>
      <c r="AA325" s="4"/>
      <c r="AB325" s="4"/>
      <c r="AC325" s="4"/>
      <c r="AD325" s="4"/>
      <c r="AE325" s="4"/>
      <c r="AF325" s="4"/>
      <c r="AG325" s="4"/>
      <c r="AH325" s="4"/>
      <c r="AI325" s="4"/>
    </row>
    <row r="326" ht="16" customHeight="1">
      <c r="A326" s="3">
        <v>325</v>
      </c>
      <c r="B326" s="3" t="s">
        <v>821</v>
      </c>
      <c r="C326" s="3">
        <v>1</v>
      </c>
      <c r="D326" s="3" t="s">
        <v>822</v>
      </c>
      <c r="E326" s="3" t="s">
        <v>36</v>
      </c>
      <c r="F326" s="3">
        <v>20368.28</v>
      </c>
      <c r="G326" s="3"/>
      <c r="H326" s="3"/>
      <c r="I326" s="3"/>
      <c r="J326" s="3"/>
      <c r="K326" s="3"/>
      <c r="L326" s="3"/>
      <c r="M326" s="3"/>
      <c r="N326" s="3"/>
      <c r="O326" s="3"/>
      <c r="P326" s="3"/>
      <c r="Q326" s="3"/>
      <c r="R326" s="3"/>
      <c r="S326" s="3"/>
      <c r="T326" s="3"/>
      <c r="U326" s="3"/>
      <c r="V326" s="3"/>
      <c r="W326" s="3"/>
      <c r="X326" s="3"/>
      <c r="Y326" s="3" t="s">
        <v>81</v>
      </c>
      <c r="Z326" s="3"/>
      <c r="AA326" s="3"/>
      <c r="AB326" s="3"/>
      <c r="AC326" s="3"/>
      <c r="AD326" s="3"/>
      <c r="AE326" s="3"/>
      <c r="AF326" s="3"/>
      <c r="AG326" s="3"/>
    </row>
  </sheetData>
  <headerFooter/>
</worksheet>
</file>

<file path=xl/worksheets/sheet9.xml><?xml version="1.0" encoding="utf-8"?>
<worksheet xmlns:r="http://schemas.openxmlformats.org/officeDocument/2006/relationships" xmlns="http://schemas.openxmlformats.org/spreadsheetml/2006/main">
  <dimension ref="A1:G201"/>
  <sheetViews>
    <sheetView workbookViewId="0"/>
  </sheetViews>
  <sheetFormatPr defaultRowHeight="15"/>
  <cols>
    <col min="1" max="1" width="29.8508453369141" customWidth="1" style="3"/>
    <col min="2" max="2" width="62.6677055358887" customWidth="1" style="3"/>
    <col min="3" max="3" width="108.639144897461" customWidth="1" style="3"/>
    <col min="4" max="4" width="9.140625" customWidth="1" style="3"/>
    <col min="5" max="16384" width="14.1395053863525" customWidth="1" style="3"/>
    <col min="6" max="16384" width="9.140625" customWidth="1" style="3"/>
    <col min="7" max="16384" width="9.140625" customWidth="1" style="3"/>
  </cols>
  <sheetData>
    <row r="1" ht="20" customHeight="1" s="1" customFormat="1">
      <c r="A1" s="2" t="s">
        <v>823</v>
      </c>
      <c r="B1" s="2" t="s">
        <v>824</v>
      </c>
      <c r="C1" s="2" t="s">
        <v>825</v>
      </c>
      <c r="D1" s="2" t="s">
        <v>826</v>
      </c>
      <c r="E1" s="2" t="s">
        <v>827</v>
      </c>
    </row>
    <row r="2" ht="16" customHeight="1" s="4" customFormat="1">
      <c r="A2" s="4" t="s">
        <v>828</v>
      </c>
      <c r="B2" s="4" t="s">
        <v>829</v>
      </c>
      <c r="C2" s="4" t="s">
        <v>830</v>
      </c>
      <c r="D2" s="4" t="s">
        <v>831</v>
      </c>
      <c r="E2" s="4" t="s">
        <v>832</v>
      </c>
      <c r="F2" s="4"/>
      <c r="G2" s="4"/>
    </row>
    <row r="3" ht="16" customHeight="1" s="4" customFormat="1">
      <c r="A3" s="4" t="s">
        <v>828</v>
      </c>
      <c r="B3" s="4" t="s">
        <v>833</v>
      </c>
      <c r="C3" s="4" t="s">
        <v>834</v>
      </c>
      <c r="D3" s="4" t="s">
        <v>831</v>
      </c>
      <c r="E3" s="4" t="s">
        <v>832</v>
      </c>
      <c r="F3" s="4"/>
      <c r="G3" s="4"/>
    </row>
    <row r="4" ht="16" customHeight="1" s="4" customFormat="1">
      <c r="A4" s="4" t="s">
        <v>828</v>
      </c>
      <c r="B4" s="4" t="s">
        <v>833</v>
      </c>
      <c r="C4" s="4" t="s">
        <v>835</v>
      </c>
      <c r="D4" s="4" t="s">
        <v>831</v>
      </c>
      <c r="E4" s="4" t="s">
        <v>832</v>
      </c>
      <c r="F4" s="4"/>
      <c r="G4" s="4"/>
    </row>
    <row r="5" ht="16" customHeight="1" s="4" customFormat="1">
      <c r="A5" s="4" t="s">
        <v>828</v>
      </c>
      <c r="B5" s="4" t="s">
        <v>829</v>
      </c>
      <c r="C5" s="4" t="s">
        <v>836</v>
      </c>
      <c r="D5" s="4" t="s">
        <v>831</v>
      </c>
      <c r="E5" s="4" t="s">
        <v>832</v>
      </c>
      <c r="F5" s="4"/>
      <c r="G5" s="4"/>
    </row>
    <row r="6" ht="16" customHeight="1" s="4" customFormat="1">
      <c r="A6" s="4" t="s">
        <v>828</v>
      </c>
      <c r="B6" s="4" t="s">
        <v>833</v>
      </c>
      <c r="C6" s="4" t="s">
        <v>837</v>
      </c>
      <c r="D6" s="4" t="s">
        <v>831</v>
      </c>
      <c r="E6" s="4" t="s">
        <v>832</v>
      </c>
      <c r="F6" s="4"/>
      <c r="G6" s="4"/>
    </row>
    <row r="7" ht="16" customHeight="1" s="4" customFormat="1">
      <c r="A7" s="4" t="s">
        <v>828</v>
      </c>
      <c r="B7" s="4" t="s">
        <v>833</v>
      </c>
      <c r="C7" s="4" t="s">
        <v>838</v>
      </c>
      <c r="D7" s="4" t="s">
        <v>831</v>
      </c>
      <c r="E7" s="4" t="s">
        <v>832</v>
      </c>
      <c r="F7" s="4"/>
      <c r="G7" s="4"/>
    </row>
    <row r="8" ht="16" customHeight="1" s="4" customFormat="1">
      <c r="A8" s="4" t="s">
        <v>828</v>
      </c>
      <c r="B8" s="4" t="s">
        <v>833</v>
      </c>
      <c r="C8" s="4" t="s">
        <v>839</v>
      </c>
      <c r="D8" s="4" t="s">
        <v>831</v>
      </c>
      <c r="E8" s="4" t="s">
        <v>832</v>
      </c>
      <c r="F8" s="4"/>
      <c r="G8" s="4"/>
    </row>
    <row r="9" ht="16" customHeight="1" s="4" customFormat="1">
      <c r="A9" s="4" t="s">
        <v>828</v>
      </c>
      <c r="B9" s="4" t="s">
        <v>833</v>
      </c>
      <c r="C9" s="4" t="s">
        <v>840</v>
      </c>
      <c r="D9" s="4" t="s">
        <v>831</v>
      </c>
      <c r="E9" s="4" t="s">
        <v>832</v>
      </c>
      <c r="F9" s="4"/>
      <c r="G9" s="4"/>
    </row>
    <row r="10" ht="16" customHeight="1" s="4" customFormat="1">
      <c r="A10" s="4" t="s">
        <v>828</v>
      </c>
      <c r="B10" s="4" t="s">
        <v>833</v>
      </c>
      <c r="C10" s="4" t="s">
        <v>841</v>
      </c>
      <c r="D10" s="4" t="s">
        <v>831</v>
      </c>
      <c r="E10" s="4" t="s">
        <v>832</v>
      </c>
      <c r="F10" s="4"/>
      <c r="G10" s="4"/>
    </row>
    <row r="11" ht="16" customHeight="1" s="4" customFormat="1">
      <c r="A11" s="4" t="s">
        <v>828</v>
      </c>
      <c r="B11" s="4" t="s">
        <v>833</v>
      </c>
      <c r="C11" s="4" t="s">
        <v>842</v>
      </c>
      <c r="D11" s="4" t="s">
        <v>831</v>
      </c>
      <c r="E11" s="4" t="s">
        <v>832</v>
      </c>
      <c r="F11" s="4"/>
      <c r="G11" s="4"/>
    </row>
    <row r="12" ht="16" customHeight="1" s="4" customFormat="1">
      <c r="A12" s="4" t="s">
        <v>828</v>
      </c>
      <c r="B12" s="4" t="s">
        <v>829</v>
      </c>
      <c r="C12" s="4" t="s">
        <v>843</v>
      </c>
      <c r="D12" s="4" t="s">
        <v>831</v>
      </c>
      <c r="E12" s="4" t="s">
        <v>832</v>
      </c>
      <c r="F12" s="4"/>
      <c r="G12" s="4"/>
    </row>
    <row r="13" ht="16" customHeight="1" s="4" customFormat="1">
      <c r="A13" s="4" t="s">
        <v>828</v>
      </c>
      <c r="B13" s="4" t="s">
        <v>833</v>
      </c>
      <c r="C13" s="4" t="s">
        <v>844</v>
      </c>
      <c r="D13" s="4" t="s">
        <v>831</v>
      </c>
      <c r="E13" s="4" t="s">
        <v>832</v>
      </c>
      <c r="F13" s="4"/>
      <c r="G13" s="4"/>
    </row>
    <row r="14" ht="16" customHeight="1" s="4" customFormat="1">
      <c r="A14" s="4" t="s">
        <v>828</v>
      </c>
      <c r="B14" s="4" t="s">
        <v>833</v>
      </c>
      <c r="C14" s="4" t="s">
        <v>845</v>
      </c>
      <c r="D14" s="4" t="s">
        <v>831</v>
      </c>
      <c r="E14" s="4" t="s">
        <v>832</v>
      </c>
      <c r="F14" s="4"/>
      <c r="G14" s="4"/>
    </row>
    <row r="15" ht="16" customHeight="1" s="4" customFormat="1">
      <c r="A15" s="4" t="s">
        <v>828</v>
      </c>
      <c r="B15" s="4" t="s">
        <v>829</v>
      </c>
      <c r="C15" s="4" t="s">
        <v>846</v>
      </c>
      <c r="D15" s="4" t="s">
        <v>831</v>
      </c>
      <c r="E15" s="4" t="s">
        <v>832</v>
      </c>
      <c r="F15" s="4"/>
      <c r="G15" s="4"/>
    </row>
    <row r="16" ht="16" customHeight="1" s="4" customFormat="1">
      <c r="A16" s="4" t="s">
        <v>828</v>
      </c>
      <c r="B16" s="4" t="s">
        <v>833</v>
      </c>
      <c r="C16" s="4" t="s">
        <v>847</v>
      </c>
      <c r="D16" s="4" t="s">
        <v>831</v>
      </c>
      <c r="E16" s="4" t="s">
        <v>832</v>
      </c>
      <c r="F16" s="4"/>
      <c r="G16" s="4"/>
    </row>
    <row r="17" ht="16" customHeight="1" s="4" customFormat="1">
      <c r="A17" s="4" t="s">
        <v>828</v>
      </c>
      <c r="B17" s="4" t="s">
        <v>833</v>
      </c>
      <c r="C17" s="4" t="s">
        <v>848</v>
      </c>
      <c r="D17" s="4" t="s">
        <v>831</v>
      </c>
      <c r="E17" s="4" t="s">
        <v>832</v>
      </c>
      <c r="F17" s="4"/>
      <c r="G17" s="4"/>
    </row>
    <row r="18" ht="16" customHeight="1" s="4" customFormat="1">
      <c r="A18" s="4" t="s">
        <v>828</v>
      </c>
      <c r="B18" s="4" t="s">
        <v>829</v>
      </c>
      <c r="C18" s="4" t="s">
        <v>849</v>
      </c>
      <c r="D18" s="4" t="s">
        <v>831</v>
      </c>
      <c r="E18" s="4" t="s">
        <v>832</v>
      </c>
      <c r="F18" s="4"/>
      <c r="G18" s="4"/>
    </row>
    <row r="19" ht="16" customHeight="1" s="4" customFormat="1">
      <c r="A19" s="4" t="s">
        <v>828</v>
      </c>
      <c r="B19" s="4" t="s">
        <v>833</v>
      </c>
      <c r="C19" s="4" t="s">
        <v>850</v>
      </c>
      <c r="D19" s="4" t="s">
        <v>831</v>
      </c>
      <c r="E19" s="4" t="s">
        <v>832</v>
      </c>
      <c r="F19" s="4"/>
      <c r="G19" s="4"/>
    </row>
    <row r="20" ht="16" customHeight="1" s="4" customFormat="1">
      <c r="A20" s="4" t="s">
        <v>828</v>
      </c>
      <c r="B20" s="4" t="s">
        <v>833</v>
      </c>
      <c r="C20" s="4" t="s">
        <v>851</v>
      </c>
      <c r="D20" s="4" t="s">
        <v>831</v>
      </c>
      <c r="E20" s="4" t="s">
        <v>832</v>
      </c>
      <c r="F20" s="4"/>
      <c r="G20" s="4"/>
    </row>
    <row r="21" ht="16" customHeight="1" s="4" customFormat="1">
      <c r="A21" s="4" t="s">
        <v>828</v>
      </c>
      <c r="B21" s="4" t="s">
        <v>833</v>
      </c>
      <c r="C21" s="4" t="s">
        <v>852</v>
      </c>
      <c r="D21" s="4" t="s">
        <v>831</v>
      </c>
      <c r="E21" s="4" t="s">
        <v>832</v>
      </c>
      <c r="F21" s="4"/>
      <c r="G21" s="4"/>
    </row>
    <row r="22" ht="16" customHeight="1" s="4" customFormat="1">
      <c r="A22" s="4" t="s">
        <v>828</v>
      </c>
      <c r="B22" s="4" t="s">
        <v>833</v>
      </c>
      <c r="C22" s="4" t="s">
        <v>853</v>
      </c>
      <c r="D22" s="4" t="s">
        <v>831</v>
      </c>
      <c r="E22" s="4" t="s">
        <v>832</v>
      </c>
      <c r="F22" s="4"/>
      <c r="G22" s="4"/>
    </row>
    <row r="23" ht="16" customHeight="1" s="4" customFormat="1">
      <c r="A23" s="4" t="s">
        <v>828</v>
      </c>
      <c r="B23" s="4" t="s">
        <v>833</v>
      </c>
      <c r="C23" s="4" t="s">
        <v>854</v>
      </c>
      <c r="D23" s="4" t="s">
        <v>831</v>
      </c>
      <c r="E23" s="4" t="s">
        <v>832</v>
      </c>
      <c r="F23" s="4"/>
      <c r="G23" s="4"/>
    </row>
    <row r="24" ht="16" customHeight="1" s="4" customFormat="1">
      <c r="A24" s="4" t="s">
        <v>828</v>
      </c>
      <c r="B24" s="4" t="s">
        <v>833</v>
      </c>
      <c r="C24" s="4" t="s">
        <v>855</v>
      </c>
      <c r="D24" s="4" t="s">
        <v>831</v>
      </c>
      <c r="E24" s="4" t="s">
        <v>832</v>
      </c>
      <c r="F24" s="4"/>
      <c r="G24" s="4"/>
    </row>
    <row r="25" ht="16" customHeight="1" s="4" customFormat="1">
      <c r="A25" s="4" t="s">
        <v>828</v>
      </c>
      <c r="B25" s="4" t="s">
        <v>833</v>
      </c>
      <c r="C25" s="4" t="s">
        <v>856</v>
      </c>
      <c r="D25" s="4" t="s">
        <v>831</v>
      </c>
      <c r="E25" s="4" t="s">
        <v>832</v>
      </c>
      <c r="F25" s="4"/>
      <c r="G25" s="4"/>
    </row>
    <row r="26" ht="16" customHeight="1" s="4" customFormat="1">
      <c r="A26" s="4" t="s">
        <v>828</v>
      </c>
      <c r="B26" s="4" t="s">
        <v>833</v>
      </c>
      <c r="C26" s="4" t="s">
        <v>857</v>
      </c>
      <c r="D26" s="4" t="s">
        <v>831</v>
      </c>
      <c r="E26" s="4" t="s">
        <v>832</v>
      </c>
      <c r="F26" s="4"/>
      <c r="G26" s="4"/>
    </row>
    <row r="27" ht="16" customHeight="1" s="4" customFormat="1">
      <c r="A27" s="4" t="s">
        <v>828</v>
      </c>
      <c r="B27" s="4" t="s">
        <v>829</v>
      </c>
      <c r="C27" s="4" t="s">
        <v>858</v>
      </c>
      <c r="D27" s="4" t="s">
        <v>831</v>
      </c>
      <c r="E27" s="4" t="s">
        <v>832</v>
      </c>
      <c r="F27" s="4"/>
      <c r="G27" s="4"/>
    </row>
    <row r="28" ht="16" customHeight="1" s="4" customFormat="1">
      <c r="A28" s="4" t="s">
        <v>828</v>
      </c>
      <c r="B28" s="4" t="s">
        <v>833</v>
      </c>
      <c r="C28" s="4" t="s">
        <v>859</v>
      </c>
      <c r="D28" s="4" t="s">
        <v>831</v>
      </c>
      <c r="E28" s="4" t="s">
        <v>832</v>
      </c>
      <c r="F28" s="4"/>
      <c r="G28" s="4"/>
    </row>
    <row r="29" ht="16" customHeight="1" s="4" customFormat="1">
      <c r="A29" s="4" t="s">
        <v>828</v>
      </c>
      <c r="B29" s="4" t="s">
        <v>833</v>
      </c>
      <c r="C29" s="4" t="s">
        <v>860</v>
      </c>
      <c r="D29" s="4" t="s">
        <v>831</v>
      </c>
      <c r="E29" s="4" t="s">
        <v>832</v>
      </c>
      <c r="F29" s="4"/>
      <c r="G29" s="4"/>
    </row>
    <row r="30" ht="16" customHeight="1" s="4" customFormat="1">
      <c r="A30" s="4" t="s">
        <v>828</v>
      </c>
      <c r="B30" s="4" t="s">
        <v>833</v>
      </c>
      <c r="C30" s="4" t="s">
        <v>861</v>
      </c>
      <c r="D30" s="4" t="s">
        <v>831</v>
      </c>
      <c r="E30" s="4" t="s">
        <v>832</v>
      </c>
      <c r="F30" s="4"/>
      <c r="G30" s="4"/>
    </row>
    <row r="31" ht="16" customHeight="1" s="4" customFormat="1">
      <c r="A31" s="4" t="s">
        <v>828</v>
      </c>
      <c r="B31" s="4" t="s">
        <v>833</v>
      </c>
      <c r="C31" s="4" t="s">
        <v>862</v>
      </c>
      <c r="D31" s="4" t="s">
        <v>831</v>
      </c>
      <c r="E31" s="4" t="s">
        <v>832</v>
      </c>
      <c r="F31" s="4"/>
      <c r="G31" s="4"/>
    </row>
    <row r="32" ht="16" customHeight="1" s="4" customFormat="1">
      <c r="A32" s="4" t="s">
        <v>828</v>
      </c>
      <c r="B32" s="4" t="s">
        <v>833</v>
      </c>
      <c r="C32" s="4" t="s">
        <v>863</v>
      </c>
      <c r="D32" s="4" t="s">
        <v>831</v>
      </c>
      <c r="E32" s="4" t="s">
        <v>832</v>
      </c>
      <c r="F32" s="4"/>
      <c r="G32" s="4"/>
    </row>
    <row r="33" ht="16" customHeight="1" s="4" customFormat="1">
      <c r="A33" s="4" t="s">
        <v>828</v>
      </c>
      <c r="B33" s="4" t="s">
        <v>829</v>
      </c>
      <c r="C33" s="4" t="s">
        <v>864</v>
      </c>
      <c r="D33" s="4" t="s">
        <v>831</v>
      </c>
      <c r="E33" s="4" t="s">
        <v>832</v>
      </c>
      <c r="F33" s="4"/>
      <c r="G33" s="4"/>
    </row>
    <row r="34" ht="16" customHeight="1" s="4" customFormat="1">
      <c r="A34" s="4" t="s">
        <v>828</v>
      </c>
      <c r="B34" s="4" t="s">
        <v>833</v>
      </c>
      <c r="C34" s="4" t="s">
        <v>865</v>
      </c>
      <c r="D34" s="4" t="s">
        <v>831</v>
      </c>
      <c r="E34" s="4" t="s">
        <v>832</v>
      </c>
      <c r="F34" s="4"/>
      <c r="G34" s="4"/>
    </row>
    <row r="35" ht="16" customHeight="1" s="4" customFormat="1">
      <c r="A35" s="4" t="s">
        <v>828</v>
      </c>
      <c r="B35" s="4" t="s">
        <v>833</v>
      </c>
      <c r="C35" s="4" t="s">
        <v>866</v>
      </c>
      <c r="D35" s="4" t="s">
        <v>831</v>
      </c>
      <c r="E35" s="4" t="s">
        <v>832</v>
      </c>
      <c r="F35" s="4"/>
      <c r="G35" s="4"/>
    </row>
    <row r="36" ht="16" customHeight="1" s="4" customFormat="1">
      <c r="A36" s="4" t="s">
        <v>828</v>
      </c>
      <c r="B36" s="4" t="s">
        <v>833</v>
      </c>
      <c r="C36" s="4" t="s">
        <v>867</v>
      </c>
      <c r="D36" s="4" t="s">
        <v>831</v>
      </c>
      <c r="E36" s="4" t="s">
        <v>832</v>
      </c>
      <c r="F36" s="4"/>
      <c r="G36" s="4"/>
    </row>
    <row r="37" ht="16" customHeight="1" s="4" customFormat="1">
      <c r="A37" s="4" t="s">
        <v>828</v>
      </c>
      <c r="B37" s="4" t="s">
        <v>833</v>
      </c>
      <c r="C37" s="4" t="s">
        <v>868</v>
      </c>
      <c r="D37" s="4" t="s">
        <v>831</v>
      </c>
      <c r="E37" s="4" t="s">
        <v>832</v>
      </c>
      <c r="F37" s="4"/>
      <c r="G37" s="4"/>
    </row>
    <row r="38" ht="16" customHeight="1" s="4" customFormat="1">
      <c r="A38" s="4" t="s">
        <v>828</v>
      </c>
      <c r="B38" s="4" t="s">
        <v>829</v>
      </c>
      <c r="C38" s="4" t="s">
        <v>869</v>
      </c>
      <c r="D38" s="4" t="s">
        <v>831</v>
      </c>
      <c r="E38" s="4" t="s">
        <v>832</v>
      </c>
      <c r="F38" s="4"/>
      <c r="G38" s="4"/>
    </row>
    <row r="39" ht="16" customHeight="1" s="4" customFormat="1">
      <c r="A39" s="4" t="s">
        <v>828</v>
      </c>
      <c r="B39" s="4" t="s">
        <v>829</v>
      </c>
      <c r="C39" s="4" t="s">
        <v>870</v>
      </c>
      <c r="D39" s="4" t="s">
        <v>831</v>
      </c>
      <c r="E39" s="4" t="s">
        <v>832</v>
      </c>
      <c r="F39" s="4"/>
      <c r="G39" s="4"/>
    </row>
    <row r="40" ht="16" customHeight="1" s="4" customFormat="1">
      <c r="A40" s="4" t="s">
        <v>828</v>
      </c>
      <c r="B40" s="4" t="s">
        <v>871</v>
      </c>
      <c r="C40" s="4" t="s">
        <v>872</v>
      </c>
      <c r="D40" s="4" t="s">
        <v>831</v>
      </c>
      <c r="E40" s="4" t="s">
        <v>832</v>
      </c>
      <c r="F40" s="4"/>
      <c r="G40" s="4"/>
    </row>
    <row r="41" ht="16" customHeight="1" s="4" customFormat="1">
      <c r="A41" s="4" t="s">
        <v>828</v>
      </c>
      <c r="B41" s="4" t="s">
        <v>871</v>
      </c>
      <c r="C41" s="4" t="s">
        <v>873</v>
      </c>
      <c r="D41" s="4" t="s">
        <v>831</v>
      </c>
      <c r="E41" s="4" t="s">
        <v>832</v>
      </c>
      <c r="F41" s="4"/>
      <c r="G41" s="4"/>
    </row>
    <row r="42" ht="16" customHeight="1" s="4" customFormat="1">
      <c r="A42" s="4" t="s">
        <v>828</v>
      </c>
      <c r="B42" s="4" t="s">
        <v>871</v>
      </c>
      <c r="C42" s="4" t="s">
        <v>874</v>
      </c>
      <c r="D42" s="4" t="s">
        <v>831</v>
      </c>
      <c r="E42" s="4" t="s">
        <v>832</v>
      </c>
      <c r="F42" s="4"/>
      <c r="G42" s="4"/>
    </row>
    <row r="43" ht="16" customHeight="1" s="4" customFormat="1">
      <c r="A43" s="4" t="s">
        <v>828</v>
      </c>
      <c r="B43" s="4" t="s">
        <v>871</v>
      </c>
      <c r="C43" s="4" t="s">
        <v>875</v>
      </c>
      <c r="D43" s="4" t="s">
        <v>831</v>
      </c>
      <c r="E43" s="4" t="s">
        <v>832</v>
      </c>
      <c r="F43" s="4"/>
      <c r="G43" s="4"/>
    </row>
    <row r="44" ht="16" customHeight="1" s="4" customFormat="1">
      <c r="A44" s="4" t="s">
        <v>828</v>
      </c>
      <c r="B44" s="4" t="s">
        <v>829</v>
      </c>
      <c r="C44" s="4" t="s">
        <v>876</v>
      </c>
      <c r="D44" s="4" t="s">
        <v>831</v>
      </c>
      <c r="E44" s="4" t="s">
        <v>832</v>
      </c>
      <c r="F44" s="4"/>
      <c r="G44" s="4"/>
    </row>
    <row r="45" ht="16" customHeight="1" s="4" customFormat="1">
      <c r="A45" s="4" t="s">
        <v>828</v>
      </c>
      <c r="B45" s="4" t="s">
        <v>829</v>
      </c>
      <c r="C45" s="4" t="s">
        <v>877</v>
      </c>
      <c r="D45" s="4" t="s">
        <v>831</v>
      </c>
      <c r="E45" s="4" t="s">
        <v>832</v>
      </c>
      <c r="F45" s="4"/>
      <c r="G45" s="4"/>
    </row>
    <row r="46" ht="16" customHeight="1" s="4" customFormat="1">
      <c r="A46" s="4" t="s">
        <v>828</v>
      </c>
      <c r="B46" s="4" t="s">
        <v>871</v>
      </c>
      <c r="C46" s="4" t="s">
        <v>878</v>
      </c>
      <c r="D46" s="4" t="s">
        <v>831</v>
      </c>
      <c r="E46" s="4" t="s">
        <v>832</v>
      </c>
      <c r="F46" s="4"/>
      <c r="G46" s="4"/>
    </row>
    <row r="47" ht="16" customHeight="1" s="4" customFormat="1">
      <c r="A47" s="4" t="s">
        <v>828</v>
      </c>
      <c r="B47" s="4" t="s">
        <v>871</v>
      </c>
      <c r="C47" s="4" t="s">
        <v>879</v>
      </c>
      <c r="D47" s="4" t="s">
        <v>831</v>
      </c>
      <c r="E47" s="4" t="s">
        <v>832</v>
      </c>
      <c r="F47" s="4"/>
      <c r="G47" s="4"/>
    </row>
    <row r="48" ht="16" customHeight="1" s="4" customFormat="1">
      <c r="A48" s="4" t="s">
        <v>828</v>
      </c>
      <c r="B48" s="4" t="s">
        <v>871</v>
      </c>
      <c r="C48" s="4" t="s">
        <v>880</v>
      </c>
      <c r="D48" s="4" t="s">
        <v>831</v>
      </c>
      <c r="E48" s="4" t="s">
        <v>832</v>
      </c>
      <c r="F48" s="4"/>
      <c r="G48" s="4"/>
    </row>
    <row r="49" ht="16" customHeight="1" s="4" customFormat="1">
      <c r="A49" s="4" t="s">
        <v>828</v>
      </c>
      <c r="B49" s="4" t="s">
        <v>871</v>
      </c>
      <c r="C49" s="4" t="s">
        <v>881</v>
      </c>
      <c r="D49" s="4" t="s">
        <v>831</v>
      </c>
      <c r="E49" s="4" t="s">
        <v>832</v>
      </c>
      <c r="F49" s="4"/>
      <c r="G49" s="4"/>
    </row>
    <row r="50" ht="16" customHeight="1" s="4" customFormat="1">
      <c r="A50" s="4" t="s">
        <v>828</v>
      </c>
      <c r="B50" s="4" t="s">
        <v>871</v>
      </c>
      <c r="C50" s="4" t="s">
        <v>882</v>
      </c>
      <c r="D50" s="4" t="s">
        <v>831</v>
      </c>
      <c r="E50" s="4" t="s">
        <v>832</v>
      </c>
      <c r="F50" s="4"/>
      <c r="G50" s="4"/>
    </row>
    <row r="51" ht="16" customHeight="1" s="4" customFormat="1">
      <c r="A51" s="4" t="s">
        <v>828</v>
      </c>
      <c r="B51" s="4" t="s">
        <v>829</v>
      </c>
      <c r="C51" s="4" t="s">
        <v>883</v>
      </c>
      <c r="D51" s="4" t="s">
        <v>831</v>
      </c>
      <c r="E51" s="4" t="s">
        <v>832</v>
      </c>
      <c r="F51" s="4"/>
      <c r="G51" s="4"/>
    </row>
    <row r="52" ht="16" customHeight="1" s="4" customFormat="1">
      <c r="A52" s="4" t="s">
        <v>828</v>
      </c>
      <c r="B52" s="4" t="s">
        <v>829</v>
      </c>
      <c r="C52" s="4" t="s">
        <v>884</v>
      </c>
      <c r="D52" s="4" t="s">
        <v>831</v>
      </c>
      <c r="E52" s="4" t="s">
        <v>832</v>
      </c>
      <c r="F52" s="4"/>
      <c r="G52" s="4"/>
    </row>
    <row r="53" ht="16" customHeight="1" s="4" customFormat="1">
      <c r="A53" s="4" t="s">
        <v>828</v>
      </c>
      <c r="B53" s="4" t="s">
        <v>871</v>
      </c>
      <c r="C53" s="4" t="s">
        <v>885</v>
      </c>
      <c r="D53" s="4" t="s">
        <v>831</v>
      </c>
      <c r="E53" s="4" t="s">
        <v>832</v>
      </c>
      <c r="F53" s="4"/>
      <c r="G53" s="4"/>
    </row>
    <row r="54" ht="16" customHeight="1" s="4" customFormat="1">
      <c r="A54" s="4" t="s">
        <v>828</v>
      </c>
      <c r="B54" s="4" t="s">
        <v>871</v>
      </c>
      <c r="C54" s="4" t="s">
        <v>886</v>
      </c>
      <c r="D54" s="4" t="s">
        <v>831</v>
      </c>
      <c r="E54" s="4" t="s">
        <v>832</v>
      </c>
      <c r="F54" s="4"/>
      <c r="G54" s="4"/>
    </row>
    <row r="55" ht="16" customHeight="1" s="4" customFormat="1">
      <c r="A55" s="4" t="s">
        <v>828</v>
      </c>
      <c r="B55" s="4" t="s">
        <v>871</v>
      </c>
      <c r="C55" s="4" t="s">
        <v>887</v>
      </c>
      <c r="D55" s="4" t="s">
        <v>831</v>
      </c>
      <c r="E55" s="4" t="s">
        <v>832</v>
      </c>
      <c r="F55" s="4"/>
      <c r="G55" s="4"/>
    </row>
    <row r="56" ht="16" customHeight="1" s="4" customFormat="1">
      <c r="A56" s="4" t="s">
        <v>828</v>
      </c>
      <c r="B56" s="4" t="s">
        <v>829</v>
      </c>
      <c r="C56" s="4" t="s">
        <v>888</v>
      </c>
      <c r="D56" s="4" t="s">
        <v>831</v>
      </c>
      <c r="E56" s="4" t="s">
        <v>832</v>
      </c>
      <c r="F56" s="4"/>
      <c r="G56" s="4"/>
    </row>
    <row r="57" ht="16" customHeight="1" s="4" customFormat="1">
      <c r="A57" s="4" t="s">
        <v>828</v>
      </c>
      <c r="B57" s="4" t="s">
        <v>829</v>
      </c>
      <c r="C57" s="4" t="s">
        <v>889</v>
      </c>
      <c r="D57" s="4" t="s">
        <v>831</v>
      </c>
      <c r="E57" s="4" t="s">
        <v>832</v>
      </c>
      <c r="F57" s="4"/>
      <c r="G57" s="4"/>
    </row>
    <row r="58" ht="16" customHeight="1" s="4" customFormat="1">
      <c r="A58" s="4" t="s">
        <v>828</v>
      </c>
      <c r="B58" s="4" t="s">
        <v>829</v>
      </c>
      <c r="C58" s="4" t="s">
        <v>890</v>
      </c>
      <c r="D58" s="4" t="s">
        <v>831</v>
      </c>
      <c r="E58" s="4" t="s">
        <v>832</v>
      </c>
      <c r="F58" s="4"/>
      <c r="G58" s="4"/>
    </row>
    <row r="59" ht="16" customHeight="1" s="4" customFormat="1">
      <c r="A59" s="4" t="s">
        <v>828</v>
      </c>
      <c r="B59" s="4" t="s">
        <v>829</v>
      </c>
      <c r="C59" s="4" t="s">
        <v>891</v>
      </c>
      <c r="D59" s="4" t="s">
        <v>831</v>
      </c>
      <c r="E59" s="4" t="s">
        <v>832</v>
      </c>
      <c r="F59" s="4"/>
      <c r="G59" s="4"/>
    </row>
    <row r="60" ht="16" customHeight="1" s="4" customFormat="1">
      <c r="A60" s="4" t="s">
        <v>828</v>
      </c>
      <c r="B60" s="4" t="s">
        <v>871</v>
      </c>
      <c r="C60" s="4" t="s">
        <v>892</v>
      </c>
      <c r="D60" s="4" t="s">
        <v>831</v>
      </c>
      <c r="E60" s="4" t="s">
        <v>832</v>
      </c>
      <c r="F60" s="4"/>
      <c r="G60" s="4"/>
    </row>
    <row r="61" ht="16" customHeight="1" s="4" customFormat="1">
      <c r="A61" s="4" t="s">
        <v>828</v>
      </c>
      <c r="B61" s="4" t="s">
        <v>871</v>
      </c>
      <c r="C61" s="4" t="s">
        <v>893</v>
      </c>
      <c r="D61" s="4" t="s">
        <v>831</v>
      </c>
      <c r="E61" s="4" t="s">
        <v>832</v>
      </c>
      <c r="F61" s="4"/>
      <c r="G61" s="4"/>
    </row>
    <row r="62" ht="16" customHeight="1" s="4" customFormat="1">
      <c r="A62" s="4" t="s">
        <v>828</v>
      </c>
      <c r="B62" s="4" t="s">
        <v>871</v>
      </c>
      <c r="C62" s="4" t="s">
        <v>894</v>
      </c>
      <c r="D62" s="4" t="s">
        <v>831</v>
      </c>
      <c r="E62" s="4" t="s">
        <v>832</v>
      </c>
      <c r="F62" s="4"/>
      <c r="G62" s="4"/>
    </row>
    <row r="63" ht="16" customHeight="1" s="4" customFormat="1">
      <c r="A63" s="4" t="s">
        <v>828</v>
      </c>
      <c r="B63" s="4" t="s">
        <v>871</v>
      </c>
      <c r="C63" s="4" t="s">
        <v>895</v>
      </c>
      <c r="D63" s="4" t="s">
        <v>831</v>
      </c>
      <c r="E63" s="4" t="s">
        <v>832</v>
      </c>
      <c r="F63" s="4"/>
      <c r="G63" s="4"/>
    </row>
    <row r="64" ht="16" customHeight="1" s="4" customFormat="1">
      <c r="A64" s="4" t="s">
        <v>828</v>
      </c>
      <c r="B64" s="4" t="s">
        <v>871</v>
      </c>
      <c r="C64" s="4" t="s">
        <v>896</v>
      </c>
      <c r="D64" s="4" t="s">
        <v>831</v>
      </c>
      <c r="E64" s="4" t="s">
        <v>832</v>
      </c>
      <c r="F64" s="4"/>
      <c r="G64" s="4"/>
    </row>
    <row r="65" ht="16" customHeight="1" s="4" customFormat="1">
      <c r="A65" s="4" t="s">
        <v>828</v>
      </c>
      <c r="B65" s="4" t="s">
        <v>871</v>
      </c>
      <c r="C65" s="4" t="s">
        <v>897</v>
      </c>
      <c r="D65" s="4" t="s">
        <v>831</v>
      </c>
      <c r="E65" s="4" t="s">
        <v>832</v>
      </c>
      <c r="F65" s="4"/>
      <c r="G65" s="4"/>
    </row>
    <row r="66" ht="16" customHeight="1" s="4" customFormat="1">
      <c r="A66" s="4" t="s">
        <v>828</v>
      </c>
      <c r="B66" s="4" t="s">
        <v>871</v>
      </c>
      <c r="C66" s="4" t="s">
        <v>898</v>
      </c>
      <c r="D66" s="4" t="s">
        <v>831</v>
      </c>
      <c r="E66" s="4" t="s">
        <v>832</v>
      </c>
      <c r="F66" s="4"/>
      <c r="G66" s="4"/>
    </row>
    <row r="67" ht="16" customHeight="1" s="4" customFormat="1">
      <c r="A67" s="4" t="s">
        <v>828</v>
      </c>
      <c r="B67" s="4" t="s">
        <v>871</v>
      </c>
      <c r="C67" s="4" t="s">
        <v>899</v>
      </c>
      <c r="D67" s="4" t="s">
        <v>831</v>
      </c>
      <c r="E67" s="4" t="s">
        <v>832</v>
      </c>
      <c r="F67" s="4"/>
      <c r="G67" s="4"/>
    </row>
    <row r="68" ht="16" customHeight="1" s="4" customFormat="1">
      <c r="A68" s="4" t="s">
        <v>828</v>
      </c>
      <c r="B68" s="4" t="s">
        <v>871</v>
      </c>
      <c r="C68" s="4" t="s">
        <v>900</v>
      </c>
      <c r="D68" s="4" t="s">
        <v>831</v>
      </c>
      <c r="E68" s="4" t="s">
        <v>832</v>
      </c>
      <c r="F68" s="4"/>
      <c r="G68" s="4"/>
    </row>
    <row r="69" ht="16" customHeight="1" s="4" customFormat="1">
      <c r="A69" s="4" t="s">
        <v>828</v>
      </c>
      <c r="B69" s="4" t="s">
        <v>871</v>
      </c>
      <c r="C69" s="4" t="s">
        <v>901</v>
      </c>
      <c r="D69" s="4" t="s">
        <v>831</v>
      </c>
      <c r="E69" s="4" t="s">
        <v>832</v>
      </c>
      <c r="F69" s="4"/>
      <c r="G69" s="4"/>
    </row>
    <row r="70" ht="16" customHeight="1" s="4" customFormat="1">
      <c r="A70" s="4" t="s">
        <v>828</v>
      </c>
      <c r="B70" s="4" t="s">
        <v>871</v>
      </c>
      <c r="C70" s="4" t="s">
        <v>902</v>
      </c>
      <c r="D70" s="4" t="s">
        <v>831</v>
      </c>
      <c r="E70" s="4" t="s">
        <v>832</v>
      </c>
      <c r="F70" s="4"/>
      <c r="G70" s="4"/>
    </row>
    <row r="71" ht="16" customHeight="1" s="4" customFormat="1">
      <c r="A71" s="4" t="s">
        <v>828</v>
      </c>
      <c r="B71" s="4" t="s">
        <v>871</v>
      </c>
      <c r="C71" s="4" t="s">
        <v>903</v>
      </c>
      <c r="D71" s="4" t="s">
        <v>831</v>
      </c>
      <c r="E71" s="4" t="s">
        <v>832</v>
      </c>
      <c r="F71" s="4"/>
      <c r="G71" s="4"/>
    </row>
    <row r="72" ht="16" customHeight="1" s="4" customFormat="1">
      <c r="A72" s="4" t="s">
        <v>828</v>
      </c>
      <c r="B72" s="4" t="s">
        <v>871</v>
      </c>
      <c r="C72" s="4" t="s">
        <v>904</v>
      </c>
      <c r="D72" s="4" t="s">
        <v>831</v>
      </c>
      <c r="E72" s="4" t="s">
        <v>832</v>
      </c>
      <c r="F72" s="4"/>
      <c r="G72" s="4"/>
    </row>
    <row r="73" ht="16" customHeight="1" s="4" customFormat="1">
      <c r="A73" s="4" t="s">
        <v>828</v>
      </c>
      <c r="B73" s="4" t="s">
        <v>871</v>
      </c>
      <c r="C73" s="4" t="s">
        <v>905</v>
      </c>
      <c r="D73" s="4" t="s">
        <v>831</v>
      </c>
      <c r="E73" s="4" t="s">
        <v>832</v>
      </c>
      <c r="F73" s="4"/>
      <c r="G73" s="4"/>
    </row>
    <row r="74" ht="16" customHeight="1" s="4" customFormat="1">
      <c r="A74" s="4" t="s">
        <v>828</v>
      </c>
      <c r="B74" s="4" t="s">
        <v>871</v>
      </c>
      <c r="C74" s="4" t="s">
        <v>906</v>
      </c>
      <c r="D74" s="4" t="s">
        <v>831</v>
      </c>
      <c r="E74" s="4" t="s">
        <v>832</v>
      </c>
      <c r="F74" s="4"/>
      <c r="G74" s="4"/>
    </row>
    <row r="75" ht="16" customHeight="1" s="4" customFormat="1">
      <c r="A75" s="4" t="s">
        <v>828</v>
      </c>
      <c r="B75" s="4" t="s">
        <v>871</v>
      </c>
      <c r="C75" s="4" t="s">
        <v>907</v>
      </c>
      <c r="D75" s="4" t="s">
        <v>831</v>
      </c>
      <c r="E75" s="4" t="s">
        <v>832</v>
      </c>
      <c r="F75" s="4"/>
      <c r="G75" s="4"/>
    </row>
    <row r="76" ht="16" customHeight="1" s="4" customFormat="1">
      <c r="A76" s="4" t="s">
        <v>828</v>
      </c>
      <c r="B76" s="4" t="s">
        <v>871</v>
      </c>
      <c r="C76" s="4" t="s">
        <v>908</v>
      </c>
      <c r="D76" s="4" t="s">
        <v>831</v>
      </c>
      <c r="E76" s="4" t="s">
        <v>832</v>
      </c>
      <c r="F76" s="4"/>
      <c r="G76" s="4"/>
    </row>
    <row r="77" ht="16" customHeight="1" s="4" customFormat="1">
      <c r="A77" s="4" t="s">
        <v>828</v>
      </c>
      <c r="B77" s="4" t="s">
        <v>829</v>
      </c>
      <c r="C77" s="4" t="s">
        <v>909</v>
      </c>
      <c r="D77" s="4" t="s">
        <v>831</v>
      </c>
      <c r="E77" s="4" t="s">
        <v>832</v>
      </c>
      <c r="F77" s="4"/>
      <c r="G77" s="4"/>
    </row>
    <row r="78" ht="16" customHeight="1" s="4" customFormat="1">
      <c r="A78" s="4" t="s">
        <v>828</v>
      </c>
      <c r="B78" s="4" t="s">
        <v>829</v>
      </c>
      <c r="C78" s="4" t="s">
        <v>910</v>
      </c>
      <c r="D78" s="4" t="s">
        <v>831</v>
      </c>
      <c r="E78" s="4" t="s">
        <v>832</v>
      </c>
      <c r="F78" s="4"/>
      <c r="G78" s="4"/>
    </row>
    <row r="79" ht="16" customHeight="1" s="4" customFormat="1">
      <c r="A79" s="4" t="s">
        <v>828</v>
      </c>
      <c r="B79" s="4" t="s">
        <v>871</v>
      </c>
      <c r="C79" s="4" t="s">
        <v>911</v>
      </c>
      <c r="D79" s="4" t="s">
        <v>831</v>
      </c>
      <c r="E79" s="4" t="s">
        <v>832</v>
      </c>
      <c r="F79" s="4"/>
      <c r="G79" s="4"/>
    </row>
    <row r="80" ht="16" customHeight="1" s="4" customFormat="1">
      <c r="A80" s="4" t="s">
        <v>828</v>
      </c>
      <c r="B80" s="4" t="s">
        <v>871</v>
      </c>
      <c r="C80" s="4" t="s">
        <v>912</v>
      </c>
      <c r="D80" s="4" t="s">
        <v>831</v>
      </c>
      <c r="E80" s="4" t="s">
        <v>832</v>
      </c>
      <c r="F80" s="4"/>
      <c r="G80" s="4"/>
    </row>
    <row r="81" ht="16" customHeight="1" s="4" customFormat="1">
      <c r="A81" s="4" t="s">
        <v>828</v>
      </c>
      <c r="B81" s="4" t="s">
        <v>871</v>
      </c>
      <c r="C81" s="4" t="s">
        <v>913</v>
      </c>
      <c r="D81" s="4" t="s">
        <v>831</v>
      </c>
      <c r="E81" s="4" t="s">
        <v>832</v>
      </c>
      <c r="F81" s="4"/>
      <c r="G81" s="4"/>
    </row>
    <row r="82" ht="16" customHeight="1" s="4" customFormat="1">
      <c r="A82" s="4" t="s">
        <v>828</v>
      </c>
      <c r="B82" s="4" t="s">
        <v>871</v>
      </c>
      <c r="C82" s="4" t="s">
        <v>914</v>
      </c>
      <c r="D82" s="4" t="s">
        <v>831</v>
      </c>
      <c r="E82" s="4" t="s">
        <v>832</v>
      </c>
      <c r="F82" s="4"/>
      <c r="G82" s="4"/>
    </row>
    <row r="83" ht="16" customHeight="1" s="4" customFormat="1">
      <c r="A83" s="4" t="s">
        <v>828</v>
      </c>
      <c r="B83" s="4" t="s">
        <v>829</v>
      </c>
      <c r="C83" s="4" t="s">
        <v>915</v>
      </c>
      <c r="D83" s="4" t="s">
        <v>831</v>
      </c>
      <c r="E83" s="4" t="s">
        <v>832</v>
      </c>
      <c r="F83" s="4"/>
      <c r="G83" s="4"/>
    </row>
    <row r="84" ht="16" customHeight="1" s="4" customFormat="1">
      <c r="A84" s="4" t="s">
        <v>828</v>
      </c>
      <c r="B84" s="4" t="s">
        <v>829</v>
      </c>
      <c r="C84" s="4" t="s">
        <v>916</v>
      </c>
      <c r="D84" s="4" t="s">
        <v>831</v>
      </c>
      <c r="E84" s="4" t="s">
        <v>832</v>
      </c>
      <c r="F84" s="4"/>
      <c r="G84" s="4"/>
    </row>
    <row r="85" ht="16" customHeight="1" s="4" customFormat="1">
      <c r="A85" s="4" t="s">
        <v>828</v>
      </c>
      <c r="B85" s="4" t="s">
        <v>871</v>
      </c>
      <c r="C85" s="4" t="s">
        <v>917</v>
      </c>
      <c r="D85" s="4" t="s">
        <v>831</v>
      </c>
      <c r="E85" s="4" t="s">
        <v>832</v>
      </c>
      <c r="F85" s="4"/>
      <c r="G85" s="4"/>
    </row>
    <row r="86" ht="16" customHeight="1" s="4" customFormat="1">
      <c r="A86" s="4" t="s">
        <v>828</v>
      </c>
      <c r="B86" s="4" t="s">
        <v>871</v>
      </c>
      <c r="C86" s="4" t="s">
        <v>918</v>
      </c>
      <c r="D86" s="4" t="s">
        <v>831</v>
      </c>
      <c r="E86" s="4" t="s">
        <v>832</v>
      </c>
      <c r="F86" s="4"/>
      <c r="G86" s="4"/>
    </row>
    <row r="87" ht="16" customHeight="1" s="4" customFormat="1">
      <c r="A87" s="4" t="s">
        <v>828</v>
      </c>
      <c r="B87" s="4" t="s">
        <v>871</v>
      </c>
      <c r="C87" s="4" t="s">
        <v>919</v>
      </c>
      <c r="D87" s="4" t="s">
        <v>831</v>
      </c>
      <c r="E87" s="4" t="s">
        <v>832</v>
      </c>
      <c r="F87" s="4"/>
      <c r="G87" s="4"/>
    </row>
    <row r="88" ht="16" customHeight="1" s="4" customFormat="1">
      <c r="A88" s="4" t="s">
        <v>828</v>
      </c>
      <c r="B88" s="4" t="s">
        <v>871</v>
      </c>
      <c r="C88" s="4" t="s">
        <v>920</v>
      </c>
      <c r="D88" s="4" t="s">
        <v>831</v>
      </c>
      <c r="E88" s="4" t="s">
        <v>832</v>
      </c>
      <c r="F88" s="4"/>
      <c r="G88" s="4"/>
    </row>
    <row r="89" ht="16" customHeight="1" s="4" customFormat="1">
      <c r="A89" s="4" t="s">
        <v>828</v>
      </c>
      <c r="B89" s="4" t="s">
        <v>871</v>
      </c>
      <c r="C89" s="4" t="s">
        <v>921</v>
      </c>
      <c r="D89" s="4" t="s">
        <v>831</v>
      </c>
      <c r="E89" s="4" t="s">
        <v>832</v>
      </c>
      <c r="F89" s="4"/>
      <c r="G89" s="4"/>
    </row>
    <row r="90" ht="16" customHeight="1" s="4" customFormat="1">
      <c r="A90" s="4" t="s">
        <v>828</v>
      </c>
      <c r="B90" s="4" t="s">
        <v>871</v>
      </c>
      <c r="C90" s="4" t="s">
        <v>922</v>
      </c>
      <c r="D90" s="4" t="s">
        <v>831</v>
      </c>
      <c r="E90" s="4" t="s">
        <v>832</v>
      </c>
      <c r="F90" s="4"/>
      <c r="G90" s="4"/>
    </row>
    <row r="91" ht="16" customHeight="1" s="4" customFormat="1">
      <c r="A91" s="4" t="s">
        <v>828</v>
      </c>
      <c r="B91" s="4" t="s">
        <v>871</v>
      </c>
      <c r="C91" s="4" t="s">
        <v>923</v>
      </c>
      <c r="D91" s="4" t="s">
        <v>831</v>
      </c>
      <c r="E91" s="4" t="s">
        <v>832</v>
      </c>
      <c r="F91" s="4"/>
      <c r="G91" s="4"/>
    </row>
    <row r="92" ht="16" customHeight="1" s="4" customFormat="1">
      <c r="A92" s="4" t="s">
        <v>828</v>
      </c>
      <c r="B92" s="4" t="s">
        <v>829</v>
      </c>
      <c r="C92" s="4" t="s">
        <v>924</v>
      </c>
      <c r="D92" s="4" t="s">
        <v>831</v>
      </c>
      <c r="E92" s="4" t="s">
        <v>832</v>
      </c>
      <c r="F92" s="4"/>
      <c r="G92" s="4"/>
    </row>
    <row r="93" ht="16" customHeight="1" s="4" customFormat="1">
      <c r="A93" s="4" t="s">
        <v>828</v>
      </c>
      <c r="B93" s="4" t="s">
        <v>829</v>
      </c>
      <c r="C93" s="4" t="s">
        <v>925</v>
      </c>
      <c r="D93" s="4" t="s">
        <v>831</v>
      </c>
      <c r="E93" s="4" t="s">
        <v>832</v>
      </c>
      <c r="F93" s="4"/>
      <c r="G93" s="4"/>
    </row>
    <row r="94" ht="16" customHeight="1" s="4" customFormat="1">
      <c r="A94" s="4" t="s">
        <v>828</v>
      </c>
      <c r="B94" s="4" t="s">
        <v>871</v>
      </c>
      <c r="C94" s="4" t="s">
        <v>926</v>
      </c>
      <c r="D94" s="4" t="s">
        <v>831</v>
      </c>
      <c r="E94" s="4" t="s">
        <v>832</v>
      </c>
      <c r="F94" s="4"/>
      <c r="G94" s="4"/>
    </row>
    <row r="95" ht="16" customHeight="1" s="4" customFormat="1">
      <c r="A95" s="4" t="s">
        <v>828</v>
      </c>
      <c r="B95" s="4" t="s">
        <v>871</v>
      </c>
      <c r="C95" s="4" t="s">
        <v>927</v>
      </c>
      <c r="D95" s="4" t="s">
        <v>831</v>
      </c>
      <c r="E95" s="4" t="s">
        <v>832</v>
      </c>
      <c r="F95" s="4"/>
      <c r="G95" s="4"/>
    </row>
    <row r="96" ht="16" customHeight="1" s="4" customFormat="1">
      <c r="A96" s="4" t="s">
        <v>828</v>
      </c>
      <c r="B96" s="4" t="s">
        <v>871</v>
      </c>
      <c r="C96" s="4" t="s">
        <v>928</v>
      </c>
      <c r="D96" s="4" t="s">
        <v>831</v>
      </c>
      <c r="E96" s="4" t="s">
        <v>832</v>
      </c>
      <c r="F96" s="4"/>
      <c r="G96" s="4"/>
    </row>
    <row r="97" ht="16" customHeight="1" s="4" customFormat="1">
      <c r="A97" s="4" t="s">
        <v>828</v>
      </c>
      <c r="B97" s="4" t="s">
        <v>871</v>
      </c>
      <c r="C97" s="4" t="s">
        <v>929</v>
      </c>
      <c r="D97" s="4" t="s">
        <v>831</v>
      </c>
      <c r="E97" s="4" t="s">
        <v>832</v>
      </c>
      <c r="F97" s="4"/>
      <c r="G97" s="4"/>
    </row>
    <row r="98" ht="16" customHeight="1" s="4" customFormat="1">
      <c r="A98" s="4" t="s">
        <v>828</v>
      </c>
      <c r="B98" s="4" t="s">
        <v>871</v>
      </c>
      <c r="C98" s="4" t="s">
        <v>930</v>
      </c>
      <c r="D98" s="4" t="s">
        <v>831</v>
      </c>
      <c r="E98" s="4" t="s">
        <v>832</v>
      </c>
      <c r="F98" s="4"/>
      <c r="G98" s="4"/>
    </row>
    <row r="99" ht="16" customHeight="1" s="4" customFormat="1">
      <c r="A99" s="4" t="s">
        <v>828</v>
      </c>
      <c r="B99" s="4" t="s">
        <v>871</v>
      </c>
      <c r="C99" s="4" t="s">
        <v>931</v>
      </c>
      <c r="D99" s="4" t="s">
        <v>831</v>
      </c>
      <c r="E99" s="4" t="s">
        <v>832</v>
      </c>
      <c r="F99" s="4"/>
      <c r="G99" s="4"/>
    </row>
    <row r="100" ht="16" customHeight="1" s="4" customFormat="1">
      <c r="A100" s="4" t="s">
        <v>828</v>
      </c>
      <c r="B100" s="4" t="s">
        <v>829</v>
      </c>
      <c r="C100" s="4" t="s">
        <v>932</v>
      </c>
      <c r="D100" s="4" t="s">
        <v>831</v>
      </c>
      <c r="E100" s="4" t="s">
        <v>832</v>
      </c>
      <c r="F100" s="4"/>
      <c r="G100" s="4"/>
    </row>
    <row r="101" ht="16" customHeight="1" s="4" customFormat="1">
      <c r="A101" s="4" t="s">
        <v>828</v>
      </c>
      <c r="B101" s="4" t="s">
        <v>829</v>
      </c>
      <c r="C101" s="4" t="s">
        <v>933</v>
      </c>
      <c r="D101" s="4" t="s">
        <v>831</v>
      </c>
      <c r="E101" s="4" t="s">
        <v>832</v>
      </c>
      <c r="F101" s="4"/>
      <c r="G101" s="4"/>
    </row>
    <row r="102" ht="16" customHeight="1" s="4" customFormat="1">
      <c r="A102" s="4" t="s">
        <v>828</v>
      </c>
      <c r="B102" s="4" t="s">
        <v>829</v>
      </c>
      <c r="C102" s="4" t="s">
        <v>934</v>
      </c>
      <c r="D102" s="4" t="s">
        <v>831</v>
      </c>
      <c r="E102" s="4" t="s">
        <v>832</v>
      </c>
      <c r="F102" s="4"/>
      <c r="G102" s="4"/>
    </row>
    <row r="103" ht="16" customHeight="1" s="4" customFormat="1">
      <c r="A103" s="4" t="s">
        <v>828</v>
      </c>
      <c r="B103" s="4" t="s">
        <v>829</v>
      </c>
      <c r="C103" s="4" t="s">
        <v>935</v>
      </c>
      <c r="D103" s="4" t="s">
        <v>831</v>
      </c>
      <c r="E103" s="4" t="s">
        <v>832</v>
      </c>
      <c r="F103" s="4"/>
      <c r="G103" s="4"/>
    </row>
    <row r="104" ht="16" customHeight="1" s="4" customFormat="1">
      <c r="A104" s="4" t="s">
        <v>828</v>
      </c>
      <c r="B104" s="4" t="s">
        <v>871</v>
      </c>
      <c r="C104" s="4" t="s">
        <v>936</v>
      </c>
      <c r="D104" s="4" t="s">
        <v>831</v>
      </c>
      <c r="E104" s="4" t="s">
        <v>832</v>
      </c>
      <c r="F104" s="4"/>
      <c r="G104" s="4"/>
    </row>
    <row r="105" ht="16" customHeight="1" s="4" customFormat="1">
      <c r="A105" s="4" t="s">
        <v>828</v>
      </c>
      <c r="B105" s="4" t="s">
        <v>871</v>
      </c>
      <c r="C105" s="4" t="s">
        <v>937</v>
      </c>
      <c r="D105" s="4" t="s">
        <v>831</v>
      </c>
      <c r="E105" s="4" t="s">
        <v>832</v>
      </c>
      <c r="F105" s="4"/>
      <c r="G105" s="4"/>
    </row>
    <row r="106" ht="16" customHeight="1" s="4" customFormat="1">
      <c r="A106" s="4" t="s">
        <v>828</v>
      </c>
      <c r="B106" s="4" t="s">
        <v>871</v>
      </c>
      <c r="C106" s="4" t="s">
        <v>938</v>
      </c>
      <c r="D106" s="4" t="s">
        <v>831</v>
      </c>
      <c r="E106" s="4" t="s">
        <v>832</v>
      </c>
      <c r="F106" s="4"/>
      <c r="G106" s="4"/>
    </row>
    <row r="107" ht="16" customHeight="1" s="4" customFormat="1">
      <c r="A107" s="4" t="s">
        <v>828</v>
      </c>
      <c r="B107" s="4" t="s">
        <v>871</v>
      </c>
      <c r="C107" s="4" t="s">
        <v>939</v>
      </c>
      <c r="D107" s="4" t="s">
        <v>831</v>
      </c>
      <c r="E107" s="4" t="s">
        <v>832</v>
      </c>
      <c r="F107" s="4"/>
      <c r="G107" s="4"/>
    </row>
    <row r="108" ht="16" customHeight="1" s="4" customFormat="1">
      <c r="A108" s="4" t="s">
        <v>828</v>
      </c>
      <c r="B108" s="4" t="s">
        <v>871</v>
      </c>
      <c r="C108" s="4" t="s">
        <v>940</v>
      </c>
      <c r="D108" s="4" t="s">
        <v>831</v>
      </c>
      <c r="E108" s="4" t="s">
        <v>832</v>
      </c>
      <c r="F108" s="4"/>
      <c r="G108" s="4"/>
    </row>
    <row r="109" ht="16" customHeight="1" s="4" customFormat="1">
      <c r="A109" s="4" t="s">
        <v>828</v>
      </c>
      <c r="B109" s="4" t="s">
        <v>871</v>
      </c>
      <c r="C109" s="4" t="s">
        <v>941</v>
      </c>
      <c r="D109" s="4" t="s">
        <v>831</v>
      </c>
      <c r="E109" s="4" t="s">
        <v>832</v>
      </c>
      <c r="F109" s="4"/>
      <c r="G109" s="4"/>
    </row>
    <row r="110" ht="16" customHeight="1" s="4" customFormat="1">
      <c r="A110" s="4" t="s">
        <v>828</v>
      </c>
      <c r="B110" s="4" t="s">
        <v>871</v>
      </c>
      <c r="C110" s="4" t="s">
        <v>942</v>
      </c>
      <c r="D110" s="4" t="s">
        <v>831</v>
      </c>
      <c r="E110" s="4" t="s">
        <v>832</v>
      </c>
      <c r="F110" s="4"/>
      <c r="G110" s="4"/>
    </row>
    <row r="111" ht="16" customHeight="1" s="4" customFormat="1">
      <c r="A111" s="4" t="s">
        <v>828</v>
      </c>
      <c r="B111" s="4" t="s">
        <v>871</v>
      </c>
      <c r="C111" s="4" t="s">
        <v>943</v>
      </c>
      <c r="D111" s="4" t="s">
        <v>831</v>
      </c>
      <c r="E111" s="4" t="s">
        <v>832</v>
      </c>
      <c r="F111" s="4"/>
      <c r="G111" s="4"/>
    </row>
    <row r="112" ht="16" customHeight="1" s="4" customFormat="1">
      <c r="A112" s="4" t="s">
        <v>828</v>
      </c>
      <c r="B112" s="4" t="s">
        <v>871</v>
      </c>
      <c r="C112" s="4" t="s">
        <v>944</v>
      </c>
      <c r="D112" s="4" t="s">
        <v>831</v>
      </c>
      <c r="E112" s="4" t="s">
        <v>832</v>
      </c>
      <c r="F112" s="4"/>
      <c r="G112" s="4"/>
    </row>
    <row r="113" ht="16" customHeight="1" s="4" customFormat="1">
      <c r="A113" s="4" t="s">
        <v>828</v>
      </c>
      <c r="B113" s="4" t="s">
        <v>871</v>
      </c>
      <c r="C113" s="4" t="s">
        <v>945</v>
      </c>
      <c r="D113" s="4" t="s">
        <v>831</v>
      </c>
      <c r="E113" s="4" t="s">
        <v>832</v>
      </c>
      <c r="F113" s="4"/>
      <c r="G113" s="4"/>
    </row>
    <row r="114" ht="16" customHeight="1" s="4" customFormat="1">
      <c r="A114" s="4" t="s">
        <v>828</v>
      </c>
      <c r="B114" s="4" t="s">
        <v>871</v>
      </c>
      <c r="C114" s="4" t="s">
        <v>946</v>
      </c>
      <c r="D114" s="4" t="s">
        <v>831</v>
      </c>
      <c r="E114" s="4" t="s">
        <v>832</v>
      </c>
      <c r="F114" s="4"/>
      <c r="G114" s="4"/>
    </row>
    <row r="115" ht="16" customHeight="1" s="4" customFormat="1">
      <c r="A115" s="4" t="s">
        <v>828</v>
      </c>
      <c r="B115" s="4" t="s">
        <v>871</v>
      </c>
      <c r="C115" s="4" t="s">
        <v>947</v>
      </c>
      <c r="D115" s="4" t="s">
        <v>831</v>
      </c>
      <c r="E115" s="4" t="s">
        <v>832</v>
      </c>
      <c r="F115" s="4"/>
      <c r="G115" s="4"/>
    </row>
    <row r="116" ht="16" customHeight="1" s="4" customFormat="1">
      <c r="A116" s="4" t="s">
        <v>948</v>
      </c>
      <c r="B116" s="4" t="s">
        <v>829</v>
      </c>
      <c r="C116" s="4" t="s">
        <v>949</v>
      </c>
      <c r="D116" s="4" t="s">
        <v>831</v>
      </c>
      <c r="E116" s="4" t="s">
        <v>832</v>
      </c>
      <c r="F116" s="4"/>
      <c r="G116" s="4"/>
    </row>
    <row r="117" ht="16" customHeight="1" s="4" customFormat="1">
      <c r="A117" s="4" t="s">
        <v>828</v>
      </c>
      <c r="B117" s="4" t="s">
        <v>871</v>
      </c>
      <c r="C117" s="4" t="s">
        <v>950</v>
      </c>
      <c r="D117" s="4" t="s">
        <v>831</v>
      </c>
      <c r="E117" s="4" t="s">
        <v>832</v>
      </c>
      <c r="F117" s="4"/>
      <c r="G117" s="4"/>
    </row>
    <row r="118" ht="16" customHeight="1" s="4" customFormat="1">
      <c r="A118" s="4" t="s">
        <v>828</v>
      </c>
      <c r="B118" s="4" t="s">
        <v>871</v>
      </c>
      <c r="C118" s="4" t="s">
        <v>951</v>
      </c>
      <c r="D118" s="4" t="s">
        <v>831</v>
      </c>
      <c r="E118" s="4" t="s">
        <v>832</v>
      </c>
      <c r="F118" s="4"/>
      <c r="G118" s="4"/>
    </row>
    <row r="119" ht="16" customHeight="1" s="4" customFormat="1">
      <c r="A119" s="4" t="s">
        <v>828</v>
      </c>
      <c r="B119" s="4" t="s">
        <v>871</v>
      </c>
      <c r="C119" s="4" t="s">
        <v>952</v>
      </c>
      <c r="D119" s="4" t="s">
        <v>831</v>
      </c>
      <c r="E119" s="4" t="s">
        <v>832</v>
      </c>
      <c r="F119" s="4"/>
      <c r="G119" s="4"/>
    </row>
    <row r="120" ht="16" customHeight="1" s="4" customFormat="1">
      <c r="A120" s="4" t="s">
        <v>828</v>
      </c>
      <c r="B120" s="4" t="s">
        <v>871</v>
      </c>
      <c r="C120" s="4" t="s">
        <v>953</v>
      </c>
      <c r="D120" s="4" t="s">
        <v>831</v>
      </c>
      <c r="E120" s="4" t="s">
        <v>832</v>
      </c>
      <c r="F120" s="4"/>
      <c r="G120" s="4"/>
    </row>
    <row r="121" ht="16" customHeight="1" s="4" customFormat="1">
      <c r="A121" s="4" t="s">
        <v>828</v>
      </c>
      <c r="B121" s="4" t="s">
        <v>871</v>
      </c>
      <c r="C121" s="4" t="s">
        <v>954</v>
      </c>
      <c r="D121" s="4" t="s">
        <v>831</v>
      </c>
      <c r="E121" s="4" t="s">
        <v>832</v>
      </c>
      <c r="F121" s="4"/>
      <c r="G121" s="4"/>
    </row>
    <row r="122" ht="16" customHeight="1" s="4" customFormat="1">
      <c r="A122" s="4" t="s">
        <v>828</v>
      </c>
      <c r="B122" s="4" t="s">
        <v>871</v>
      </c>
      <c r="C122" s="4" t="s">
        <v>955</v>
      </c>
      <c r="D122" s="4" t="s">
        <v>831</v>
      </c>
      <c r="E122" s="4" t="s">
        <v>832</v>
      </c>
      <c r="F122" s="4"/>
      <c r="G122" s="4"/>
    </row>
    <row r="123" ht="16" customHeight="1" s="4" customFormat="1">
      <c r="A123" s="4" t="s">
        <v>828</v>
      </c>
      <c r="B123" s="4" t="s">
        <v>871</v>
      </c>
      <c r="C123" s="4" t="s">
        <v>956</v>
      </c>
      <c r="D123" s="4" t="s">
        <v>831</v>
      </c>
      <c r="E123" s="4" t="s">
        <v>832</v>
      </c>
      <c r="F123" s="4"/>
      <c r="G123" s="4"/>
    </row>
    <row r="124" ht="16" customHeight="1" s="4" customFormat="1">
      <c r="A124" s="4" t="s">
        <v>828</v>
      </c>
      <c r="B124" s="4" t="s">
        <v>871</v>
      </c>
      <c r="C124" s="4" t="s">
        <v>957</v>
      </c>
      <c r="D124" s="4" t="s">
        <v>831</v>
      </c>
      <c r="E124" s="4" t="s">
        <v>832</v>
      </c>
      <c r="F124" s="4"/>
      <c r="G124" s="4"/>
    </row>
    <row r="125" ht="16" customHeight="1" s="4" customFormat="1">
      <c r="A125" s="4" t="s">
        <v>828</v>
      </c>
      <c r="B125" s="4" t="s">
        <v>871</v>
      </c>
      <c r="C125" s="4" t="s">
        <v>958</v>
      </c>
      <c r="D125" s="4" t="s">
        <v>831</v>
      </c>
      <c r="E125" s="4" t="s">
        <v>832</v>
      </c>
      <c r="F125" s="4"/>
      <c r="G125" s="4"/>
    </row>
    <row r="126" ht="16" customHeight="1" s="4" customFormat="1">
      <c r="A126" s="4" t="s">
        <v>828</v>
      </c>
      <c r="B126" s="4" t="s">
        <v>871</v>
      </c>
      <c r="C126" s="4" t="s">
        <v>959</v>
      </c>
      <c r="D126" s="4" t="s">
        <v>831</v>
      </c>
      <c r="E126" s="4" t="s">
        <v>832</v>
      </c>
      <c r="F126" s="4"/>
      <c r="G126" s="4"/>
    </row>
    <row r="127" ht="16" customHeight="1" s="4" customFormat="1">
      <c r="A127" s="4" t="s">
        <v>828</v>
      </c>
      <c r="B127" s="4" t="s">
        <v>871</v>
      </c>
      <c r="C127" s="4" t="s">
        <v>960</v>
      </c>
      <c r="D127" s="4" t="s">
        <v>831</v>
      </c>
      <c r="E127" s="4" t="s">
        <v>832</v>
      </c>
      <c r="F127" s="4"/>
      <c r="G127" s="4"/>
    </row>
    <row r="128" ht="16" customHeight="1" s="4" customFormat="1">
      <c r="A128" s="4" t="s">
        <v>828</v>
      </c>
      <c r="B128" s="4" t="s">
        <v>871</v>
      </c>
      <c r="C128" s="4" t="s">
        <v>961</v>
      </c>
      <c r="D128" s="4" t="s">
        <v>831</v>
      </c>
      <c r="E128" s="4" t="s">
        <v>832</v>
      </c>
      <c r="F128" s="4"/>
      <c r="G128" s="4"/>
    </row>
    <row r="129" ht="16" customHeight="1" s="4" customFormat="1">
      <c r="A129" s="4" t="s">
        <v>828</v>
      </c>
      <c r="B129" s="4" t="s">
        <v>871</v>
      </c>
      <c r="C129" s="4" t="s">
        <v>962</v>
      </c>
      <c r="D129" s="4" t="s">
        <v>831</v>
      </c>
      <c r="E129" s="4" t="s">
        <v>832</v>
      </c>
      <c r="F129" s="4"/>
      <c r="G129" s="4"/>
    </row>
    <row r="130" ht="16" customHeight="1" s="4" customFormat="1">
      <c r="A130" s="4" t="s">
        <v>828</v>
      </c>
      <c r="B130" s="4" t="s">
        <v>871</v>
      </c>
      <c r="C130" s="4" t="s">
        <v>963</v>
      </c>
      <c r="D130" s="4" t="s">
        <v>831</v>
      </c>
      <c r="E130" s="4" t="s">
        <v>832</v>
      </c>
      <c r="F130" s="4"/>
      <c r="G130" s="4"/>
    </row>
    <row r="131" ht="16" customHeight="1" s="4" customFormat="1">
      <c r="A131" s="4" t="s">
        <v>828</v>
      </c>
      <c r="B131" s="4" t="s">
        <v>871</v>
      </c>
      <c r="C131" s="4" t="s">
        <v>964</v>
      </c>
      <c r="D131" s="4" t="s">
        <v>831</v>
      </c>
      <c r="E131" s="4" t="s">
        <v>832</v>
      </c>
      <c r="F131" s="4"/>
      <c r="G131" s="4"/>
    </row>
    <row r="132" ht="16" customHeight="1" s="4" customFormat="1">
      <c r="A132" s="4" t="s">
        <v>828</v>
      </c>
      <c r="B132" s="4" t="s">
        <v>871</v>
      </c>
      <c r="C132" s="4" t="s">
        <v>965</v>
      </c>
      <c r="D132" s="4" t="s">
        <v>831</v>
      </c>
      <c r="E132" s="4" t="s">
        <v>832</v>
      </c>
      <c r="F132" s="4"/>
      <c r="G132" s="4"/>
    </row>
    <row r="133" ht="16" customHeight="1" s="4" customFormat="1">
      <c r="A133" s="4" t="s">
        <v>828</v>
      </c>
      <c r="B133" s="4" t="s">
        <v>871</v>
      </c>
      <c r="C133" s="4" t="s">
        <v>966</v>
      </c>
      <c r="D133" s="4" t="s">
        <v>831</v>
      </c>
      <c r="E133" s="4" t="s">
        <v>832</v>
      </c>
      <c r="F133" s="4"/>
      <c r="G133" s="4"/>
    </row>
    <row r="134" ht="16" customHeight="1" s="4" customFormat="1">
      <c r="A134" s="4" t="s">
        <v>828</v>
      </c>
      <c r="B134" s="4" t="s">
        <v>871</v>
      </c>
      <c r="C134" s="4" t="s">
        <v>967</v>
      </c>
      <c r="D134" s="4" t="s">
        <v>831</v>
      </c>
      <c r="E134" s="4" t="s">
        <v>832</v>
      </c>
      <c r="F134" s="4"/>
      <c r="G134" s="4"/>
    </row>
    <row r="135" ht="16" customHeight="1" s="4" customFormat="1">
      <c r="A135" s="4" t="s">
        <v>828</v>
      </c>
      <c r="B135" s="4" t="s">
        <v>871</v>
      </c>
      <c r="C135" s="4" t="s">
        <v>968</v>
      </c>
      <c r="D135" s="4" t="s">
        <v>831</v>
      </c>
      <c r="E135" s="4" t="s">
        <v>832</v>
      </c>
      <c r="F135" s="4"/>
      <c r="G135" s="4"/>
    </row>
    <row r="136" ht="16" customHeight="1" s="4" customFormat="1">
      <c r="A136" s="4" t="s">
        <v>828</v>
      </c>
      <c r="B136" s="4" t="s">
        <v>871</v>
      </c>
      <c r="C136" s="4" t="s">
        <v>969</v>
      </c>
      <c r="D136" s="4" t="s">
        <v>831</v>
      </c>
      <c r="E136" s="4" t="s">
        <v>832</v>
      </c>
      <c r="F136" s="4"/>
      <c r="G136" s="4"/>
    </row>
    <row r="137" ht="16" customHeight="1" s="4" customFormat="1">
      <c r="A137" s="4" t="s">
        <v>828</v>
      </c>
      <c r="B137" s="4" t="s">
        <v>871</v>
      </c>
      <c r="C137" s="4" t="s">
        <v>970</v>
      </c>
      <c r="D137" s="4" t="s">
        <v>831</v>
      </c>
      <c r="E137" s="4" t="s">
        <v>832</v>
      </c>
      <c r="F137" s="4"/>
      <c r="G137" s="4"/>
    </row>
    <row r="138" ht="16" customHeight="1" s="4" customFormat="1">
      <c r="A138" s="4" t="s">
        <v>828</v>
      </c>
      <c r="B138" s="4" t="s">
        <v>871</v>
      </c>
      <c r="C138" s="4" t="s">
        <v>971</v>
      </c>
      <c r="D138" s="4" t="s">
        <v>831</v>
      </c>
      <c r="E138" s="4" t="s">
        <v>832</v>
      </c>
      <c r="F138" s="4"/>
      <c r="G138" s="4"/>
    </row>
    <row r="139" ht="16" customHeight="1" s="4" customFormat="1">
      <c r="A139" s="4" t="s">
        <v>828</v>
      </c>
      <c r="B139" s="4" t="s">
        <v>871</v>
      </c>
      <c r="C139" s="4" t="s">
        <v>972</v>
      </c>
      <c r="D139" s="4" t="s">
        <v>831</v>
      </c>
      <c r="E139" s="4" t="s">
        <v>832</v>
      </c>
      <c r="F139" s="4"/>
      <c r="G139" s="4"/>
    </row>
    <row r="140" ht="16" customHeight="1" s="4" customFormat="1">
      <c r="A140" s="4" t="s">
        <v>828</v>
      </c>
      <c r="B140" s="4" t="s">
        <v>871</v>
      </c>
      <c r="C140" s="4" t="s">
        <v>973</v>
      </c>
      <c r="D140" s="4" t="s">
        <v>831</v>
      </c>
      <c r="E140" s="4" t="s">
        <v>832</v>
      </c>
      <c r="F140" s="4"/>
      <c r="G140" s="4"/>
    </row>
    <row r="141" ht="16" customHeight="1" s="4" customFormat="1">
      <c r="A141" s="4" t="s">
        <v>828</v>
      </c>
      <c r="B141" s="4" t="s">
        <v>871</v>
      </c>
      <c r="C141" s="4" t="s">
        <v>974</v>
      </c>
      <c r="D141" s="4" t="s">
        <v>831</v>
      </c>
      <c r="E141" s="4" t="s">
        <v>832</v>
      </c>
      <c r="F141" s="4"/>
      <c r="G141" s="4"/>
    </row>
    <row r="142" ht="16" customHeight="1" s="4" customFormat="1">
      <c r="A142" s="4" t="s">
        <v>828</v>
      </c>
      <c r="B142" s="4" t="s">
        <v>871</v>
      </c>
      <c r="C142" s="4" t="s">
        <v>975</v>
      </c>
      <c r="D142" s="4" t="s">
        <v>831</v>
      </c>
      <c r="E142" s="4" t="s">
        <v>832</v>
      </c>
      <c r="F142" s="4"/>
      <c r="G142" s="4"/>
    </row>
    <row r="143" ht="16" customHeight="1" s="4" customFormat="1">
      <c r="A143" s="4" t="s">
        <v>828</v>
      </c>
      <c r="B143" s="4" t="s">
        <v>871</v>
      </c>
      <c r="C143" s="4" t="s">
        <v>976</v>
      </c>
      <c r="D143" s="4" t="s">
        <v>831</v>
      </c>
      <c r="E143" s="4" t="s">
        <v>832</v>
      </c>
      <c r="F143" s="4"/>
      <c r="G143" s="4"/>
    </row>
    <row r="144" ht="16" customHeight="1" s="4" customFormat="1">
      <c r="A144" s="4" t="s">
        <v>828</v>
      </c>
      <c r="B144" s="4" t="s">
        <v>871</v>
      </c>
      <c r="C144" s="4" t="s">
        <v>977</v>
      </c>
      <c r="D144" s="4" t="s">
        <v>831</v>
      </c>
      <c r="E144" s="4" t="s">
        <v>832</v>
      </c>
      <c r="F144" s="4"/>
      <c r="G144" s="4"/>
    </row>
    <row r="145" ht="16" customHeight="1" s="4" customFormat="1">
      <c r="A145" s="4" t="s">
        <v>828</v>
      </c>
      <c r="B145" s="4" t="s">
        <v>871</v>
      </c>
      <c r="C145" s="4" t="s">
        <v>978</v>
      </c>
      <c r="D145" s="4" t="s">
        <v>831</v>
      </c>
      <c r="E145" s="4" t="s">
        <v>832</v>
      </c>
      <c r="F145" s="4"/>
      <c r="G145" s="4"/>
    </row>
    <row r="146" ht="16" customHeight="1" s="4" customFormat="1">
      <c r="A146" s="4" t="s">
        <v>828</v>
      </c>
      <c r="B146" s="4" t="s">
        <v>871</v>
      </c>
      <c r="C146" s="4" t="s">
        <v>979</v>
      </c>
      <c r="D146" s="4" t="s">
        <v>831</v>
      </c>
      <c r="E146" s="4" t="s">
        <v>832</v>
      </c>
      <c r="F146" s="4"/>
      <c r="G146" s="4"/>
    </row>
    <row r="147" ht="16" customHeight="1" s="4" customFormat="1">
      <c r="A147" s="4" t="s">
        <v>828</v>
      </c>
      <c r="B147" s="4" t="s">
        <v>871</v>
      </c>
      <c r="C147" s="4" t="s">
        <v>980</v>
      </c>
      <c r="D147" s="4" t="s">
        <v>831</v>
      </c>
      <c r="E147" s="4" t="s">
        <v>832</v>
      </c>
      <c r="F147" s="4"/>
      <c r="G147" s="4"/>
    </row>
    <row r="148" ht="16" customHeight="1" s="4" customFormat="1">
      <c r="A148" s="4" t="s">
        <v>828</v>
      </c>
      <c r="B148" s="4" t="s">
        <v>871</v>
      </c>
      <c r="C148" s="4" t="s">
        <v>981</v>
      </c>
      <c r="D148" s="4" t="s">
        <v>831</v>
      </c>
      <c r="E148" s="4" t="s">
        <v>832</v>
      </c>
      <c r="F148" s="4"/>
      <c r="G148" s="4"/>
    </row>
    <row r="149" ht="16" customHeight="1" s="4" customFormat="1">
      <c r="A149" s="4" t="s">
        <v>828</v>
      </c>
      <c r="B149" s="4" t="s">
        <v>871</v>
      </c>
      <c r="C149" s="4" t="s">
        <v>982</v>
      </c>
      <c r="D149" s="4" t="s">
        <v>831</v>
      </c>
      <c r="E149" s="4" t="s">
        <v>832</v>
      </c>
      <c r="F149" s="4"/>
      <c r="G149" s="4"/>
    </row>
    <row r="150" ht="16" customHeight="1" s="4" customFormat="1">
      <c r="A150" s="4" t="s">
        <v>948</v>
      </c>
      <c r="B150" s="4" t="s">
        <v>871</v>
      </c>
      <c r="C150" s="4" t="s">
        <v>983</v>
      </c>
      <c r="D150" s="4" t="s">
        <v>831</v>
      </c>
      <c r="E150" s="4" t="s">
        <v>832</v>
      </c>
      <c r="F150" s="4"/>
      <c r="G150" s="4"/>
    </row>
    <row r="151" ht="16" customHeight="1" s="4" customFormat="1">
      <c r="A151" s="4" t="s">
        <v>828</v>
      </c>
      <c r="B151" s="4" t="s">
        <v>871</v>
      </c>
      <c r="C151" s="4" t="s">
        <v>984</v>
      </c>
      <c r="D151" s="4" t="s">
        <v>831</v>
      </c>
      <c r="E151" s="4" t="s">
        <v>832</v>
      </c>
      <c r="F151" s="4"/>
      <c r="G151" s="4"/>
    </row>
    <row r="152" ht="16" customHeight="1" s="4" customFormat="1">
      <c r="A152" s="4" t="s">
        <v>828</v>
      </c>
      <c r="B152" s="4" t="s">
        <v>871</v>
      </c>
      <c r="C152" s="4" t="s">
        <v>985</v>
      </c>
      <c r="D152" s="4" t="s">
        <v>831</v>
      </c>
      <c r="E152" s="4" t="s">
        <v>832</v>
      </c>
      <c r="F152" s="4"/>
      <c r="G152" s="4"/>
    </row>
    <row r="153" ht="16" customHeight="1" s="4" customFormat="1">
      <c r="A153" s="4" t="s">
        <v>828</v>
      </c>
      <c r="B153" s="4" t="s">
        <v>871</v>
      </c>
      <c r="C153" s="4" t="s">
        <v>986</v>
      </c>
      <c r="D153" s="4" t="s">
        <v>831</v>
      </c>
      <c r="E153" s="4" t="s">
        <v>832</v>
      </c>
      <c r="F153" s="4"/>
      <c r="G153" s="4"/>
    </row>
    <row r="154" ht="16" customHeight="1" s="4" customFormat="1">
      <c r="A154" s="4" t="s">
        <v>828</v>
      </c>
      <c r="B154" s="4" t="s">
        <v>871</v>
      </c>
      <c r="C154" s="4" t="s">
        <v>987</v>
      </c>
      <c r="D154" s="4" t="s">
        <v>831</v>
      </c>
      <c r="E154" s="4" t="s">
        <v>832</v>
      </c>
      <c r="F154" s="4"/>
      <c r="G154" s="4"/>
    </row>
    <row r="155" ht="16" customHeight="1" s="4" customFormat="1">
      <c r="A155" s="4" t="s">
        <v>828</v>
      </c>
      <c r="B155" s="4" t="s">
        <v>871</v>
      </c>
      <c r="C155" s="4" t="s">
        <v>988</v>
      </c>
      <c r="D155" s="4" t="s">
        <v>831</v>
      </c>
      <c r="E155" s="4" t="s">
        <v>832</v>
      </c>
      <c r="F155" s="4"/>
      <c r="G155" s="4"/>
    </row>
    <row r="156" ht="16" customHeight="1" s="4" customFormat="1">
      <c r="A156" s="4" t="s">
        <v>828</v>
      </c>
      <c r="B156" s="4" t="s">
        <v>871</v>
      </c>
      <c r="C156" s="4" t="s">
        <v>989</v>
      </c>
      <c r="D156" s="4" t="s">
        <v>831</v>
      </c>
      <c r="E156" s="4" t="s">
        <v>832</v>
      </c>
      <c r="F156" s="4"/>
      <c r="G156" s="4"/>
    </row>
    <row r="157" ht="16" customHeight="1" s="4" customFormat="1">
      <c r="A157" s="4" t="s">
        <v>828</v>
      </c>
      <c r="B157" s="4" t="s">
        <v>871</v>
      </c>
      <c r="C157" s="4" t="s">
        <v>990</v>
      </c>
      <c r="D157" s="4" t="s">
        <v>831</v>
      </c>
      <c r="E157" s="4" t="s">
        <v>832</v>
      </c>
      <c r="F157" s="4"/>
      <c r="G157" s="4"/>
    </row>
    <row r="158" ht="16" customHeight="1" s="4" customFormat="1">
      <c r="A158" s="4" t="s">
        <v>828</v>
      </c>
      <c r="B158" s="4" t="s">
        <v>871</v>
      </c>
      <c r="C158" s="4" t="s">
        <v>991</v>
      </c>
      <c r="D158" s="4" t="s">
        <v>831</v>
      </c>
      <c r="E158" s="4" t="s">
        <v>832</v>
      </c>
      <c r="F158" s="4"/>
      <c r="G158" s="4"/>
    </row>
    <row r="159" ht="16" customHeight="1" s="4" customFormat="1">
      <c r="A159" s="4" t="s">
        <v>828</v>
      </c>
      <c r="B159" s="4" t="s">
        <v>871</v>
      </c>
      <c r="C159" s="4" t="s">
        <v>992</v>
      </c>
      <c r="D159" s="4" t="s">
        <v>831</v>
      </c>
      <c r="E159" s="4" t="s">
        <v>832</v>
      </c>
      <c r="F159" s="4"/>
      <c r="G159" s="4"/>
    </row>
    <row r="160" ht="16" customHeight="1" s="4" customFormat="1">
      <c r="A160" s="4" t="s">
        <v>993</v>
      </c>
      <c r="B160" s="4" t="s">
        <v>994</v>
      </c>
      <c r="C160" s="4" t="s">
        <v>995</v>
      </c>
      <c r="D160" s="4" t="s">
        <v>831</v>
      </c>
      <c r="E160" s="4" t="s">
        <v>832</v>
      </c>
      <c r="F160" s="4"/>
      <c r="G160" s="4"/>
    </row>
    <row r="161" ht="16" customHeight="1" s="4" customFormat="1">
      <c r="A161" s="4" t="s">
        <v>828</v>
      </c>
      <c r="B161" s="4" t="s">
        <v>871</v>
      </c>
      <c r="C161" s="4" t="s">
        <v>996</v>
      </c>
      <c r="D161" s="4" t="s">
        <v>831</v>
      </c>
      <c r="E161" s="4" t="s">
        <v>832</v>
      </c>
      <c r="F161" s="4"/>
      <c r="G161" s="4"/>
    </row>
    <row r="162" ht="16" customHeight="1" s="4" customFormat="1">
      <c r="A162" s="4" t="s">
        <v>828</v>
      </c>
      <c r="B162" s="4" t="s">
        <v>871</v>
      </c>
      <c r="C162" s="4" t="s">
        <v>997</v>
      </c>
      <c r="D162" s="4" t="s">
        <v>831</v>
      </c>
      <c r="E162" s="4" t="s">
        <v>832</v>
      </c>
      <c r="F162" s="4"/>
      <c r="G162" s="4"/>
    </row>
    <row r="163" ht="16" customHeight="1" s="4" customFormat="1">
      <c r="A163" s="4" t="s">
        <v>948</v>
      </c>
      <c r="B163" s="4" t="s">
        <v>829</v>
      </c>
      <c r="C163" s="4" t="s">
        <v>998</v>
      </c>
      <c r="D163" s="4" t="s">
        <v>831</v>
      </c>
      <c r="E163" s="4" t="s">
        <v>832</v>
      </c>
      <c r="F163" s="4"/>
      <c r="G163" s="4"/>
    </row>
    <row r="164" ht="16" customHeight="1" s="4" customFormat="1">
      <c r="A164" s="4" t="s">
        <v>828</v>
      </c>
      <c r="B164" s="4" t="s">
        <v>871</v>
      </c>
      <c r="C164" s="4" t="s">
        <v>999</v>
      </c>
      <c r="D164" s="4" t="s">
        <v>831</v>
      </c>
      <c r="E164" s="4" t="s">
        <v>832</v>
      </c>
      <c r="F164" s="4"/>
      <c r="G164" s="4"/>
    </row>
    <row r="165" ht="16" customHeight="1" s="4" customFormat="1">
      <c r="A165" s="4" t="s">
        <v>828</v>
      </c>
      <c r="B165" s="4" t="s">
        <v>871</v>
      </c>
      <c r="C165" s="4" t="s">
        <v>1000</v>
      </c>
      <c r="D165" s="4" t="s">
        <v>831</v>
      </c>
      <c r="E165" s="4" t="s">
        <v>832</v>
      </c>
      <c r="F165" s="4"/>
      <c r="G165" s="4"/>
    </row>
    <row r="166" ht="16" customHeight="1" s="4" customFormat="1">
      <c r="A166" s="4" t="s">
        <v>1001</v>
      </c>
      <c r="B166" s="4" t="s">
        <v>1002</v>
      </c>
      <c r="C166" s="4" t="s">
        <v>1003</v>
      </c>
      <c r="D166" s="4" t="s">
        <v>831</v>
      </c>
      <c r="E166" s="4" t="s">
        <v>832</v>
      </c>
      <c r="F166" s="4"/>
      <c r="G166" s="4"/>
    </row>
    <row r="167" ht="16" customHeight="1" s="4" customFormat="1">
      <c r="A167" s="4" t="s">
        <v>828</v>
      </c>
      <c r="B167" s="4" t="s">
        <v>871</v>
      </c>
      <c r="C167" s="4" t="s">
        <v>1004</v>
      </c>
      <c r="D167" s="4" t="s">
        <v>831</v>
      </c>
      <c r="E167" s="4" t="s">
        <v>832</v>
      </c>
      <c r="F167" s="4"/>
      <c r="G167" s="4"/>
    </row>
    <row r="168" ht="16" customHeight="1" s="4" customFormat="1">
      <c r="A168" s="4" t="s">
        <v>828</v>
      </c>
      <c r="B168" s="4" t="s">
        <v>871</v>
      </c>
      <c r="C168" s="4" t="s">
        <v>1005</v>
      </c>
      <c r="D168" s="4" t="s">
        <v>831</v>
      </c>
      <c r="E168" s="4" t="s">
        <v>832</v>
      </c>
      <c r="F168" s="4"/>
      <c r="G168" s="4"/>
    </row>
    <row r="169" ht="16" customHeight="1" s="4" customFormat="1">
      <c r="A169" s="4" t="s">
        <v>828</v>
      </c>
      <c r="B169" s="4" t="s">
        <v>871</v>
      </c>
      <c r="C169" s="4" t="s">
        <v>1006</v>
      </c>
      <c r="D169" s="4" t="s">
        <v>831</v>
      </c>
      <c r="E169" s="4" t="s">
        <v>832</v>
      </c>
      <c r="F169" s="4"/>
      <c r="G169" s="4"/>
    </row>
    <row r="170" ht="16" customHeight="1" s="4" customFormat="1">
      <c r="A170" s="4" t="s">
        <v>828</v>
      </c>
      <c r="B170" s="4" t="s">
        <v>871</v>
      </c>
      <c r="C170" s="4" t="s">
        <v>1007</v>
      </c>
      <c r="D170" s="4" t="s">
        <v>831</v>
      </c>
      <c r="E170" s="4" t="s">
        <v>832</v>
      </c>
      <c r="F170" s="4"/>
      <c r="G170" s="4"/>
    </row>
    <row r="171" ht="16" customHeight="1" s="4" customFormat="1">
      <c r="A171" s="4" t="s">
        <v>828</v>
      </c>
      <c r="B171" s="4" t="s">
        <v>871</v>
      </c>
      <c r="C171" s="4" t="s">
        <v>1008</v>
      </c>
      <c r="D171" s="4" t="s">
        <v>831</v>
      </c>
      <c r="E171" s="4" t="s">
        <v>832</v>
      </c>
      <c r="F171" s="4"/>
      <c r="G171" s="4"/>
    </row>
    <row r="172" ht="16" customHeight="1" s="4" customFormat="1">
      <c r="A172" s="4" t="s">
        <v>828</v>
      </c>
      <c r="B172" s="4" t="s">
        <v>871</v>
      </c>
      <c r="C172" s="4" t="s">
        <v>1009</v>
      </c>
      <c r="D172" s="4" t="s">
        <v>831</v>
      </c>
      <c r="E172" s="4" t="s">
        <v>832</v>
      </c>
      <c r="F172" s="4"/>
      <c r="G172" s="4"/>
    </row>
    <row r="173" ht="16" customHeight="1" s="4" customFormat="1">
      <c r="A173" s="4" t="s">
        <v>828</v>
      </c>
      <c r="B173" s="4" t="s">
        <v>871</v>
      </c>
      <c r="C173" s="4" t="s">
        <v>1010</v>
      </c>
      <c r="D173" s="4" t="s">
        <v>831</v>
      </c>
      <c r="E173" s="4" t="s">
        <v>832</v>
      </c>
      <c r="F173" s="4"/>
      <c r="G173" s="4"/>
    </row>
    <row r="174" ht="16" customHeight="1" s="4" customFormat="1">
      <c r="A174" s="4" t="s">
        <v>828</v>
      </c>
      <c r="B174" s="4" t="s">
        <v>871</v>
      </c>
      <c r="C174" s="4" t="s">
        <v>1011</v>
      </c>
      <c r="D174" s="4" t="s">
        <v>831</v>
      </c>
      <c r="E174" s="4" t="s">
        <v>832</v>
      </c>
      <c r="F174" s="4"/>
      <c r="G174" s="4"/>
    </row>
    <row r="175" ht="16" customHeight="1" s="4" customFormat="1">
      <c r="A175" s="4" t="s">
        <v>828</v>
      </c>
      <c r="B175" s="4" t="s">
        <v>871</v>
      </c>
      <c r="C175" s="4" t="s">
        <v>1012</v>
      </c>
      <c r="D175" s="4" t="s">
        <v>831</v>
      </c>
      <c r="E175" s="4" t="s">
        <v>832</v>
      </c>
      <c r="F175" s="4"/>
      <c r="G175" s="4"/>
    </row>
    <row r="176" ht="16" customHeight="1" s="4" customFormat="1">
      <c r="A176" s="4" t="s">
        <v>828</v>
      </c>
      <c r="B176" s="4" t="s">
        <v>871</v>
      </c>
      <c r="C176" s="4" t="s">
        <v>1013</v>
      </c>
      <c r="D176" s="4" t="s">
        <v>831</v>
      </c>
      <c r="E176" s="4" t="s">
        <v>832</v>
      </c>
      <c r="F176" s="4"/>
      <c r="G176" s="4"/>
    </row>
    <row r="177" ht="16" customHeight="1" s="4" customFormat="1">
      <c r="A177" s="4" t="s">
        <v>828</v>
      </c>
      <c r="B177" s="4" t="s">
        <v>871</v>
      </c>
      <c r="C177" s="4" t="s">
        <v>1014</v>
      </c>
      <c r="D177" s="4" t="s">
        <v>831</v>
      </c>
      <c r="E177" s="4" t="s">
        <v>832</v>
      </c>
      <c r="F177" s="4"/>
      <c r="G177" s="4"/>
    </row>
    <row r="178" ht="16" customHeight="1" s="4" customFormat="1">
      <c r="A178" s="4" t="s">
        <v>828</v>
      </c>
      <c r="B178" s="4" t="s">
        <v>871</v>
      </c>
      <c r="C178" s="4" t="s">
        <v>1015</v>
      </c>
      <c r="D178" s="4" t="s">
        <v>831</v>
      </c>
      <c r="E178" s="4" t="s">
        <v>832</v>
      </c>
      <c r="F178" s="4"/>
      <c r="G178" s="4"/>
    </row>
    <row r="179" ht="16" customHeight="1" s="4" customFormat="1">
      <c r="A179" s="4" t="s">
        <v>828</v>
      </c>
      <c r="B179" s="4" t="s">
        <v>871</v>
      </c>
      <c r="C179" s="4" t="s">
        <v>1016</v>
      </c>
      <c r="D179" s="4" t="s">
        <v>831</v>
      </c>
      <c r="E179" s="4" t="s">
        <v>832</v>
      </c>
      <c r="F179" s="4"/>
      <c r="G179" s="4"/>
    </row>
    <row r="180" ht="16" customHeight="1" s="4" customFormat="1">
      <c r="A180" s="4" t="s">
        <v>828</v>
      </c>
      <c r="B180" s="4" t="s">
        <v>871</v>
      </c>
      <c r="C180" s="4" t="s">
        <v>1017</v>
      </c>
      <c r="D180" s="4" t="s">
        <v>831</v>
      </c>
      <c r="E180" s="4" t="s">
        <v>832</v>
      </c>
      <c r="F180" s="4"/>
      <c r="G180" s="4"/>
    </row>
    <row r="181" ht="16" customHeight="1" s="4" customFormat="1">
      <c r="A181" s="4" t="s">
        <v>828</v>
      </c>
      <c r="B181" s="4" t="s">
        <v>871</v>
      </c>
      <c r="C181" s="4" t="s">
        <v>1018</v>
      </c>
      <c r="D181" s="4" t="s">
        <v>831</v>
      </c>
      <c r="E181" s="4" t="s">
        <v>832</v>
      </c>
      <c r="F181" s="4"/>
      <c r="G181" s="4"/>
    </row>
    <row r="182" ht="16" customHeight="1" s="4" customFormat="1">
      <c r="A182" s="4" t="s">
        <v>828</v>
      </c>
      <c r="B182" s="4" t="s">
        <v>871</v>
      </c>
      <c r="C182" s="4" t="s">
        <v>1019</v>
      </c>
      <c r="D182" s="4" t="s">
        <v>831</v>
      </c>
      <c r="E182" s="4" t="s">
        <v>832</v>
      </c>
      <c r="F182" s="4"/>
      <c r="G182" s="4"/>
    </row>
    <row r="183" ht="16" customHeight="1" s="4" customFormat="1">
      <c r="A183" s="4" t="s">
        <v>828</v>
      </c>
      <c r="B183" s="4" t="s">
        <v>871</v>
      </c>
      <c r="C183" s="4" t="s">
        <v>1020</v>
      </c>
      <c r="D183" s="4" t="s">
        <v>831</v>
      </c>
      <c r="E183" s="4" t="s">
        <v>832</v>
      </c>
      <c r="F183" s="4"/>
      <c r="G183" s="4"/>
    </row>
    <row r="184" ht="16" customHeight="1" s="4" customFormat="1">
      <c r="A184" s="4" t="s">
        <v>828</v>
      </c>
      <c r="B184" s="4" t="s">
        <v>871</v>
      </c>
      <c r="C184" s="4" t="s">
        <v>1021</v>
      </c>
      <c r="D184" s="4" t="s">
        <v>831</v>
      </c>
      <c r="E184" s="4" t="s">
        <v>832</v>
      </c>
      <c r="F184" s="4"/>
      <c r="G184" s="4"/>
    </row>
    <row r="185" ht="16" customHeight="1" s="4" customFormat="1">
      <c r="A185" s="4" t="s">
        <v>828</v>
      </c>
      <c r="B185" s="4" t="s">
        <v>871</v>
      </c>
      <c r="C185" s="4" t="s">
        <v>1022</v>
      </c>
      <c r="D185" s="4" t="s">
        <v>831</v>
      </c>
      <c r="E185" s="4" t="s">
        <v>832</v>
      </c>
      <c r="F185" s="4"/>
      <c r="G185" s="4"/>
    </row>
    <row r="186" ht="16" customHeight="1" s="4" customFormat="1">
      <c r="A186" s="4" t="s">
        <v>828</v>
      </c>
      <c r="B186" s="4" t="s">
        <v>871</v>
      </c>
      <c r="C186" s="4" t="s">
        <v>1023</v>
      </c>
      <c r="D186" s="4" t="s">
        <v>831</v>
      </c>
      <c r="E186" s="4" t="s">
        <v>832</v>
      </c>
      <c r="F186" s="4"/>
      <c r="G186" s="4"/>
    </row>
    <row r="187" ht="16" customHeight="1" s="4" customFormat="1">
      <c r="A187" s="4" t="s">
        <v>828</v>
      </c>
      <c r="B187" s="4" t="s">
        <v>871</v>
      </c>
      <c r="C187" s="4" t="s">
        <v>1024</v>
      </c>
      <c r="D187" s="4" t="s">
        <v>831</v>
      </c>
      <c r="E187" s="4" t="s">
        <v>832</v>
      </c>
      <c r="F187" s="4"/>
      <c r="G187" s="4"/>
    </row>
    <row r="188" ht="16" customHeight="1" s="4" customFormat="1">
      <c r="A188" s="4" t="s">
        <v>828</v>
      </c>
      <c r="B188" s="4" t="s">
        <v>871</v>
      </c>
      <c r="C188" s="4" t="s">
        <v>1025</v>
      </c>
      <c r="D188" s="4" t="s">
        <v>831</v>
      </c>
      <c r="E188" s="4" t="s">
        <v>832</v>
      </c>
      <c r="F188" s="4"/>
      <c r="G188" s="4"/>
    </row>
    <row r="189" ht="16" customHeight="1" s="4" customFormat="1">
      <c r="A189" s="4" t="s">
        <v>828</v>
      </c>
      <c r="B189" s="4" t="s">
        <v>871</v>
      </c>
      <c r="C189" s="4" t="s">
        <v>1026</v>
      </c>
      <c r="D189" s="4" t="s">
        <v>831</v>
      </c>
      <c r="E189" s="4" t="s">
        <v>832</v>
      </c>
      <c r="F189" s="4"/>
      <c r="G189" s="4"/>
    </row>
    <row r="190" ht="16" customHeight="1" s="4" customFormat="1">
      <c r="A190" s="4" t="s">
        <v>828</v>
      </c>
      <c r="B190" s="4" t="s">
        <v>871</v>
      </c>
      <c r="C190" s="4" t="s">
        <v>1027</v>
      </c>
      <c r="D190" s="4" t="s">
        <v>831</v>
      </c>
      <c r="E190" s="4" t="s">
        <v>832</v>
      </c>
      <c r="F190" s="4"/>
      <c r="G190" s="4"/>
    </row>
    <row r="191" ht="16" customHeight="1" s="4" customFormat="1">
      <c r="A191" s="4" t="s">
        <v>828</v>
      </c>
      <c r="B191" s="4" t="s">
        <v>871</v>
      </c>
      <c r="C191" s="4" t="s">
        <v>1028</v>
      </c>
      <c r="D191" s="4" t="s">
        <v>831</v>
      </c>
      <c r="E191" s="4" t="s">
        <v>832</v>
      </c>
      <c r="F191" s="4"/>
      <c r="G191" s="4"/>
    </row>
    <row r="192" ht="16" customHeight="1" s="4" customFormat="1">
      <c r="A192" s="4" t="s">
        <v>828</v>
      </c>
      <c r="B192" s="4" t="s">
        <v>871</v>
      </c>
      <c r="C192" s="4" t="s">
        <v>1029</v>
      </c>
      <c r="D192" s="4" t="s">
        <v>831</v>
      </c>
      <c r="E192" s="4" t="s">
        <v>832</v>
      </c>
      <c r="F192" s="4"/>
      <c r="G192" s="4"/>
    </row>
    <row r="193" ht="16" customHeight="1" s="4" customFormat="1">
      <c r="A193" s="4" t="s">
        <v>828</v>
      </c>
      <c r="B193" s="4" t="s">
        <v>871</v>
      </c>
      <c r="C193" s="4" t="s">
        <v>1030</v>
      </c>
      <c r="D193" s="4" t="s">
        <v>831</v>
      </c>
      <c r="E193" s="4" t="s">
        <v>832</v>
      </c>
      <c r="F193" s="4"/>
      <c r="G193" s="4"/>
    </row>
    <row r="194" ht="16" customHeight="1" s="4" customFormat="1">
      <c r="A194" s="4" t="s">
        <v>828</v>
      </c>
      <c r="B194" s="4" t="s">
        <v>871</v>
      </c>
      <c r="C194" s="4" t="s">
        <v>1031</v>
      </c>
      <c r="D194" s="4" t="s">
        <v>831</v>
      </c>
      <c r="E194" s="4" t="s">
        <v>832</v>
      </c>
      <c r="F194" s="4"/>
      <c r="G194" s="4"/>
    </row>
    <row r="195" ht="16" customHeight="1" s="4" customFormat="1">
      <c r="A195" s="4" t="s">
        <v>828</v>
      </c>
      <c r="B195" s="4" t="s">
        <v>871</v>
      </c>
      <c r="C195" s="4" t="s">
        <v>1032</v>
      </c>
      <c r="D195" s="4" t="s">
        <v>831</v>
      </c>
      <c r="E195" s="4" t="s">
        <v>832</v>
      </c>
      <c r="F195" s="4"/>
      <c r="G195" s="4"/>
    </row>
    <row r="196" ht="16" customHeight="1" s="4" customFormat="1">
      <c r="A196" s="4" t="s">
        <v>828</v>
      </c>
      <c r="B196" s="4" t="s">
        <v>871</v>
      </c>
      <c r="C196" s="4" t="s">
        <v>1033</v>
      </c>
      <c r="D196" s="4" t="s">
        <v>831</v>
      </c>
      <c r="E196" s="4" t="s">
        <v>832</v>
      </c>
      <c r="F196" s="4"/>
      <c r="G196" s="4"/>
    </row>
    <row r="197" ht="16" customHeight="1" s="4" customFormat="1">
      <c r="A197" s="4" t="s">
        <v>828</v>
      </c>
      <c r="B197" s="4" t="s">
        <v>871</v>
      </c>
      <c r="C197" s="4" t="s">
        <v>1034</v>
      </c>
      <c r="D197" s="4" t="s">
        <v>831</v>
      </c>
      <c r="E197" s="4" t="s">
        <v>832</v>
      </c>
      <c r="F197" s="4"/>
      <c r="G197" s="4"/>
    </row>
    <row r="198" ht="16" customHeight="1" s="4" customFormat="1">
      <c r="A198" s="4" t="s">
        <v>828</v>
      </c>
      <c r="B198" s="4" t="s">
        <v>871</v>
      </c>
      <c r="C198" s="4" t="s">
        <v>1035</v>
      </c>
      <c r="D198" s="4" t="s">
        <v>831</v>
      </c>
      <c r="E198" s="4" t="s">
        <v>832</v>
      </c>
      <c r="F198" s="4"/>
      <c r="G198" s="4"/>
    </row>
    <row r="199" ht="16" customHeight="1" s="4" customFormat="1">
      <c r="A199" s="4" t="s">
        <v>828</v>
      </c>
      <c r="B199" s="4" t="s">
        <v>871</v>
      </c>
      <c r="C199" s="4" t="s">
        <v>1036</v>
      </c>
      <c r="D199" s="4" t="s">
        <v>831</v>
      </c>
      <c r="E199" s="4" t="s">
        <v>832</v>
      </c>
      <c r="F199" s="4"/>
      <c r="G199" s="4"/>
    </row>
    <row r="200" ht="16" customHeight="1">
      <c r="A200" s="3" t="s">
        <v>828</v>
      </c>
      <c r="B200" s="3" t="s">
        <v>871</v>
      </c>
      <c r="C200" s="3" t="s">
        <v>1037</v>
      </c>
      <c r="D200" s="3" t="s">
        <v>831</v>
      </c>
      <c r="E200" s="3" t="s">
        <v>832</v>
      </c>
    </row>
    <row r="201" ht="16" customHeight="1">
      <c r="A201" s="3" t="s">
        <v>828</v>
      </c>
      <c r="B201" s="3" t="s">
        <v>871</v>
      </c>
      <c r="C201" s="3" t="s">
        <v>1038</v>
      </c>
      <c r="D201" s="3" t="s">
        <v>831</v>
      </c>
      <c r="E201" s="3" t="s">
        <v>832</v>
      </c>
    </row>
  </sheetData>
  <headerFooter/>
</worksheet>
</file>

<file path=xl/worksheets/sheet10.xml><?xml version="1.0" encoding="utf-8"?>
<worksheet xmlns:r="http://schemas.openxmlformats.org/officeDocument/2006/relationships" xmlns="http://schemas.openxmlformats.org/spreadsheetml/2006/main">
  <dimension ref="A1:K7"/>
  <sheetViews>
    <sheetView workbookViewId="0"/>
  </sheetViews>
  <sheetFormatPr defaultRowHeight="15"/>
  <cols>
    <col min="1" max="1" width="16.1182384490967" customWidth="1" style="3"/>
    <col min="2" max="2" width="9.140625"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10.2153987884521" customWidth="1" style="3"/>
    <col min="10" max="16384" width="9.140625" customWidth="1" style="3"/>
    <col min="11" max="16384" width="9.140625" customWidth="1" style="3"/>
  </cols>
  <sheetData>
    <row r="1" ht="20" customHeight="1" s="1" customFormat="1">
      <c r="A1" s="2" t="s">
        <v>1039</v>
      </c>
      <c r="B1" s="2" t="s">
        <v>1040</v>
      </c>
      <c r="C1" s="2" t="s">
        <v>1041</v>
      </c>
      <c r="D1" s="2" t="s">
        <v>1042</v>
      </c>
      <c r="E1" s="2" t="s">
        <v>1043</v>
      </c>
      <c r="F1" s="2" t="s">
        <v>1044</v>
      </c>
      <c r="G1" s="2" t="s">
        <v>1045</v>
      </c>
      <c r="H1" s="2" t="s">
        <v>1046</v>
      </c>
      <c r="I1" s="2" t="s">
        <v>1047</v>
      </c>
    </row>
    <row r="2" ht="16" customHeight="1" s="4" customFormat="1">
      <c r="A2" s="4" t="s">
        <v>1048</v>
      </c>
      <c r="B2" s="4">
        <v>156643</v>
      </c>
      <c r="C2" s="4">
        <v>146277</v>
      </c>
      <c r="D2" s="4">
        <v>150159</v>
      </c>
      <c r="E2" s="4">
        <v>135332</v>
      </c>
      <c r="F2" s="4">
        <v>91442</v>
      </c>
      <c r="G2" s="4">
        <v>86957</v>
      </c>
      <c r="H2" s="4">
        <v>96066</v>
      </c>
      <c r="I2" s="4" t="s">
        <v>1049</v>
      </c>
      <c r="J2" s="4"/>
      <c r="K2" s="4"/>
    </row>
    <row r="3" ht="16" customHeight="1" s="4" customFormat="1">
      <c r="A3" s="4" t="s">
        <v>1050</v>
      </c>
      <c r="B3" s="4">
        <v>46018</v>
      </c>
      <c r="C3" s="4">
        <v>37748</v>
      </c>
      <c r="D3" s="4">
        <v>37273</v>
      </c>
      <c r="E3" s="4">
        <v>47424</v>
      </c>
      <c r="F3" s="4">
        <v>30739</v>
      </c>
      <c r="G3" s="4">
        <v>23197</v>
      </c>
      <c r="H3" s="4">
        <v>27130</v>
      </c>
      <c r="I3" s="4" t="s">
        <v>1049</v>
      </c>
      <c r="J3" s="4"/>
      <c r="K3" s="4"/>
    </row>
    <row r="4" ht="16" customHeight="1" s="4" customFormat="1">
      <c r="A4" s="7" t="s">
        <v>1051</v>
      </c>
      <c r="B4" s="7">
        <v>29.4</v>
      </c>
      <c r="C4" s="7">
        <v>25.8</v>
      </c>
      <c r="D4" s="7">
        <v>24.8</v>
      </c>
      <c r="E4" s="7">
        <v>35</v>
      </c>
      <c r="F4" s="7">
        <v>33.6</v>
      </c>
      <c r="G4" s="7">
        <v>26.7</v>
      </c>
      <c r="H4" s="7">
        <v>28.2</v>
      </c>
      <c r="I4" s="7" t="s">
        <v>1049</v>
      </c>
      <c r="J4" s="4"/>
      <c r="K4" s="4"/>
    </row>
    <row r="5" ht="16" customHeight="1" s="4" customFormat="1">
      <c r="A5" s="4" t="s">
        <v>1052</v>
      </c>
      <c r="B5" s="4">
        <v>14988</v>
      </c>
      <c r="C5" s="4">
        <v>4239</v>
      </c>
      <c r="D5" s="4">
        <v>10574</v>
      </c>
      <c r="E5" s="4">
        <v>23710</v>
      </c>
      <c r="F5" s="4">
        <v>15032</v>
      </c>
      <c r="G5" s="4">
        <v>-4744</v>
      </c>
      <c r="H5" s="4">
        <v>9698</v>
      </c>
      <c r="I5" s="4" t="s">
        <v>1049</v>
      </c>
      <c r="J5" s="4"/>
      <c r="K5" s="4"/>
    </row>
    <row r="6" ht="16" customHeight="1">
      <c r="A6" s="8" t="s">
        <v>1053</v>
      </c>
      <c r="B6" s="8">
        <v>9.6</v>
      </c>
      <c r="C6" s="8">
        <v>2.9</v>
      </c>
      <c r="D6" s="8">
        <v>7</v>
      </c>
      <c r="E6" s="8">
        <v>17.5</v>
      </c>
      <c r="F6" s="8">
        <v>16.4</v>
      </c>
      <c r="G6" s="8">
        <v>-5.5</v>
      </c>
      <c r="H6" s="8">
        <v>10.1</v>
      </c>
      <c r="I6" s="8" t="s">
        <v>1049</v>
      </c>
    </row>
    <row r="7" ht="16" customHeight="1">
      <c r="A7" s="3" t="s">
        <v>1054</v>
      </c>
      <c r="B7" s="3">
        <v>203293</v>
      </c>
      <c r="C7" s="3">
        <v>190807</v>
      </c>
      <c r="D7" s="3">
        <v>195377</v>
      </c>
      <c r="E7" s="3">
        <v>198382</v>
      </c>
      <c r="F7" s="3">
        <v>185712</v>
      </c>
      <c r="G7" s="3">
        <v>183623</v>
      </c>
      <c r="H7" s="3">
        <v>202043</v>
      </c>
      <c r="I7" s="3" t="s">
        <v>1049</v>
      </c>
    </row>
  </sheetData>
  <headerFooter/>
</worksheet>
</file>

<file path=xl/worksheets/sheet11.xml><?xml version="1.0" encoding="utf-8"?>
<worksheet xmlns:r="http://schemas.openxmlformats.org/officeDocument/2006/relationships" xmlns="http://schemas.openxmlformats.org/spreadsheetml/2006/main">
  <dimension ref="A1:K7"/>
  <sheetViews>
    <sheetView workbookViewId="0"/>
  </sheetViews>
  <sheetFormatPr defaultRowHeight="15"/>
  <cols>
    <col min="1" max="1" width="16.1182384490967" customWidth="1" style="3"/>
    <col min="2" max="2" width="9.140625"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10.2153987884521" customWidth="1" style="3"/>
    <col min="10" max="16384" width="9.140625" customWidth="1" style="3"/>
    <col min="11" max="16384" width="9.140625" customWidth="1" style="3"/>
  </cols>
  <sheetData>
    <row r="1" ht="20" customHeight="1" s="1" customFormat="1">
      <c r="A1" s="2" t="s">
        <v>1039</v>
      </c>
      <c r="B1" s="2" t="s">
        <v>1040</v>
      </c>
      <c r="C1" s="2" t="s">
        <v>1041</v>
      </c>
      <c r="D1" s="2" t="s">
        <v>1042</v>
      </c>
      <c r="E1" s="2" t="s">
        <v>1043</v>
      </c>
      <c r="F1" s="2" t="s">
        <v>1044</v>
      </c>
      <c r="G1" s="2" t="s">
        <v>1045</v>
      </c>
      <c r="H1" s="2" t="s">
        <v>1046</v>
      </c>
      <c r="I1" s="2" t="s">
        <v>1047</v>
      </c>
    </row>
    <row r="2" ht="16" customHeight="1" s="4" customFormat="1">
      <c r="A2" s="4" t="s">
        <v>1048</v>
      </c>
      <c r="B2" s="4">
        <v>85802</v>
      </c>
      <c r="C2" s="4">
        <v>76308</v>
      </c>
      <c r="D2" s="4">
        <v>89342</v>
      </c>
      <c r="E2" s="4">
        <v>71624</v>
      </c>
      <c r="F2" s="4">
        <v>48388</v>
      </c>
      <c r="G2" s="4">
        <v>38728</v>
      </c>
      <c r="H2" s="4">
        <v>44796</v>
      </c>
      <c r="I2" s="4" t="s">
        <v>1049</v>
      </c>
      <c r="J2" s="4"/>
      <c r="K2" s="4"/>
    </row>
    <row r="3" ht="16" customHeight="1" s="4" customFormat="1">
      <c r="A3" s="4" t="s">
        <v>1050</v>
      </c>
      <c r="B3" s="4">
        <v>27463</v>
      </c>
      <c r="C3" s="4">
        <v>18130</v>
      </c>
      <c r="D3" s="4">
        <v>30702</v>
      </c>
      <c r="E3" s="4">
        <v>26025</v>
      </c>
      <c r="F3" s="4">
        <v>19608</v>
      </c>
      <c r="G3" s="4">
        <v>8697</v>
      </c>
      <c r="H3" s="4">
        <v>11626</v>
      </c>
      <c r="I3" s="4" t="s">
        <v>1049</v>
      </c>
      <c r="J3" s="4"/>
      <c r="K3" s="4"/>
    </row>
    <row r="4" ht="16" customHeight="1" s="4" customFormat="1">
      <c r="A4" s="7" t="s">
        <v>1051</v>
      </c>
      <c r="B4" s="7">
        <v>32</v>
      </c>
      <c r="C4" s="7">
        <v>23.8</v>
      </c>
      <c r="D4" s="7">
        <v>34.4</v>
      </c>
      <c r="E4" s="7">
        <v>36.3</v>
      </c>
      <c r="F4" s="7">
        <v>40.5</v>
      </c>
      <c r="G4" s="7">
        <v>22.5</v>
      </c>
      <c r="H4" s="7">
        <v>26</v>
      </c>
      <c r="I4" s="7" t="s">
        <v>1049</v>
      </c>
      <c r="J4" s="4"/>
      <c r="K4" s="4"/>
    </row>
    <row r="5" ht="16" customHeight="1" s="4" customFormat="1">
      <c r="A5" s="4" t="s">
        <v>1052</v>
      </c>
      <c r="B5" s="4">
        <v>17928</v>
      </c>
      <c r="C5" s="4">
        <v>6623</v>
      </c>
      <c r="D5" s="4">
        <v>21259</v>
      </c>
      <c r="E5" s="4">
        <v>17245</v>
      </c>
      <c r="F5" s="4">
        <v>10503</v>
      </c>
      <c r="G5" s="4">
        <v>-6732</v>
      </c>
      <c r="H5" s="4">
        <v>5075</v>
      </c>
      <c r="I5" s="4" t="s">
        <v>1049</v>
      </c>
      <c r="J5" s="4"/>
      <c r="K5" s="4"/>
    </row>
    <row r="6" ht="16" customHeight="1">
      <c r="A6" s="8" t="s">
        <v>1053</v>
      </c>
      <c r="B6" s="8">
        <v>20.9</v>
      </c>
      <c r="C6" s="8">
        <v>8.7</v>
      </c>
      <c r="D6" s="8">
        <v>23.8</v>
      </c>
      <c r="E6" s="8">
        <v>24.1</v>
      </c>
      <c r="F6" s="8">
        <v>21.7</v>
      </c>
      <c r="G6" s="8">
        <v>-17.4</v>
      </c>
      <c r="H6" s="8">
        <v>11.3</v>
      </c>
      <c r="I6" s="8" t="s">
        <v>1049</v>
      </c>
    </row>
    <row r="7" ht="16" customHeight="1">
      <c r="A7" s="3" t="s">
        <v>1054</v>
      </c>
      <c r="B7" s="3">
        <v>159990</v>
      </c>
      <c r="C7" s="3">
        <v>150513</v>
      </c>
      <c r="D7" s="3">
        <v>159840</v>
      </c>
      <c r="E7" s="3">
        <v>148740</v>
      </c>
      <c r="F7" s="3">
        <v>137731</v>
      </c>
      <c r="G7" s="3">
        <v>139450</v>
      </c>
      <c r="H7" s="3">
        <v>150866</v>
      </c>
      <c r="I7" s="3" t="s">
        <v>1049</v>
      </c>
    </row>
  </sheetData>
  <headerFooter/>
</worksheet>
</file>

<file path=xl/worksheets/sheet12.xml><?xml version="1.0" encoding="utf-8"?>
<worksheet xmlns:r="http://schemas.openxmlformats.org/officeDocument/2006/relationships" xmlns="http://schemas.openxmlformats.org/spreadsheetml/2006/main">
  <dimension ref="A1:K26"/>
  <sheetViews>
    <sheetView workbookViewId="0"/>
  </sheetViews>
  <sheetFormatPr defaultRowHeight="15"/>
  <cols>
    <col min="1" max="1" width="78.6510467529297" customWidth="1" style="3"/>
    <col min="2" max="2" width="10.2153987884521"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9.140625" customWidth="1" style="3"/>
    <col min="10" max="16384" width="9.140625" customWidth="1" style="3"/>
    <col min="11" max="16384" width="9.140625" customWidth="1" style="3"/>
  </cols>
  <sheetData>
    <row r="1" ht="20" customHeight="1" s="1" customFormat="1">
      <c r="A1" s="2" t="s">
        <v>2</v>
      </c>
      <c r="B1" s="2" t="s">
        <v>1047</v>
      </c>
      <c r="C1" s="2" t="s">
        <v>1040</v>
      </c>
      <c r="D1" s="2" t="s">
        <v>1041</v>
      </c>
      <c r="E1" s="2" t="s">
        <v>1042</v>
      </c>
      <c r="F1" s="2" t="s">
        <v>1043</v>
      </c>
      <c r="G1" s="2" t="s">
        <v>1044</v>
      </c>
      <c r="H1" s="2" t="s">
        <v>1045</v>
      </c>
      <c r="I1" s="2" t="s">
        <v>1046</v>
      </c>
    </row>
    <row r="2" ht="16" customHeight="1" s="4" customFormat="1">
      <c r="A2" s="4" t="s">
        <v>1055</v>
      </c>
      <c r="B2" s="4" t="s">
        <v>1049</v>
      </c>
      <c r="C2" s="4">
        <v>156643</v>
      </c>
      <c r="D2" s="4">
        <v>146277</v>
      </c>
      <c r="E2" s="4">
        <v>150159</v>
      </c>
      <c r="F2" s="4">
        <v>135332</v>
      </c>
      <c r="G2" s="4">
        <v>91442</v>
      </c>
      <c r="H2" s="4">
        <v>86957</v>
      </c>
      <c r="I2" s="4">
        <v>96066</v>
      </c>
      <c r="J2" s="4"/>
      <c r="K2" s="4"/>
    </row>
    <row r="3" ht="16" customHeight="1" s="4" customFormat="1">
      <c r="A3" s="4" t="s">
        <v>1056</v>
      </c>
      <c r="B3" s="4" t="s">
        <v>1049</v>
      </c>
      <c r="C3" s="4">
        <v>3675</v>
      </c>
      <c r="D3" s="4">
        <v>2550</v>
      </c>
      <c r="E3" s="4">
        <v>2851</v>
      </c>
      <c r="F3" s="4">
        <v>2600</v>
      </c>
      <c r="G3" s="4">
        <v>3421</v>
      </c>
      <c r="H3" s="4">
        <v>2510</v>
      </c>
      <c r="I3" s="4">
        <v>4018</v>
      </c>
      <c r="J3" s="4"/>
      <c r="K3" s="4"/>
    </row>
    <row r="4" ht="16" customHeight="1" s="4" customFormat="1">
      <c r="A4" s="4" t="s">
        <v>1057</v>
      </c>
      <c r="B4" s="4" t="s">
        <v>1049</v>
      </c>
      <c r="C4" s="4">
        <v>2243</v>
      </c>
      <c r="D4" s="4">
        <v>1934</v>
      </c>
      <c r="E4" s="4">
        <v>1904</v>
      </c>
      <c r="F4" s="4">
        <v>1540</v>
      </c>
      <c r="G4" s="4">
        <v>1158</v>
      </c>
      <c r="H4" s="4">
        <v>902</v>
      </c>
      <c r="I4" s="4">
        <v>1147</v>
      </c>
      <c r="J4" s="4"/>
      <c r="K4" s="4"/>
    </row>
    <row r="5" ht="16" customHeight="1" s="4" customFormat="1">
      <c r="A5" s="4" t="s">
        <v>1058</v>
      </c>
      <c r="B5" s="4" t="s">
        <v>1049</v>
      </c>
      <c r="C5" s="4">
        <v>150301</v>
      </c>
      <c r="D5" s="4">
        <v>141472</v>
      </c>
      <c r="E5" s="4">
        <v>145078</v>
      </c>
      <c r="F5" s="4">
        <v>131192</v>
      </c>
      <c r="G5" s="4">
        <v>86639</v>
      </c>
      <c r="H5" s="4">
        <v>83329</v>
      </c>
      <c r="I5" s="4">
        <v>90681</v>
      </c>
      <c r="J5" s="4"/>
      <c r="K5" s="4"/>
    </row>
    <row r="6" ht="16" customHeight="1" s="4" customFormat="1">
      <c r="A6" s="4" t="s">
        <v>1059</v>
      </c>
      <c r="B6" s="4" t="s">
        <v>1049</v>
      </c>
      <c r="C6" s="4">
        <v>424</v>
      </c>
      <c r="D6" s="4">
        <v>321</v>
      </c>
      <c r="E6" s="4">
        <v>326</v>
      </c>
      <c r="F6" s="4"/>
      <c r="G6" s="4">
        <v>224</v>
      </c>
      <c r="H6" s="4">
        <v>216</v>
      </c>
      <c r="I6" s="4">
        <v>220</v>
      </c>
      <c r="J6" s="4"/>
      <c r="K6" s="4"/>
    </row>
    <row r="7" ht="16" customHeight="1" s="4" customFormat="1">
      <c r="A7" s="4" t="s">
        <v>1060</v>
      </c>
      <c r="B7" s="4" t="s">
        <v>1049</v>
      </c>
      <c r="C7" s="4">
        <v>152968</v>
      </c>
      <c r="D7" s="4">
        <v>143727</v>
      </c>
      <c r="E7" s="4">
        <v>147308</v>
      </c>
      <c r="F7" s="4">
        <v>132732</v>
      </c>
      <c r="G7" s="4">
        <v>88021</v>
      </c>
      <c r="H7" s="4">
        <v>84447</v>
      </c>
      <c r="I7" s="4">
        <v>92048</v>
      </c>
      <c r="J7" s="4"/>
      <c r="K7" s="4"/>
    </row>
    <row r="8" ht="16" customHeight="1" s="4" customFormat="1">
      <c r="A8" s="4" t="s">
        <v>1061</v>
      </c>
      <c r="B8" s="4" t="s">
        <v>1049</v>
      </c>
      <c r="C8" s="4">
        <v>110625</v>
      </c>
      <c r="D8" s="4">
        <v>108529</v>
      </c>
      <c r="E8" s="4">
        <v>112886</v>
      </c>
      <c r="F8" s="4">
        <v>87908</v>
      </c>
      <c r="G8" s="4">
        <v>60703</v>
      </c>
      <c r="H8" s="4">
        <v>63760</v>
      </c>
      <c r="I8" s="4">
        <v>68936</v>
      </c>
      <c r="J8" s="4"/>
      <c r="K8" s="4"/>
    </row>
    <row r="9" ht="16" customHeight="1" s="4" customFormat="1">
      <c r="A9" s="4" t="s">
        <v>1062</v>
      </c>
      <c r="B9" s="4" t="s">
        <v>1049</v>
      </c>
      <c r="C9" s="4">
        <v>-1448</v>
      </c>
      <c r="D9" s="4">
        <v>176</v>
      </c>
      <c r="E9" s="4">
        <v>-377</v>
      </c>
      <c r="F9" s="4">
        <v>-2049</v>
      </c>
      <c r="G9" s="4">
        <v>792</v>
      </c>
      <c r="H9" s="4">
        <v>1017</v>
      </c>
      <c r="I9" s="4">
        <v>72</v>
      </c>
      <c r="J9" s="4"/>
      <c r="K9" s="4"/>
    </row>
    <row r="10" ht="16" customHeight="1" s="4" customFormat="1">
      <c r="A10" s="4" t="s">
        <v>1063</v>
      </c>
      <c r="B10" s="4" t="s">
        <v>1049</v>
      </c>
      <c r="C10" s="4">
        <v>54292</v>
      </c>
      <c r="D10" s="4">
        <v>47746</v>
      </c>
      <c r="E10" s="4">
        <v>48239</v>
      </c>
      <c r="F10" s="4">
        <v>40701</v>
      </c>
      <c r="G10" s="4">
        <v>25236</v>
      </c>
      <c r="H10" s="4">
        <v>23862</v>
      </c>
      <c r="I10" s="4">
        <v>27946</v>
      </c>
      <c r="J10" s="4"/>
      <c r="K10" s="4"/>
    </row>
    <row r="11" ht="16" customHeight="1" s="4" customFormat="1">
      <c r="A11" s="4" t="s">
        <v>1064</v>
      </c>
      <c r="B11" s="4" t="s">
        <v>1049</v>
      </c>
      <c r="C11" s="4">
        <v>3503</v>
      </c>
      <c r="D11" s="4">
        <v>3300</v>
      </c>
      <c r="E11" s="4">
        <v>3098</v>
      </c>
      <c r="F11" s="4">
        <v>2811</v>
      </c>
      <c r="G11" s="4">
        <v>2861</v>
      </c>
      <c r="H11" s="4">
        <v>2672</v>
      </c>
      <c r="I11" s="4">
        <v>3030</v>
      </c>
      <c r="J11" s="4"/>
      <c r="K11" s="4"/>
    </row>
    <row r="12" ht="16" customHeight="1" s="4" customFormat="1">
      <c r="A12" s="4" t="s">
        <v>1065</v>
      </c>
      <c r="B12" s="4" t="s">
        <v>1049</v>
      </c>
      <c r="C12" s="4">
        <v>7147</v>
      </c>
      <c r="D12" s="4">
        <v>8021</v>
      </c>
      <c r="E12" s="4">
        <v>7160</v>
      </c>
      <c r="F12" s="4">
        <v>6478</v>
      </c>
      <c r="G12" s="4">
        <v>4527</v>
      </c>
      <c r="H12" s="4">
        <v>5299</v>
      </c>
      <c r="I12" s="4">
        <v>5643</v>
      </c>
      <c r="J12" s="4"/>
      <c r="K12" s="4"/>
    </row>
    <row r="13" ht="16" customHeight="1" s="4" customFormat="1">
      <c r="A13" s="4" t="s">
        <v>1066</v>
      </c>
      <c r="B13" s="4" t="s">
        <v>1049</v>
      </c>
      <c r="C13" s="4">
        <v>22315</v>
      </c>
      <c r="D13" s="4">
        <v>23338</v>
      </c>
      <c r="E13" s="4">
        <v>20932</v>
      </c>
      <c r="F13" s="4">
        <v>15968</v>
      </c>
      <c r="G13" s="4">
        <v>11972</v>
      </c>
      <c r="H13" s="4">
        <v>12540</v>
      </c>
      <c r="I13" s="4">
        <v>11945</v>
      </c>
      <c r="J13" s="4"/>
      <c r="K13" s="4"/>
    </row>
    <row r="14" ht="16" customHeight="1" s="4" customFormat="1">
      <c r="A14" s="4" t="s">
        <v>1067</v>
      </c>
      <c r="B14" s="4" t="s">
        <v>1049</v>
      </c>
      <c r="C14" s="4">
        <v>2033</v>
      </c>
      <c r="D14" s="4">
        <v>2285</v>
      </c>
      <c r="E14" s="4">
        <v>2827</v>
      </c>
      <c r="F14" s="4">
        <v>2927</v>
      </c>
      <c r="G14" s="4">
        <v>1600</v>
      </c>
      <c r="H14" s="4">
        <v>1539</v>
      </c>
      <c r="I14" s="4">
        <v>1568</v>
      </c>
      <c r="J14" s="4"/>
      <c r="K14" s="4"/>
    </row>
    <row r="15" ht="16" customHeight="1" s="4" customFormat="1">
      <c r="A15" s="4" t="s">
        <v>1068</v>
      </c>
      <c r="B15" s="4" t="s">
        <v>1049</v>
      </c>
      <c r="C15" s="4">
        <v>22599</v>
      </c>
      <c r="D15" s="4">
        <v>23547</v>
      </c>
      <c r="E15" s="4">
        <v>30950</v>
      </c>
      <c r="F15" s="4">
        <v>20939</v>
      </c>
      <c r="G15" s="4">
        <v>13674</v>
      </c>
      <c r="H15" s="4">
        <v>16606</v>
      </c>
      <c r="I15" s="4">
        <v>18144</v>
      </c>
      <c r="J15" s="4"/>
      <c r="K15" s="4"/>
    </row>
    <row r="16" ht="16" customHeight="1" s="4" customFormat="1">
      <c r="A16" s="4" t="s">
        <v>1069</v>
      </c>
      <c r="B16" s="4" t="s">
        <v>1049</v>
      </c>
      <c r="C16" s="4">
        <v>184</v>
      </c>
      <c r="D16" s="4">
        <v>116</v>
      </c>
      <c r="E16" s="4">
        <v>57</v>
      </c>
      <c r="F16" s="4">
        <v>133</v>
      </c>
      <c r="G16" s="4">
        <v>41</v>
      </c>
      <c r="H16" s="4">
        <v>225</v>
      </c>
      <c r="I16" s="4">
        <v>588</v>
      </c>
      <c r="J16" s="4"/>
      <c r="K16" s="4"/>
    </row>
    <row r="17" ht="16" customHeight="1" s="4" customFormat="1">
      <c r="A17" s="4" t="s">
        <v>1050</v>
      </c>
      <c r="B17" s="4" t="s">
        <v>1049</v>
      </c>
      <c r="C17" s="4">
        <v>46018</v>
      </c>
      <c r="D17" s="4">
        <v>37748</v>
      </c>
      <c r="E17" s="4">
        <v>37273</v>
      </c>
      <c r="F17" s="4">
        <v>47424</v>
      </c>
      <c r="G17" s="4">
        <v>30739</v>
      </c>
      <c r="H17" s="4">
        <v>23197</v>
      </c>
      <c r="I17" s="4">
        <v>27130</v>
      </c>
      <c r="J17" s="4"/>
      <c r="K17" s="4"/>
    </row>
    <row r="18" ht="16" customHeight="1" s="4" customFormat="1">
      <c r="A18" s="4" t="s">
        <v>1070</v>
      </c>
      <c r="B18" s="4" t="s">
        <v>1049</v>
      </c>
      <c r="C18" s="4">
        <v>9914</v>
      </c>
      <c r="D18" s="4">
        <v>9465</v>
      </c>
      <c r="E18" s="4">
        <v>6225</v>
      </c>
      <c r="F18" s="4">
        <v>4797</v>
      </c>
      <c r="G18" s="4">
        <v>5210</v>
      </c>
      <c r="H18" s="4">
        <v>4977</v>
      </c>
      <c r="I18" s="4">
        <v>5689</v>
      </c>
      <c r="J18" s="4"/>
      <c r="K18" s="4"/>
    </row>
    <row r="19" ht="16" customHeight="1" s="4" customFormat="1">
      <c r="A19" s="4" t="s">
        <v>1071</v>
      </c>
      <c r="B19" s="4" t="s">
        <v>1049</v>
      </c>
      <c r="C19" s="4">
        <v>11096</v>
      </c>
      <c r="D19" s="4">
        <v>10723</v>
      </c>
      <c r="E19" s="4">
        <v>10555</v>
      </c>
      <c r="F19" s="4">
        <v>8895</v>
      </c>
      <c r="G19" s="4">
        <v>7638</v>
      </c>
      <c r="H19" s="4">
        <v>9093</v>
      </c>
      <c r="I19" s="4">
        <v>8201</v>
      </c>
      <c r="J19" s="4"/>
      <c r="K19" s="4"/>
    </row>
    <row r="20" ht="16" customHeight="1" s="4" customFormat="1">
      <c r="A20" s="4" t="s">
        <v>1072</v>
      </c>
      <c r="B20" s="4" t="s">
        <v>1049</v>
      </c>
      <c r="C20" s="4">
        <v>-1136</v>
      </c>
      <c r="D20" s="4">
        <v>3717</v>
      </c>
      <c r="E20" s="4">
        <v>217</v>
      </c>
      <c r="F20" s="4">
        <v>768</v>
      </c>
      <c r="G20" s="4">
        <v>678</v>
      </c>
      <c r="H20" s="4">
        <v>17386</v>
      </c>
      <c r="I20" s="4">
        <v>-320</v>
      </c>
      <c r="J20" s="4"/>
      <c r="K20" s="4"/>
    </row>
    <row r="21" ht="16" customHeight="1" s="4" customFormat="1">
      <c r="A21" s="4" t="s">
        <v>1073</v>
      </c>
      <c r="B21" s="4" t="s">
        <v>1049</v>
      </c>
      <c r="C21" s="4">
        <v>26144</v>
      </c>
      <c r="D21" s="4">
        <v>13843</v>
      </c>
      <c r="E21" s="4">
        <v>20276</v>
      </c>
      <c r="F21" s="4">
        <v>32964</v>
      </c>
      <c r="G21" s="4">
        <v>17213</v>
      </c>
      <c r="H21" s="4">
        <v>-8259</v>
      </c>
      <c r="I21" s="4">
        <v>13560</v>
      </c>
      <c r="J21" s="4"/>
      <c r="K21" s="4"/>
    </row>
    <row r="22" ht="16" customHeight="1" s="4" customFormat="1">
      <c r="A22" s="4" t="s">
        <v>1074</v>
      </c>
      <c r="B22" s="4" t="s">
        <v>1049</v>
      </c>
      <c r="C22" s="4">
        <v>11157</v>
      </c>
      <c r="D22" s="4">
        <v>9606</v>
      </c>
      <c r="E22" s="4">
        <v>9699</v>
      </c>
      <c r="F22" s="4">
        <v>9255</v>
      </c>
      <c r="G22" s="4">
        <v>2180</v>
      </c>
      <c r="H22" s="4">
        <v>-3516</v>
      </c>
      <c r="I22" s="4">
        <v>3862</v>
      </c>
      <c r="J22" s="4"/>
      <c r="K22" s="4"/>
    </row>
    <row r="23" ht="16" customHeight="1" s="4" customFormat="1">
      <c r="A23" s="4" t="s">
        <v>1075</v>
      </c>
      <c r="B23" s="4" t="s">
        <v>1049</v>
      </c>
      <c r="C23" s="4">
        <v>9924</v>
      </c>
      <c r="D23" s="4">
        <v>9206</v>
      </c>
      <c r="E23" s="4">
        <v>10010</v>
      </c>
      <c r="F23" s="4">
        <v>6309</v>
      </c>
      <c r="G23" s="4">
        <v>2066</v>
      </c>
      <c r="H23" s="4">
        <v>1788</v>
      </c>
      <c r="I23" s="4">
        <v>2677</v>
      </c>
      <c r="J23" s="4"/>
      <c r="K23" s="4"/>
    </row>
    <row r="24" ht="16" customHeight="1" s="4" customFormat="1">
      <c r="A24" s="4" t="s">
        <v>1076</v>
      </c>
      <c r="B24" s="4" t="s">
        <v>1049</v>
      </c>
      <c r="C24" s="4">
        <v>1233</v>
      </c>
      <c r="D24" s="4">
        <v>400</v>
      </c>
      <c r="E24" s="4">
        <v>-311</v>
      </c>
      <c r="F24" s="4">
        <v>2946</v>
      </c>
      <c r="G24" s="4">
        <v>114</v>
      </c>
      <c r="H24" s="4">
        <v>-5304</v>
      </c>
      <c r="I24" s="4">
        <v>1185</v>
      </c>
      <c r="J24" s="4"/>
      <c r="K24" s="4"/>
    </row>
    <row r="25" ht="16" customHeight="1" s="4" customFormat="1">
      <c r="A25" s="4" t="s">
        <v>1077</v>
      </c>
      <c r="B25" s="4" t="s">
        <v>1049</v>
      </c>
      <c r="C25" s="4">
        <v>-1</v>
      </c>
      <c r="D25" s="4">
        <v>-2</v>
      </c>
      <c r="E25" s="4">
        <v>3</v>
      </c>
      <c r="F25" s="4">
        <v>-1</v>
      </c>
      <c r="G25" s="4">
        <v>1</v>
      </c>
      <c r="H25" s="4">
        <v>1</v>
      </c>
      <c r="I25" s="4"/>
      <c r="J25" s="4"/>
      <c r="K25" s="4"/>
    </row>
    <row r="26" ht="16" customHeight="1">
      <c r="A26" s="3" t="s">
        <v>1078</v>
      </c>
      <c r="B26" s="3" t="s">
        <v>1049</v>
      </c>
      <c r="C26" s="3">
        <v>14988</v>
      </c>
      <c r="D26" s="3">
        <v>4239</v>
      </c>
      <c r="E26" s="3">
        <v>10574</v>
      </c>
      <c r="F26" s="3">
        <v>23710</v>
      </c>
      <c r="G26" s="3">
        <v>15032</v>
      </c>
      <c r="H26" s="3">
        <v>-4744</v>
      </c>
      <c r="I26" s="3">
        <v>9698</v>
      </c>
    </row>
  </sheetData>
  <headerFooter/>
</worksheet>
</file>

<file path=xl/worksheets/sheet13.xml><?xml version="1.0" encoding="utf-8"?>
<worksheet xmlns:r="http://schemas.openxmlformats.org/officeDocument/2006/relationships" xmlns="http://schemas.openxmlformats.org/spreadsheetml/2006/main">
  <dimension ref="A1:K35"/>
  <sheetViews>
    <sheetView workbookViewId="0"/>
  </sheetViews>
  <sheetFormatPr defaultRowHeight="15"/>
  <cols>
    <col min="1" max="1" width="52.7224922180176" customWidth="1" style="3"/>
    <col min="2" max="2" width="10.2153987884521"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9.140625" customWidth="1" style="3"/>
    <col min="10" max="16384" width="9.140625" customWidth="1" style="3"/>
    <col min="11" max="16384" width="9.140625" customWidth="1" style="3"/>
  </cols>
  <sheetData>
    <row r="1" ht="20" customHeight="1" s="1" customFormat="1">
      <c r="A1" s="2" t="s">
        <v>2</v>
      </c>
      <c r="B1" s="2" t="s">
        <v>1047</v>
      </c>
      <c r="C1" s="2" t="s">
        <v>1040</v>
      </c>
      <c r="D1" s="2" t="s">
        <v>1041</v>
      </c>
      <c r="E1" s="2" t="s">
        <v>1042</v>
      </c>
      <c r="F1" s="2" t="s">
        <v>1043</v>
      </c>
      <c r="G1" s="2" t="s">
        <v>1044</v>
      </c>
      <c r="H1" s="2" t="s">
        <v>1045</v>
      </c>
      <c r="I1" s="2" t="s">
        <v>1046</v>
      </c>
    </row>
    <row r="2" ht="16" customHeight="1" s="4" customFormat="1">
      <c r="A2" s="4" t="s">
        <v>1079</v>
      </c>
      <c r="B2" s="4" t="s">
        <v>1049</v>
      </c>
      <c r="C2" s="4">
        <v>53753</v>
      </c>
      <c r="D2" s="4">
        <v>42069</v>
      </c>
      <c r="E2" s="4">
        <v>49427</v>
      </c>
      <c r="F2" s="4">
        <v>82704</v>
      </c>
      <c r="G2" s="4">
        <v>77416</v>
      </c>
      <c r="H2" s="4">
        <v>71747</v>
      </c>
      <c r="I2" s="4">
        <v>77524</v>
      </c>
      <c r="J2" s="4"/>
      <c r="K2" s="4"/>
    </row>
    <row r="3" ht="16" customHeight="1" s="4" customFormat="1">
      <c r="A3" s="4" t="s">
        <v>1080</v>
      </c>
      <c r="B3" s="4" t="s">
        <v>1049</v>
      </c>
      <c r="C3" s="4">
        <v>12541</v>
      </c>
      <c r="D3" s="4">
        <v>11347</v>
      </c>
      <c r="E3" s="4">
        <v>10004</v>
      </c>
      <c r="F3" s="4">
        <v>17321</v>
      </c>
      <c r="G3" s="4">
        <v>15138</v>
      </c>
      <c r="H3" s="4">
        <v>17112</v>
      </c>
      <c r="I3" s="4">
        <v>15227</v>
      </c>
      <c r="J3" s="4"/>
      <c r="K3" s="4"/>
    </row>
    <row r="4" ht="16" customHeight="1" s="4" customFormat="1">
      <c r="A4" s="4" t="s">
        <v>1081</v>
      </c>
      <c r="B4" s="4" t="s">
        <v>1049</v>
      </c>
      <c r="C4" s="4">
        <v>40821</v>
      </c>
      <c r="D4" s="4">
        <v>30350</v>
      </c>
      <c r="E4" s="4">
        <v>39051</v>
      </c>
      <c r="F4" s="4">
        <v>65011</v>
      </c>
      <c r="G4" s="4">
        <v>61906</v>
      </c>
      <c r="H4" s="4">
        <v>54263</v>
      </c>
      <c r="I4" s="4">
        <v>61925</v>
      </c>
      <c r="J4" s="4"/>
      <c r="K4" s="4"/>
    </row>
    <row r="5" ht="16" customHeight="1" s="4" customFormat="1">
      <c r="A5" s="4" t="s">
        <v>1082</v>
      </c>
      <c r="B5" s="4" t="s">
        <v>1049</v>
      </c>
      <c r="C5" s="4">
        <v>391</v>
      </c>
      <c r="D5" s="4">
        <v>372</v>
      </c>
      <c r="E5" s="4">
        <v>372</v>
      </c>
      <c r="F5" s="4">
        <v>372</v>
      </c>
      <c r="G5" s="4">
        <v>372</v>
      </c>
      <c r="H5" s="4">
        <v>372</v>
      </c>
      <c r="I5" s="4">
        <v>372</v>
      </c>
      <c r="J5" s="4"/>
      <c r="K5" s="4"/>
    </row>
    <row r="6" ht="16" customHeight="1" s="4" customFormat="1">
      <c r="A6" s="4" t="s">
        <v>1083</v>
      </c>
      <c r="B6" s="4" t="s">
        <v>1049</v>
      </c>
      <c r="C6" s="4">
        <v>74882</v>
      </c>
      <c r="D6" s="4">
        <v>69127</v>
      </c>
      <c r="E6" s="4">
        <v>58903</v>
      </c>
      <c r="F6" s="4">
        <v>49779</v>
      </c>
      <c r="G6" s="4">
        <v>49157</v>
      </c>
      <c r="H6" s="4">
        <v>48385</v>
      </c>
      <c r="I6" s="4">
        <v>47878</v>
      </c>
      <c r="J6" s="4"/>
      <c r="K6" s="4"/>
    </row>
    <row r="7" ht="16" customHeight="1" s="4" customFormat="1">
      <c r="A7" s="4" t="s">
        <v>1084</v>
      </c>
      <c r="B7" s="4" t="s">
        <v>1049</v>
      </c>
      <c r="C7" s="4">
        <v>13044</v>
      </c>
      <c r="D7" s="4">
        <v>10164</v>
      </c>
      <c r="E7" s="4">
        <v>5950</v>
      </c>
      <c r="F7" s="4">
        <v>4489</v>
      </c>
      <c r="G7" s="4">
        <v>2277</v>
      </c>
      <c r="H7" s="4">
        <v>2962</v>
      </c>
      <c r="I7" s="4">
        <v>4571</v>
      </c>
      <c r="J7" s="4"/>
      <c r="K7" s="4"/>
    </row>
    <row r="8" ht="16" customHeight="1" s="4" customFormat="1">
      <c r="A8" s="4" t="s">
        <v>1085</v>
      </c>
      <c r="B8" s="4" t="s">
        <v>1049</v>
      </c>
      <c r="C8" s="4">
        <v>52711</v>
      </c>
      <c r="D8" s="4">
        <v>50621</v>
      </c>
      <c r="E8" s="4">
        <v>43448</v>
      </c>
      <c r="F8" s="4">
        <v>36151</v>
      </c>
      <c r="G8" s="4">
        <v>37900</v>
      </c>
      <c r="H8" s="4">
        <v>36647</v>
      </c>
      <c r="I8" s="4">
        <v>34634</v>
      </c>
      <c r="J8" s="4"/>
      <c r="K8" s="4"/>
    </row>
    <row r="9" ht="16" customHeight="1" s="4" customFormat="1">
      <c r="A9" s="4" t="s">
        <v>1086</v>
      </c>
      <c r="B9" s="4" t="s">
        <v>1049</v>
      </c>
      <c r="C9" s="4">
        <v>3223</v>
      </c>
      <c r="D9" s="4">
        <v>3105</v>
      </c>
      <c r="E9" s="4">
        <v>3426</v>
      </c>
      <c r="F9" s="4">
        <v>3386</v>
      </c>
      <c r="G9" s="4">
        <v>3132</v>
      </c>
      <c r="H9" s="4">
        <v>2828</v>
      </c>
      <c r="I9" s="4">
        <v>2596</v>
      </c>
      <c r="J9" s="4"/>
      <c r="K9" s="4"/>
    </row>
    <row r="10" ht="16" customHeight="1" s="4" customFormat="1">
      <c r="A10" s="4" t="s">
        <v>1087</v>
      </c>
      <c r="B10" s="4" t="s">
        <v>1049</v>
      </c>
      <c r="C10" s="4"/>
      <c r="D10" s="4"/>
      <c r="E10" s="4"/>
      <c r="F10" s="4">
        <v>962</v>
      </c>
      <c r="G10" s="4"/>
      <c r="H10" s="4"/>
      <c r="I10" s="4"/>
      <c r="J10" s="4"/>
      <c r="K10" s="4"/>
    </row>
    <row r="11" ht="16" customHeight="1" s="4" customFormat="1">
      <c r="A11" s="4" t="s">
        <v>1088</v>
      </c>
      <c r="B11" s="4" t="s">
        <v>1049</v>
      </c>
      <c r="C11" s="4">
        <v>5904</v>
      </c>
      <c r="D11" s="4">
        <v>5237</v>
      </c>
      <c r="E11" s="4">
        <v>6079</v>
      </c>
      <c r="F11" s="4">
        <v>4791</v>
      </c>
      <c r="G11" s="4">
        <v>5848</v>
      </c>
      <c r="H11" s="4">
        <v>5948</v>
      </c>
      <c r="I11" s="4">
        <v>6077</v>
      </c>
      <c r="J11" s="4"/>
      <c r="K11" s="4"/>
    </row>
    <row r="12" ht="16" customHeight="1" s="4" customFormat="1">
      <c r="A12" s="4" t="s">
        <v>1089</v>
      </c>
      <c r="B12" s="4" t="s">
        <v>1049</v>
      </c>
      <c r="C12" s="4">
        <v>74658</v>
      </c>
      <c r="D12" s="4">
        <v>79611</v>
      </c>
      <c r="E12" s="4">
        <v>87047</v>
      </c>
      <c r="F12" s="4">
        <v>65899</v>
      </c>
      <c r="G12" s="4">
        <v>59138</v>
      </c>
      <c r="H12" s="4">
        <v>63490</v>
      </c>
      <c r="I12" s="4">
        <v>76641</v>
      </c>
      <c r="J12" s="4"/>
      <c r="K12" s="4"/>
    </row>
    <row r="13" ht="16" customHeight="1" s="4" customFormat="1">
      <c r="A13" s="4" t="s">
        <v>1090</v>
      </c>
      <c r="B13" s="4" t="s">
        <v>1049</v>
      </c>
      <c r="C13" s="4">
        <v>43204</v>
      </c>
      <c r="D13" s="4">
        <v>48285</v>
      </c>
      <c r="E13" s="4">
        <v>53154</v>
      </c>
      <c r="F13" s="4">
        <v>38475</v>
      </c>
      <c r="G13" s="4">
        <v>32364</v>
      </c>
      <c r="H13" s="4">
        <v>32927</v>
      </c>
      <c r="I13" s="4">
        <v>27719</v>
      </c>
      <c r="J13" s="4"/>
      <c r="K13" s="4"/>
    </row>
    <row r="14" ht="16" customHeight="1" s="4" customFormat="1">
      <c r="A14" s="4" t="s">
        <v>1091</v>
      </c>
      <c r="B14" s="4" t="s">
        <v>1049</v>
      </c>
      <c r="C14" s="4">
        <v>21141</v>
      </c>
      <c r="D14" s="4">
        <v>21125</v>
      </c>
      <c r="E14" s="4">
        <v>22706</v>
      </c>
      <c r="F14" s="4">
        <v>16904</v>
      </c>
      <c r="G14" s="4">
        <v>19066</v>
      </c>
      <c r="H14" s="4">
        <v>22463</v>
      </c>
      <c r="I14" s="4">
        <v>31505</v>
      </c>
      <c r="J14" s="4"/>
      <c r="K14" s="4"/>
    </row>
    <row r="15" ht="16" customHeight="1" s="4" customFormat="1">
      <c r="A15" s="4" t="s">
        <v>1092</v>
      </c>
      <c r="B15" s="4" t="s">
        <v>1049</v>
      </c>
      <c r="C15" s="4">
        <v>118</v>
      </c>
      <c r="D15" s="4">
        <v>106</v>
      </c>
      <c r="E15" s="4">
        <v>144</v>
      </c>
      <c r="F15" s="4">
        <v>140</v>
      </c>
      <c r="G15" s="4">
        <v>84</v>
      </c>
      <c r="H15" s="4">
        <v>73</v>
      </c>
      <c r="I15" s="4">
        <v>65</v>
      </c>
      <c r="J15" s="4"/>
      <c r="K15" s="4"/>
    </row>
    <row r="16" ht="16" customHeight="1" s="4" customFormat="1">
      <c r="A16" s="4" t="s">
        <v>1093</v>
      </c>
      <c r="B16" s="4" t="s">
        <v>1049</v>
      </c>
      <c r="C16" s="4">
        <v>10195</v>
      </c>
      <c r="D16" s="4">
        <v>10095</v>
      </c>
      <c r="E16" s="4">
        <v>11043</v>
      </c>
      <c r="F16" s="4">
        <v>10380</v>
      </c>
      <c r="G16" s="4">
        <v>7624</v>
      </c>
      <c r="H16" s="4">
        <v>8027</v>
      </c>
      <c r="I16" s="4">
        <v>17352</v>
      </c>
      <c r="J16" s="4"/>
      <c r="K16" s="4"/>
    </row>
    <row r="17" ht="16" customHeight="1" s="4" customFormat="1">
      <c r="A17" s="4" t="s">
        <v>1094</v>
      </c>
      <c r="B17" s="4" t="s">
        <v>1049</v>
      </c>
      <c r="C17" s="4">
        <v>203293</v>
      </c>
      <c r="D17" s="4">
        <v>190807</v>
      </c>
      <c r="E17" s="4">
        <v>195377</v>
      </c>
      <c r="F17" s="4">
        <v>198382</v>
      </c>
      <c r="G17" s="4">
        <v>185711</v>
      </c>
      <c r="H17" s="4">
        <v>183622</v>
      </c>
      <c r="I17" s="4">
        <v>202043</v>
      </c>
      <c r="J17" s="4"/>
      <c r="K17" s="4"/>
    </row>
    <row r="18" ht="16" customHeight="1" s="4" customFormat="1">
      <c r="A18" s="4" t="s">
        <v>1095</v>
      </c>
      <c r="B18" s="4" t="s">
        <v>1049</v>
      </c>
      <c r="C18" s="4">
        <v>151819</v>
      </c>
      <c r="D18" s="4">
        <v>139002</v>
      </c>
      <c r="E18" s="4">
        <v>134918</v>
      </c>
      <c r="F18" s="4">
        <v>130177</v>
      </c>
      <c r="G18" s="4">
        <v>129802</v>
      </c>
      <c r="H18" s="4">
        <v>126143</v>
      </c>
      <c r="I18" s="4">
        <v>142215</v>
      </c>
      <c r="J18" s="4"/>
      <c r="K18" s="4"/>
    </row>
    <row r="19" ht="16" customHeight="1" s="4" customFormat="1">
      <c r="A19" s="4" t="s">
        <v>1096</v>
      </c>
      <c r="B19" s="4" t="s">
        <v>1049</v>
      </c>
      <c r="C19" s="4">
        <v>30939</v>
      </c>
      <c r="D19" s="4">
        <v>20331</v>
      </c>
      <c r="E19" s="4">
        <v>17273</v>
      </c>
      <c r="F19" s="4">
        <v>14230</v>
      </c>
      <c r="G19" s="4">
        <v>13880</v>
      </c>
      <c r="H19" s="4">
        <v>16837</v>
      </c>
      <c r="I19" s="4">
        <v>22236</v>
      </c>
      <c r="J19" s="4"/>
      <c r="K19" s="4"/>
    </row>
    <row r="20" ht="16" customHeight="1" s="4" customFormat="1">
      <c r="A20" s="4" t="s">
        <v>1097</v>
      </c>
      <c r="B20" s="4" t="s">
        <v>1049</v>
      </c>
      <c r="C20" s="4">
        <v>3353</v>
      </c>
      <c r="D20" s="4">
        <v>2689</v>
      </c>
      <c r="E20" s="4">
        <v>7074</v>
      </c>
      <c r="F20" s="4">
        <v>5085</v>
      </c>
      <c r="G20" s="4">
        <v>5860</v>
      </c>
      <c r="H20" s="4">
        <v>6889</v>
      </c>
      <c r="I20" s="4">
        <v>3475</v>
      </c>
      <c r="J20" s="4"/>
      <c r="K20" s="4"/>
    </row>
    <row r="21" ht="16" customHeight="1" s="4" customFormat="1">
      <c r="A21" s="4" t="s">
        <v>1098</v>
      </c>
      <c r="B21" s="4" t="s">
        <v>1049</v>
      </c>
      <c r="C21" s="4">
        <v>2071</v>
      </c>
      <c r="D21" s="4">
        <v>2248</v>
      </c>
      <c r="E21" s="4">
        <v>1976</v>
      </c>
      <c r="F21" s="4">
        <v>1476</v>
      </c>
      <c r="G21" s="4">
        <v>1041</v>
      </c>
      <c r="H21" s="4">
        <v>882</v>
      </c>
      <c r="I21" s="4">
        <v>882</v>
      </c>
      <c r="J21" s="4"/>
      <c r="K21" s="4"/>
    </row>
    <row r="22" ht="16" customHeight="1" s="4" customFormat="1">
      <c r="A22" s="4" t="s">
        <v>1099</v>
      </c>
      <c r="B22" s="4" t="s">
        <v>1049</v>
      </c>
      <c r="C22" s="4">
        <v>2957</v>
      </c>
      <c r="D22" s="4">
        <v>2558</v>
      </c>
      <c r="E22" s="4">
        <v>2256</v>
      </c>
      <c r="F22" s="4">
        <v>1649</v>
      </c>
      <c r="G22" s="4">
        <v>2434</v>
      </c>
      <c r="H22" s="4">
        <v>1748</v>
      </c>
      <c r="I22" s="4">
        <v>2723</v>
      </c>
      <c r="J22" s="4"/>
      <c r="K22" s="4"/>
    </row>
    <row r="23" ht="16" customHeight="1" s="4" customFormat="1">
      <c r="A23" s="4" t="s">
        <v>1100</v>
      </c>
      <c r="B23" s="4" t="s">
        <v>1049</v>
      </c>
      <c r="C23" s="4">
        <v>3893</v>
      </c>
      <c r="D23" s="4">
        <v>4375</v>
      </c>
      <c r="E23" s="4">
        <v>2497</v>
      </c>
      <c r="F23" s="4">
        <v>7614</v>
      </c>
      <c r="G23" s="4">
        <v>9494</v>
      </c>
      <c r="H23" s="4">
        <v>3645</v>
      </c>
      <c r="I23" s="4">
        <v>4270</v>
      </c>
      <c r="J23" s="4"/>
      <c r="K23" s="4"/>
    </row>
    <row r="24" ht="16" customHeight="1" s="4" customFormat="1">
      <c r="A24" s="4" t="s">
        <v>1101</v>
      </c>
      <c r="B24" s="4" t="s">
        <v>1049</v>
      </c>
      <c r="C24" s="4">
        <v>1723</v>
      </c>
      <c r="D24" s="4">
        <v>1089</v>
      </c>
      <c r="E24" s="4">
        <v>800</v>
      </c>
      <c r="F24" s="4">
        <v>231</v>
      </c>
      <c r="G24" s="4">
        <v>211</v>
      </c>
      <c r="H24" s="4">
        <v>850</v>
      </c>
      <c r="I24" s="4">
        <v>4914</v>
      </c>
      <c r="J24" s="4"/>
      <c r="K24" s="4"/>
    </row>
    <row r="25" ht="16" customHeight="1" s="4" customFormat="1">
      <c r="A25" s="4" t="s">
        <v>1102</v>
      </c>
      <c r="B25" s="4" t="s">
        <v>1049</v>
      </c>
      <c r="C25" s="4">
        <v>2623</v>
      </c>
      <c r="D25" s="4">
        <v>2446</v>
      </c>
      <c r="E25" s="4">
        <v>2546</v>
      </c>
      <c r="F25" s="4">
        <v>3076</v>
      </c>
      <c r="G25" s="4">
        <v>3455</v>
      </c>
      <c r="H25" s="4">
        <v>3111</v>
      </c>
      <c r="I25" s="4">
        <v>3688</v>
      </c>
      <c r="J25" s="4"/>
      <c r="K25" s="4"/>
    </row>
    <row r="26" ht="16" customHeight="1" s="4" customFormat="1">
      <c r="A26" s="4" t="s">
        <v>1103</v>
      </c>
      <c r="B26" s="4" t="s">
        <v>1049</v>
      </c>
      <c r="C26" s="4">
        <v>6426</v>
      </c>
      <c r="D26" s="4">
        <v>6551</v>
      </c>
      <c r="E26" s="4">
        <v>6728</v>
      </c>
      <c r="F26" s="4">
        <v>4826</v>
      </c>
      <c r="G26" s="4">
        <v>3998</v>
      </c>
      <c r="H26" s="4">
        <v>4159</v>
      </c>
      <c r="I26" s="4">
        <v>4512</v>
      </c>
      <c r="J26" s="4"/>
      <c r="K26" s="4"/>
    </row>
    <row r="27" ht="16" customHeight="1" s="4" customFormat="1">
      <c r="A27" s="4" t="s">
        <v>1104</v>
      </c>
      <c r="B27" s="4" t="s">
        <v>1049</v>
      </c>
      <c r="C27" s="4">
        <v>97834</v>
      </c>
      <c r="D27" s="4">
        <v>96715</v>
      </c>
      <c r="E27" s="4">
        <v>93768</v>
      </c>
      <c r="F27" s="4">
        <v>91990</v>
      </c>
      <c r="G27" s="4">
        <v>89429</v>
      </c>
      <c r="H27" s="4">
        <v>88022</v>
      </c>
      <c r="I27" s="4">
        <v>95515</v>
      </c>
      <c r="J27" s="4"/>
      <c r="K27" s="4"/>
    </row>
    <row r="28" ht="16" customHeight="1" s="4" customFormat="1">
      <c r="A28" s="4" t="s">
        <v>1105</v>
      </c>
      <c r="B28" s="4" t="s">
        <v>1049</v>
      </c>
      <c r="C28" s="4">
        <v>51474</v>
      </c>
      <c r="D28" s="4">
        <v>51805</v>
      </c>
      <c r="E28" s="4">
        <v>60459</v>
      </c>
      <c r="F28" s="4">
        <v>68205</v>
      </c>
      <c r="G28" s="4">
        <v>55910</v>
      </c>
      <c r="H28" s="4">
        <v>57480</v>
      </c>
      <c r="I28" s="4">
        <v>59828</v>
      </c>
      <c r="J28" s="4"/>
      <c r="K28" s="4"/>
    </row>
    <row r="29" ht="16" customHeight="1" s="4" customFormat="1">
      <c r="A29" s="4" t="s">
        <v>1106</v>
      </c>
      <c r="B29" s="4" t="s">
        <v>1049</v>
      </c>
      <c r="C29" s="4">
        <v>3236</v>
      </c>
      <c r="D29" s="4">
        <v>2841</v>
      </c>
      <c r="E29" s="4">
        <v>7547</v>
      </c>
      <c r="F29" s="4">
        <v>5873</v>
      </c>
      <c r="G29" s="4">
        <v>2761</v>
      </c>
      <c r="H29" s="4">
        <v>2486</v>
      </c>
      <c r="I29" s="4">
        <v>4333</v>
      </c>
      <c r="J29" s="4"/>
      <c r="K29" s="4"/>
    </row>
    <row r="30" ht="16" customHeight="1" s="4" customFormat="1">
      <c r="A30" s="4" t="s">
        <v>1107</v>
      </c>
      <c r="B30" s="4" t="s">
        <v>1049</v>
      </c>
      <c r="C30" s="4">
        <v>17391</v>
      </c>
      <c r="D30" s="4">
        <v>12284</v>
      </c>
      <c r="E30" s="4">
        <v>14078</v>
      </c>
      <c r="F30" s="4">
        <v>26057</v>
      </c>
      <c r="G30" s="4">
        <v>29078</v>
      </c>
      <c r="H30" s="4">
        <v>34180</v>
      </c>
      <c r="I30" s="4">
        <v>31290</v>
      </c>
      <c r="J30" s="4"/>
      <c r="K30" s="4"/>
    </row>
    <row r="31" ht="16" customHeight="1" s="4" customFormat="1">
      <c r="A31" s="4" t="s">
        <v>1108</v>
      </c>
      <c r="B31" s="4" t="s">
        <v>1049</v>
      </c>
      <c r="C31" s="4">
        <v>14474</v>
      </c>
      <c r="D31" s="4">
        <v>13001</v>
      </c>
      <c r="E31" s="4">
        <v>15012</v>
      </c>
      <c r="F31" s="4">
        <v>14313</v>
      </c>
      <c r="G31" s="4">
        <v>9923</v>
      </c>
      <c r="H31" s="4">
        <v>11335</v>
      </c>
      <c r="I31" s="4">
        <v>13198</v>
      </c>
      <c r="J31" s="4"/>
      <c r="K31" s="4"/>
    </row>
    <row r="32" ht="16" customHeight="1" s="4" customFormat="1">
      <c r="A32" s="4" t="s">
        <v>1109</v>
      </c>
      <c r="B32" s="4" t="s">
        <v>1049</v>
      </c>
      <c r="C32" s="4">
        <v>3834</v>
      </c>
      <c r="D32" s="4">
        <v>5864</v>
      </c>
      <c r="E32" s="4">
        <v>9434</v>
      </c>
      <c r="F32" s="4">
        <v>2701</v>
      </c>
      <c r="G32" s="4">
        <v>2813</v>
      </c>
      <c r="H32" s="4">
        <v>2894</v>
      </c>
      <c r="I32" s="4">
        <v>2101</v>
      </c>
      <c r="J32" s="4"/>
      <c r="K32" s="4"/>
    </row>
    <row r="33" ht="16" customHeight="1" s="4" customFormat="1">
      <c r="A33" s="4" t="s">
        <v>1110</v>
      </c>
      <c r="B33" s="4" t="s">
        <v>1049</v>
      </c>
      <c r="C33" s="4">
        <v>9172</v>
      </c>
      <c r="D33" s="4">
        <v>14341</v>
      </c>
      <c r="E33" s="4">
        <v>10520</v>
      </c>
      <c r="F33" s="4">
        <v>14433</v>
      </c>
      <c r="G33" s="4">
        <v>8141</v>
      </c>
      <c r="H33" s="4">
        <v>3888</v>
      </c>
      <c r="I33" s="4">
        <v>4924</v>
      </c>
      <c r="J33" s="4"/>
      <c r="K33" s="4"/>
    </row>
    <row r="34" ht="16" customHeight="1">
      <c r="A34" s="3" t="s">
        <v>1111</v>
      </c>
      <c r="B34" s="3" t="s">
        <v>1049</v>
      </c>
      <c r="C34" s="3">
        <v>3367</v>
      </c>
      <c r="D34" s="3">
        <v>3474</v>
      </c>
      <c r="E34" s="3">
        <v>3868</v>
      </c>
      <c r="F34" s="3">
        <v>4828</v>
      </c>
      <c r="G34" s="3">
        <v>3194</v>
      </c>
      <c r="H34" s="3">
        <v>2697</v>
      </c>
      <c r="I34" s="3">
        <v>3982</v>
      </c>
    </row>
    <row r="35" ht="16" customHeight="1">
      <c r="A35" s="3" t="s">
        <v>1054</v>
      </c>
      <c r="B35" s="3" t="s">
        <v>1049</v>
      </c>
      <c r="C35" s="3">
        <v>203293</v>
      </c>
      <c r="D35" s="3">
        <v>190807</v>
      </c>
      <c r="E35" s="3">
        <v>195377</v>
      </c>
      <c r="F35" s="3">
        <v>198382</v>
      </c>
      <c r="G35" s="3">
        <v>185712</v>
      </c>
      <c r="H35" s="3">
        <v>183623</v>
      </c>
      <c r="I35" s="3">
        <v>202043</v>
      </c>
    </row>
  </sheetData>
  <headerFooter/>
</worksheet>
</file>

<file path=xl/worksheets/sheet14.xml><?xml version="1.0" encoding="utf-8"?>
<worksheet xmlns:r="http://schemas.openxmlformats.org/officeDocument/2006/relationships" xmlns="http://schemas.openxmlformats.org/spreadsheetml/2006/main">
  <dimension ref="A1:H52"/>
  <sheetViews>
    <sheetView workbookViewId="0"/>
  </sheetViews>
  <sheetFormatPr defaultRowHeight="15"/>
  <cols>
    <col min="1" max="1" width="69.9324951171875" customWidth="1" style="3"/>
    <col min="2" max="2" width="9.140625" customWidth="1" style="3"/>
    <col min="3" max="3" width="9.140625" customWidth="1" style="3"/>
    <col min="4" max="4" width="9.140625" customWidth="1" style="3"/>
    <col min="5" max="5" width="9.140625" customWidth="1" style="3"/>
    <col min="6" max="16384" width="9.140625" customWidth="1" style="3"/>
    <col min="7" max="16384" width="9.140625" customWidth="1" style="3"/>
    <col min="8" max="16384" width="9.140625" customWidth="1" style="3"/>
  </cols>
  <sheetData>
    <row r="1" ht="20" customHeight="1" s="1" customFormat="1">
      <c r="A1" s="2" t="s">
        <v>2</v>
      </c>
      <c r="B1" s="2" t="s">
        <v>1040</v>
      </c>
      <c r="C1" s="2" t="s">
        <v>1041</v>
      </c>
      <c r="D1" s="2" t="s">
        <v>1042</v>
      </c>
      <c r="E1" s="2" t="s">
        <v>1043</v>
      </c>
      <c r="F1" s="2" t="s">
        <v>1044</v>
      </c>
    </row>
    <row r="2" ht="16" customHeight="1" s="4" customFormat="1">
      <c r="A2" s="7" t="s">
        <v>1112</v>
      </c>
      <c r="B2" s="7"/>
      <c r="C2" s="7"/>
      <c r="D2" s="7"/>
      <c r="E2" s="7"/>
      <c r="F2" s="7"/>
      <c r="G2" s="4"/>
      <c r="H2" s="4"/>
    </row>
    <row r="3" ht="16" customHeight="1" s="4" customFormat="1">
      <c r="A3" s="4" t="s">
        <v>1113</v>
      </c>
      <c r="B3" s="4">
        <v>1.4</v>
      </c>
      <c r="C3" s="4">
        <v>1.9</v>
      </c>
      <c r="D3" s="4">
        <v>1.8</v>
      </c>
      <c r="E3" s="4">
        <v>0.8</v>
      </c>
      <c r="F3" s="4">
        <v>0.76</v>
      </c>
      <c r="G3" s="4"/>
      <c r="H3" s="4"/>
    </row>
    <row r="4" ht="16" customHeight="1" s="4" customFormat="1">
      <c r="A4" s="4" t="s">
        <v>1114</v>
      </c>
      <c r="B4" s="4">
        <v>2.5</v>
      </c>
      <c r="C4" s="4">
        <v>2.9</v>
      </c>
      <c r="D4" s="4">
        <v>2.3</v>
      </c>
      <c r="E4" s="4">
        <v>1.3</v>
      </c>
      <c r="F4" s="4">
        <v>1.4</v>
      </c>
      <c r="G4" s="4"/>
      <c r="H4" s="4"/>
    </row>
    <row r="5" ht="16" customHeight="1" s="4" customFormat="1">
      <c r="A5" s="4" t="s">
        <v>1115</v>
      </c>
      <c r="B5" s="4">
        <v>189</v>
      </c>
      <c r="C5" s="4">
        <v>193</v>
      </c>
      <c r="D5" s="4">
        <v>178</v>
      </c>
      <c r="E5" s="4">
        <v>143</v>
      </c>
      <c r="F5" s="4">
        <v>153</v>
      </c>
      <c r="G5" s="4"/>
      <c r="H5" s="4"/>
    </row>
    <row r="6" ht="16" customHeight="1" s="4" customFormat="1">
      <c r="A6" s="4" t="s">
        <v>1116</v>
      </c>
      <c r="B6" s="4">
        <v>1.4</v>
      </c>
      <c r="C6" s="4">
        <v>1.7</v>
      </c>
      <c r="D6" s="4">
        <v>1.3</v>
      </c>
      <c r="E6" s="4">
        <v>0.64</v>
      </c>
      <c r="F6" s="4">
        <v>0.74</v>
      </c>
      <c r="G6" s="4"/>
      <c r="H6" s="4"/>
    </row>
    <row r="7" ht="16" customHeight="1" s="4" customFormat="1">
      <c r="A7" s="4" t="s">
        <v>1117</v>
      </c>
      <c r="B7" s="4">
        <v>0.42</v>
      </c>
      <c r="C7" s="4">
        <v>0.33</v>
      </c>
      <c r="D7" s="4">
        <v>0.37</v>
      </c>
      <c r="E7" s="4">
        <v>0.67</v>
      </c>
      <c r="F7" s="4">
        <v>0.37</v>
      </c>
      <c r="G7" s="4"/>
      <c r="H7" s="4"/>
    </row>
    <row r="8" ht="16" customHeight="1" s="4" customFormat="1">
      <c r="A8" s="4" t="s">
        <v>1118</v>
      </c>
      <c r="B8" s="4">
        <v>0.26</v>
      </c>
      <c r="C8" s="4">
        <v>0.22</v>
      </c>
      <c r="D8" s="4">
        <v>0.25</v>
      </c>
      <c r="E8" s="4">
        <v>0.42</v>
      </c>
      <c r="F8" s="4">
        <v>0.42</v>
      </c>
      <c r="G8" s="4"/>
      <c r="H8" s="4"/>
    </row>
    <row r="9" ht="16" customHeight="1" s="4" customFormat="1">
      <c r="A9" s="4" t="s">
        <v>1119</v>
      </c>
      <c r="B9" s="4">
        <v>0.98</v>
      </c>
      <c r="C9" s="4">
        <v>1.2</v>
      </c>
      <c r="D9" s="4">
        <v>0.88</v>
      </c>
      <c r="E9" s="4">
        <v>0.44</v>
      </c>
      <c r="F9" s="4">
        <v>0.49</v>
      </c>
      <c r="G9" s="4"/>
      <c r="H9" s="4"/>
    </row>
    <row r="10" ht="16" customHeight="1" s="4" customFormat="1">
      <c r="A10" s="4" t="s">
        <v>1120</v>
      </c>
      <c r="B10" s="4">
        <v>0.39</v>
      </c>
      <c r="C10" s="4">
        <v>0.5</v>
      </c>
      <c r="D10" s="4">
        <v>0.46</v>
      </c>
      <c r="E10" s="4">
        <v>0.2</v>
      </c>
      <c r="F10" s="4">
        <v>0.25</v>
      </c>
      <c r="G10" s="4"/>
      <c r="H10" s="4"/>
    </row>
    <row r="11" ht="16" customHeight="1" s="4" customFormat="1">
      <c r="A11" s="4" t="s">
        <v>1121</v>
      </c>
      <c r="B11" s="4">
        <v>1.6</v>
      </c>
      <c r="C11" s="4">
        <v>1.9</v>
      </c>
      <c r="D11" s="4">
        <v>1.8</v>
      </c>
      <c r="E11" s="4">
        <v>1.1</v>
      </c>
      <c r="F11" s="4">
        <v>1.9</v>
      </c>
      <c r="G11" s="4"/>
      <c r="H11" s="4"/>
    </row>
    <row r="12" ht="16" customHeight="1" s="4" customFormat="1">
      <c r="A12" s="4" t="s">
        <v>1122</v>
      </c>
      <c r="B12" s="4">
        <v>181</v>
      </c>
      <c r="C12" s="4">
        <v>185</v>
      </c>
      <c r="D12" s="4">
        <v>158</v>
      </c>
      <c r="E12" s="4">
        <v>127</v>
      </c>
      <c r="F12" s="4">
        <v>146</v>
      </c>
      <c r="G12" s="4"/>
      <c r="H12" s="4"/>
    </row>
    <row r="13" ht="16" customHeight="1" s="4" customFormat="1">
      <c r="A13" s="4" t="s">
        <v>1123</v>
      </c>
      <c r="B13" s="4">
        <v>1.5</v>
      </c>
      <c r="C13" s="4">
        <v>1.8</v>
      </c>
      <c r="D13" s="4">
        <v>1.6</v>
      </c>
      <c r="E13" s="4">
        <v>0.99</v>
      </c>
      <c r="F13" s="4">
        <v>1.8</v>
      </c>
      <c r="G13" s="4"/>
      <c r="H13" s="4"/>
    </row>
    <row r="14" ht="16" customHeight="1" s="4" customFormat="1">
      <c r="A14" s="4" t="s">
        <v>1124</v>
      </c>
      <c r="B14" s="4">
        <v>3.6</v>
      </c>
      <c r="C14" s="4">
        <v>2.5</v>
      </c>
      <c r="D14" s="4">
        <v>4.3</v>
      </c>
      <c r="E14" s="4">
        <v>7.9</v>
      </c>
      <c r="F14" s="4">
        <v>4.3</v>
      </c>
      <c r="G14" s="4"/>
      <c r="H14" s="4"/>
    </row>
    <row r="15" ht="16" customHeight="1" s="4" customFormat="1">
      <c r="A15" s="4" t="s">
        <v>1125</v>
      </c>
      <c r="B15" s="4" t="s">
        <v>1126</v>
      </c>
      <c r="C15" s="4" t="s">
        <v>1127</v>
      </c>
      <c r="D15" s="4" t="s">
        <v>1128</v>
      </c>
      <c r="E15" s="4" t="s">
        <v>1129</v>
      </c>
      <c r="F15" s="4" t="s">
        <v>1130</v>
      </c>
      <c r="G15" s="4"/>
      <c r="H15" s="4"/>
    </row>
    <row r="16" ht="16" customHeight="1" s="4" customFormat="1">
      <c r="A16" s="4" t="s">
        <v>1131</v>
      </c>
      <c r="B16" s="4">
        <v>53753</v>
      </c>
      <c r="C16" s="4">
        <v>42069</v>
      </c>
      <c r="D16" s="4">
        <v>49427</v>
      </c>
      <c r="E16" s="4">
        <v>82704</v>
      </c>
      <c r="F16" s="4">
        <v>77416</v>
      </c>
      <c r="G16" s="4"/>
      <c r="H16" s="4"/>
    </row>
    <row r="17" ht="16" customHeight="1" s="4" customFormat="1">
      <c r="A17" s="7" t="s">
        <v>1132</v>
      </c>
      <c r="B17" s="7"/>
      <c r="C17" s="7"/>
      <c r="D17" s="7"/>
      <c r="E17" s="7"/>
      <c r="F17" s="7"/>
      <c r="G17" s="4"/>
      <c r="H17" s="4"/>
    </row>
    <row r="18" ht="16" customHeight="1" s="4" customFormat="1">
      <c r="A18" s="4" t="s">
        <v>1133</v>
      </c>
      <c r="B18" s="4">
        <v>0.69</v>
      </c>
      <c r="C18" s="4">
        <v>0.65</v>
      </c>
      <c r="D18" s="4">
        <v>0.69</v>
      </c>
      <c r="E18" s="4">
        <v>1</v>
      </c>
      <c r="F18" s="4">
        <v>0.95</v>
      </c>
      <c r="G18" s="4"/>
      <c r="H18" s="4"/>
    </row>
    <row r="19" ht="16" customHeight="1" s="4" customFormat="1">
      <c r="A19" s="4" t="s">
        <v>1134</v>
      </c>
      <c r="B19" s="4">
        <v>-23184</v>
      </c>
      <c r="C19" s="4">
        <v>-27806</v>
      </c>
      <c r="D19" s="4">
        <v>-26588</v>
      </c>
      <c r="E19" s="4">
        <v>2306</v>
      </c>
      <c r="F19" s="4">
        <v>-3228</v>
      </c>
      <c r="G19" s="4"/>
      <c r="H19" s="4"/>
    </row>
    <row r="20" ht="16" customHeight="1" s="4" customFormat="1">
      <c r="A20" s="4" t="s">
        <v>1135</v>
      </c>
      <c r="B20" s="4">
        <v>3236</v>
      </c>
      <c r="C20" s="4">
        <v>2841</v>
      </c>
      <c r="D20" s="4">
        <v>7547</v>
      </c>
      <c r="E20" s="4">
        <v>5873</v>
      </c>
      <c r="F20" s="4">
        <v>2761</v>
      </c>
      <c r="G20" s="4"/>
      <c r="H20" s="4"/>
    </row>
    <row r="21" ht="16" customHeight="1" s="4" customFormat="1">
      <c r="A21" s="4" t="s">
        <v>1136</v>
      </c>
      <c r="B21" s="4" t="s">
        <v>1137</v>
      </c>
      <c r="C21" s="4" t="s">
        <v>1138</v>
      </c>
      <c r="D21" s="4" t="s">
        <v>1139</v>
      </c>
      <c r="E21" s="4" t="s">
        <v>1140</v>
      </c>
      <c r="F21" s="4" t="s">
        <v>1141</v>
      </c>
      <c r="G21" s="4"/>
      <c r="H21" s="4"/>
    </row>
    <row r="22" ht="16" customHeight="1" s="4" customFormat="1">
      <c r="A22" s="4" t="s">
        <v>1142</v>
      </c>
      <c r="B22" s="4">
        <v>8</v>
      </c>
      <c r="C22" s="4">
        <v>8.8</v>
      </c>
      <c r="D22" s="4">
        <v>9.6</v>
      </c>
      <c r="E22" s="4">
        <v>13.3</v>
      </c>
      <c r="F22" s="4">
        <v>13.2</v>
      </c>
      <c r="G22" s="4"/>
      <c r="H22" s="4"/>
    </row>
    <row r="23" ht="16" customHeight="1" s="4" customFormat="1">
      <c r="A23" s="4" t="s">
        <v>1143</v>
      </c>
      <c r="B23" s="4">
        <v>34.5</v>
      </c>
      <c r="C23" s="4">
        <v>33</v>
      </c>
      <c r="D23" s="4">
        <v>37.2</v>
      </c>
      <c r="E23" s="4">
        <v>39.4</v>
      </c>
      <c r="F23" s="4">
        <v>41.2</v>
      </c>
      <c r="G23" s="4"/>
      <c r="H23" s="4"/>
    </row>
    <row r="24" ht="16" customHeight="1" s="4" customFormat="1">
      <c r="A24" s="4" t="s">
        <v>1144</v>
      </c>
      <c r="B24" s="4">
        <v>68</v>
      </c>
      <c r="C24" s="4">
        <v>64.2</v>
      </c>
      <c r="D24" s="4">
        <v>67.1</v>
      </c>
      <c r="E24" s="4">
        <v>83.4</v>
      </c>
      <c r="F24" s="4">
        <v>87.6</v>
      </c>
      <c r="G24" s="4"/>
      <c r="H24" s="4"/>
    </row>
    <row r="25" ht="16" customHeight="1" s="4" customFormat="1">
      <c r="A25" s="4" t="s">
        <v>1145</v>
      </c>
      <c r="B25" s="4">
        <v>10195</v>
      </c>
      <c r="C25" s="4">
        <v>10095</v>
      </c>
      <c r="D25" s="4">
        <v>11043</v>
      </c>
      <c r="E25" s="4">
        <v>10380</v>
      </c>
      <c r="F25" s="4">
        <v>7624</v>
      </c>
      <c r="G25" s="4"/>
      <c r="H25" s="4"/>
    </row>
    <row r="26" ht="16" customHeight="1" s="4" customFormat="1">
      <c r="A26" s="4" t="s">
        <v>1146</v>
      </c>
      <c r="B26" s="4">
        <v>24.3</v>
      </c>
      <c r="C26" s="4">
        <v>25.6</v>
      </c>
      <c r="D26" s="4">
        <v>27.4</v>
      </c>
      <c r="E26" s="4">
        <v>28.5</v>
      </c>
      <c r="F26" s="4">
        <v>31.6</v>
      </c>
      <c r="G26" s="4"/>
      <c r="H26" s="4"/>
    </row>
    <row r="27" ht="16" customHeight="1" s="4" customFormat="1">
      <c r="A27" s="4" t="s">
        <v>1147</v>
      </c>
      <c r="B27" s="4">
        <v>47.9</v>
      </c>
      <c r="C27" s="4">
        <v>49.9</v>
      </c>
      <c r="D27" s="4">
        <v>49.3</v>
      </c>
      <c r="E27" s="4">
        <v>60.5</v>
      </c>
      <c r="F27" s="4">
        <v>67.3</v>
      </c>
      <c r="G27" s="4"/>
      <c r="H27" s="4"/>
    </row>
    <row r="28" ht="16" customHeight="1" s="4" customFormat="1">
      <c r="A28" s="4" t="s">
        <v>1148</v>
      </c>
      <c r="B28" s="4">
        <v>18.2</v>
      </c>
      <c r="C28" s="4">
        <v>16.2</v>
      </c>
      <c r="D28" s="4">
        <v>19.4</v>
      </c>
      <c r="E28" s="4">
        <v>24.1</v>
      </c>
      <c r="F28" s="4">
        <v>22.8</v>
      </c>
      <c r="G28" s="4"/>
      <c r="H28" s="4"/>
    </row>
    <row r="29" ht="16" customHeight="1" s="4" customFormat="1">
      <c r="A29" s="4" t="s">
        <v>1149</v>
      </c>
      <c r="B29" s="4">
        <v>7.4</v>
      </c>
      <c r="C29" s="4">
        <v>7</v>
      </c>
      <c r="D29" s="4">
        <v>18.1</v>
      </c>
      <c r="E29" s="4">
        <v>15.6</v>
      </c>
      <c r="F29" s="4">
        <v>10.9</v>
      </c>
      <c r="G29" s="4"/>
      <c r="H29" s="4"/>
    </row>
    <row r="30" ht="16" customHeight="1" s="4" customFormat="1">
      <c r="A30" s="4" t="s">
        <v>1150</v>
      </c>
      <c r="B30" s="4">
        <v>121</v>
      </c>
      <c r="C30" s="4">
        <v>130</v>
      </c>
      <c r="D30" s="4">
        <v>148</v>
      </c>
      <c r="E30" s="4">
        <v>185</v>
      </c>
      <c r="F30" s="4">
        <v>229</v>
      </c>
      <c r="G30" s="4"/>
      <c r="H30" s="4"/>
    </row>
    <row r="31" ht="16" customHeight="1" s="4" customFormat="1">
      <c r="A31" s="4" t="s">
        <v>1151</v>
      </c>
      <c r="B31" s="4" t="s">
        <v>1152</v>
      </c>
      <c r="C31" s="4" t="s">
        <v>1153</v>
      </c>
      <c r="D31" s="4" t="s">
        <v>1154</v>
      </c>
      <c r="E31" s="4" t="s">
        <v>1155</v>
      </c>
      <c r="F31" s="4" t="s">
        <v>1156</v>
      </c>
      <c r="G31" s="4"/>
      <c r="H31" s="4"/>
    </row>
    <row r="32" ht="16" customHeight="1" s="4" customFormat="1">
      <c r="A32" s="4" t="s">
        <v>1157</v>
      </c>
      <c r="B32" s="4"/>
      <c r="C32" s="4"/>
      <c r="D32" s="4"/>
      <c r="E32" s="4"/>
      <c r="F32" s="4"/>
      <c r="G32" s="4"/>
      <c r="H32" s="4"/>
    </row>
    <row r="33" ht="16" customHeight="1" s="4" customFormat="1">
      <c r="A33" s="4" t="s">
        <v>1158</v>
      </c>
      <c r="B33" s="4">
        <v>77660</v>
      </c>
      <c r="C33" s="4">
        <v>73870</v>
      </c>
      <c r="D33" s="4">
        <v>81696</v>
      </c>
      <c r="E33" s="4">
        <v>62651</v>
      </c>
      <c r="F33" s="4">
        <v>41343</v>
      </c>
      <c r="G33" s="4"/>
      <c r="H33" s="4"/>
    </row>
    <row r="34" ht="16" customHeight="1" s="4" customFormat="1">
      <c r="A34" s="4" t="s">
        <v>1159</v>
      </c>
      <c r="B34" s="4">
        <v>70.6</v>
      </c>
      <c r="C34" s="4">
        <v>74.2</v>
      </c>
      <c r="D34" s="4">
        <v>75.2</v>
      </c>
      <c r="E34" s="4">
        <v>65</v>
      </c>
      <c r="F34" s="4">
        <v>66.4</v>
      </c>
      <c r="G34" s="4"/>
      <c r="H34" s="4"/>
    </row>
    <row r="35" ht="16" customHeight="1" s="4" customFormat="1">
      <c r="A35" s="7" t="s">
        <v>1160</v>
      </c>
      <c r="B35" s="7"/>
      <c r="C35" s="7"/>
      <c r="D35" s="7"/>
      <c r="E35" s="7"/>
      <c r="F35" s="7"/>
      <c r="G35" s="4"/>
      <c r="H35" s="4"/>
    </row>
    <row r="36" ht="16" customHeight="1" s="4" customFormat="1">
      <c r="A36" s="4" t="s">
        <v>1161</v>
      </c>
      <c r="B36" s="4" t="s">
        <v>1162</v>
      </c>
      <c r="C36" s="4" t="s">
        <v>1163</v>
      </c>
      <c r="D36" s="4" t="s">
        <v>1164</v>
      </c>
      <c r="E36" s="4" t="s">
        <v>1165</v>
      </c>
      <c r="F36" s="4" t="s">
        <v>1166</v>
      </c>
      <c r="G36" s="4"/>
      <c r="H36" s="4"/>
    </row>
    <row r="37" ht="16" customHeight="1" s="4" customFormat="1">
      <c r="A37" s="4" t="s">
        <v>1167</v>
      </c>
      <c r="B37" s="4">
        <v>0.72</v>
      </c>
      <c r="C37" s="4">
        <v>0.76</v>
      </c>
      <c r="D37" s="4">
        <v>0.77</v>
      </c>
      <c r="E37" s="4">
        <v>0.66</v>
      </c>
      <c r="F37" s="4">
        <v>0.69</v>
      </c>
      <c r="G37" s="4"/>
      <c r="H37" s="4"/>
    </row>
    <row r="38" ht="16" customHeight="1" s="4" customFormat="1">
      <c r="A38" s="4" t="s">
        <v>1168</v>
      </c>
      <c r="B38" s="4">
        <v>1.1</v>
      </c>
      <c r="C38" s="4">
        <v>1.2</v>
      </c>
      <c r="D38" s="4">
        <v>1.3</v>
      </c>
      <c r="E38" s="4">
        <v>1.2</v>
      </c>
      <c r="F38" s="4">
        <v>0.82</v>
      </c>
      <c r="G38" s="4"/>
      <c r="H38" s="4"/>
    </row>
    <row r="39" ht="16" customHeight="1" s="4" customFormat="1">
      <c r="A39" s="4" t="s">
        <v>1169</v>
      </c>
      <c r="B39" s="4">
        <v>22.8</v>
      </c>
      <c r="C39" s="4">
        <v>18.8</v>
      </c>
      <c r="D39" s="4">
        <v>18.1</v>
      </c>
      <c r="E39" s="4">
        <v>29</v>
      </c>
      <c r="F39" s="4">
        <v>26.2</v>
      </c>
      <c r="G39" s="4"/>
      <c r="H39" s="4"/>
    </row>
    <row r="40" ht="16" customHeight="1" s="4" customFormat="1">
      <c r="A40" s="4" t="s">
        <v>1170</v>
      </c>
      <c r="B40" s="4">
        <v>9.8</v>
      </c>
      <c r="C40" s="4">
        <v>3</v>
      </c>
      <c r="D40" s="4">
        <v>7.2</v>
      </c>
      <c r="E40" s="4">
        <v>17.9</v>
      </c>
      <c r="F40" s="4">
        <v>17.1</v>
      </c>
      <c r="G40" s="4"/>
      <c r="H40" s="4"/>
    </row>
    <row r="41" ht="16" customHeight="1" s="4" customFormat="1">
      <c r="A41" s="4" t="s">
        <v>1171</v>
      </c>
      <c r="B41" s="4">
        <v>75308</v>
      </c>
      <c r="C41" s="4">
        <v>69857</v>
      </c>
      <c r="D41" s="4">
        <v>65612</v>
      </c>
      <c r="E41" s="4">
        <v>70081</v>
      </c>
      <c r="F41" s="4">
        <v>46678</v>
      </c>
      <c r="G41" s="4"/>
      <c r="H41" s="4"/>
    </row>
    <row r="42" ht="16" customHeight="1" s="4" customFormat="1">
      <c r="A42" s="4" t="s">
        <v>1172</v>
      </c>
      <c r="B42" s="4" t="s">
        <v>1173</v>
      </c>
      <c r="C42" s="4" t="s">
        <v>1174</v>
      </c>
      <c r="D42" s="4" t="s">
        <v>1175</v>
      </c>
      <c r="E42" s="4" t="s">
        <v>1176</v>
      </c>
      <c r="F42" s="4" t="s">
        <v>1177</v>
      </c>
      <c r="G42" s="4"/>
      <c r="H42" s="4"/>
    </row>
    <row r="43" ht="16" customHeight="1" s="4" customFormat="1">
      <c r="A43" s="4" t="s">
        <v>1178</v>
      </c>
      <c r="B43" s="4" t="s">
        <v>1179</v>
      </c>
      <c r="C43" s="4" t="s">
        <v>1180</v>
      </c>
      <c r="D43" s="4" t="s">
        <v>1181</v>
      </c>
      <c r="E43" s="4" t="s">
        <v>1182</v>
      </c>
      <c r="F43" s="4" t="s">
        <v>1183</v>
      </c>
      <c r="G43" s="4"/>
      <c r="H43" s="4"/>
    </row>
    <row r="44" ht="16" customHeight="1" s="4" customFormat="1">
      <c r="A44" s="4" t="s">
        <v>1184</v>
      </c>
      <c r="B44" s="4" t="s">
        <v>1185</v>
      </c>
      <c r="C44" s="4" t="s">
        <v>1186</v>
      </c>
      <c r="D44" s="4" t="s">
        <v>1187</v>
      </c>
      <c r="E44" s="4" t="s">
        <v>1188</v>
      </c>
      <c r="F44" s="4" t="s">
        <v>1189</v>
      </c>
      <c r="G44" s="4"/>
      <c r="H44" s="4"/>
    </row>
    <row r="45" ht="16" customHeight="1" s="4" customFormat="1">
      <c r="A45" s="4" t="s">
        <v>1190</v>
      </c>
      <c r="B45" s="4" t="s">
        <v>1191</v>
      </c>
      <c r="C45" s="4" t="s">
        <v>1192</v>
      </c>
      <c r="D45" s="4" t="s">
        <v>1193</v>
      </c>
      <c r="E45" s="4" t="s">
        <v>1194</v>
      </c>
      <c r="F45" s="4" t="s">
        <v>1195</v>
      </c>
      <c r="G45" s="4"/>
      <c r="H45" s="4"/>
    </row>
    <row r="46" ht="16" customHeight="1" s="4" customFormat="1">
      <c r="A46" s="4" t="s">
        <v>1196</v>
      </c>
      <c r="B46" s="4" t="s">
        <v>1163</v>
      </c>
      <c r="C46" s="4" t="s">
        <v>1197</v>
      </c>
      <c r="D46" s="4" t="s">
        <v>1198</v>
      </c>
      <c r="E46" s="4" t="s">
        <v>1199</v>
      </c>
      <c r="F46" s="4" t="s">
        <v>1200</v>
      </c>
      <c r="G46" s="4"/>
      <c r="H46" s="4"/>
    </row>
    <row r="47" ht="16" customHeight="1" s="4" customFormat="1">
      <c r="A47" s="7" t="s">
        <v>1201</v>
      </c>
      <c r="B47" s="7"/>
      <c r="C47" s="7"/>
      <c r="D47" s="7"/>
      <c r="E47" s="7"/>
      <c r="F47" s="7"/>
      <c r="G47" s="4"/>
      <c r="H47" s="4"/>
    </row>
    <row r="48" ht="16" customHeight="1" s="4" customFormat="1">
      <c r="A48" s="4" t="s">
        <v>1202</v>
      </c>
      <c r="B48" s="4" t="s">
        <v>1203</v>
      </c>
      <c r="C48" s="4" t="s">
        <v>1204</v>
      </c>
      <c r="D48" s="4" t="s">
        <v>1205</v>
      </c>
      <c r="E48" s="4" t="s">
        <v>1206</v>
      </c>
      <c r="F48" s="4" t="s">
        <v>1207</v>
      </c>
      <c r="G48" s="4"/>
      <c r="H48" s="4"/>
    </row>
    <row r="49" ht="16" customHeight="1" s="4" customFormat="1">
      <c r="A49" s="4" t="s">
        <v>1208</v>
      </c>
      <c r="B49" s="4" t="s">
        <v>1209</v>
      </c>
      <c r="C49" s="4" t="s">
        <v>1210</v>
      </c>
      <c r="D49" s="4" t="s">
        <v>1211</v>
      </c>
      <c r="E49" s="4" t="s">
        <v>1212</v>
      </c>
      <c r="F49" s="4" t="s">
        <v>1213</v>
      </c>
      <c r="G49" s="4"/>
      <c r="H49" s="4"/>
    </row>
    <row r="50" ht="16" customHeight="1" s="4" customFormat="1">
      <c r="A50" s="7" t="s">
        <v>1214</v>
      </c>
      <c r="B50" s="7"/>
      <c r="C50" s="7"/>
      <c r="D50" s="7"/>
      <c r="E50" s="7"/>
      <c r="F50" s="7"/>
      <c r="G50" s="4"/>
      <c r="H50" s="4"/>
    </row>
    <row r="51" ht="16" customHeight="1" s="4" customFormat="1">
      <c r="A51" s="4" t="s">
        <v>1215</v>
      </c>
      <c r="B51" s="4">
        <v>41056</v>
      </c>
      <c r="C51" s="4">
        <v>30573</v>
      </c>
      <c r="D51" s="4">
        <v>39274</v>
      </c>
      <c r="E51" s="4">
        <v>65234</v>
      </c>
      <c r="F51" s="4">
        <v>62129</v>
      </c>
      <c r="G51" s="4"/>
      <c r="H51" s="4"/>
    </row>
    <row r="52" ht="16" customHeight="1">
      <c r="A52" s="3" t="s">
        <v>1216</v>
      </c>
      <c r="B52" s="3">
        <v>40821</v>
      </c>
      <c r="C52" s="3">
        <v>30350</v>
      </c>
      <c r="D52" s="3">
        <v>39051</v>
      </c>
      <c r="E52" s="3">
        <v>65011</v>
      </c>
      <c r="F52" s="3">
        <v>61906</v>
      </c>
    </row>
  </sheetData>
  <headerFooter/>
</worksheet>
</file>

<file path=xl/worksheets/sheet15.xml><?xml version="1.0" encoding="utf-8"?>
<worksheet xmlns:r="http://schemas.openxmlformats.org/officeDocument/2006/relationships" xmlns="http://schemas.openxmlformats.org/spreadsheetml/2006/main">
  <dimension ref="A1:K25"/>
  <sheetViews>
    <sheetView workbookViewId="0"/>
  </sheetViews>
  <sheetFormatPr defaultRowHeight="15"/>
  <cols>
    <col min="1" max="1" width="71.0302429199219" customWidth="1" style="3"/>
    <col min="2" max="2" width="10.2153987884521"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9.140625" customWidth="1" style="3"/>
    <col min="10" max="16384" width="9.140625" customWidth="1" style="3"/>
    <col min="11" max="16384" width="9.140625" customWidth="1" style="3"/>
  </cols>
  <sheetData>
    <row r="1" ht="20" customHeight="1" s="1" customFormat="1">
      <c r="A1" s="2" t="s">
        <v>2</v>
      </c>
      <c r="B1" s="2" t="s">
        <v>1047</v>
      </c>
      <c r="C1" s="2" t="s">
        <v>1040</v>
      </c>
      <c r="D1" s="2" t="s">
        <v>1041</v>
      </c>
      <c r="E1" s="2" t="s">
        <v>1042</v>
      </c>
      <c r="F1" s="2" t="s">
        <v>1043</v>
      </c>
      <c r="G1" s="2" t="s">
        <v>1044</v>
      </c>
      <c r="H1" s="2" t="s">
        <v>1045</v>
      </c>
      <c r="I1" s="2" t="s">
        <v>1046</v>
      </c>
    </row>
    <row r="2" ht="16" customHeight="1" s="4" customFormat="1">
      <c r="A2" s="4" t="s">
        <v>1055</v>
      </c>
      <c r="B2" s="4" t="s">
        <v>1049</v>
      </c>
      <c r="C2" s="4">
        <v>85802</v>
      </c>
      <c r="D2" s="4">
        <v>76308</v>
      </c>
      <c r="E2" s="4">
        <v>89342</v>
      </c>
      <c r="F2" s="4">
        <v>71624</v>
      </c>
      <c r="G2" s="4">
        <v>48388</v>
      </c>
      <c r="H2" s="4">
        <v>38728</v>
      </c>
      <c r="I2" s="4">
        <v>44796</v>
      </c>
      <c r="J2" s="4"/>
      <c r="K2" s="4"/>
    </row>
    <row r="3" ht="16" customHeight="1" s="4" customFormat="1">
      <c r="A3" s="4" t="s">
        <v>1057</v>
      </c>
      <c r="B3" s="4" t="s">
        <v>1049</v>
      </c>
      <c r="C3" s="4">
        <v>1490</v>
      </c>
      <c r="D3" s="4">
        <v>1094</v>
      </c>
      <c r="E3" s="4">
        <v>887</v>
      </c>
      <c r="F3" s="4">
        <v>476</v>
      </c>
      <c r="G3" s="4">
        <v>320</v>
      </c>
      <c r="H3" s="4">
        <v>441</v>
      </c>
      <c r="I3" s="4">
        <v>546</v>
      </c>
      <c r="J3" s="4"/>
      <c r="K3" s="4"/>
    </row>
    <row r="4" ht="16" customHeight="1" s="4" customFormat="1">
      <c r="A4" s="4" t="s">
        <v>1058</v>
      </c>
      <c r="B4" s="4" t="s">
        <v>1049</v>
      </c>
      <c r="C4" s="4">
        <v>72653</v>
      </c>
      <c r="D4" s="4">
        <v>69565</v>
      </c>
      <c r="E4" s="4">
        <v>67105</v>
      </c>
      <c r="F4" s="4">
        <v>62801</v>
      </c>
      <c r="G4" s="4">
        <v>37019</v>
      </c>
      <c r="H4" s="4">
        <v>34986</v>
      </c>
      <c r="I4" s="4">
        <v>37760</v>
      </c>
      <c r="J4" s="4"/>
      <c r="K4" s="4"/>
    </row>
    <row r="5" ht="16" customHeight="1" s="4" customFormat="1">
      <c r="A5" s="4" t="s">
        <v>1059</v>
      </c>
      <c r="B5" s="4" t="s">
        <v>1049</v>
      </c>
      <c r="C5" s="4">
        <v>152</v>
      </c>
      <c r="D5" s="4">
        <v>98</v>
      </c>
      <c r="E5" s="4">
        <v>88</v>
      </c>
      <c r="F5" s="4"/>
      <c r="G5" s="4">
        <v>101</v>
      </c>
      <c r="H5" s="4">
        <v>431</v>
      </c>
      <c r="I5" s="4">
        <v>338</v>
      </c>
      <c r="J5" s="4"/>
      <c r="K5" s="4"/>
    </row>
    <row r="6" ht="16" customHeight="1" s="4" customFormat="1">
      <c r="A6" s="4" t="s">
        <v>1056</v>
      </c>
      <c r="B6" s="4" t="s">
        <v>1049</v>
      </c>
      <c r="C6" s="4">
        <v>11507</v>
      </c>
      <c r="D6" s="4">
        <v>5551</v>
      </c>
      <c r="E6" s="4">
        <v>21262</v>
      </c>
      <c r="F6" s="4">
        <v>8347</v>
      </c>
      <c r="G6" s="4">
        <v>10948</v>
      </c>
      <c r="H6" s="4">
        <v>2870</v>
      </c>
      <c r="I6" s="4">
        <v>6152</v>
      </c>
      <c r="J6" s="4"/>
      <c r="K6" s="4"/>
    </row>
    <row r="7" ht="16" customHeight="1" s="4" customFormat="1">
      <c r="A7" s="4" t="s">
        <v>1060</v>
      </c>
      <c r="B7" s="4" t="s">
        <v>1049</v>
      </c>
      <c r="C7" s="4">
        <v>74295</v>
      </c>
      <c r="D7" s="4">
        <v>70757</v>
      </c>
      <c r="E7" s="4">
        <v>68080</v>
      </c>
      <c r="F7" s="4">
        <v>63277</v>
      </c>
      <c r="G7" s="4">
        <v>37440</v>
      </c>
      <c r="H7" s="4">
        <v>35858</v>
      </c>
      <c r="I7" s="4">
        <v>38644</v>
      </c>
      <c r="J7" s="4"/>
      <c r="K7" s="4"/>
    </row>
    <row r="8" ht="16" customHeight="1" s="4" customFormat="1">
      <c r="A8" s="4" t="s">
        <v>1061</v>
      </c>
      <c r="B8" s="4" t="s">
        <v>1049</v>
      </c>
      <c r="C8" s="4">
        <v>58339</v>
      </c>
      <c r="D8" s="4">
        <v>58178</v>
      </c>
      <c r="E8" s="4">
        <v>58640</v>
      </c>
      <c r="F8" s="4">
        <v>45599</v>
      </c>
      <c r="G8" s="4">
        <v>28780</v>
      </c>
      <c r="H8" s="4">
        <v>30031</v>
      </c>
      <c r="I8" s="4">
        <v>33170</v>
      </c>
      <c r="J8" s="4"/>
      <c r="K8" s="4"/>
    </row>
    <row r="9" ht="16" customHeight="1" s="4" customFormat="1">
      <c r="A9" s="4" t="s">
        <v>1062</v>
      </c>
      <c r="B9" s="4" t="s">
        <v>1049</v>
      </c>
      <c r="C9" s="4">
        <v>-1261</v>
      </c>
      <c r="D9" s="4">
        <v>308</v>
      </c>
      <c r="E9" s="4">
        <v>581</v>
      </c>
      <c r="F9" s="4">
        <v>-1172</v>
      </c>
      <c r="G9" s="4">
        <v>70</v>
      </c>
      <c r="H9" s="4">
        <v>1430</v>
      </c>
      <c r="I9" s="4">
        <v>307</v>
      </c>
      <c r="J9" s="4"/>
      <c r="K9" s="4"/>
    </row>
    <row r="10" ht="16" customHeight="1" s="4" customFormat="1">
      <c r="A10" s="4" t="s">
        <v>1068</v>
      </c>
      <c r="B10" s="4" t="s">
        <v>1049</v>
      </c>
      <c r="C10" s="4">
        <v>11508</v>
      </c>
      <c r="D10" s="4">
        <v>12372</v>
      </c>
      <c r="E10" s="4">
        <v>17019</v>
      </c>
      <c r="F10" s="4">
        <v>11649</v>
      </c>
      <c r="G10" s="4">
        <v>6763</v>
      </c>
      <c r="H10" s="4">
        <v>7930</v>
      </c>
      <c r="I10" s="4">
        <v>9179</v>
      </c>
      <c r="J10" s="4"/>
      <c r="K10" s="4"/>
    </row>
    <row r="11" ht="16" customHeight="1" s="4" customFormat="1">
      <c r="A11" s="4" t="s">
        <v>1069</v>
      </c>
      <c r="B11" s="4" t="s">
        <v>1049</v>
      </c>
      <c r="C11" s="4">
        <v>249</v>
      </c>
      <c r="D11" s="4">
        <v>791</v>
      </c>
      <c r="E11" s="4">
        <v>173</v>
      </c>
      <c r="F11" s="4">
        <v>228</v>
      </c>
      <c r="G11" s="4">
        <v>204</v>
      </c>
      <c r="H11" s="4">
        <v>227</v>
      </c>
      <c r="I11" s="4">
        <v>505</v>
      </c>
      <c r="J11" s="4"/>
      <c r="K11" s="4"/>
    </row>
    <row r="12" ht="16" customHeight="1" s="4" customFormat="1">
      <c r="A12" s="4" t="s">
        <v>1063</v>
      </c>
      <c r="B12" s="4" t="s">
        <v>1049</v>
      </c>
      <c r="C12" s="4">
        <v>34881</v>
      </c>
      <c r="D12" s="4">
        <v>30284</v>
      </c>
      <c r="E12" s="4">
        <v>28651</v>
      </c>
      <c r="F12" s="4">
        <v>24884</v>
      </c>
      <c r="G12" s="4">
        <v>14700</v>
      </c>
      <c r="H12" s="4">
        <v>13213</v>
      </c>
      <c r="I12" s="4">
        <v>16068</v>
      </c>
      <c r="J12" s="4"/>
      <c r="K12" s="4"/>
    </row>
    <row r="13" ht="16" customHeight="1" s="4" customFormat="1">
      <c r="A13" s="4" t="s">
        <v>1064</v>
      </c>
      <c r="B13" s="4" t="s">
        <v>1049</v>
      </c>
      <c r="C13" s="4">
        <v>1172</v>
      </c>
      <c r="D13" s="4">
        <v>1084</v>
      </c>
      <c r="E13" s="4">
        <v>929</v>
      </c>
      <c r="F13" s="4">
        <v>871</v>
      </c>
      <c r="G13" s="4">
        <v>908</v>
      </c>
      <c r="H13" s="4">
        <v>773</v>
      </c>
      <c r="I13" s="4">
        <v>867</v>
      </c>
      <c r="J13" s="4"/>
      <c r="K13" s="4"/>
    </row>
    <row r="14" ht="16" customHeight="1" s="4" customFormat="1">
      <c r="A14" s="4" t="s">
        <v>1065</v>
      </c>
      <c r="B14" s="4" t="s">
        <v>1049</v>
      </c>
      <c r="C14" s="4">
        <v>2356</v>
      </c>
      <c r="D14" s="4">
        <v>2861</v>
      </c>
      <c r="E14" s="4">
        <v>2495</v>
      </c>
      <c r="F14" s="4">
        <v>2271</v>
      </c>
      <c r="G14" s="4">
        <v>1458</v>
      </c>
      <c r="H14" s="4">
        <v>1759</v>
      </c>
      <c r="I14" s="4">
        <v>2011</v>
      </c>
      <c r="J14" s="4"/>
      <c r="K14" s="4"/>
    </row>
    <row r="15" ht="16" customHeight="1" s="4" customFormat="1">
      <c r="A15" s="4" t="s">
        <v>1066</v>
      </c>
      <c r="B15" s="4" t="s">
        <v>1049</v>
      </c>
      <c r="C15" s="4">
        <v>6786</v>
      </c>
      <c r="D15" s="4">
        <v>7235</v>
      </c>
      <c r="E15" s="4">
        <v>5566</v>
      </c>
      <c r="F15" s="4">
        <v>5509</v>
      </c>
      <c r="G15" s="4">
        <v>4119</v>
      </c>
      <c r="H15" s="4">
        <v>4275</v>
      </c>
      <c r="I15" s="4">
        <v>3683</v>
      </c>
      <c r="J15" s="4"/>
      <c r="K15" s="4"/>
    </row>
    <row r="16" ht="16" customHeight="1" s="4" customFormat="1">
      <c r="A16" s="4" t="s">
        <v>1067</v>
      </c>
      <c r="B16" s="4" t="s">
        <v>1049</v>
      </c>
      <c r="C16" s="4">
        <v>2648</v>
      </c>
      <c r="D16" s="4">
        <v>3243</v>
      </c>
      <c r="E16" s="4">
        <v>3226</v>
      </c>
      <c r="F16" s="4">
        <v>1359</v>
      </c>
      <c r="G16" s="4">
        <v>558</v>
      </c>
      <c r="H16" s="4">
        <v>424</v>
      </c>
      <c r="I16" s="4">
        <v>550</v>
      </c>
      <c r="J16" s="4"/>
      <c r="K16" s="4"/>
    </row>
    <row r="17" ht="16" customHeight="1" s="4" customFormat="1">
      <c r="A17" s="4" t="s">
        <v>1050</v>
      </c>
      <c r="B17" s="4" t="s">
        <v>1049</v>
      </c>
      <c r="C17" s="4">
        <v>27463</v>
      </c>
      <c r="D17" s="4">
        <v>18130</v>
      </c>
      <c r="E17" s="4">
        <v>30702</v>
      </c>
      <c r="F17" s="4">
        <v>26025</v>
      </c>
      <c r="G17" s="4">
        <v>19608</v>
      </c>
      <c r="H17" s="4">
        <v>8697</v>
      </c>
      <c r="I17" s="4">
        <v>11626</v>
      </c>
      <c r="J17" s="4"/>
      <c r="K17" s="4"/>
    </row>
    <row r="18" ht="16" customHeight="1" s="4" customFormat="1">
      <c r="A18" s="4" t="s">
        <v>1070</v>
      </c>
      <c r="B18" s="4" t="s">
        <v>1049</v>
      </c>
      <c r="C18" s="4">
        <v>6328</v>
      </c>
      <c r="D18" s="4">
        <v>5679</v>
      </c>
      <c r="E18" s="4">
        <v>4384</v>
      </c>
      <c r="F18" s="4">
        <v>3146</v>
      </c>
      <c r="G18" s="4">
        <v>3193</v>
      </c>
      <c r="H18" s="4">
        <v>3328</v>
      </c>
      <c r="I18" s="4">
        <v>3757</v>
      </c>
      <c r="J18" s="4"/>
      <c r="K18" s="4"/>
    </row>
    <row r="19" ht="16" customHeight="1" s="4" customFormat="1">
      <c r="A19" s="4" t="s">
        <v>1071</v>
      </c>
      <c r="B19" s="4" t="s">
        <v>1049</v>
      </c>
      <c r="C19" s="4">
        <v>4031</v>
      </c>
      <c r="D19" s="4">
        <v>3789</v>
      </c>
      <c r="E19" s="4">
        <v>3661</v>
      </c>
      <c r="F19" s="4">
        <v>2945</v>
      </c>
      <c r="G19" s="4">
        <v>2519</v>
      </c>
      <c r="H19" s="4">
        <v>3264</v>
      </c>
      <c r="I19" s="4">
        <v>3246</v>
      </c>
      <c r="J19" s="4"/>
      <c r="K19" s="4"/>
    </row>
    <row r="20" ht="16" customHeight="1" s="4" customFormat="1">
      <c r="A20" s="4" t="s">
        <v>1072</v>
      </c>
      <c r="B20" s="4" t="s">
        <v>1049</v>
      </c>
      <c r="C20" s="4">
        <v>-2930</v>
      </c>
      <c r="D20" s="4">
        <v>-6892</v>
      </c>
      <c r="E20" s="4">
        <v>3780</v>
      </c>
      <c r="F20" s="4">
        <v>318</v>
      </c>
      <c r="G20" s="4">
        <v>232</v>
      </c>
      <c r="H20" s="4">
        <v>12568</v>
      </c>
      <c r="I20" s="4">
        <v>-324</v>
      </c>
      <c r="J20" s="4"/>
      <c r="K20" s="4"/>
    </row>
    <row r="21" ht="16" customHeight="1" s="4" customFormat="1">
      <c r="A21" s="4" t="s">
        <v>1073</v>
      </c>
      <c r="B21" s="4" t="s">
        <v>1049</v>
      </c>
      <c r="C21" s="4">
        <v>20034</v>
      </c>
      <c r="D21" s="4">
        <v>15554</v>
      </c>
      <c r="E21" s="4">
        <v>18877</v>
      </c>
      <c r="F21" s="4">
        <v>19616</v>
      </c>
      <c r="G21" s="4">
        <v>13664</v>
      </c>
      <c r="H21" s="4">
        <v>-10463</v>
      </c>
      <c r="I21" s="4">
        <v>4947</v>
      </c>
      <c r="J21" s="4"/>
      <c r="K21" s="4"/>
    </row>
    <row r="22" ht="16" customHeight="1" s="4" customFormat="1">
      <c r="A22" s="4" t="s">
        <v>1074</v>
      </c>
      <c r="B22" s="4" t="s">
        <v>1049</v>
      </c>
      <c r="C22" s="4">
        <v>2106</v>
      </c>
      <c r="D22" s="4">
        <v>8931</v>
      </c>
      <c r="E22" s="4">
        <v>-2382</v>
      </c>
      <c r="F22" s="4">
        <v>2371</v>
      </c>
      <c r="G22" s="4">
        <v>3161</v>
      </c>
      <c r="H22" s="4">
        <v>-3731</v>
      </c>
      <c r="I22" s="4">
        <v>-128</v>
      </c>
      <c r="J22" s="4"/>
      <c r="K22" s="4"/>
    </row>
    <row r="23" ht="16" customHeight="1" s="4" customFormat="1">
      <c r="A23" s="4" t="s">
        <v>1075</v>
      </c>
      <c r="B23" s="4" t="s">
        <v>1049</v>
      </c>
      <c r="C23" s="4">
        <v>902</v>
      </c>
      <c r="D23" s="4">
        <v>1175</v>
      </c>
      <c r="E23" s="4">
        <v>2319</v>
      </c>
      <c r="F23" s="4">
        <v>3224</v>
      </c>
      <c r="G23" s="4">
        <v>104</v>
      </c>
      <c r="H23" s="4">
        <v>4</v>
      </c>
      <c r="I23" s="4">
        <v>5</v>
      </c>
      <c r="J23" s="4"/>
      <c r="K23" s="4"/>
    </row>
    <row r="24" ht="16" customHeight="1">
      <c r="A24" s="3" t="s">
        <v>1076</v>
      </c>
      <c r="B24" s="3" t="s">
        <v>1049</v>
      </c>
      <c r="C24" s="3">
        <v>1204</v>
      </c>
      <c r="D24" s="3">
        <v>7756</v>
      </c>
      <c r="E24" s="3">
        <v>-4701</v>
      </c>
      <c r="F24" s="3">
        <v>-853</v>
      </c>
      <c r="G24" s="3">
        <v>3057</v>
      </c>
      <c r="H24" s="3">
        <v>-3735</v>
      </c>
      <c r="I24" s="3">
        <v>-133</v>
      </c>
    </row>
    <row r="25" ht="16" customHeight="1">
      <c r="A25" s="3" t="s">
        <v>1078</v>
      </c>
      <c r="B25" s="3" t="s">
        <v>1049</v>
      </c>
      <c r="C25" s="3">
        <v>17928</v>
      </c>
      <c r="D25" s="3">
        <v>6623</v>
      </c>
      <c r="E25" s="3">
        <v>21259</v>
      </c>
      <c r="F25" s="3">
        <v>17245</v>
      </c>
      <c r="G25" s="3">
        <v>10503</v>
      </c>
      <c r="H25" s="3">
        <v>-6732</v>
      </c>
      <c r="I25" s="3">
        <v>5075</v>
      </c>
    </row>
  </sheetData>
  <headerFooter/>
</worksheet>
</file>

<file path=xl/worksheets/sheet16.xml><?xml version="1.0" encoding="utf-8"?>
<worksheet xmlns:r="http://schemas.openxmlformats.org/officeDocument/2006/relationships" xmlns="http://schemas.openxmlformats.org/spreadsheetml/2006/main">
  <dimension ref="A1:K33"/>
  <sheetViews>
    <sheetView workbookViewId="0"/>
  </sheetViews>
  <sheetFormatPr defaultRowHeight="15"/>
  <cols>
    <col min="1" max="1" width="52.7224922180176" customWidth="1" style="3"/>
    <col min="2" max="2" width="10.2153987884521" customWidth="1" style="3"/>
    <col min="3" max="3" width="9.140625" customWidth="1" style="3"/>
    <col min="4" max="4" width="9.140625" customWidth="1" style="3"/>
    <col min="5" max="5" width="9.140625" customWidth="1" style="3"/>
    <col min="6" max="6" width="9.140625" customWidth="1" style="3"/>
    <col min="7" max="7" width="9.140625" customWidth="1" style="3"/>
    <col min="8" max="8" width="9.140625" customWidth="1" style="3"/>
    <col min="9" max="16384" width="9.140625" customWidth="1" style="3"/>
    <col min="10" max="16384" width="9.140625" customWidth="1" style="3"/>
    <col min="11" max="16384" width="9.140625" customWidth="1" style="3"/>
  </cols>
  <sheetData>
    <row r="1" ht="20" customHeight="1" s="1" customFormat="1">
      <c r="A1" s="2" t="s">
        <v>2</v>
      </c>
      <c r="B1" s="2" t="s">
        <v>1047</v>
      </c>
      <c r="C1" s="2" t="s">
        <v>1040</v>
      </c>
      <c r="D1" s="2" t="s">
        <v>1041</v>
      </c>
      <c r="E1" s="2" t="s">
        <v>1042</v>
      </c>
      <c r="F1" s="2" t="s">
        <v>1043</v>
      </c>
      <c r="G1" s="2" t="s">
        <v>1044</v>
      </c>
      <c r="H1" s="2" t="s">
        <v>1045</v>
      </c>
      <c r="I1" s="2" t="s">
        <v>1046</v>
      </c>
    </row>
    <row r="2" ht="16" customHeight="1" s="4" customFormat="1">
      <c r="A2" s="4" t="s">
        <v>1079</v>
      </c>
      <c r="B2" s="4" t="s">
        <v>1049</v>
      </c>
      <c r="C2" s="4">
        <v>75399</v>
      </c>
      <c r="D2" s="4">
        <v>65536</v>
      </c>
      <c r="E2" s="4">
        <v>69848</v>
      </c>
      <c r="F2" s="4">
        <v>77649</v>
      </c>
      <c r="G2" s="4">
        <v>76790</v>
      </c>
      <c r="H2" s="4">
        <v>69895</v>
      </c>
      <c r="I2" s="4">
        <v>77880</v>
      </c>
      <c r="J2" s="4"/>
      <c r="K2" s="4"/>
    </row>
    <row r="3" ht="16" customHeight="1" s="4" customFormat="1">
      <c r="A3" s="4" t="s">
        <v>1081</v>
      </c>
      <c r="B3" s="4" t="s">
        <v>1049</v>
      </c>
      <c r="C3" s="4">
        <v>75008</v>
      </c>
      <c r="D3" s="4">
        <v>65164</v>
      </c>
      <c r="E3" s="4">
        <v>69476</v>
      </c>
      <c r="F3" s="4">
        <v>77277</v>
      </c>
      <c r="G3" s="4">
        <v>76418</v>
      </c>
      <c r="H3" s="4">
        <v>69523</v>
      </c>
      <c r="I3" s="4">
        <v>77508</v>
      </c>
      <c r="J3" s="4"/>
      <c r="K3" s="4"/>
    </row>
    <row r="4" ht="16" customHeight="1" s="4" customFormat="1">
      <c r="A4" s="4" t="s">
        <v>1082</v>
      </c>
      <c r="B4" s="4" t="s">
        <v>1049</v>
      </c>
      <c r="C4" s="4">
        <v>391</v>
      </c>
      <c r="D4" s="4">
        <v>372</v>
      </c>
      <c r="E4" s="4">
        <v>372</v>
      </c>
      <c r="F4" s="4">
        <v>372</v>
      </c>
      <c r="G4" s="4">
        <v>372</v>
      </c>
      <c r="H4" s="4">
        <v>372</v>
      </c>
      <c r="I4" s="4">
        <v>372</v>
      </c>
      <c r="J4" s="4"/>
      <c r="K4" s="4"/>
    </row>
    <row r="5" ht="16" customHeight="1" s="4" customFormat="1">
      <c r="A5" s="4" t="s">
        <v>1083</v>
      </c>
      <c r="B5" s="4" t="s">
        <v>1049</v>
      </c>
      <c r="C5" s="4">
        <v>36755</v>
      </c>
      <c r="D5" s="4">
        <v>34036</v>
      </c>
      <c r="E5" s="4">
        <v>36414</v>
      </c>
      <c r="F5" s="4">
        <v>27291</v>
      </c>
      <c r="G5" s="4">
        <v>24742</v>
      </c>
      <c r="H5" s="4">
        <v>25482</v>
      </c>
      <c r="I5" s="4">
        <v>24258</v>
      </c>
      <c r="J5" s="4"/>
      <c r="K5" s="4"/>
    </row>
    <row r="6" ht="16" customHeight="1" s="4" customFormat="1">
      <c r="A6" s="4" t="s">
        <v>1084</v>
      </c>
      <c r="B6" s="4" t="s">
        <v>1049</v>
      </c>
      <c r="C6" s="4">
        <v>3169</v>
      </c>
      <c r="D6" s="4">
        <v>1901</v>
      </c>
      <c r="E6" s="4">
        <v>28</v>
      </c>
      <c r="F6" s="4">
        <v>54</v>
      </c>
      <c r="G6" s="4">
        <v>62</v>
      </c>
      <c r="H6" s="4">
        <v>77</v>
      </c>
      <c r="I6" s="4">
        <v>87</v>
      </c>
      <c r="J6" s="4"/>
      <c r="K6" s="4"/>
    </row>
    <row r="7" ht="16" customHeight="1" s="4" customFormat="1">
      <c r="A7" s="4" t="s">
        <v>1085</v>
      </c>
      <c r="B7" s="4" t="s">
        <v>1049</v>
      </c>
      <c r="C7" s="4">
        <v>29723</v>
      </c>
      <c r="D7" s="4">
        <v>28308</v>
      </c>
      <c r="E7" s="4">
        <v>32578</v>
      </c>
      <c r="F7" s="4">
        <v>23367</v>
      </c>
      <c r="G7" s="4">
        <v>20851</v>
      </c>
      <c r="H7" s="4">
        <v>21552</v>
      </c>
      <c r="I7" s="4">
        <v>20434</v>
      </c>
      <c r="J7" s="4"/>
      <c r="K7" s="4"/>
    </row>
    <row r="8" ht="16" customHeight="1" s="4" customFormat="1">
      <c r="A8" s="4" t="s">
        <v>1086</v>
      </c>
      <c r="B8" s="4" t="s">
        <v>1049</v>
      </c>
      <c r="C8" s="4">
        <v>1360</v>
      </c>
      <c r="D8" s="4">
        <v>1313</v>
      </c>
      <c r="E8" s="4">
        <v>1373</v>
      </c>
      <c r="F8" s="4">
        <v>1268</v>
      </c>
      <c r="G8" s="4">
        <v>1169</v>
      </c>
      <c r="H8" s="4">
        <v>1185</v>
      </c>
      <c r="I8" s="4">
        <v>988</v>
      </c>
      <c r="J8" s="4"/>
      <c r="K8" s="4"/>
    </row>
    <row r="9" ht="16" customHeight="1" s="4" customFormat="1">
      <c r="A9" s="4" t="s">
        <v>1088</v>
      </c>
      <c r="B9" s="4" t="s">
        <v>1049</v>
      </c>
      <c r="C9" s="4">
        <v>2503</v>
      </c>
      <c r="D9" s="4">
        <v>2514</v>
      </c>
      <c r="E9" s="4">
        <v>2435</v>
      </c>
      <c r="F9" s="4">
        <v>2602</v>
      </c>
      <c r="G9" s="4">
        <v>2660</v>
      </c>
      <c r="H9" s="4">
        <v>2668</v>
      </c>
      <c r="I9" s="4">
        <v>2749</v>
      </c>
      <c r="J9" s="4"/>
      <c r="K9" s="4"/>
    </row>
    <row r="10" ht="16" customHeight="1" s="4" customFormat="1">
      <c r="A10" s="4" t="s">
        <v>1089</v>
      </c>
      <c r="B10" s="4" t="s">
        <v>1049</v>
      </c>
      <c r="C10" s="4">
        <v>47836</v>
      </c>
      <c r="D10" s="4">
        <v>50941</v>
      </c>
      <c r="E10" s="4">
        <v>53578</v>
      </c>
      <c r="F10" s="4">
        <v>43801</v>
      </c>
      <c r="G10" s="4">
        <v>36199</v>
      </c>
      <c r="H10" s="4">
        <v>44073</v>
      </c>
      <c r="I10" s="4">
        <v>48729</v>
      </c>
      <c r="J10" s="4"/>
      <c r="K10" s="4"/>
    </row>
    <row r="11" ht="16" customHeight="1" s="4" customFormat="1">
      <c r="A11" s="4" t="s">
        <v>1093</v>
      </c>
      <c r="B11" s="4" t="s">
        <v>1049</v>
      </c>
      <c r="C11" s="4">
        <v>5211</v>
      </c>
      <c r="D11" s="4">
        <v>5030</v>
      </c>
      <c r="E11" s="4">
        <v>5654</v>
      </c>
      <c r="F11" s="4">
        <v>5524</v>
      </c>
      <c r="G11" s="4">
        <v>3803</v>
      </c>
      <c r="H11" s="4">
        <v>3510</v>
      </c>
      <c r="I11" s="4">
        <v>11262</v>
      </c>
      <c r="J11" s="4"/>
      <c r="K11" s="4"/>
    </row>
    <row r="12" ht="16" customHeight="1" s="4" customFormat="1">
      <c r="A12" s="4" t="s">
        <v>1091</v>
      </c>
      <c r="B12" s="4" t="s">
        <v>1049</v>
      </c>
      <c r="C12" s="4">
        <v>13097</v>
      </c>
      <c r="D12" s="4">
        <v>13912</v>
      </c>
      <c r="E12" s="4">
        <v>9417</v>
      </c>
      <c r="F12" s="4">
        <v>13275</v>
      </c>
      <c r="G12" s="4">
        <v>11253</v>
      </c>
      <c r="H12" s="4">
        <v>17308</v>
      </c>
      <c r="I12" s="4">
        <v>21683</v>
      </c>
      <c r="J12" s="4"/>
      <c r="K12" s="4"/>
    </row>
    <row r="13" ht="16" customHeight="1" s="4" customFormat="1">
      <c r="A13" s="4" t="s">
        <v>1092</v>
      </c>
      <c r="B13" s="4" t="s">
        <v>1049</v>
      </c>
      <c r="C13" s="4"/>
      <c r="D13" s="4">
        <v>4</v>
      </c>
      <c r="E13" s="4">
        <v>4</v>
      </c>
      <c r="F13" s="4">
        <v>2</v>
      </c>
      <c r="G13" s="4"/>
      <c r="H13" s="4"/>
      <c r="I13" s="4"/>
      <c r="J13" s="4"/>
      <c r="K13" s="4"/>
    </row>
    <row r="14" ht="16" customHeight="1" s="4" customFormat="1">
      <c r="A14" s="4" t="s">
        <v>1090</v>
      </c>
      <c r="B14" s="4" t="s">
        <v>1049</v>
      </c>
      <c r="C14" s="4">
        <v>29528</v>
      </c>
      <c r="D14" s="4">
        <v>31995</v>
      </c>
      <c r="E14" s="4">
        <v>38503</v>
      </c>
      <c r="F14" s="4">
        <v>25000</v>
      </c>
      <c r="G14" s="4">
        <v>21143</v>
      </c>
      <c r="H14" s="4">
        <v>23255</v>
      </c>
      <c r="I14" s="4">
        <v>15784</v>
      </c>
      <c r="J14" s="4"/>
      <c r="K14" s="4"/>
    </row>
    <row r="15" ht="16" customHeight="1" s="4" customFormat="1">
      <c r="A15" s="4" t="s">
        <v>1094</v>
      </c>
      <c r="B15" s="4" t="s">
        <v>1049</v>
      </c>
      <c r="C15" s="4">
        <v>159990</v>
      </c>
      <c r="D15" s="4">
        <v>150513</v>
      </c>
      <c r="E15" s="4">
        <v>159840</v>
      </c>
      <c r="F15" s="4">
        <v>148741</v>
      </c>
      <c r="G15" s="4">
        <v>137731</v>
      </c>
      <c r="H15" s="4">
        <v>139450</v>
      </c>
      <c r="I15" s="4">
        <v>150867</v>
      </c>
      <c r="J15" s="4"/>
      <c r="K15" s="4"/>
    </row>
    <row r="16" ht="16" customHeight="1" s="4" customFormat="1">
      <c r="A16" s="4" t="s">
        <v>1095</v>
      </c>
      <c r="B16" s="4" t="s">
        <v>1049</v>
      </c>
      <c r="C16" s="4">
        <v>132811</v>
      </c>
      <c r="D16" s="4">
        <v>125077</v>
      </c>
      <c r="E16" s="4">
        <v>126955</v>
      </c>
      <c r="F16" s="4">
        <v>119188</v>
      </c>
      <c r="G16" s="4">
        <v>117802</v>
      </c>
      <c r="H16" s="4">
        <v>120614</v>
      </c>
      <c r="I16" s="4">
        <v>128209</v>
      </c>
      <c r="J16" s="4"/>
      <c r="K16" s="4"/>
    </row>
    <row r="17" ht="16" customHeight="1" s="4" customFormat="1">
      <c r="A17" s="4" t="s">
        <v>1096</v>
      </c>
      <c r="B17" s="4" t="s">
        <v>1049</v>
      </c>
      <c r="C17" s="4">
        <v>11588</v>
      </c>
      <c r="D17" s="4">
        <v>8835</v>
      </c>
      <c r="E17" s="4">
        <v>10494</v>
      </c>
      <c r="F17" s="4">
        <v>9226</v>
      </c>
      <c r="G17" s="4">
        <v>9096</v>
      </c>
      <c r="H17" s="4">
        <v>11027</v>
      </c>
      <c r="I17" s="4">
        <v>14148</v>
      </c>
      <c r="J17" s="4"/>
      <c r="K17" s="4"/>
    </row>
    <row r="18" ht="16" customHeight="1" s="4" customFormat="1">
      <c r="A18" s="4" t="s">
        <v>1104</v>
      </c>
      <c r="B18" s="4" t="s">
        <v>1049</v>
      </c>
      <c r="C18" s="4">
        <v>43953</v>
      </c>
      <c r="D18" s="4">
        <v>43642</v>
      </c>
      <c r="E18" s="4">
        <v>40649</v>
      </c>
      <c r="F18" s="4">
        <v>39490</v>
      </c>
      <c r="G18" s="4">
        <v>38222</v>
      </c>
      <c r="H18" s="4">
        <v>37087</v>
      </c>
      <c r="I18" s="4">
        <v>40972</v>
      </c>
      <c r="J18" s="4"/>
      <c r="K18" s="4"/>
    </row>
    <row r="19" ht="16" customHeight="1" s="4" customFormat="1">
      <c r="A19" s="4" t="s">
        <v>1097</v>
      </c>
      <c r="B19" s="4" t="s">
        <v>1049</v>
      </c>
      <c r="C19" s="4"/>
      <c r="D19" s="4"/>
      <c r="E19" s="4">
        <v>5910</v>
      </c>
      <c r="F19" s="4">
        <v>1118</v>
      </c>
      <c r="G19" s="4">
        <v>333</v>
      </c>
      <c r="H19" s="4">
        <v>3464</v>
      </c>
      <c r="I19" s="4">
        <v>3</v>
      </c>
      <c r="J19" s="4"/>
      <c r="K19" s="4"/>
    </row>
    <row r="20" ht="16" customHeight="1" s="4" customFormat="1">
      <c r="A20" s="4" t="s">
        <v>1098</v>
      </c>
      <c r="B20" s="4" t="s">
        <v>1049</v>
      </c>
      <c r="C20" s="4">
        <v>1118</v>
      </c>
      <c r="D20" s="4">
        <v>1176</v>
      </c>
      <c r="E20" s="4">
        <v>834</v>
      </c>
      <c r="F20" s="4">
        <v>26</v>
      </c>
      <c r="G20" s="4">
        <v>27</v>
      </c>
      <c r="H20" s="4">
        <v>31</v>
      </c>
      <c r="I20" s="4">
        <v>1617</v>
      </c>
      <c r="J20" s="4"/>
      <c r="K20" s="4"/>
    </row>
    <row r="21" ht="16" customHeight="1" s="4" customFormat="1">
      <c r="A21" s="4" t="s">
        <v>1099</v>
      </c>
      <c r="B21" s="4" t="s">
        <v>1049</v>
      </c>
      <c r="C21" s="4">
        <v>2617</v>
      </c>
      <c r="D21" s="4">
        <v>2298</v>
      </c>
      <c r="E21" s="4">
        <v>2094</v>
      </c>
      <c r="F21" s="4">
        <v>1488</v>
      </c>
      <c r="G21" s="4">
        <v>1605</v>
      </c>
      <c r="H21" s="4">
        <v>1059</v>
      </c>
      <c r="I21" s="4"/>
      <c r="J21" s="4"/>
      <c r="K21" s="4"/>
    </row>
    <row r="22" ht="16" customHeight="1" s="4" customFormat="1">
      <c r="A22" s="4" t="s">
        <v>1100</v>
      </c>
      <c r="B22" s="4" t="s">
        <v>1049</v>
      </c>
      <c r="C22" s="4">
        <v>3545</v>
      </c>
      <c r="D22" s="4">
        <v>4375</v>
      </c>
      <c r="E22" s="4">
        <v>2101</v>
      </c>
      <c r="F22" s="4">
        <v>2983</v>
      </c>
      <c r="G22" s="4">
        <v>3084</v>
      </c>
      <c r="H22" s="4">
        <v>2839</v>
      </c>
      <c r="I22" s="4">
        <v>3192</v>
      </c>
      <c r="J22" s="4"/>
      <c r="K22" s="4"/>
    </row>
    <row r="23" ht="16" customHeight="1" s="4" customFormat="1">
      <c r="A23" s="4" t="s">
        <v>1101</v>
      </c>
      <c r="B23" s="4" t="s">
        <v>1049</v>
      </c>
      <c r="C23" s="4">
        <v>65354</v>
      </c>
      <c r="D23" s="4">
        <v>60105</v>
      </c>
      <c r="E23" s="4">
        <v>59872</v>
      </c>
      <c r="F23" s="4">
        <v>60880</v>
      </c>
      <c r="G23" s="4">
        <v>60942</v>
      </c>
      <c r="H23" s="4">
        <v>61504</v>
      </c>
      <c r="I23" s="4">
        <v>64203</v>
      </c>
      <c r="J23" s="4"/>
      <c r="K23" s="4"/>
    </row>
    <row r="24" ht="16" customHeight="1" s="4" customFormat="1">
      <c r="A24" s="4" t="s">
        <v>1102</v>
      </c>
      <c r="B24" s="4" t="s">
        <v>1049</v>
      </c>
      <c r="C24" s="4">
        <v>714</v>
      </c>
      <c r="D24" s="4">
        <v>707</v>
      </c>
      <c r="E24" s="4">
        <v>2336</v>
      </c>
      <c r="F24" s="4">
        <v>2090</v>
      </c>
      <c r="G24" s="4">
        <v>1382</v>
      </c>
      <c r="H24" s="4">
        <v>1346</v>
      </c>
      <c r="I24" s="4">
        <v>1248</v>
      </c>
      <c r="J24" s="4"/>
      <c r="K24" s="4"/>
    </row>
    <row r="25" ht="16" customHeight="1" s="4" customFormat="1">
      <c r="A25" s="4" t="s">
        <v>1103</v>
      </c>
      <c r="B25" s="4" t="s">
        <v>1049</v>
      </c>
      <c r="C25" s="4">
        <v>3922</v>
      </c>
      <c r="D25" s="4">
        <v>3939</v>
      </c>
      <c r="E25" s="4">
        <v>2665</v>
      </c>
      <c r="F25" s="4">
        <v>1887</v>
      </c>
      <c r="G25" s="4">
        <v>3111</v>
      </c>
      <c r="H25" s="4">
        <v>2257</v>
      </c>
      <c r="I25" s="4">
        <v>2826</v>
      </c>
      <c r="J25" s="4"/>
      <c r="K25" s="4"/>
    </row>
    <row r="26" ht="16" customHeight="1" s="4" customFormat="1">
      <c r="A26" s="4" t="s">
        <v>1105</v>
      </c>
      <c r="B26" s="4" t="s">
        <v>1049</v>
      </c>
      <c r="C26" s="4">
        <v>27179</v>
      </c>
      <c r="D26" s="4">
        <v>25436</v>
      </c>
      <c r="E26" s="4">
        <v>32885</v>
      </c>
      <c r="F26" s="4">
        <v>29552</v>
      </c>
      <c r="G26" s="4">
        <v>19929</v>
      </c>
      <c r="H26" s="4">
        <v>18836</v>
      </c>
      <c r="I26" s="4">
        <v>22657</v>
      </c>
      <c r="J26" s="4"/>
      <c r="K26" s="4"/>
    </row>
    <row r="27" ht="16" customHeight="1" s="4" customFormat="1">
      <c r="A27" s="4" t="s">
        <v>1111</v>
      </c>
      <c r="B27" s="4" t="s">
        <v>1049</v>
      </c>
      <c r="C27" s="4">
        <v>1853</v>
      </c>
      <c r="D27" s="4">
        <v>1735</v>
      </c>
      <c r="E27" s="4">
        <v>1446</v>
      </c>
      <c r="F27" s="4">
        <v>2288</v>
      </c>
      <c r="G27" s="4">
        <v>1077</v>
      </c>
      <c r="H27" s="4">
        <v>832</v>
      </c>
      <c r="I27" s="4">
        <v>1966</v>
      </c>
      <c r="J27" s="4"/>
      <c r="K27" s="4"/>
    </row>
    <row r="28" ht="16" customHeight="1" s="4" customFormat="1">
      <c r="A28" s="4" t="s">
        <v>1106</v>
      </c>
      <c r="B28" s="4" t="s">
        <v>1049</v>
      </c>
      <c r="C28" s="4">
        <v>2097</v>
      </c>
      <c r="D28" s="4">
        <v>1559</v>
      </c>
      <c r="E28" s="4">
        <v>5202</v>
      </c>
      <c r="F28" s="4">
        <v>4256</v>
      </c>
      <c r="G28" s="4">
        <v>1437</v>
      </c>
      <c r="H28" s="4">
        <v>1735</v>
      </c>
      <c r="I28" s="4">
        <v>3101</v>
      </c>
      <c r="J28" s="4"/>
      <c r="K28" s="4"/>
    </row>
    <row r="29" ht="16" customHeight="1" s="4" customFormat="1">
      <c r="A29" s="4" t="s">
        <v>1110</v>
      </c>
      <c r="B29" s="4" t="s">
        <v>1049</v>
      </c>
      <c r="C29" s="4">
        <v>7572</v>
      </c>
      <c r="D29" s="4">
        <v>10486</v>
      </c>
      <c r="E29" s="4">
        <v>11574</v>
      </c>
      <c r="F29" s="4">
        <v>9794</v>
      </c>
      <c r="G29" s="4">
        <v>6560</v>
      </c>
      <c r="H29" s="4">
        <v>6213</v>
      </c>
      <c r="I29" s="4">
        <v>3939</v>
      </c>
      <c r="J29" s="4"/>
      <c r="K29" s="4"/>
    </row>
    <row r="30" ht="16" customHeight="1" s="4" customFormat="1">
      <c r="A30" s="4" t="s">
        <v>1107</v>
      </c>
      <c r="B30" s="4" t="s">
        <v>1049</v>
      </c>
      <c r="C30" s="4">
        <v>4031</v>
      </c>
      <c r="D30" s="4">
        <v>837</v>
      </c>
      <c r="E30" s="4">
        <v>5041</v>
      </c>
      <c r="F30" s="4">
        <v>2695</v>
      </c>
      <c r="G30" s="4">
        <v>2988</v>
      </c>
      <c r="H30" s="4">
        <v>2306</v>
      </c>
      <c r="I30" s="4">
        <v>4564</v>
      </c>
      <c r="J30" s="4"/>
      <c r="K30" s="4"/>
    </row>
    <row r="31" ht="16" customHeight="1" s="4" customFormat="1">
      <c r="A31" s="4" t="s">
        <v>1108</v>
      </c>
      <c r="B31" s="4" t="s">
        <v>1049</v>
      </c>
      <c r="C31" s="4">
        <v>8359</v>
      </c>
      <c r="D31" s="4">
        <v>6946</v>
      </c>
      <c r="E31" s="4">
        <v>8217</v>
      </c>
      <c r="F31" s="4">
        <v>8563</v>
      </c>
      <c r="G31" s="4">
        <v>5555</v>
      </c>
      <c r="H31" s="4">
        <v>5689</v>
      </c>
      <c r="I31" s="4">
        <v>7657</v>
      </c>
      <c r="J31" s="4"/>
      <c r="K31" s="4"/>
    </row>
    <row r="32" ht="16" customHeight="1">
      <c r="A32" s="3" t="s">
        <v>1109</v>
      </c>
      <c r="B32" s="3" t="s">
        <v>1049</v>
      </c>
      <c r="C32" s="3">
        <v>3267</v>
      </c>
      <c r="D32" s="3">
        <v>3873</v>
      </c>
      <c r="E32" s="3">
        <v>1405</v>
      </c>
      <c r="F32" s="3">
        <v>1956</v>
      </c>
      <c r="G32" s="3">
        <v>2312</v>
      </c>
      <c r="H32" s="3">
        <v>2061</v>
      </c>
      <c r="I32" s="3">
        <v>1430</v>
      </c>
    </row>
    <row r="33" ht="16" customHeight="1">
      <c r="A33" s="3" t="s">
        <v>1054</v>
      </c>
      <c r="B33" s="3" t="s">
        <v>1049</v>
      </c>
      <c r="C33" s="3">
        <v>159990</v>
      </c>
      <c r="D33" s="3">
        <v>150513</v>
      </c>
      <c r="E33" s="3">
        <v>159840</v>
      </c>
      <c r="F33" s="3">
        <v>148740</v>
      </c>
      <c r="G33" s="3">
        <v>137731</v>
      </c>
      <c r="H33" s="3">
        <v>139450</v>
      </c>
      <c r="I33" s="3">
        <v>150866</v>
      </c>
    </row>
  </sheetData>
  <headerFooter/>
</worksheet>
</file>

<file path=xl/worksheets/sheet17.xml><?xml version="1.0" encoding="utf-8"?>
<worksheet xmlns:r="http://schemas.openxmlformats.org/officeDocument/2006/relationships" xmlns="http://schemas.openxmlformats.org/spreadsheetml/2006/main">
  <dimension ref="A1:H52"/>
  <sheetViews>
    <sheetView workbookViewId="0"/>
  </sheetViews>
  <sheetFormatPr defaultRowHeight="15"/>
  <cols>
    <col min="1" max="1" width="69.9324951171875" customWidth="1" style="3"/>
    <col min="2" max="2" width="9.140625" customWidth="1" style="3"/>
    <col min="3" max="3" width="9.140625" customWidth="1" style="3"/>
    <col min="4" max="4" width="9.140625" customWidth="1" style="3"/>
    <col min="5" max="5" width="9.140625" customWidth="1" style="3"/>
    <col min="6" max="16384" width="9.140625" customWidth="1" style="3"/>
    <col min="7" max="16384" width="9.140625" customWidth="1" style="3"/>
    <col min="8" max="16384" width="9.140625" customWidth="1" style="3"/>
  </cols>
  <sheetData>
    <row r="1" ht="20" customHeight="1" s="1" customFormat="1">
      <c r="A1" s="2" t="s">
        <v>2</v>
      </c>
      <c r="B1" s="2" t="s">
        <v>1040</v>
      </c>
      <c r="C1" s="2" t="s">
        <v>1041</v>
      </c>
      <c r="D1" s="2" t="s">
        <v>1042</v>
      </c>
      <c r="E1" s="2" t="s">
        <v>1043</v>
      </c>
      <c r="F1" s="2" t="s">
        <v>1044</v>
      </c>
    </row>
    <row r="2" ht="16" customHeight="1" s="4" customFormat="1">
      <c r="A2" s="7" t="s">
        <v>1112</v>
      </c>
      <c r="B2" s="7"/>
      <c r="C2" s="7"/>
      <c r="D2" s="7"/>
      <c r="E2" s="7"/>
      <c r="F2" s="7"/>
      <c r="G2" s="4"/>
      <c r="H2" s="4"/>
    </row>
    <row r="3" ht="16" customHeight="1" s="4" customFormat="1">
      <c r="A3" s="4" t="s">
        <v>1113</v>
      </c>
      <c r="B3" s="4">
        <v>0.63</v>
      </c>
      <c r="C3" s="4">
        <v>0.78</v>
      </c>
      <c r="D3" s="4">
        <v>0.77</v>
      </c>
      <c r="E3" s="4">
        <v>0.56</v>
      </c>
      <c r="F3" s="4">
        <v>0.47</v>
      </c>
      <c r="G3" s="4"/>
      <c r="H3" s="4"/>
    </row>
    <row r="4" ht="16" customHeight="1" s="4" customFormat="1">
      <c r="A4" s="4" t="s">
        <v>1114</v>
      </c>
      <c r="B4" s="4">
        <v>0.79</v>
      </c>
      <c r="C4" s="4">
        <v>0.85</v>
      </c>
      <c r="D4" s="4">
        <v>0.77</v>
      </c>
      <c r="E4" s="4">
        <v>0.65</v>
      </c>
      <c r="F4" s="4">
        <v>0.64</v>
      </c>
      <c r="G4" s="4"/>
      <c r="H4" s="4"/>
    </row>
    <row r="5" ht="16" customHeight="1" s="4" customFormat="1">
      <c r="A5" s="4" t="s">
        <v>1115</v>
      </c>
      <c r="B5" s="4">
        <v>110</v>
      </c>
      <c r="C5" s="4">
        <v>113</v>
      </c>
      <c r="D5" s="4">
        <v>113</v>
      </c>
      <c r="E5" s="4">
        <v>98.5</v>
      </c>
      <c r="F5" s="4">
        <v>86.3</v>
      </c>
      <c r="G5" s="4"/>
      <c r="H5" s="4"/>
    </row>
    <row r="6" ht="16" customHeight="1" s="4" customFormat="1">
      <c r="A6" s="4" t="s">
        <v>1116</v>
      </c>
      <c r="B6" s="4">
        <v>0.57</v>
      </c>
      <c r="C6" s="4">
        <v>0.64</v>
      </c>
      <c r="D6" s="4">
        <v>0.6</v>
      </c>
      <c r="E6" s="4">
        <v>0.47</v>
      </c>
      <c r="F6" s="4">
        <v>0.42</v>
      </c>
      <c r="G6" s="4"/>
      <c r="H6" s="4"/>
    </row>
    <row r="7" ht="16" customHeight="1" s="4" customFormat="1">
      <c r="A7" s="4" t="s">
        <v>1117</v>
      </c>
      <c r="B7" s="4">
        <v>0.48</v>
      </c>
      <c r="C7" s="4">
        <v>0.3</v>
      </c>
      <c r="D7" s="4">
        <v>0.58</v>
      </c>
      <c r="E7" s="4">
        <v>0.58</v>
      </c>
      <c r="F7" s="4">
        <v>0.48</v>
      </c>
      <c r="G7" s="4"/>
      <c r="H7" s="4"/>
    </row>
    <row r="8" ht="16" customHeight="1" s="4" customFormat="1">
      <c r="A8" s="4" t="s">
        <v>1118</v>
      </c>
      <c r="B8" s="4">
        <v>0.47</v>
      </c>
      <c r="C8" s="4">
        <v>0.44</v>
      </c>
      <c r="D8" s="4">
        <v>0.44</v>
      </c>
      <c r="E8" s="4">
        <v>0.52</v>
      </c>
      <c r="F8" s="4">
        <v>0.56</v>
      </c>
      <c r="G8" s="4"/>
      <c r="H8" s="4"/>
    </row>
    <row r="9" ht="16" customHeight="1" s="4" customFormat="1">
      <c r="A9" s="4" t="s">
        <v>1119</v>
      </c>
      <c r="B9" s="4">
        <v>0.39</v>
      </c>
      <c r="C9" s="4">
        <v>0.43</v>
      </c>
      <c r="D9" s="4">
        <v>0.47</v>
      </c>
      <c r="E9" s="4">
        <v>0.3</v>
      </c>
      <c r="F9" s="4">
        <v>0.27</v>
      </c>
      <c r="G9" s="4"/>
      <c r="H9" s="4"/>
    </row>
    <row r="10" ht="16" customHeight="1" s="4" customFormat="1">
      <c r="A10" s="4" t="s">
        <v>1120</v>
      </c>
      <c r="B10" s="4">
        <v>0.17</v>
      </c>
      <c r="C10" s="4">
        <v>0.21</v>
      </c>
      <c r="D10" s="4">
        <v>0.13</v>
      </c>
      <c r="E10" s="4">
        <v>0.17</v>
      </c>
      <c r="F10" s="4">
        <v>0.15</v>
      </c>
      <c r="G10" s="4"/>
      <c r="H10" s="4"/>
    </row>
    <row r="11" ht="16" customHeight="1" s="4" customFormat="1">
      <c r="A11" s="4" t="s">
        <v>1121</v>
      </c>
      <c r="B11" s="4">
        <v>1.6</v>
      </c>
      <c r="C11" s="4">
        <v>2.3</v>
      </c>
      <c r="D11" s="4">
        <v>1.4</v>
      </c>
      <c r="E11" s="4">
        <v>1.4</v>
      </c>
      <c r="F11" s="4">
        <v>1.6</v>
      </c>
      <c r="G11" s="4"/>
      <c r="H11" s="4"/>
    </row>
    <row r="12" ht="16" customHeight="1" s="4" customFormat="1">
      <c r="A12" s="4" t="s">
        <v>1122</v>
      </c>
      <c r="B12" s="4">
        <v>104</v>
      </c>
      <c r="C12" s="4">
        <v>109</v>
      </c>
      <c r="D12" s="4">
        <v>98.9</v>
      </c>
      <c r="E12" s="4">
        <v>87.1</v>
      </c>
      <c r="F12" s="4">
        <v>82.4</v>
      </c>
      <c r="G12" s="4"/>
      <c r="H12" s="4"/>
    </row>
    <row r="13" ht="16" customHeight="1" s="4" customFormat="1">
      <c r="A13" s="4" t="s">
        <v>1123</v>
      </c>
      <c r="B13" s="4">
        <v>1.5</v>
      </c>
      <c r="C13" s="4">
        <v>2.2</v>
      </c>
      <c r="D13" s="4">
        <v>1.2</v>
      </c>
      <c r="E13" s="4">
        <v>1.2</v>
      </c>
      <c r="F13" s="4">
        <v>1.6</v>
      </c>
      <c r="G13" s="4"/>
      <c r="H13" s="4"/>
    </row>
    <row r="14" ht="16" customHeight="1" s="4" customFormat="1">
      <c r="A14" s="4" t="s">
        <v>1124</v>
      </c>
      <c r="B14" s="4">
        <v>4.2</v>
      </c>
      <c r="C14" s="4">
        <v>3.7</v>
      </c>
      <c r="D14" s="4">
        <v>5.3</v>
      </c>
      <c r="E14" s="4">
        <v>7.2</v>
      </c>
      <c r="F14" s="4">
        <v>5.3</v>
      </c>
      <c r="G14" s="4"/>
      <c r="H14" s="4"/>
    </row>
    <row r="15" ht="16" customHeight="1" s="4" customFormat="1">
      <c r="A15" s="4" t="s">
        <v>1125</v>
      </c>
      <c r="B15" s="4" t="s">
        <v>1217</v>
      </c>
      <c r="C15" s="4" t="s">
        <v>1218</v>
      </c>
      <c r="D15" s="4" t="s">
        <v>1219</v>
      </c>
      <c r="E15" s="4" t="s">
        <v>1220</v>
      </c>
      <c r="F15" s="4" t="s">
        <v>1199</v>
      </c>
      <c r="G15" s="4"/>
      <c r="H15" s="4"/>
    </row>
    <row r="16" ht="16" customHeight="1" s="4" customFormat="1">
      <c r="A16" s="4" t="s">
        <v>1131</v>
      </c>
      <c r="B16" s="4">
        <v>75399</v>
      </c>
      <c r="C16" s="4">
        <v>65536</v>
      </c>
      <c r="D16" s="4">
        <v>69848</v>
      </c>
      <c r="E16" s="4">
        <v>77649</v>
      </c>
      <c r="F16" s="4">
        <v>76790</v>
      </c>
      <c r="G16" s="4"/>
      <c r="H16" s="4"/>
    </row>
    <row r="17" ht="16" customHeight="1" s="4" customFormat="1">
      <c r="A17" s="7" t="s">
        <v>1132</v>
      </c>
      <c r="B17" s="7"/>
      <c r="C17" s="7"/>
      <c r="D17" s="7"/>
      <c r="E17" s="7"/>
      <c r="F17" s="7"/>
      <c r="G17" s="4"/>
      <c r="H17" s="4"/>
    </row>
    <row r="18" ht="16" customHeight="1" s="4" customFormat="1">
      <c r="A18" s="4" t="s">
        <v>1133</v>
      </c>
      <c r="B18" s="4">
        <v>0.57</v>
      </c>
      <c r="C18" s="4">
        <v>0.5</v>
      </c>
      <c r="D18" s="4">
        <v>0.61</v>
      </c>
      <c r="E18" s="4">
        <v>0.67</v>
      </c>
      <c r="F18" s="4">
        <v>0.55</v>
      </c>
      <c r="G18" s="4"/>
      <c r="H18" s="4"/>
    </row>
    <row r="19" ht="16" customHeight="1" s="4" customFormat="1">
      <c r="A19" s="4" t="s">
        <v>1134</v>
      </c>
      <c r="B19" s="4">
        <v>-20657</v>
      </c>
      <c r="C19" s="4">
        <v>-25505</v>
      </c>
      <c r="D19" s="4">
        <v>-20693</v>
      </c>
      <c r="E19" s="4">
        <v>-14249</v>
      </c>
      <c r="F19" s="4">
        <v>-16270</v>
      </c>
      <c r="G19" s="4"/>
      <c r="H19" s="4"/>
    </row>
    <row r="20" ht="16" customHeight="1" s="4" customFormat="1">
      <c r="A20" s="4" t="s">
        <v>1135</v>
      </c>
      <c r="B20" s="4">
        <v>2097</v>
      </c>
      <c r="C20" s="4">
        <v>1559</v>
      </c>
      <c r="D20" s="4">
        <v>5202</v>
      </c>
      <c r="E20" s="4">
        <v>4256</v>
      </c>
      <c r="F20" s="4">
        <v>1437</v>
      </c>
      <c r="G20" s="4"/>
      <c r="H20" s="4"/>
    </row>
    <row r="21" ht="16" customHeight="1" s="4" customFormat="1">
      <c r="A21" s="4" t="s">
        <v>1136</v>
      </c>
      <c r="B21" s="4" t="s">
        <v>1221</v>
      </c>
      <c r="C21" s="4" t="s">
        <v>1180</v>
      </c>
      <c r="D21" s="4" t="s">
        <v>1222</v>
      </c>
      <c r="E21" s="4" t="s">
        <v>1223</v>
      </c>
      <c r="F21" s="4" t="s">
        <v>1224</v>
      </c>
      <c r="G21" s="4"/>
      <c r="H21" s="4"/>
    </row>
    <row r="22" ht="16" customHeight="1" s="4" customFormat="1">
      <c r="A22" s="4" t="s">
        <v>1142</v>
      </c>
      <c r="B22" s="4">
        <v>9.1</v>
      </c>
      <c r="C22" s="4">
        <v>9</v>
      </c>
      <c r="D22" s="4">
        <v>7.8</v>
      </c>
      <c r="E22" s="4">
        <v>13.2</v>
      </c>
      <c r="F22" s="4">
        <v>10.5</v>
      </c>
      <c r="G22" s="4"/>
      <c r="H22" s="4"/>
    </row>
    <row r="23" ht="16" customHeight="1" s="4" customFormat="1">
      <c r="A23" s="4" t="s">
        <v>1143</v>
      </c>
      <c r="B23" s="4">
        <v>41.1</v>
      </c>
      <c r="C23" s="4">
        <v>35.8</v>
      </c>
      <c r="D23" s="4">
        <v>44.1</v>
      </c>
      <c r="E23" s="4">
        <v>49.4</v>
      </c>
      <c r="F23" s="4">
        <v>54.2</v>
      </c>
      <c r="G23" s="4"/>
      <c r="H23" s="4"/>
    </row>
    <row r="24" ht="16" customHeight="1" s="4" customFormat="1">
      <c r="A24" s="4" t="s">
        <v>1144</v>
      </c>
      <c r="B24" s="4">
        <v>63.5</v>
      </c>
      <c r="C24" s="4">
        <v>53.9</v>
      </c>
      <c r="D24" s="4">
        <v>60.4</v>
      </c>
      <c r="E24" s="4">
        <v>84.6</v>
      </c>
      <c r="F24" s="4">
        <v>90.9</v>
      </c>
      <c r="G24" s="4"/>
      <c r="H24" s="4"/>
    </row>
    <row r="25" ht="16" customHeight="1" s="4" customFormat="1">
      <c r="A25" s="4" t="s">
        <v>1145</v>
      </c>
      <c r="B25" s="4">
        <v>5211</v>
      </c>
      <c r="C25" s="4">
        <v>5030</v>
      </c>
      <c r="D25" s="4">
        <v>5654</v>
      </c>
      <c r="E25" s="4">
        <v>5524</v>
      </c>
      <c r="F25" s="4">
        <v>3803</v>
      </c>
      <c r="G25" s="4"/>
      <c r="H25" s="4"/>
    </row>
    <row r="26" ht="16" customHeight="1" s="4" customFormat="1">
      <c r="A26" s="4" t="s">
        <v>1146</v>
      </c>
      <c r="B26" s="4">
        <v>25.6</v>
      </c>
      <c r="C26" s="4">
        <v>26</v>
      </c>
      <c r="D26" s="4">
        <v>30.3</v>
      </c>
      <c r="E26" s="4">
        <v>31.9</v>
      </c>
      <c r="F26" s="4">
        <v>37.1</v>
      </c>
      <c r="G26" s="4"/>
      <c r="H26" s="4"/>
    </row>
    <row r="27" ht="16" customHeight="1" s="4" customFormat="1">
      <c r="A27" s="4" t="s">
        <v>1147</v>
      </c>
      <c r="B27" s="4">
        <v>39.6</v>
      </c>
      <c r="C27" s="4">
        <v>39.1</v>
      </c>
      <c r="D27" s="4">
        <v>41.6</v>
      </c>
      <c r="E27" s="4">
        <v>54.6</v>
      </c>
      <c r="F27" s="4">
        <v>62.3</v>
      </c>
      <c r="G27" s="4"/>
      <c r="H27" s="4"/>
    </row>
    <row r="28" ht="16" customHeight="1" s="4" customFormat="1">
      <c r="A28" s="4" t="s">
        <v>1148</v>
      </c>
      <c r="B28" s="4">
        <v>24.6</v>
      </c>
      <c r="C28" s="4">
        <v>18.8</v>
      </c>
      <c r="D28" s="4">
        <v>21.5</v>
      </c>
      <c r="E28" s="4">
        <v>30.7</v>
      </c>
      <c r="F28" s="4">
        <v>27.6</v>
      </c>
      <c r="G28" s="4"/>
      <c r="H28" s="4"/>
    </row>
    <row r="29" ht="16" customHeight="1" s="4" customFormat="1">
      <c r="A29" s="4" t="s">
        <v>1149</v>
      </c>
      <c r="B29" s="4">
        <v>8.8</v>
      </c>
      <c r="C29" s="4">
        <v>7.4</v>
      </c>
      <c r="D29" s="4">
        <v>21</v>
      </c>
      <c r="E29" s="4">
        <v>21.4</v>
      </c>
      <c r="F29" s="4">
        <v>10.7</v>
      </c>
      <c r="G29" s="4"/>
      <c r="H29" s="4"/>
    </row>
    <row r="30" ht="16" customHeight="1" s="4" customFormat="1">
      <c r="A30" s="4" t="s">
        <v>1150</v>
      </c>
      <c r="B30" s="4">
        <v>132</v>
      </c>
      <c r="C30" s="4">
        <v>129</v>
      </c>
      <c r="D30" s="4">
        <v>174</v>
      </c>
      <c r="E30" s="4">
        <v>168</v>
      </c>
      <c r="F30" s="4">
        <v>192</v>
      </c>
      <c r="G30" s="4"/>
      <c r="H30" s="4"/>
    </row>
    <row r="31" ht="16" customHeight="1" s="4" customFormat="1">
      <c r="A31" s="4" t="s">
        <v>1151</v>
      </c>
      <c r="B31" s="4" t="s">
        <v>1225</v>
      </c>
      <c r="C31" s="4" t="s">
        <v>1226</v>
      </c>
      <c r="D31" s="4" t="s">
        <v>1227</v>
      </c>
      <c r="E31" s="4" t="s">
        <v>1228</v>
      </c>
      <c r="F31" s="4" t="s">
        <v>1229</v>
      </c>
      <c r="G31" s="4"/>
      <c r="H31" s="4"/>
    </row>
    <row r="32" ht="16" customHeight="1" s="4" customFormat="1">
      <c r="A32" s="4" t="s">
        <v>1157</v>
      </c>
      <c r="B32" s="4"/>
      <c r="C32" s="4"/>
      <c r="D32" s="4"/>
      <c r="E32" s="4"/>
      <c r="F32" s="4"/>
      <c r="G32" s="4"/>
      <c r="H32" s="4"/>
    </row>
    <row r="33" ht="16" customHeight="1" s="4" customFormat="1">
      <c r="A33" s="4" t="s">
        <v>1158</v>
      </c>
      <c r="B33" s="4">
        <v>48025</v>
      </c>
      <c r="C33" s="4">
        <v>46998</v>
      </c>
      <c r="D33" s="4">
        <v>49650</v>
      </c>
      <c r="E33" s="4">
        <v>36948</v>
      </c>
      <c r="F33" s="4">
        <v>22295</v>
      </c>
      <c r="G33" s="4"/>
      <c r="H33" s="4"/>
    </row>
    <row r="34" ht="16" customHeight="1" s="4" customFormat="1">
      <c r="A34" s="4" t="s">
        <v>1159</v>
      </c>
      <c r="B34" s="4">
        <v>68</v>
      </c>
      <c r="C34" s="4">
        <v>76.2</v>
      </c>
      <c r="D34" s="4">
        <v>65.6</v>
      </c>
      <c r="E34" s="4">
        <v>63.7</v>
      </c>
      <c r="F34" s="4">
        <v>59.5</v>
      </c>
      <c r="G34" s="4"/>
      <c r="H34" s="4"/>
    </row>
    <row r="35" ht="16" customHeight="1" s="4" customFormat="1">
      <c r="A35" s="7" t="s">
        <v>1160</v>
      </c>
      <c r="B35" s="7"/>
      <c r="C35" s="7"/>
      <c r="D35" s="7"/>
      <c r="E35" s="7"/>
      <c r="F35" s="7"/>
      <c r="G35" s="4"/>
      <c r="H35" s="4"/>
    </row>
    <row r="36" ht="16" customHeight="1" s="4" customFormat="1">
      <c r="A36" s="4" t="s">
        <v>1161</v>
      </c>
      <c r="B36" s="4" t="s">
        <v>1230</v>
      </c>
      <c r="C36" s="4" t="s">
        <v>1231</v>
      </c>
      <c r="D36" s="4" t="s">
        <v>1232</v>
      </c>
      <c r="E36" s="4" t="s">
        <v>1233</v>
      </c>
      <c r="F36" s="4" t="s">
        <v>1234</v>
      </c>
      <c r="G36" s="4"/>
      <c r="H36" s="4"/>
    </row>
    <row r="37" ht="16" customHeight="1" s="4" customFormat="1">
      <c r="A37" s="4" t="s">
        <v>1167</v>
      </c>
      <c r="B37" s="4">
        <v>0.79</v>
      </c>
      <c r="C37" s="4">
        <v>0.82</v>
      </c>
      <c r="D37" s="4">
        <v>0.86</v>
      </c>
      <c r="E37" s="4">
        <v>0.72</v>
      </c>
      <c r="F37" s="4">
        <v>0.77</v>
      </c>
      <c r="G37" s="4"/>
      <c r="H37" s="4"/>
    </row>
    <row r="38" ht="16" customHeight="1" s="4" customFormat="1">
      <c r="A38" s="4" t="s">
        <v>1168</v>
      </c>
      <c r="B38" s="4">
        <v>1.3</v>
      </c>
      <c r="C38" s="4">
        <v>1.3</v>
      </c>
      <c r="D38" s="4">
        <v>1.3</v>
      </c>
      <c r="E38" s="4">
        <v>1.3</v>
      </c>
      <c r="F38" s="4">
        <v>0.76</v>
      </c>
      <c r="G38" s="4"/>
      <c r="H38" s="4"/>
    </row>
    <row r="39" ht="16" customHeight="1" s="4" customFormat="1">
      <c r="A39" s="4" t="s">
        <v>1169</v>
      </c>
      <c r="B39" s="4">
        <v>31.5</v>
      </c>
      <c r="C39" s="4">
        <v>20.3</v>
      </c>
      <c r="D39" s="4">
        <v>39.7</v>
      </c>
      <c r="E39" s="4">
        <v>36.5</v>
      </c>
      <c r="F39" s="4">
        <v>45.6</v>
      </c>
      <c r="G39" s="4"/>
      <c r="H39" s="4"/>
    </row>
    <row r="40" ht="16" customHeight="1" s="4" customFormat="1">
      <c r="A40" s="4" t="s">
        <v>1170</v>
      </c>
      <c r="B40" s="4">
        <v>24.1</v>
      </c>
      <c r="C40" s="4">
        <v>9.4</v>
      </c>
      <c r="D40" s="4">
        <v>31.2</v>
      </c>
      <c r="E40" s="4">
        <v>27.3</v>
      </c>
      <c r="F40" s="4">
        <v>28.1</v>
      </c>
      <c r="G40" s="4"/>
      <c r="H40" s="4"/>
    </row>
    <row r="41" ht="16" customHeight="1" s="4" customFormat="1">
      <c r="A41" s="4" t="s">
        <v>1171</v>
      </c>
      <c r="B41" s="4">
        <v>26270</v>
      </c>
      <c r="C41" s="4">
        <v>23759</v>
      </c>
      <c r="D41" s="4">
        <v>18430</v>
      </c>
      <c r="E41" s="4">
        <v>26329</v>
      </c>
      <c r="F41" s="4">
        <v>15145</v>
      </c>
      <c r="G41" s="4"/>
      <c r="H41" s="4"/>
    </row>
    <row r="42" ht="16" customHeight="1" s="4" customFormat="1">
      <c r="A42" s="4" t="s">
        <v>1172</v>
      </c>
      <c r="B42" s="4" t="s">
        <v>1235</v>
      </c>
      <c r="C42" s="4" t="s">
        <v>1236</v>
      </c>
      <c r="D42" s="4" t="s">
        <v>1237</v>
      </c>
      <c r="E42" s="4" t="s">
        <v>1238</v>
      </c>
      <c r="F42" s="4" t="s">
        <v>1239</v>
      </c>
      <c r="G42" s="4"/>
      <c r="H42" s="4"/>
    </row>
    <row r="43" ht="16" customHeight="1" s="4" customFormat="1">
      <c r="A43" s="4" t="s">
        <v>1178</v>
      </c>
      <c r="B43" s="4" t="s">
        <v>1240</v>
      </c>
      <c r="C43" s="4" t="s">
        <v>1140</v>
      </c>
      <c r="D43" s="4" t="s">
        <v>1241</v>
      </c>
      <c r="E43" s="4" t="s">
        <v>1242</v>
      </c>
      <c r="F43" s="4" t="s">
        <v>1222</v>
      </c>
      <c r="G43" s="4"/>
      <c r="H43" s="4"/>
    </row>
    <row r="44" ht="16" customHeight="1" s="4" customFormat="1">
      <c r="A44" s="4" t="s">
        <v>1184</v>
      </c>
      <c r="B44" s="4" t="s">
        <v>1243</v>
      </c>
      <c r="C44" s="4" t="s">
        <v>1186</v>
      </c>
      <c r="D44" s="4" t="s">
        <v>1244</v>
      </c>
      <c r="E44" s="4" t="s">
        <v>1245</v>
      </c>
      <c r="F44" s="4" t="s">
        <v>1246</v>
      </c>
      <c r="G44" s="4"/>
      <c r="H44" s="4"/>
    </row>
    <row r="45" ht="16" customHeight="1" s="4" customFormat="1">
      <c r="A45" s="4" t="s">
        <v>1190</v>
      </c>
      <c r="B45" s="4" t="s">
        <v>1241</v>
      </c>
      <c r="C45" s="4" t="s">
        <v>1247</v>
      </c>
      <c r="D45" s="4" t="s">
        <v>1248</v>
      </c>
      <c r="E45" s="4" t="s">
        <v>1246</v>
      </c>
      <c r="F45" s="4" t="s">
        <v>1249</v>
      </c>
      <c r="G45" s="4"/>
      <c r="H45" s="4"/>
    </row>
    <row r="46" ht="16" customHeight="1" s="4" customFormat="1">
      <c r="A46" s="4" t="s">
        <v>1196</v>
      </c>
      <c r="B46" s="4" t="s">
        <v>1250</v>
      </c>
      <c r="C46" s="4" t="s">
        <v>1251</v>
      </c>
      <c r="D46" s="4" t="s">
        <v>1252</v>
      </c>
      <c r="E46" s="4" t="s">
        <v>1252</v>
      </c>
      <c r="F46" s="4" t="s">
        <v>1253</v>
      </c>
      <c r="G46" s="4"/>
      <c r="H46" s="4"/>
    </row>
    <row r="47" ht="16" customHeight="1" s="4" customFormat="1">
      <c r="A47" s="7" t="s">
        <v>1201</v>
      </c>
      <c r="B47" s="7"/>
      <c r="C47" s="7"/>
      <c r="D47" s="7"/>
      <c r="E47" s="7"/>
      <c r="F47" s="7"/>
      <c r="G47" s="4"/>
      <c r="H47" s="4"/>
    </row>
    <row r="48" ht="16" customHeight="1" s="4" customFormat="1">
      <c r="A48" s="4" t="s">
        <v>1202</v>
      </c>
      <c r="B48" s="4" t="s">
        <v>1254</v>
      </c>
      <c r="C48" s="4" t="s">
        <v>1255</v>
      </c>
      <c r="D48" s="4" t="s">
        <v>1222</v>
      </c>
      <c r="E48" s="4" t="s">
        <v>1256</v>
      </c>
      <c r="F48" s="4" t="s">
        <v>1140</v>
      </c>
      <c r="G48" s="4"/>
      <c r="H48" s="4"/>
    </row>
    <row r="49" ht="16" customHeight="1" s="4" customFormat="1">
      <c r="A49" s="4" t="s">
        <v>1208</v>
      </c>
      <c r="B49" s="4" t="s">
        <v>1257</v>
      </c>
      <c r="C49" s="4" t="s">
        <v>1258</v>
      </c>
      <c r="D49" s="4" t="s">
        <v>1259</v>
      </c>
      <c r="E49" s="4" t="s">
        <v>1260</v>
      </c>
      <c r="F49" s="4" t="s">
        <v>1261</v>
      </c>
      <c r="G49" s="4"/>
      <c r="H49" s="4"/>
    </row>
    <row r="50" ht="16" customHeight="1" s="4" customFormat="1">
      <c r="A50" s="7" t="s">
        <v>1214</v>
      </c>
      <c r="B50" s="7"/>
      <c r="C50" s="7"/>
      <c r="D50" s="7"/>
      <c r="E50" s="7"/>
      <c r="F50" s="7"/>
      <c r="G50" s="4"/>
      <c r="H50" s="4"/>
    </row>
    <row r="51" ht="16" customHeight="1" s="4" customFormat="1">
      <c r="A51" s="4" t="s">
        <v>1215</v>
      </c>
      <c r="B51" s="4">
        <v>75243</v>
      </c>
      <c r="C51" s="4">
        <v>65387</v>
      </c>
      <c r="D51" s="4">
        <v>69699</v>
      </c>
      <c r="E51" s="4">
        <v>77500</v>
      </c>
      <c r="F51" s="4">
        <v>76641</v>
      </c>
      <c r="G51" s="4"/>
      <c r="H51" s="4"/>
    </row>
    <row r="52" ht="16" customHeight="1">
      <c r="A52" s="3" t="s">
        <v>1216</v>
      </c>
      <c r="B52" s="3">
        <v>75008</v>
      </c>
      <c r="C52" s="3">
        <v>65164</v>
      </c>
      <c r="D52" s="3">
        <v>69476</v>
      </c>
      <c r="E52" s="3">
        <v>77277</v>
      </c>
      <c r="F52" s="3">
        <v>76418</v>
      </c>
    </row>
  </sheetData>
  <headerFooter/>
</worksheet>
</file>

<file path=xl/worksheets/sheet18.xml><?xml version="1.0" encoding="utf-8"?>
<worksheet xmlns:r="http://schemas.openxmlformats.org/officeDocument/2006/relationships" xmlns="http://schemas.openxmlformats.org/spreadsheetml/2006/main">
  <dimension ref="A1:J17"/>
  <sheetViews>
    <sheetView workbookViewId="0"/>
  </sheetViews>
  <sheetFormatPr defaultRowHeight="15"/>
  <cols>
    <col min="1" max="1" width="27.2879390716553" customWidth="1" style="3"/>
    <col min="2" max="2" width="32.975715637207" customWidth="1" style="3"/>
    <col min="3" max="3" width="30.4243774414063" customWidth="1" style="3"/>
    <col min="4" max="4" width="18.2586460113525" customWidth="1" style="3"/>
    <col min="5" max="5" width="17.4768371582031" customWidth="1" style="3"/>
    <col min="6" max="6" width="9.38135433197021" customWidth="1" style="3"/>
    <col min="7" max="7" width="12.5815019607544" customWidth="1" style="3"/>
    <col min="8" max="16384" width="15.1180200576782" customWidth="1" style="3"/>
    <col min="9" max="16384" width="9.140625" customWidth="1" style="3"/>
    <col min="10" max="16384" width="9.140625" customWidth="1" style="3"/>
  </cols>
  <sheetData>
    <row r="1" ht="20" customHeight="1" s="1" customFormat="1">
      <c r="A1" s="2" t="s">
        <v>1262</v>
      </c>
      <c r="B1" s="2" t="s">
        <v>1263</v>
      </c>
      <c r="C1" s="2" t="s">
        <v>1264</v>
      </c>
      <c r="D1" s="2" t="s">
        <v>1265</v>
      </c>
      <c r="E1" s="2" t="s">
        <v>1266</v>
      </c>
      <c r="F1" s="2" t="s">
        <v>1267</v>
      </c>
      <c r="G1" s="2" t="s">
        <v>1268</v>
      </c>
      <c r="H1" s="2" t="s">
        <v>1269</v>
      </c>
    </row>
    <row r="2" ht="16" customHeight="1" s="4" customFormat="1">
      <c r="A2" s="4">
        <v>3910388057</v>
      </c>
      <c r="B2" s="4">
        <v>2204867749</v>
      </c>
      <c r="C2" s="4">
        <v>1703302922</v>
      </c>
      <c r="D2" s="4">
        <v>56.4</v>
      </c>
      <c r="E2" s="4">
        <v>0</v>
      </c>
      <c r="F2" s="4" t="s">
        <v>1270</v>
      </c>
      <c r="G2" s="5">
        <v>46135</v>
      </c>
      <c r="H2" s="5">
        <v>46128</v>
      </c>
      <c r="I2" s="4"/>
      <c r="J2" s="4"/>
    </row>
    <row r="3" ht="16" customHeight="1" s="4" customFormat="1">
      <c r="A3" s="4">
        <v>3910388057</v>
      </c>
      <c r="B3" s="4">
        <v>2204867749</v>
      </c>
      <c r="C3" s="4">
        <v>1703302922</v>
      </c>
      <c r="D3" s="4">
        <v>56.4</v>
      </c>
      <c r="E3" s="4">
        <v>0</v>
      </c>
      <c r="F3" s="4" t="s">
        <v>1270</v>
      </c>
      <c r="G3" s="5">
        <v>46128</v>
      </c>
      <c r="H3" s="5">
        <v>46128</v>
      </c>
      <c r="I3" s="4"/>
      <c r="J3" s="4"/>
    </row>
    <row r="4" ht="16" customHeight="1" s="4" customFormat="1">
      <c r="A4" s="4">
        <v>3910388057</v>
      </c>
      <c r="B4" s="4">
        <v>2204867749</v>
      </c>
      <c r="C4" s="4">
        <v>1703302922</v>
      </c>
      <c r="D4" s="4">
        <v>56.4</v>
      </c>
      <c r="E4" s="4">
        <v>0</v>
      </c>
      <c r="F4" s="4" t="s">
        <v>1270</v>
      </c>
      <c r="G4" s="5">
        <v>46111</v>
      </c>
      <c r="H4" s="5">
        <v>46111</v>
      </c>
      <c r="I4" s="4"/>
      <c r="J4" s="4"/>
    </row>
    <row r="5" ht="16" customHeight="1" s="4" customFormat="1">
      <c r="A5" s="4">
        <v>3910388057</v>
      </c>
      <c r="B5" s="4">
        <v>2204867749</v>
      </c>
      <c r="C5" s="4">
        <v>1701147789</v>
      </c>
      <c r="D5" s="4">
        <v>56.4</v>
      </c>
      <c r="E5" s="4">
        <v>100</v>
      </c>
      <c r="F5" s="4" t="s">
        <v>1271</v>
      </c>
      <c r="G5" s="5">
        <v>45745</v>
      </c>
      <c r="H5" s="5">
        <v>45743</v>
      </c>
      <c r="I5" s="4"/>
      <c r="J5" s="4"/>
    </row>
    <row r="6" ht="16" customHeight="1" s="4" customFormat="1">
      <c r="A6" s="4">
        <v>3910388057</v>
      </c>
      <c r="B6" s="4">
        <v>2204867749</v>
      </c>
      <c r="C6" s="4">
        <v>1698936207</v>
      </c>
      <c r="D6" s="4">
        <v>56.4</v>
      </c>
      <c r="E6" s="4">
        <v>100</v>
      </c>
      <c r="F6" s="4" t="s">
        <v>1271</v>
      </c>
      <c r="G6" s="5">
        <v>45656</v>
      </c>
      <c r="H6" s="5">
        <v>45583</v>
      </c>
      <c r="I6" s="4"/>
      <c r="J6" s="4"/>
    </row>
    <row r="7" ht="16" customHeight="1" s="4" customFormat="1">
      <c r="A7" s="4">
        <v>3717206239</v>
      </c>
      <c r="B7" s="4">
        <v>2531849949</v>
      </c>
      <c r="C7" s="4">
        <v>1182435274</v>
      </c>
      <c r="D7" s="4">
        <v>68.1</v>
      </c>
      <c r="E7" s="4">
        <v>100</v>
      </c>
      <c r="F7" s="4" t="s">
        <v>1271</v>
      </c>
      <c r="G7" s="5">
        <v>45379</v>
      </c>
      <c r="H7" s="5">
        <v>45212</v>
      </c>
      <c r="I7" s="4"/>
      <c r="J7" s="4"/>
    </row>
    <row r="8" ht="16" customHeight="1" s="4" customFormat="1">
      <c r="A8" s="4">
        <v>3717206239</v>
      </c>
      <c r="B8" s="4">
        <v>2531849949</v>
      </c>
      <c r="C8" s="4">
        <v>1182435274</v>
      </c>
      <c r="D8" s="4">
        <v>68.1</v>
      </c>
      <c r="E8" s="4">
        <v>100</v>
      </c>
      <c r="F8" s="4" t="s">
        <v>1271</v>
      </c>
      <c r="G8" s="5">
        <v>45289</v>
      </c>
      <c r="H8" s="5">
        <v>45212</v>
      </c>
      <c r="I8" s="4"/>
      <c r="J8" s="4"/>
    </row>
    <row r="9" ht="16" customHeight="1" s="4" customFormat="1">
      <c r="A9" s="4">
        <v>3717199039</v>
      </c>
      <c r="B9" s="4">
        <v>2590349949</v>
      </c>
      <c r="C9" s="4">
        <v>1118500027</v>
      </c>
      <c r="D9" s="4">
        <v>69.7</v>
      </c>
      <c r="E9" s="4">
        <v>100</v>
      </c>
      <c r="F9" s="4" t="s">
        <v>1271</v>
      </c>
      <c r="G9" s="5">
        <v>45016</v>
      </c>
      <c r="H9" s="5">
        <v>44854</v>
      </c>
      <c r="I9" s="4"/>
      <c r="J9" s="4"/>
    </row>
    <row r="10" ht="16" customHeight="1" s="4" customFormat="1">
      <c r="A10" s="4">
        <v>3717199039</v>
      </c>
      <c r="B10" s="4">
        <v>2590349949</v>
      </c>
      <c r="C10" s="4">
        <v>1118500027</v>
      </c>
      <c r="D10" s="4">
        <v>69.7</v>
      </c>
      <c r="E10" s="4">
        <v>100</v>
      </c>
      <c r="F10" s="4" t="s">
        <v>1271</v>
      </c>
      <c r="G10" s="5">
        <v>44925</v>
      </c>
      <c r="H10" s="5">
        <v>44854</v>
      </c>
      <c r="I10" s="4"/>
      <c r="J10" s="4"/>
    </row>
    <row r="11" ht="16" customHeight="1" s="4" customFormat="1">
      <c r="A11" s="4">
        <v>3657696476</v>
      </c>
      <c r="B11" s="4">
        <v>2590349949</v>
      </c>
      <c r="C11" s="4">
        <v>1057960836</v>
      </c>
      <c r="D11" s="4">
        <v>70.8</v>
      </c>
      <c r="E11" s="4">
        <v>100</v>
      </c>
      <c r="F11" s="4" t="s">
        <v>1271</v>
      </c>
      <c r="G11" s="5">
        <v>44651</v>
      </c>
      <c r="H11" s="5">
        <v>44651</v>
      </c>
      <c r="I11" s="4"/>
      <c r="J11" s="4"/>
    </row>
    <row r="12" ht="16" customHeight="1" s="4" customFormat="1">
      <c r="A12" s="4">
        <v>3554465216</v>
      </c>
      <c r="B12" s="4">
        <v>2422849949</v>
      </c>
      <c r="C12" s="4">
        <v>1119750125</v>
      </c>
      <c r="D12" s="4">
        <v>68.2</v>
      </c>
      <c r="E12" s="4">
        <v>100</v>
      </c>
      <c r="F12" s="4" t="s">
        <v>1271</v>
      </c>
      <c r="G12" s="5">
        <v>44561</v>
      </c>
      <c r="H12" s="5">
        <v>44561</v>
      </c>
      <c r="I12" s="4"/>
      <c r="J12" s="4"/>
    </row>
    <row r="13" ht="16" customHeight="1" s="4" customFormat="1">
      <c r="A13" s="4">
        <v>3558146272</v>
      </c>
      <c r="B13" s="4">
        <v>2048618788</v>
      </c>
      <c r="C13" s="4">
        <v>1496922349</v>
      </c>
      <c r="D13" s="4">
        <v>57.6</v>
      </c>
      <c r="E13" s="4">
        <v>100</v>
      </c>
      <c r="F13" s="4" t="s">
        <v>1271</v>
      </c>
      <c r="G13" s="5">
        <v>44286</v>
      </c>
      <c r="H13" s="5">
        <v>44286</v>
      </c>
      <c r="I13" s="4"/>
      <c r="J13" s="4"/>
    </row>
    <row r="14" ht="16" customHeight="1" s="4" customFormat="1">
      <c r="A14" s="4">
        <v>3554247972</v>
      </c>
      <c r="B14" s="4">
        <v>1863618788</v>
      </c>
      <c r="C14" s="4">
        <v>1677236678</v>
      </c>
      <c r="D14" s="4">
        <v>52.4</v>
      </c>
      <c r="E14" s="4">
        <v>100</v>
      </c>
      <c r="F14" s="4" t="s">
        <v>1271</v>
      </c>
      <c r="G14" s="5">
        <v>44196</v>
      </c>
      <c r="H14" s="5">
        <v>44196</v>
      </c>
      <c r="I14" s="4"/>
      <c r="J14" s="4"/>
    </row>
    <row r="15" ht="16" customHeight="1" s="4" customFormat="1">
      <c r="A15" s="4">
        <v>3458014540</v>
      </c>
      <c r="B15" s="4">
        <v>1764326080</v>
      </c>
      <c r="C15" s="4">
        <v>1678689758</v>
      </c>
      <c r="D15" s="4">
        <v>51</v>
      </c>
      <c r="E15" s="4">
        <v>0</v>
      </c>
      <c r="F15" s="4" t="s">
        <v>1270</v>
      </c>
      <c r="G15" s="5">
        <v>43921</v>
      </c>
      <c r="H15" s="5">
        <v>43921</v>
      </c>
      <c r="I15" s="4"/>
      <c r="J15" s="4"/>
    </row>
    <row r="16" ht="16" customHeight="1">
      <c r="A16" s="3">
        <v>3467701554</v>
      </c>
      <c r="B16" s="3">
        <v>1764326080</v>
      </c>
      <c r="C16" s="3">
        <v>1688376772</v>
      </c>
      <c r="D16" s="3">
        <v>50.9</v>
      </c>
      <c r="E16" s="3">
        <v>0</v>
      </c>
      <c r="F16" s="3" t="s">
        <v>1270</v>
      </c>
      <c r="G16" s="6">
        <v>43830</v>
      </c>
      <c r="H16" s="6">
        <v>43829</v>
      </c>
    </row>
    <row r="17" ht="16" customHeight="1">
      <c r="A17" s="3">
        <v>3465738072</v>
      </c>
      <c r="B17" s="3">
        <v>1764326080</v>
      </c>
      <c r="C17" s="3">
        <v>1686413290</v>
      </c>
      <c r="D17" s="3">
        <v>50.9</v>
      </c>
      <c r="E17" s="3">
        <v>0</v>
      </c>
      <c r="F17" s="3"/>
      <c r="G17" s="6">
        <v>43555</v>
      </c>
      <c r="H17" s="6">
        <v>43553</v>
      </c>
    </row>
  </sheetData>
  <headerFooter/>
</worksheet>
</file>

<file path=xl/worksheets/sheet19.xml><?xml version="1.0" encoding="utf-8"?>
<worksheet xmlns:r="http://schemas.openxmlformats.org/officeDocument/2006/relationships" xmlns="http://schemas.openxmlformats.org/spreadsheetml/2006/main">
  <dimension ref="A1:L70"/>
  <sheetViews>
    <sheetView workbookViewId="0"/>
  </sheetViews>
  <sheetFormatPr defaultRowHeight="15"/>
  <cols>
    <col min="1" max="1" width="44.3568801879883" customWidth="1" style="3"/>
    <col min="2" max="2" width="48.6752395629883" customWidth="1" style="3"/>
    <col min="3" max="3" width="12.3699741363525" customWidth="1" style="3"/>
    <col min="4" max="4" width="14.7197093963623" customWidth="1" style="3"/>
    <col min="5" max="5" width="13.3551864624023" customWidth="1" style="3"/>
    <col min="6" max="6" width="9.140625" customWidth="1" style="3"/>
    <col min="7" max="7" width="15.0209217071533" customWidth="1" style="3"/>
    <col min="8" max="8" width="17.1780090332031" customWidth="1" style="3"/>
    <col min="9" max="9" width="21.9810199737549" customWidth="1" style="3"/>
    <col min="10" max="16384" width="9.140625" customWidth="1" style="3"/>
    <col min="11" max="16384" width="9.140625" customWidth="1" style="3"/>
    <col min="12" max="16384" width="9.140625" customWidth="1" style="3"/>
  </cols>
  <sheetData>
    <row r="1" ht="20" customHeight="1" s="1" customFormat="1">
      <c r="A1" s="2" t="s">
        <v>9</v>
      </c>
      <c r="B1" s="2" t="s">
        <v>1272</v>
      </c>
      <c r="C1" s="2" t="s">
        <v>1273</v>
      </c>
      <c r="D1" s="2" t="s">
        <v>1274</v>
      </c>
      <c r="E1" s="2" t="s">
        <v>1275</v>
      </c>
      <c r="F1" s="2" t="s">
        <v>1276</v>
      </c>
      <c r="G1" s="2" t="s">
        <v>1277</v>
      </c>
      <c r="H1" s="2" t="s">
        <v>1278</v>
      </c>
      <c r="I1" s="2" t="s">
        <v>1279</v>
      </c>
      <c r="J1" s="2" t="s">
        <v>1280</v>
      </c>
    </row>
    <row r="2" ht="16" customHeight="1" s="4" customFormat="1">
      <c r="A2" s="4" t="s">
        <v>1281</v>
      </c>
      <c r="B2" s="4" t="s">
        <v>1282</v>
      </c>
      <c r="C2" s="4"/>
      <c r="D2" s="4"/>
      <c r="E2" s="4"/>
      <c r="F2" s="4" t="s">
        <v>1283</v>
      </c>
      <c r="G2" s="4">
        <v>11.1</v>
      </c>
      <c r="H2" s="4">
        <v>6.1</v>
      </c>
      <c r="I2" s="4">
        <v>5.3</v>
      </c>
      <c r="J2" s="4"/>
      <c r="K2" s="4"/>
      <c r="L2" s="4"/>
    </row>
    <row r="3" ht="16" customHeight="1" s="4" customFormat="1">
      <c r="A3" s="4" t="s">
        <v>403</v>
      </c>
      <c r="B3" s="4" t="s">
        <v>1282</v>
      </c>
      <c r="C3" s="4"/>
      <c r="D3" s="4"/>
      <c r="E3" s="4"/>
      <c r="F3" s="4" t="s">
        <v>1284</v>
      </c>
      <c r="G3" s="4"/>
      <c r="H3" s="4"/>
      <c r="I3" s="4">
        <v>-0.05</v>
      </c>
      <c r="J3" s="4"/>
      <c r="K3" s="4"/>
      <c r="L3" s="4"/>
    </row>
    <row r="4" ht="16" customHeight="1" s="4" customFormat="1">
      <c r="A4" s="4" t="s">
        <v>1285</v>
      </c>
      <c r="B4" s="4" t="s">
        <v>1282</v>
      </c>
      <c r="C4" s="4" t="s">
        <v>1286</v>
      </c>
      <c r="D4" s="4" t="s">
        <v>1287</v>
      </c>
      <c r="E4" s="4">
        <v>1328</v>
      </c>
      <c r="F4" s="4" t="s">
        <v>1283</v>
      </c>
      <c r="G4" s="4">
        <v>122</v>
      </c>
      <c r="H4" s="4">
        <v>994</v>
      </c>
      <c r="I4" s="4">
        <v>-57.6</v>
      </c>
      <c r="J4" s="4" t="s">
        <v>1288</v>
      </c>
      <c r="K4" s="4"/>
      <c r="L4" s="4"/>
    </row>
    <row r="5" ht="16" customHeight="1" s="4" customFormat="1">
      <c r="A5" s="4" t="s">
        <v>1289</v>
      </c>
      <c r="B5" s="4" t="s">
        <v>1282</v>
      </c>
      <c r="C5" s="4"/>
      <c r="D5" s="4"/>
      <c r="E5" s="4"/>
      <c r="F5" s="4" t="s">
        <v>1283</v>
      </c>
      <c r="G5" s="4"/>
      <c r="H5" s="4">
        <v>0.02</v>
      </c>
      <c r="I5" s="4">
        <v>-0.03</v>
      </c>
      <c r="J5" s="4"/>
      <c r="K5" s="4"/>
      <c r="L5" s="4"/>
    </row>
    <row r="6" ht="16" customHeight="1" s="4" customFormat="1">
      <c r="A6" s="4" t="s">
        <v>1290</v>
      </c>
      <c r="B6" s="4" t="s">
        <v>1282</v>
      </c>
      <c r="C6" s="4"/>
      <c r="D6" s="4"/>
      <c r="E6" s="4"/>
      <c r="F6" s="4" t="s">
        <v>1283</v>
      </c>
      <c r="G6" s="4"/>
      <c r="H6" s="4">
        <v>6.5</v>
      </c>
      <c r="I6" s="4">
        <v>-10.4</v>
      </c>
      <c r="J6" s="4"/>
      <c r="K6" s="4"/>
      <c r="L6" s="4"/>
    </row>
    <row r="7" ht="16" customHeight="1" s="4" customFormat="1">
      <c r="A7" s="4" t="s">
        <v>1291</v>
      </c>
      <c r="B7" s="4" t="s">
        <v>1282</v>
      </c>
      <c r="C7" s="4"/>
      <c r="D7" s="4"/>
      <c r="E7" s="4">
        <v>2500</v>
      </c>
      <c r="F7" s="4" t="s">
        <v>1292</v>
      </c>
      <c r="G7" s="4">
        <v>2.5</v>
      </c>
      <c r="H7" s="4"/>
      <c r="I7" s="4"/>
      <c r="J7" s="4"/>
      <c r="K7" s="4"/>
      <c r="L7" s="4"/>
    </row>
    <row r="8" ht="16" customHeight="1" s="4" customFormat="1">
      <c r="A8" s="4" t="s">
        <v>462</v>
      </c>
      <c r="B8" s="4" t="s">
        <v>1293</v>
      </c>
      <c r="C8" s="4" t="s">
        <v>1294</v>
      </c>
      <c r="D8" s="4" t="s">
        <v>1287</v>
      </c>
      <c r="E8" s="4">
        <v>1110</v>
      </c>
      <c r="F8" s="4" t="s">
        <v>1283</v>
      </c>
      <c r="G8" s="4">
        <v>891</v>
      </c>
      <c r="H8" s="4">
        <v>441</v>
      </c>
      <c r="I8" s="4">
        <v>-92.1</v>
      </c>
      <c r="J8" s="4"/>
      <c r="K8" s="4"/>
      <c r="L8" s="4"/>
    </row>
    <row r="9" ht="16" customHeight="1" s="4" customFormat="1">
      <c r="A9" s="4" t="s">
        <v>454</v>
      </c>
      <c r="B9" s="4" t="s">
        <v>1293</v>
      </c>
      <c r="C9" s="4"/>
      <c r="D9" s="4"/>
      <c r="E9" s="4"/>
      <c r="F9" s="4" t="s">
        <v>1284</v>
      </c>
      <c r="G9" s="4">
        <v>77.2</v>
      </c>
      <c r="H9" s="4"/>
      <c r="I9" s="4">
        <v>23</v>
      </c>
      <c r="J9" s="4"/>
      <c r="K9" s="4"/>
      <c r="L9" s="4"/>
    </row>
    <row r="10" ht="16" customHeight="1" s="4" customFormat="1">
      <c r="A10" s="4" t="s">
        <v>541</v>
      </c>
      <c r="B10" s="4" t="s">
        <v>1293</v>
      </c>
      <c r="C10" s="4"/>
      <c r="D10" s="4"/>
      <c r="E10" s="4"/>
      <c r="F10" s="4" t="s">
        <v>1284</v>
      </c>
      <c r="G10" s="4"/>
      <c r="H10" s="4">
        <v>0.63</v>
      </c>
      <c r="I10" s="4">
        <v>-0.1</v>
      </c>
      <c r="J10" s="4"/>
      <c r="K10" s="4"/>
      <c r="L10" s="4"/>
    </row>
    <row r="11" ht="16" customHeight="1" s="4" customFormat="1">
      <c r="A11" s="4" t="s">
        <v>426</v>
      </c>
      <c r="B11" s="4" t="s">
        <v>1293</v>
      </c>
      <c r="C11" s="4" t="s">
        <v>1295</v>
      </c>
      <c r="D11" s="4" t="s">
        <v>1287</v>
      </c>
      <c r="E11" s="4">
        <v>1.3</v>
      </c>
      <c r="F11" s="4" t="s">
        <v>1283</v>
      </c>
      <c r="G11" s="4">
        <v>575</v>
      </c>
      <c r="H11" s="4">
        <v>217</v>
      </c>
      <c r="I11" s="4">
        <v>216</v>
      </c>
      <c r="J11" s="4"/>
      <c r="K11" s="4"/>
      <c r="L11" s="4"/>
    </row>
    <row r="12" ht="16" customHeight="1" s="4" customFormat="1">
      <c r="A12" s="4" t="s">
        <v>381</v>
      </c>
      <c r="B12" s="4" t="s">
        <v>1293</v>
      </c>
      <c r="C12" s="4" t="s">
        <v>1296</v>
      </c>
      <c r="D12" s="4" t="s">
        <v>1287</v>
      </c>
      <c r="E12" s="4">
        <v>2.2</v>
      </c>
      <c r="F12" s="4" t="s">
        <v>1283</v>
      </c>
      <c r="G12" s="4">
        <v>111</v>
      </c>
      <c r="H12" s="4"/>
      <c r="I12" s="4">
        <v>95.4</v>
      </c>
      <c r="J12" s="4"/>
      <c r="K12" s="4"/>
      <c r="L12" s="4"/>
    </row>
    <row r="13" ht="16" customHeight="1" s="4" customFormat="1">
      <c r="A13" s="4" t="s">
        <v>536</v>
      </c>
      <c r="B13" s="4" t="s">
        <v>1293</v>
      </c>
      <c r="C13" s="4"/>
      <c r="D13" s="4"/>
      <c r="E13" s="4"/>
      <c r="F13" s="4" t="s">
        <v>1284</v>
      </c>
      <c r="G13" s="4"/>
      <c r="H13" s="4"/>
      <c r="I13" s="4"/>
      <c r="J13" s="4"/>
      <c r="K13" s="4"/>
      <c r="L13" s="4"/>
    </row>
    <row r="14" ht="16" customHeight="1" s="4" customFormat="1">
      <c r="A14" s="4" t="s">
        <v>715</v>
      </c>
      <c r="B14" s="4" t="s">
        <v>1293</v>
      </c>
      <c r="C14" s="4" t="s">
        <v>1297</v>
      </c>
      <c r="D14" s="4" t="s">
        <v>1298</v>
      </c>
      <c r="E14" s="4">
        <v>8800</v>
      </c>
      <c r="F14" s="4" t="s">
        <v>1283</v>
      </c>
      <c r="G14" s="4">
        <v>5244</v>
      </c>
      <c r="H14" s="4">
        <v>5779</v>
      </c>
      <c r="I14" s="4">
        <v>1071</v>
      </c>
      <c r="J14" s="4"/>
      <c r="K14" s="4"/>
      <c r="L14" s="4"/>
    </row>
    <row r="15" ht="16" customHeight="1" s="4" customFormat="1">
      <c r="A15" s="4" t="s">
        <v>705</v>
      </c>
      <c r="B15" s="4" t="s">
        <v>1293</v>
      </c>
      <c r="C15" s="4" t="s">
        <v>1286</v>
      </c>
      <c r="D15" s="4" t="s">
        <v>1287</v>
      </c>
      <c r="E15" s="4">
        <v>20</v>
      </c>
      <c r="F15" s="4" t="s">
        <v>1283</v>
      </c>
      <c r="G15" s="4">
        <v>161</v>
      </c>
      <c r="H15" s="4">
        <v>364</v>
      </c>
      <c r="I15" s="4">
        <v>41.7</v>
      </c>
      <c r="J15" s="4"/>
      <c r="K15" s="4"/>
      <c r="L15" s="4"/>
    </row>
    <row r="16" ht="16" customHeight="1" s="4" customFormat="1">
      <c r="A16" s="4" t="s">
        <v>1299</v>
      </c>
      <c r="B16" s="4" t="s">
        <v>1300</v>
      </c>
      <c r="C16" s="4"/>
      <c r="D16" s="4"/>
      <c r="E16" s="4"/>
      <c r="F16" s="4" t="s">
        <v>1283</v>
      </c>
      <c r="G16" s="4">
        <v>0.02</v>
      </c>
      <c r="H16" s="4"/>
      <c r="I16" s="4">
        <v>0.01</v>
      </c>
      <c r="J16" s="4"/>
      <c r="K16" s="4"/>
      <c r="L16" s="4"/>
    </row>
    <row r="17" ht="16" customHeight="1" s="4" customFormat="1">
      <c r="A17" s="4" t="s">
        <v>136</v>
      </c>
      <c r="B17" s="4" t="s">
        <v>1301</v>
      </c>
      <c r="C17" s="4" t="s">
        <v>1302</v>
      </c>
      <c r="D17" s="4" t="s">
        <v>1287</v>
      </c>
      <c r="E17" s="4">
        <v>8329</v>
      </c>
      <c r="F17" s="4" t="s">
        <v>1283</v>
      </c>
      <c r="G17" s="4">
        <v>8282</v>
      </c>
      <c r="H17" s="4">
        <v>2178</v>
      </c>
      <c r="I17" s="4">
        <v>550</v>
      </c>
      <c r="J17" s="4" t="s">
        <v>1288</v>
      </c>
      <c r="K17" s="4"/>
      <c r="L17" s="4"/>
    </row>
    <row r="18" ht="16" customHeight="1" s="4" customFormat="1">
      <c r="A18" s="4" t="s">
        <v>97</v>
      </c>
      <c r="B18" s="4" t="s">
        <v>1301</v>
      </c>
      <c r="C18" s="4" t="s">
        <v>1302</v>
      </c>
      <c r="D18" s="4" t="s">
        <v>1287</v>
      </c>
      <c r="E18" s="4">
        <v>175</v>
      </c>
      <c r="F18" s="4" t="s">
        <v>1283</v>
      </c>
      <c r="G18" s="4">
        <v>954</v>
      </c>
      <c r="H18" s="4">
        <v>321</v>
      </c>
      <c r="I18" s="4">
        <v>57.4</v>
      </c>
      <c r="J18" s="4" t="s">
        <v>1303</v>
      </c>
      <c r="K18" s="4"/>
      <c r="L18" s="4"/>
    </row>
    <row r="19" ht="16" customHeight="1" s="4" customFormat="1">
      <c r="A19" s="4" t="s">
        <v>113</v>
      </c>
      <c r="B19" s="4" t="s">
        <v>1301</v>
      </c>
      <c r="C19" s="4"/>
      <c r="D19" s="4"/>
      <c r="E19" s="4"/>
      <c r="F19" s="4" t="s">
        <v>1283</v>
      </c>
      <c r="G19" s="4">
        <v>61.5</v>
      </c>
      <c r="H19" s="4">
        <v>0.28</v>
      </c>
      <c r="I19" s="4">
        <v>4.2</v>
      </c>
      <c r="J19" s="4"/>
      <c r="K19" s="4"/>
      <c r="L19" s="4"/>
    </row>
    <row r="20" ht="16" customHeight="1" s="4" customFormat="1">
      <c r="A20" s="4" t="s">
        <v>102</v>
      </c>
      <c r="B20" s="4" t="s">
        <v>1301</v>
      </c>
      <c r="C20" s="4" t="s">
        <v>1304</v>
      </c>
      <c r="D20" s="4" t="s">
        <v>1287</v>
      </c>
      <c r="E20" s="4"/>
      <c r="F20" s="4" t="s">
        <v>1283</v>
      </c>
      <c r="G20" s="4">
        <v>283</v>
      </c>
      <c r="H20" s="4">
        <v>118</v>
      </c>
      <c r="I20" s="4">
        <v>94</v>
      </c>
      <c r="J20" s="4"/>
      <c r="K20" s="4"/>
      <c r="L20" s="4"/>
    </row>
    <row r="21" ht="16" customHeight="1" s="4" customFormat="1">
      <c r="A21" s="4" t="s">
        <v>100</v>
      </c>
      <c r="B21" s="4" t="s">
        <v>1301</v>
      </c>
      <c r="C21" s="4"/>
      <c r="D21" s="4"/>
      <c r="E21" s="4"/>
      <c r="F21" s="4" t="s">
        <v>1283</v>
      </c>
      <c r="G21" s="4"/>
      <c r="H21" s="4">
        <v>1.4</v>
      </c>
      <c r="I21" s="4">
        <v>-0.06</v>
      </c>
      <c r="J21" s="4"/>
      <c r="K21" s="4"/>
      <c r="L21" s="4"/>
    </row>
    <row r="22" ht="16" customHeight="1" s="4" customFormat="1">
      <c r="A22" s="4" t="s">
        <v>115</v>
      </c>
      <c r="B22" s="4" t="s">
        <v>1301</v>
      </c>
      <c r="C22" s="4"/>
      <c r="D22" s="4"/>
      <c r="E22" s="4"/>
      <c r="F22" s="4" t="s">
        <v>1283</v>
      </c>
      <c r="G22" s="4">
        <v>10.7</v>
      </c>
      <c r="H22" s="4"/>
      <c r="I22" s="4">
        <v>1.1</v>
      </c>
      <c r="J22" s="4"/>
      <c r="K22" s="4"/>
      <c r="L22" s="4"/>
    </row>
    <row r="23" ht="16" customHeight="1" s="4" customFormat="1">
      <c r="A23" s="4" t="s">
        <v>106</v>
      </c>
      <c r="B23" s="4" t="s">
        <v>1301</v>
      </c>
      <c r="C23" s="4"/>
      <c r="D23" s="4"/>
      <c r="E23" s="4"/>
      <c r="F23" s="4" t="s">
        <v>1292</v>
      </c>
      <c r="G23" s="4">
        <v>15.3</v>
      </c>
      <c r="H23" s="4"/>
      <c r="I23" s="4"/>
      <c r="J23" s="4"/>
      <c r="K23" s="4"/>
      <c r="L23" s="4"/>
    </row>
    <row r="24" ht="16" customHeight="1" s="4" customFormat="1">
      <c r="A24" s="4" t="s">
        <v>168</v>
      </c>
      <c r="B24" s="4" t="s">
        <v>1305</v>
      </c>
      <c r="C24" s="4" t="s">
        <v>1302</v>
      </c>
      <c r="D24" s="4" t="s">
        <v>1287</v>
      </c>
      <c r="E24" s="4">
        <v>6185</v>
      </c>
      <c r="F24" s="4" t="s">
        <v>1283</v>
      </c>
      <c r="G24" s="4">
        <v>16468</v>
      </c>
      <c r="H24" s="4">
        <v>3451</v>
      </c>
      <c r="I24" s="4">
        <v>4760</v>
      </c>
      <c r="J24" s="4"/>
      <c r="K24" s="4"/>
      <c r="L24" s="4"/>
    </row>
    <row r="25" ht="16" customHeight="1" s="4" customFormat="1">
      <c r="A25" s="4" t="s">
        <v>94</v>
      </c>
      <c r="B25" s="4" t="s">
        <v>1306</v>
      </c>
      <c r="C25" s="4" t="s">
        <v>1296</v>
      </c>
      <c r="D25" s="4" t="s">
        <v>1298</v>
      </c>
      <c r="E25" s="4">
        <v>8191</v>
      </c>
      <c r="F25" s="4" t="s">
        <v>1283</v>
      </c>
      <c r="G25" s="4">
        <v>35066</v>
      </c>
      <c r="H25" s="4">
        <v>11220</v>
      </c>
      <c r="I25" s="4">
        <v>18371</v>
      </c>
      <c r="J25" s="4"/>
      <c r="K25" s="4"/>
      <c r="L25" s="4"/>
    </row>
    <row r="26" ht="16" customHeight="1" s="4" customFormat="1">
      <c r="A26" s="4" t="s">
        <v>120</v>
      </c>
      <c r="B26" s="4" t="s">
        <v>1307</v>
      </c>
      <c r="C26" s="4" t="s">
        <v>1308</v>
      </c>
      <c r="D26" s="4" t="s">
        <v>1309</v>
      </c>
      <c r="E26" s="4"/>
      <c r="F26" s="4"/>
      <c r="G26" s="4"/>
      <c r="H26" s="4"/>
      <c r="I26" s="4"/>
      <c r="J26" s="4"/>
      <c r="K26" s="4"/>
      <c r="L26" s="4"/>
    </row>
    <row r="27" ht="16" customHeight="1" s="4" customFormat="1">
      <c r="A27" s="4" t="s">
        <v>163</v>
      </c>
      <c r="B27" s="4" t="s">
        <v>1307</v>
      </c>
      <c r="C27" s="4" t="s">
        <v>1295</v>
      </c>
      <c r="D27" s="4" t="s">
        <v>1287</v>
      </c>
      <c r="E27" s="4">
        <v>6578</v>
      </c>
      <c r="F27" s="4" t="s">
        <v>1283</v>
      </c>
      <c r="G27" s="4">
        <v>4032</v>
      </c>
      <c r="H27" s="4">
        <v>1818</v>
      </c>
      <c r="I27" s="4">
        <v>452</v>
      </c>
      <c r="J27" s="4"/>
      <c r="K27" s="4"/>
      <c r="L27" s="4"/>
    </row>
    <row r="28" ht="16" customHeight="1" s="4" customFormat="1">
      <c r="A28" s="4" t="s">
        <v>86</v>
      </c>
      <c r="B28" s="4" t="s">
        <v>1310</v>
      </c>
      <c r="C28" s="4"/>
      <c r="D28" s="4"/>
      <c r="E28" s="4"/>
      <c r="F28" s="4" t="s">
        <v>1311</v>
      </c>
      <c r="G28" s="4">
        <v>0.6</v>
      </c>
      <c r="H28" s="4">
        <v>8.1</v>
      </c>
      <c r="I28" s="4">
        <v>0.58</v>
      </c>
      <c r="J28" s="4"/>
      <c r="K28" s="4"/>
      <c r="L28" s="4"/>
    </row>
    <row r="29" ht="16" customHeight="1" s="4" customFormat="1">
      <c r="A29" s="4" t="s">
        <v>104</v>
      </c>
      <c r="B29" s="4" t="s">
        <v>1312</v>
      </c>
      <c r="C29" s="4"/>
      <c r="D29" s="4"/>
      <c r="E29" s="4"/>
      <c r="F29" s="4" t="s">
        <v>1284</v>
      </c>
      <c r="G29" s="4">
        <v>3.5</v>
      </c>
      <c r="H29" s="4"/>
      <c r="I29" s="4">
        <v>-0.87</v>
      </c>
      <c r="J29" s="4"/>
      <c r="K29" s="4"/>
      <c r="L29" s="4"/>
    </row>
    <row r="30" ht="16" customHeight="1" s="4" customFormat="1">
      <c r="A30" s="4" t="s">
        <v>1313</v>
      </c>
      <c r="B30" s="4" t="s">
        <v>1314</v>
      </c>
      <c r="C30" s="4"/>
      <c r="D30" s="4"/>
      <c r="E30" s="4"/>
      <c r="F30" s="4" t="s">
        <v>1283</v>
      </c>
      <c r="G30" s="4"/>
      <c r="H30" s="4">
        <v>0.04</v>
      </c>
      <c r="I30" s="4">
        <v>-0.02</v>
      </c>
      <c r="J30" s="4"/>
      <c r="K30" s="4"/>
      <c r="L30" s="4"/>
    </row>
    <row r="31" ht="16" customHeight="1" s="4" customFormat="1">
      <c r="A31" s="4" t="s">
        <v>1315</v>
      </c>
      <c r="B31" s="4" t="s">
        <v>1314</v>
      </c>
      <c r="C31" s="4"/>
      <c r="D31" s="4"/>
      <c r="E31" s="4"/>
      <c r="F31" s="4" t="s">
        <v>1292</v>
      </c>
      <c r="G31" s="4"/>
      <c r="H31" s="4"/>
      <c r="I31" s="4"/>
      <c r="J31" s="4"/>
      <c r="K31" s="4"/>
      <c r="L31" s="4"/>
    </row>
    <row r="32" ht="16" customHeight="1" s="4" customFormat="1">
      <c r="A32" s="4" t="s">
        <v>1316</v>
      </c>
      <c r="B32" s="4" t="s">
        <v>1314</v>
      </c>
      <c r="C32" s="4"/>
      <c r="D32" s="4"/>
      <c r="E32" s="4"/>
      <c r="F32" s="4" t="s">
        <v>1292</v>
      </c>
      <c r="G32" s="4"/>
      <c r="H32" s="4"/>
      <c r="I32" s="4"/>
      <c r="J32" s="4"/>
      <c r="K32" s="4"/>
      <c r="L32" s="4"/>
    </row>
    <row r="33" ht="16" customHeight="1" s="4" customFormat="1">
      <c r="A33" s="4" t="s">
        <v>1317</v>
      </c>
      <c r="B33" s="4" t="s">
        <v>1318</v>
      </c>
      <c r="C33" s="4"/>
      <c r="D33" s="4"/>
      <c r="E33" s="4"/>
      <c r="F33" s="4" t="s">
        <v>1283</v>
      </c>
      <c r="G33" s="4">
        <v>55803</v>
      </c>
      <c r="H33" s="4"/>
      <c r="I33" s="4">
        <v>48320</v>
      </c>
      <c r="J33" s="4"/>
      <c r="K33" s="4"/>
      <c r="L33" s="4"/>
    </row>
    <row r="34" ht="16" customHeight="1" s="4" customFormat="1">
      <c r="A34" s="4" t="s">
        <v>1319</v>
      </c>
      <c r="B34" s="4" t="s">
        <v>1318</v>
      </c>
      <c r="C34" s="4"/>
      <c r="D34" s="4"/>
      <c r="E34" s="4"/>
      <c r="F34" s="4" t="s">
        <v>1283</v>
      </c>
      <c r="G34" s="4">
        <v>351</v>
      </c>
      <c r="H34" s="4">
        <v>151</v>
      </c>
      <c r="I34" s="4">
        <v>350</v>
      </c>
      <c r="J34" s="4"/>
      <c r="K34" s="4"/>
      <c r="L34" s="4"/>
    </row>
    <row r="35" ht="16" customHeight="1" s="4" customFormat="1">
      <c r="A35" s="4" t="s">
        <v>1320</v>
      </c>
      <c r="B35" s="4" t="s">
        <v>1318</v>
      </c>
      <c r="C35" s="4"/>
      <c r="D35" s="4"/>
      <c r="E35" s="4"/>
      <c r="F35" s="4"/>
      <c r="G35" s="4"/>
      <c r="H35" s="4"/>
      <c r="I35" s="4"/>
      <c r="J35" s="4"/>
      <c r="K35" s="4"/>
      <c r="L35" s="4"/>
    </row>
    <row r="36" ht="16" customHeight="1" s="4" customFormat="1">
      <c r="A36" s="4" t="s">
        <v>647</v>
      </c>
      <c r="B36" s="4" t="s">
        <v>1321</v>
      </c>
      <c r="C36" s="4"/>
      <c r="D36" s="4"/>
      <c r="E36" s="4"/>
      <c r="F36" s="4" t="s">
        <v>1283</v>
      </c>
      <c r="G36" s="4">
        <v>57.6</v>
      </c>
      <c r="H36" s="4"/>
      <c r="I36" s="4">
        <v>24.6</v>
      </c>
      <c r="J36" s="4"/>
      <c r="K36" s="4"/>
      <c r="L36" s="4"/>
    </row>
    <row r="37" ht="16" customHeight="1" s="4" customFormat="1">
      <c r="A37" s="4" t="s">
        <v>1322</v>
      </c>
      <c r="B37" s="4" t="s">
        <v>1321</v>
      </c>
      <c r="C37" s="4" t="s">
        <v>1323</v>
      </c>
      <c r="D37" s="4" t="s">
        <v>1287</v>
      </c>
      <c r="E37" s="4">
        <v>23550</v>
      </c>
      <c r="F37" s="4" t="s">
        <v>1283</v>
      </c>
      <c r="G37" s="4">
        <v>626</v>
      </c>
      <c r="H37" s="4">
        <v>5046</v>
      </c>
      <c r="I37" s="4">
        <v>487</v>
      </c>
      <c r="J37" s="4"/>
      <c r="K37" s="4"/>
      <c r="L37" s="4"/>
    </row>
    <row r="38" ht="16" customHeight="1" s="4" customFormat="1">
      <c r="A38" s="4" t="s">
        <v>1324</v>
      </c>
      <c r="B38" s="4" t="s">
        <v>1321</v>
      </c>
      <c r="C38" s="4"/>
      <c r="D38" s="4"/>
      <c r="E38" s="4"/>
      <c r="F38" s="4" t="s">
        <v>1311</v>
      </c>
      <c r="G38" s="4">
        <v>0.06</v>
      </c>
      <c r="H38" s="4"/>
      <c r="I38" s="4">
        <v>0.04</v>
      </c>
      <c r="J38" s="4"/>
      <c r="K38" s="4"/>
      <c r="L38" s="4"/>
    </row>
    <row r="39" ht="16" customHeight="1" s="4" customFormat="1">
      <c r="A39" s="4" t="s">
        <v>561</v>
      </c>
      <c r="B39" s="4" t="s">
        <v>1321</v>
      </c>
      <c r="C39" s="4"/>
      <c r="D39" s="4"/>
      <c r="E39" s="4"/>
      <c r="F39" s="4" t="s">
        <v>1283</v>
      </c>
      <c r="G39" s="4"/>
      <c r="H39" s="4"/>
      <c r="I39" s="4">
        <v>-0.01</v>
      </c>
      <c r="J39" s="4"/>
      <c r="K39" s="4"/>
      <c r="L39" s="4"/>
    </row>
    <row r="40" ht="16" customHeight="1" s="4" customFormat="1">
      <c r="A40" s="4" t="s">
        <v>1325</v>
      </c>
      <c r="B40" s="4" t="s">
        <v>1321</v>
      </c>
      <c r="C40" s="4" t="s">
        <v>1295</v>
      </c>
      <c r="D40" s="4" t="s">
        <v>1287</v>
      </c>
      <c r="E40" s="4">
        <v>29413</v>
      </c>
      <c r="F40" s="4" t="s">
        <v>1283</v>
      </c>
      <c r="G40" s="4">
        <v>5068</v>
      </c>
      <c r="H40" s="4">
        <v>327</v>
      </c>
      <c r="I40" s="4">
        <v>543</v>
      </c>
      <c r="J40" s="4"/>
      <c r="K40" s="4"/>
      <c r="L40" s="4"/>
    </row>
    <row r="41" ht="16" customHeight="1" s="4" customFormat="1">
      <c r="A41" s="4" t="s">
        <v>442</v>
      </c>
      <c r="B41" s="4" t="s">
        <v>1321</v>
      </c>
      <c r="C41" s="4"/>
      <c r="D41" s="4"/>
      <c r="E41" s="4"/>
      <c r="F41" s="4" t="s">
        <v>1292</v>
      </c>
      <c r="G41" s="4"/>
      <c r="H41" s="4">
        <v>4.7</v>
      </c>
      <c r="I41" s="4">
        <v>-0.05</v>
      </c>
      <c r="J41" s="4"/>
      <c r="K41" s="4"/>
      <c r="L41" s="4"/>
    </row>
    <row r="42" ht="16" customHeight="1" s="4" customFormat="1">
      <c r="A42" s="4" t="s">
        <v>133</v>
      </c>
      <c r="B42" s="4" t="s">
        <v>1326</v>
      </c>
      <c r="C42" s="4"/>
      <c r="D42" s="4"/>
      <c r="E42" s="4"/>
      <c r="F42" s="4" t="s">
        <v>1283</v>
      </c>
      <c r="G42" s="4">
        <v>3.3</v>
      </c>
      <c r="H42" s="4"/>
      <c r="I42" s="4">
        <v>-1.7</v>
      </c>
      <c r="J42" s="4"/>
      <c r="K42" s="4"/>
      <c r="L42" s="4"/>
    </row>
    <row r="43" ht="16" customHeight="1" s="4" customFormat="1">
      <c r="A43" s="4" t="s">
        <v>84</v>
      </c>
      <c r="B43" s="4" t="s">
        <v>1326</v>
      </c>
      <c r="C43" s="4"/>
      <c r="D43" s="4"/>
      <c r="E43" s="4"/>
      <c r="F43" s="4" t="s">
        <v>1327</v>
      </c>
      <c r="G43" s="4"/>
      <c r="H43" s="4"/>
      <c r="I43" s="4">
        <v>-0.03</v>
      </c>
      <c r="J43" s="4"/>
      <c r="K43" s="4"/>
      <c r="L43" s="4"/>
    </row>
    <row r="44" ht="16" customHeight="1" s="4" customFormat="1">
      <c r="A44" s="4" t="s">
        <v>131</v>
      </c>
      <c r="B44" s="4" t="s">
        <v>1326</v>
      </c>
      <c r="C44" s="4" t="s">
        <v>1308</v>
      </c>
      <c r="D44" s="4" t="s">
        <v>1309</v>
      </c>
      <c r="E44" s="4">
        <v>1206</v>
      </c>
      <c r="F44" s="4" t="s">
        <v>1284</v>
      </c>
      <c r="G44" s="4">
        <v>145</v>
      </c>
      <c r="H44" s="4">
        <v>1241</v>
      </c>
      <c r="I44" s="4">
        <v>20.8</v>
      </c>
      <c r="J44" s="4" t="s">
        <v>1288</v>
      </c>
      <c r="K44" s="4"/>
      <c r="L44" s="4"/>
    </row>
    <row r="45" ht="16" customHeight="1" s="4" customFormat="1">
      <c r="A45" s="4" t="s">
        <v>170</v>
      </c>
      <c r="B45" s="4" t="s">
        <v>1326</v>
      </c>
      <c r="C45" s="4"/>
      <c r="D45" s="4"/>
      <c r="E45" s="4">
        <v>15</v>
      </c>
      <c r="F45" s="4" t="s">
        <v>1292</v>
      </c>
      <c r="G45" s="4">
        <v>13.7</v>
      </c>
      <c r="H45" s="4"/>
      <c r="I45" s="4">
        <v>1.8</v>
      </c>
      <c r="J45" s="4"/>
      <c r="K45" s="4"/>
      <c r="L45" s="4"/>
    </row>
    <row r="46" ht="16" customHeight="1" s="4" customFormat="1">
      <c r="A46" s="4" t="s">
        <v>139</v>
      </c>
      <c r="B46" s="4" t="s">
        <v>1326</v>
      </c>
      <c r="C46" s="4" t="s">
        <v>1302</v>
      </c>
      <c r="D46" s="4" t="s">
        <v>1287</v>
      </c>
      <c r="E46" s="4"/>
      <c r="F46" s="4" t="s">
        <v>1283</v>
      </c>
      <c r="G46" s="4">
        <v>4089</v>
      </c>
      <c r="H46" s="4">
        <v>23.9</v>
      </c>
      <c r="I46" s="4">
        <v>416</v>
      </c>
      <c r="J46" s="4"/>
      <c r="K46" s="4"/>
      <c r="L46" s="4"/>
    </row>
    <row r="47" ht="16" customHeight="1" s="4" customFormat="1">
      <c r="A47" s="4" t="s">
        <v>108</v>
      </c>
      <c r="B47" s="4" t="s">
        <v>1326</v>
      </c>
      <c r="C47" s="4" t="s">
        <v>1294</v>
      </c>
      <c r="D47" s="4" t="s">
        <v>1298</v>
      </c>
      <c r="E47" s="4">
        <v>27</v>
      </c>
      <c r="F47" s="4" t="s">
        <v>1283</v>
      </c>
      <c r="G47" s="4">
        <v>1703</v>
      </c>
      <c r="H47" s="4">
        <v>3.3</v>
      </c>
      <c r="I47" s="4">
        <v>321</v>
      </c>
      <c r="J47" s="4"/>
      <c r="K47" s="4"/>
      <c r="L47" s="4"/>
    </row>
    <row r="48" ht="16" customHeight="1" s="4" customFormat="1">
      <c r="A48" s="4" t="s">
        <v>110</v>
      </c>
      <c r="B48" s="4" t="s">
        <v>1326</v>
      </c>
      <c r="C48" s="4" t="s">
        <v>1294</v>
      </c>
      <c r="D48" s="4" t="s">
        <v>1298</v>
      </c>
      <c r="E48" s="4">
        <v>275</v>
      </c>
      <c r="F48" s="4" t="s">
        <v>1283</v>
      </c>
      <c r="G48" s="4">
        <v>1149</v>
      </c>
      <c r="H48" s="4"/>
      <c r="I48" s="4">
        <v>98.8</v>
      </c>
      <c r="J48" s="4"/>
      <c r="K48" s="4"/>
      <c r="L48" s="4"/>
    </row>
    <row r="49" ht="16" customHeight="1" s="4" customFormat="1">
      <c r="A49" s="4" t="s">
        <v>141</v>
      </c>
      <c r="B49" s="4" t="s">
        <v>1326</v>
      </c>
      <c r="C49" s="4"/>
      <c r="D49" s="4"/>
      <c r="E49" s="4"/>
      <c r="F49" s="4" t="s">
        <v>1283</v>
      </c>
      <c r="G49" s="4">
        <v>1.2</v>
      </c>
      <c r="H49" s="4"/>
      <c r="I49" s="4">
        <v>0.34</v>
      </c>
      <c r="J49" s="4"/>
      <c r="K49" s="4"/>
      <c r="L49" s="4"/>
    </row>
    <row r="50" ht="16" customHeight="1" s="4" customFormat="1">
      <c r="A50" s="4" t="s">
        <v>146</v>
      </c>
      <c r="B50" s="4" t="s">
        <v>1326</v>
      </c>
      <c r="C50" s="4" t="s">
        <v>1302</v>
      </c>
      <c r="D50" s="4" t="s">
        <v>1328</v>
      </c>
      <c r="E50" s="4">
        <v>5208</v>
      </c>
      <c r="F50" s="4" t="s">
        <v>1283</v>
      </c>
      <c r="G50" s="4">
        <v>4347</v>
      </c>
      <c r="H50" s="4">
        <v>3421</v>
      </c>
      <c r="I50" s="4">
        <v>1744</v>
      </c>
      <c r="J50" s="4"/>
      <c r="K50" s="4"/>
      <c r="L50" s="4"/>
    </row>
    <row r="51" ht="16" customHeight="1" s="4" customFormat="1">
      <c r="A51" s="4" t="s">
        <v>88</v>
      </c>
      <c r="B51" s="4" t="s">
        <v>1326</v>
      </c>
      <c r="C51" s="4"/>
      <c r="D51" s="4"/>
      <c r="E51" s="4"/>
      <c r="F51" s="4"/>
      <c r="G51" s="4"/>
      <c r="H51" s="4"/>
      <c r="I51" s="4"/>
      <c r="J51" s="4"/>
      <c r="K51" s="4"/>
      <c r="L51" s="4"/>
    </row>
    <row r="52" ht="16" customHeight="1" s="4" customFormat="1">
      <c r="A52" s="4" t="s">
        <v>165</v>
      </c>
      <c r="B52" s="4" t="s">
        <v>1326</v>
      </c>
      <c r="C52" s="4" t="s">
        <v>1294</v>
      </c>
      <c r="D52" s="4" t="s">
        <v>1287</v>
      </c>
      <c r="E52" s="4">
        <v>1222</v>
      </c>
      <c r="F52" s="4" t="s">
        <v>1283</v>
      </c>
      <c r="G52" s="4">
        <v>1497</v>
      </c>
      <c r="H52" s="4">
        <v>136</v>
      </c>
      <c r="I52" s="4">
        <v>344</v>
      </c>
      <c r="J52" s="4"/>
      <c r="K52" s="4"/>
      <c r="L52" s="4"/>
    </row>
    <row r="53" ht="16" customHeight="1" s="4" customFormat="1">
      <c r="A53" s="4" t="s">
        <v>157</v>
      </c>
      <c r="B53" s="4" t="s">
        <v>1326</v>
      </c>
      <c r="C53" s="4"/>
      <c r="D53" s="4"/>
      <c r="E53" s="4">
        <v>315</v>
      </c>
      <c r="F53" s="4" t="s">
        <v>1283</v>
      </c>
      <c r="G53" s="4">
        <v>582</v>
      </c>
      <c r="H53" s="4">
        <v>136</v>
      </c>
      <c r="I53" s="4">
        <v>128</v>
      </c>
      <c r="J53" s="4"/>
      <c r="K53" s="4"/>
      <c r="L53" s="4"/>
    </row>
    <row r="54" ht="16" customHeight="1" s="4" customFormat="1">
      <c r="A54" s="4" t="s">
        <v>91</v>
      </c>
      <c r="B54" s="4" t="s">
        <v>1326</v>
      </c>
      <c r="C54" s="4"/>
      <c r="D54" s="4"/>
      <c r="E54" s="4"/>
      <c r="F54" s="4"/>
      <c r="G54" s="4"/>
      <c r="H54" s="4"/>
      <c r="I54" s="4"/>
      <c r="J54" s="4"/>
      <c r="K54" s="4"/>
      <c r="L54" s="4"/>
    </row>
    <row r="55" ht="16" customHeight="1" s="4" customFormat="1">
      <c r="A55" s="4" t="s">
        <v>149</v>
      </c>
      <c r="B55" s="4" t="s">
        <v>1326</v>
      </c>
      <c r="C55" s="4"/>
      <c r="D55" s="4"/>
      <c r="E55" s="4"/>
      <c r="F55" s="4" t="s">
        <v>1292</v>
      </c>
      <c r="G55" s="4">
        <v>2274</v>
      </c>
      <c r="H55" s="4"/>
      <c r="I55" s="4">
        <v>-184</v>
      </c>
      <c r="J55" s="4"/>
      <c r="K55" s="4"/>
      <c r="L55" s="4"/>
    </row>
    <row r="56" ht="16" customHeight="1" s="4" customFormat="1">
      <c r="A56" s="4" t="s">
        <v>126</v>
      </c>
      <c r="B56" s="4" t="s">
        <v>1326</v>
      </c>
      <c r="C56" s="4"/>
      <c r="D56" s="4"/>
      <c r="E56" s="4"/>
      <c r="F56" s="4"/>
      <c r="G56" s="4"/>
      <c r="H56" s="4"/>
      <c r="I56" s="4"/>
      <c r="J56" s="4"/>
      <c r="K56" s="4"/>
      <c r="L56" s="4"/>
    </row>
    <row r="57" ht="16" customHeight="1" s="4" customFormat="1">
      <c r="A57" s="4" t="s">
        <v>122</v>
      </c>
      <c r="B57" s="4" t="s">
        <v>1326</v>
      </c>
      <c r="C57" s="4"/>
      <c r="D57" s="4"/>
      <c r="E57" s="4"/>
      <c r="F57" s="4"/>
      <c r="G57" s="4"/>
      <c r="H57" s="4"/>
      <c r="I57" s="4"/>
      <c r="J57" s="4"/>
      <c r="K57" s="4"/>
      <c r="L57" s="4"/>
    </row>
    <row r="58" ht="16" customHeight="1" s="4" customFormat="1">
      <c r="A58" s="4" t="s">
        <v>129</v>
      </c>
      <c r="B58" s="4" t="s">
        <v>1326</v>
      </c>
      <c r="C58" s="4"/>
      <c r="D58" s="4"/>
      <c r="E58" s="4"/>
      <c r="F58" s="4"/>
      <c r="G58" s="4"/>
      <c r="H58" s="4"/>
      <c r="I58" s="4"/>
      <c r="J58" s="4"/>
      <c r="K58" s="4"/>
      <c r="L58" s="4"/>
    </row>
    <row r="59" ht="16" customHeight="1" s="4" customFormat="1">
      <c r="A59" s="4" t="s">
        <v>159</v>
      </c>
      <c r="B59" s="4" t="s">
        <v>1326</v>
      </c>
      <c r="C59" s="4"/>
      <c r="D59" s="4"/>
      <c r="E59" s="4">
        <v>995</v>
      </c>
      <c r="F59" s="4" t="s">
        <v>1283</v>
      </c>
      <c r="G59" s="4">
        <v>2283</v>
      </c>
      <c r="H59" s="4">
        <v>1489</v>
      </c>
      <c r="I59" s="4">
        <v>119</v>
      </c>
      <c r="J59" s="4"/>
      <c r="K59" s="4"/>
      <c r="L59" s="4"/>
    </row>
    <row r="60" ht="16" customHeight="1" s="4" customFormat="1">
      <c r="A60" s="4" t="s">
        <v>143</v>
      </c>
      <c r="B60" s="4" t="s">
        <v>1326</v>
      </c>
      <c r="C60" s="4" t="s">
        <v>1329</v>
      </c>
      <c r="D60" s="4" t="s">
        <v>1328</v>
      </c>
      <c r="E60" s="4">
        <v>147</v>
      </c>
      <c r="F60" s="4" t="s">
        <v>1283</v>
      </c>
      <c r="G60" s="4">
        <v>2541</v>
      </c>
      <c r="H60" s="4">
        <v>219</v>
      </c>
      <c r="I60" s="4">
        <v>72.9</v>
      </c>
      <c r="J60" s="4"/>
      <c r="K60" s="4"/>
      <c r="L60" s="4"/>
    </row>
    <row r="61" ht="16" customHeight="1" s="4" customFormat="1">
      <c r="A61" s="4" t="s">
        <v>124</v>
      </c>
      <c r="B61" s="4" t="s">
        <v>1326</v>
      </c>
      <c r="C61" s="4" t="s">
        <v>1295</v>
      </c>
      <c r="D61" s="4" t="s">
        <v>1287</v>
      </c>
      <c r="E61" s="4"/>
      <c r="F61" s="4"/>
      <c r="G61" s="4"/>
      <c r="H61" s="4"/>
      <c r="I61" s="4"/>
      <c r="J61" s="4"/>
      <c r="K61" s="4"/>
      <c r="L61" s="4"/>
    </row>
    <row r="62" ht="16" customHeight="1" s="4" customFormat="1">
      <c r="A62" s="4" t="s">
        <v>155</v>
      </c>
      <c r="B62" s="4" t="s">
        <v>1326</v>
      </c>
      <c r="C62" s="4" t="s">
        <v>1330</v>
      </c>
      <c r="D62" s="4" t="s">
        <v>1287</v>
      </c>
      <c r="E62" s="4">
        <v>35369</v>
      </c>
      <c r="F62" s="4" t="s">
        <v>1283</v>
      </c>
      <c r="G62" s="4">
        <v>6631</v>
      </c>
      <c r="H62" s="4">
        <v>24759</v>
      </c>
      <c r="I62" s="4">
        <v>3463</v>
      </c>
      <c r="J62" s="4"/>
      <c r="K62" s="4"/>
      <c r="L62" s="4"/>
    </row>
    <row r="63" ht="16" customHeight="1" s="4" customFormat="1">
      <c r="A63" s="4" t="s">
        <v>161</v>
      </c>
      <c r="B63" s="4" t="s">
        <v>1326</v>
      </c>
      <c r="C63" s="4" t="s">
        <v>1330</v>
      </c>
      <c r="D63" s="4" t="s">
        <v>1287</v>
      </c>
      <c r="E63" s="4"/>
      <c r="F63" s="4" t="s">
        <v>1283</v>
      </c>
      <c r="G63" s="4">
        <v>45033</v>
      </c>
      <c r="H63" s="4">
        <v>33517</v>
      </c>
      <c r="I63" s="4">
        <v>6958</v>
      </c>
      <c r="J63" s="4"/>
      <c r="K63" s="4"/>
      <c r="L63" s="4"/>
    </row>
    <row r="64" ht="16" customHeight="1" s="4" customFormat="1">
      <c r="A64" s="4" t="s">
        <v>151</v>
      </c>
      <c r="B64" s="4" t="s">
        <v>1326</v>
      </c>
      <c r="C64" s="4"/>
      <c r="D64" s="4"/>
      <c r="E64" s="4"/>
      <c r="F64" s="4" t="s">
        <v>1331</v>
      </c>
      <c r="G64" s="4">
        <v>8.5</v>
      </c>
      <c r="H64" s="4"/>
      <c r="I64" s="4"/>
      <c r="J64" s="4"/>
      <c r="K64" s="4"/>
      <c r="L64" s="4"/>
    </row>
    <row r="65" ht="16" customHeight="1" s="4" customFormat="1">
      <c r="A65" s="4" t="s">
        <v>153</v>
      </c>
      <c r="B65" s="4" t="s">
        <v>1326</v>
      </c>
      <c r="C65" s="4" t="s">
        <v>1308</v>
      </c>
      <c r="D65" s="4" t="s">
        <v>1332</v>
      </c>
      <c r="E65" s="4">
        <v>8.4</v>
      </c>
      <c r="F65" s="4" t="s">
        <v>1283</v>
      </c>
      <c r="G65" s="4">
        <v>8418</v>
      </c>
      <c r="H65" s="4">
        <v>160</v>
      </c>
      <c r="I65" s="4">
        <v>1336</v>
      </c>
      <c r="J65" s="4" t="s">
        <v>1288</v>
      </c>
      <c r="K65" s="4"/>
      <c r="L65" s="4"/>
    </row>
    <row r="66" ht="16" customHeight="1" s="4" customFormat="1">
      <c r="A66" s="4" t="s">
        <v>117</v>
      </c>
      <c r="B66" s="4" t="s">
        <v>1333</v>
      </c>
      <c r="C66" s="4" t="s">
        <v>1330</v>
      </c>
      <c r="D66" s="4" t="s">
        <v>1287</v>
      </c>
      <c r="E66" s="4"/>
      <c r="F66" s="4"/>
      <c r="G66" s="4"/>
      <c r="H66" s="4"/>
      <c r="I66" s="4"/>
      <c r="J66" s="4"/>
      <c r="K66" s="4"/>
      <c r="L66" s="4"/>
    </row>
    <row r="67" ht="16" customHeight="1" s="4" customFormat="1">
      <c r="A67" s="4" t="s">
        <v>329</v>
      </c>
      <c r="B67" s="4" t="s">
        <v>1334</v>
      </c>
      <c r="C67" s="4"/>
      <c r="D67" s="4"/>
      <c r="E67" s="4"/>
      <c r="F67" s="4"/>
      <c r="G67" s="4"/>
      <c r="H67" s="4"/>
      <c r="I67" s="4"/>
      <c r="J67" s="4"/>
      <c r="K67" s="4"/>
      <c r="L67" s="4"/>
    </row>
    <row r="68" ht="16" customHeight="1" s="4" customFormat="1">
      <c r="A68" s="4" t="s">
        <v>316</v>
      </c>
      <c r="B68" s="4" t="s">
        <v>1334</v>
      </c>
      <c r="C68" s="4"/>
      <c r="D68" s="4"/>
      <c r="E68" s="4"/>
      <c r="F68" s="4"/>
      <c r="G68" s="4"/>
      <c r="H68" s="4"/>
      <c r="I68" s="4"/>
      <c r="J68" s="4"/>
      <c r="K68" s="4"/>
      <c r="L68" s="4"/>
    </row>
    <row r="69" ht="16" customHeight="1" s="4" customFormat="1">
      <c r="A69" s="4" t="s">
        <v>1335</v>
      </c>
      <c r="B69" s="4" t="s">
        <v>1336</v>
      </c>
      <c r="C69" s="4"/>
      <c r="D69" s="4"/>
      <c r="E69" s="4"/>
      <c r="F69" s="4" t="s">
        <v>1331</v>
      </c>
      <c r="G69" s="4">
        <v>0.47</v>
      </c>
      <c r="H69" s="4"/>
      <c r="I69" s="4">
        <v>0.18</v>
      </c>
      <c r="J69" s="4"/>
      <c r="K69" s="4"/>
      <c r="L69" s="4"/>
    </row>
    <row r="70" ht="16" customHeight="1">
      <c r="A70" s="3" t="s">
        <v>383</v>
      </c>
      <c r="B70" s="3" t="s">
        <v>1336</v>
      </c>
      <c r="C70" s="3"/>
      <c r="D70" s="3"/>
      <c r="E70" s="3"/>
      <c r="F70" s="3" t="s">
        <v>1283</v>
      </c>
      <c r="G70" s="3">
        <v>0.37</v>
      </c>
      <c r="H70" s="3"/>
      <c r="I70" s="3">
        <v>0.33</v>
      </c>
      <c r="J70" s="3"/>
    </row>
  </sheetData>
  <headerFooter/>
</worksheet>
</file>

<file path=xl/worksheets/sheet20.xml><?xml version="1.0" encoding="utf-8"?>
<worksheet xmlns:r="http://schemas.openxmlformats.org/officeDocument/2006/relationships" xmlns="http://schemas.openxmlformats.org/spreadsheetml/2006/main">
  <dimension ref="A1:AB87"/>
  <sheetViews>
    <sheetView workbookViewId="0"/>
  </sheetViews>
  <sheetFormatPr defaultRowHeight="15"/>
  <cols>
    <col min="1" max="1" width="48.9801750183105" customWidth="1" style="3"/>
    <col min="2" max="2" width="9.140625" customWidth="1" style="3"/>
    <col min="3" max="3" width="9.140625" customWidth="1" style="3"/>
    <col min="4" max="4" width="9.140625" customWidth="1" style="3"/>
    <col min="5" max="5" width="17.7748279571533" customWidth="1" style="3"/>
    <col min="6" max="6" width="9.140625" customWidth="1" style="3"/>
    <col min="7" max="7" width="9.140625" customWidth="1" style="3"/>
    <col min="8" max="8" width="9.140625" customWidth="1" style="3"/>
    <col min="9" max="9" width="57.0284423828125" customWidth="1" style="3"/>
    <col min="10" max="10" width="16.0061340332031" customWidth="1" style="3"/>
    <col min="11" max="11" width="9.140625" customWidth="1" style="3"/>
    <col min="12" max="12" width="9.140625" customWidth="1" style="3"/>
    <col min="13" max="13" width="34.9478149414063" customWidth="1" style="3"/>
    <col min="14" max="14" width="9.140625" customWidth="1" style="3"/>
    <col min="15" max="15" width="9.140625" customWidth="1" style="3"/>
    <col min="16" max="16" width="38.7773323059082" customWidth="1" style="3"/>
    <col min="17" max="17" width="9.140625" customWidth="1" style="3"/>
    <col min="18" max="18" width="9.140625" customWidth="1" style="3"/>
    <col min="19" max="19" width="9.140625" customWidth="1" style="3"/>
    <col min="20" max="20" width="38.3805656433105" customWidth="1" style="3"/>
    <col min="21" max="21" width="18.3624401092529" customWidth="1" style="3"/>
    <col min="22" max="22" width="9.140625" customWidth="1" style="3"/>
    <col min="23" max="23" width="9.140625" customWidth="1" style="3"/>
    <col min="24" max="24" width="35.049934387207" customWidth="1" style="3"/>
    <col min="25" max="25" width="11.6894502639771" customWidth="1" style="3"/>
    <col min="26" max="16384" width="9.140625" customWidth="1" style="3"/>
  </cols>
  <sheetData>
    <row r="1" s="12" customFormat="1">
      <c r="A1" s="13" t="s">
        <v>1272</v>
      </c>
      <c r="B1" s="13"/>
      <c r="C1" s="13"/>
      <c r="D1" s="13"/>
      <c r="E1" s="13"/>
      <c r="F1" s="13"/>
      <c r="G1" s="13"/>
      <c r="H1" s="13"/>
      <c r="I1" s="13"/>
      <c r="J1" s="13"/>
      <c r="K1" s="13"/>
      <c r="L1" s="13"/>
      <c r="M1" s="13"/>
      <c r="N1" s="13"/>
      <c r="O1" s="13"/>
      <c r="P1" s="13"/>
      <c r="Q1" s="13"/>
      <c r="R1" s="13"/>
      <c r="S1" s="13"/>
      <c r="T1" s="13"/>
      <c r="U1" s="13"/>
      <c r="V1" s="13"/>
      <c r="W1" s="13"/>
      <c r="X1" s="13"/>
      <c r="Y1" s="13"/>
      <c r="Z1" s="13"/>
      <c r="AA1" s="13"/>
      <c r="AB1" s="13"/>
    </row>
    <row r="2" ht="16" customHeight="1" s="4" customFormat="1">
      <c r="A2" s="4"/>
      <c r="B2" s="4"/>
      <c r="C2" s="4"/>
      <c r="D2" s="4"/>
      <c r="E2" s="4"/>
      <c r="F2" s="4"/>
      <c r="G2" s="4"/>
      <c r="H2" s="4"/>
      <c r="I2" s="4"/>
      <c r="J2" s="4"/>
      <c r="K2" s="4"/>
      <c r="L2" s="4"/>
      <c r="M2" s="4"/>
      <c r="N2" s="4"/>
      <c r="O2" s="4"/>
      <c r="P2" s="4"/>
      <c r="Q2" s="4"/>
      <c r="R2" s="4"/>
      <c r="S2" s="4"/>
      <c r="T2" s="4"/>
      <c r="U2" s="4"/>
      <c r="V2" s="4"/>
    </row>
    <row r="3" ht="16" customHeight="1" s="1" customFormat="1">
      <c r="A3" s="9" t="s">
        <v>1337</v>
      </c>
      <c r="B3" s="9"/>
      <c r="C3" s="4"/>
      <c r="D3" s="4"/>
      <c r="E3" s="9" t="s">
        <v>1338</v>
      </c>
      <c r="F3" s="9"/>
      <c r="G3" s="4"/>
      <c r="H3" s="4"/>
      <c r="I3" s="9" t="s">
        <v>1339</v>
      </c>
      <c r="J3" s="9"/>
      <c r="K3" s="4"/>
      <c r="L3" s="4"/>
      <c r="M3" s="9" t="s">
        <v>1340</v>
      </c>
      <c r="N3" s="4"/>
      <c r="O3" s="4"/>
      <c r="P3" s="9" t="s">
        <v>1341</v>
      </c>
      <c r="Q3" s="9"/>
      <c r="R3" s="4"/>
      <c r="S3" s="4"/>
      <c r="T3" s="9" t="s">
        <v>1342</v>
      </c>
      <c r="U3" s="9"/>
      <c r="V3" s="4"/>
      <c r="X3" s="9" t="s">
        <v>824</v>
      </c>
      <c r="Y3" s="9"/>
    </row>
    <row r="4" ht="16" customHeight="1" s="10" customFormat="1">
      <c r="A4" s="10" t="s">
        <v>75</v>
      </c>
      <c r="B4" s="10" t="s">
        <v>1343</v>
      </c>
      <c r="C4" s="10"/>
      <c r="D4" s="10"/>
      <c r="E4" s="10" t="s">
        <v>75</v>
      </c>
      <c r="F4" s="10" t="s">
        <v>1343</v>
      </c>
      <c r="G4" s="10"/>
      <c r="H4" s="10"/>
      <c r="I4" s="10" t="s">
        <v>75</v>
      </c>
      <c r="J4" s="10" t="s">
        <v>1344</v>
      </c>
      <c r="K4" s="10"/>
      <c r="L4" s="10"/>
      <c r="M4" s="10" t="s">
        <v>75</v>
      </c>
      <c r="N4" s="10"/>
      <c r="O4" s="10"/>
      <c r="P4" s="10" t="s">
        <v>75</v>
      </c>
      <c r="Q4" s="10" t="s">
        <v>1343</v>
      </c>
      <c r="R4" s="10"/>
      <c r="S4" s="10"/>
      <c r="T4" s="10" t="s">
        <v>75</v>
      </c>
      <c r="U4" s="10" t="s">
        <v>1344</v>
      </c>
      <c r="V4" s="10"/>
      <c r="W4" s="11"/>
      <c r="X4" s="11" t="s">
        <v>75</v>
      </c>
      <c r="Y4" s="11" t="s">
        <v>1345</v>
      </c>
      <c r="Z4" s="11"/>
    </row>
    <row r="5" ht="16" customHeight="1" s="4" customFormat="1">
      <c r="A5" s="4" t="s">
        <v>1317</v>
      </c>
      <c r="B5" s="4">
        <v>7.5</v>
      </c>
      <c r="C5" s="4"/>
      <c r="D5" s="4"/>
      <c r="E5" s="4" t="s">
        <v>1346</v>
      </c>
      <c r="F5" s="4">
        <v>63.4</v>
      </c>
      <c r="G5" s="4"/>
      <c r="H5" s="4"/>
      <c r="I5" s="4" t="s">
        <v>1347</v>
      </c>
      <c r="J5" s="4" t="s">
        <v>1348</v>
      </c>
      <c r="K5" s="4"/>
      <c r="L5" s="4"/>
      <c r="M5" s="4" t="s">
        <v>1349</v>
      </c>
      <c r="N5" s="4"/>
      <c r="O5" s="4"/>
      <c r="P5" s="4" t="s">
        <v>1350</v>
      </c>
      <c r="Q5" s="4">
        <v>100</v>
      </c>
      <c r="R5" s="4"/>
      <c r="S5" s="4"/>
      <c r="T5" s="4" t="s">
        <v>1351</v>
      </c>
      <c r="U5" s="4" t="s">
        <v>1348</v>
      </c>
      <c r="V5" s="4"/>
      <c r="X5" s="4" t="s">
        <v>1352</v>
      </c>
      <c r="Y5" s="4" t="s">
        <v>1353</v>
      </c>
    </row>
    <row r="6" ht="16" customHeight="1" s="4" customFormat="1">
      <c r="A6" s="4" t="s">
        <v>1354</v>
      </c>
      <c r="B6" s="4">
        <v>1.9</v>
      </c>
      <c r="C6" s="4"/>
      <c r="D6" s="4"/>
      <c r="E6" s="4" t="s">
        <v>1355</v>
      </c>
      <c r="F6" s="4">
        <v>23.7</v>
      </c>
      <c r="G6" s="4"/>
      <c r="H6" s="4"/>
      <c r="I6" s="4" t="s">
        <v>1356</v>
      </c>
      <c r="J6" s="4" t="s">
        <v>1357</v>
      </c>
      <c r="K6" s="4"/>
      <c r="L6" s="4"/>
      <c r="M6" s="4" t="s">
        <v>1355</v>
      </c>
      <c r="N6" s="4"/>
      <c r="O6" s="4"/>
      <c r="P6" s="4" t="s">
        <v>1358</v>
      </c>
      <c r="Q6" s="4">
        <v>100</v>
      </c>
      <c r="R6" s="4"/>
      <c r="S6" s="4"/>
      <c r="T6" s="4" t="s">
        <v>1359</v>
      </c>
      <c r="U6" s="4" t="s">
        <v>1348</v>
      </c>
      <c r="V6" s="4"/>
      <c r="X6" s="4" t="s">
        <v>84</v>
      </c>
      <c r="Y6" s="4" t="s">
        <v>1353</v>
      </c>
    </row>
    <row r="7" ht="16" customHeight="1" s="4" customFormat="1">
      <c r="A7" s="4" t="s">
        <v>1360</v>
      </c>
      <c r="B7" s="4" t="s">
        <v>1361</v>
      </c>
      <c r="C7" s="4"/>
      <c r="D7" s="4"/>
      <c r="E7" s="4" t="s">
        <v>1362</v>
      </c>
      <c r="F7" s="4">
        <v>0.98</v>
      </c>
      <c r="G7" s="4"/>
      <c r="H7" s="4"/>
      <c r="I7" s="4" t="s">
        <v>1363</v>
      </c>
      <c r="J7" s="4" t="s">
        <v>1348</v>
      </c>
      <c r="K7" s="4"/>
      <c r="L7" s="4"/>
      <c r="M7" s="4" t="s">
        <v>1364</v>
      </c>
      <c r="N7" s="4"/>
      <c r="O7" s="4"/>
      <c r="P7" s="4" t="s">
        <v>1365</v>
      </c>
      <c r="Q7" s="4">
        <v>100</v>
      </c>
      <c r="R7" s="4"/>
      <c r="S7" s="4"/>
      <c r="T7" s="4" t="s">
        <v>1366</v>
      </c>
      <c r="U7" s="4" t="s">
        <v>1348</v>
      </c>
      <c r="V7" s="4"/>
      <c r="X7" s="4" t="s">
        <v>1349</v>
      </c>
      <c r="Y7" s="4" t="s">
        <v>1353</v>
      </c>
    </row>
    <row r="8" ht="16" customHeight="1" s="4" customFormat="1">
      <c r="A8" s="4" t="s">
        <v>1367</v>
      </c>
      <c r="B8" s="4" t="s">
        <v>1361</v>
      </c>
      <c r="C8" s="4"/>
      <c r="D8" s="4"/>
      <c r="E8" s="4"/>
      <c r="F8" s="4"/>
      <c r="G8" s="4"/>
      <c r="H8" s="4"/>
      <c r="I8" s="4" t="s">
        <v>1368</v>
      </c>
      <c r="J8" s="4" t="s">
        <v>1348</v>
      </c>
      <c r="K8" s="4"/>
      <c r="L8" s="4"/>
      <c r="M8" s="4" t="s">
        <v>1346</v>
      </c>
      <c r="N8" s="4"/>
      <c r="O8" s="4"/>
      <c r="P8" s="4" t="s">
        <v>1369</v>
      </c>
      <c r="Q8" s="4">
        <v>100</v>
      </c>
      <c r="R8" s="4"/>
      <c r="S8" s="4"/>
      <c r="T8" s="4" t="s">
        <v>1370</v>
      </c>
      <c r="U8" s="4" t="s">
        <v>1348</v>
      </c>
      <c r="V8" s="4"/>
      <c r="X8" s="4" t="s">
        <v>1355</v>
      </c>
      <c r="Y8" s="4" t="s">
        <v>1353</v>
      </c>
    </row>
    <row r="9" ht="16" customHeight="1" s="4" customFormat="1">
      <c r="A9" s="4" t="s">
        <v>1371</v>
      </c>
      <c r="B9" s="4">
        <v>40</v>
      </c>
      <c r="C9" s="4"/>
      <c r="D9" s="4"/>
      <c r="E9" s="4"/>
      <c r="F9" s="4"/>
      <c r="G9" s="4"/>
      <c r="H9" s="4"/>
      <c r="I9" s="4" t="s">
        <v>1372</v>
      </c>
      <c r="J9" s="4" t="s">
        <v>1348</v>
      </c>
      <c r="K9" s="4"/>
      <c r="L9" s="4"/>
      <c r="M9" s="4" t="s">
        <v>1373</v>
      </c>
      <c r="N9" s="4"/>
      <c r="O9" s="4"/>
      <c r="P9" s="4" t="s">
        <v>1374</v>
      </c>
      <c r="Q9" s="4">
        <v>100</v>
      </c>
      <c r="R9" s="4"/>
      <c r="S9" s="4"/>
      <c r="T9" s="4" t="s">
        <v>1375</v>
      </c>
      <c r="U9" s="4" t="s">
        <v>1348</v>
      </c>
      <c r="V9" s="4"/>
      <c r="X9" s="4" t="s">
        <v>1376</v>
      </c>
      <c r="Y9" s="4" t="s">
        <v>1353</v>
      </c>
    </row>
    <row r="10" ht="16" customHeight="1" s="4" customFormat="1">
      <c r="A10" s="4" t="s">
        <v>1377</v>
      </c>
      <c r="B10" s="4">
        <v>12.6</v>
      </c>
      <c r="C10" s="4"/>
      <c r="D10" s="4"/>
      <c r="E10" s="4"/>
      <c r="F10" s="4"/>
      <c r="G10" s="4"/>
      <c r="H10" s="4"/>
      <c r="I10" s="4" t="s">
        <v>1378</v>
      </c>
      <c r="J10" s="4" t="s">
        <v>1348</v>
      </c>
      <c r="K10" s="4"/>
      <c r="L10" s="4"/>
      <c r="M10" s="4" t="s">
        <v>1379</v>
      </c>
      <c r="N10" s="4"/>
      <c r="O10" s="4"/>
      <c r="P10" s="4" t="s">
        <v>1380</v>
      </c>
      <c r="Q10" s="4">
        <v>100</v>
      </c>
      <c r="R10" s="4"/>
      <c r="S10" s="4"/>
      <c r="T10" s="4" t="s">
        <v>1381</v>
      </c>
      <c r="U10" s="4" t="s">
        <v>1348</v>
      </c>
      <c r="V10" s="4"/>
      <c r="X10" s="4" t="s">
        <v>1382</v>
      </c>
      <c r="Y10" s="4" t="s">
        <v>1353</v>
      </c>
    </row>
    <row r="11" ht="16" customHeight="1" s="4" customFormat="1">
      <c r="A11" s="4" t="s">
        <v>1383</v>
      </c>
      <c r="B11" s="4">
        <v>2.8</v>
      </c>
      <c r="C11" s="4"/>
      <c r="D11" s="4"/>
      <c r="E11" s="4"/>
      <c r="F11" s="4"/>
      <c r="G11" s="4"/>
      <c r="H11" s="4"/>
      <c r="I11" s="4" t="s">
        <v>1384</v>
      </c>
      <c r="J11" s="4" t="s">
        <v>1385</v>
      </c>
      <c r="K11" s="4"/>
      <c r="L11" s="4"/>
      <c r="M11" s="4" t="s">
        <v>1386</v>
      </c>
      <c r="N11" s="4"/>
      <c r="O11" s="4"/>
      <c r="P11" s="4" t="s">
        <v>1387</v>
      </c>
      <c r="Q11" s="4">
        <v>100</v>
      </c>
      <c r="R11" s="4"/>
      <c r="S11" s="4"/>
      <c r="T11" s="4" t="s">
        <v>1388</v>
      </c>
      <c r="U11" s="4" t="s">
        <v>1348</v>
      </c>
      <c r="V11" s="4"/>
      <c r="X11" s="4" t="s">
        <v>170</v>
      </c>
      <c r="Y11" s="4" t="s">
        <v>1353</v>
      </c>
    </row>
    <row r="12" ht="16" customHeight="1" s="4" customFormat="1">
      <c r="A12" s="4" t="s">
        <v>1389</v>
      </c>
      <c r="B12" s="4">
        <v>1.4</v>
      </c>
      <c r="C12" s="4"/>
      <c r="D12" s="4"/>
      <c r="E12" s="4"/>
      <c r="F12" s="4"/>
      <c r="G12" s="4"/>
      <c r="H12" s="4"/>
      <c r="I12" s="4" t="s">
        <v>1390</v>
      </c>
      <c r="J12" s="4" t="s">
        <v>1391</v>
      </c>
      <c r="K12" s="4"/>
      <c r="L12" s="4"/>
      <c r="M12" s="4" t="s">
        <v>1392</v>
      </c>
      <c r="N12" s="4"/>
      <c r="O12" s="4"/>
      <c r="P12" s="4" t="s">
        <v>1393</v>
      </c>
      <c r="Q12" s="4">
        <v>100</v>
      </c>
      <c r="R12" s="4"/>
      <c r="S12" s="4"/>
      <c r="T12" s="4" t="s">
        <v>1394</v>
      </c>
      <c r="U12" s="4" t="s">
        <v>1348</v>
      </c>
      <c r="V12" s="4"/>
      <c r="X12" s="4" t="s">
        <v>1387</v>
      </c>
      <c r="Y12" s="4" t="s">
        <v>1353</v>
      </c>
    </row>
    <row r="13" ht="16" customHeight="1" s="4" customFormat="1">
      <c r="A13" s="4" t="s">
        <v>1395</v>
      </c>
      <c r="B13" s="4">
        <v>1.2</v>
      </c>
      <c r="C13" s="4"/>
      <c r="D13" s="4"/>
      <c r="E13" s="4"/>
      <c r="F13" s="4"/>
      <c r="G13" s="4"/>
      <c r="H13" s="4"/>
      <c r="I13" s="4" t="s">
        <v>1396</v>
      </c>
      <c r="J13" s="4" t="s">
        <v>1397</v>
      </c>
      <c r="K13" s="4"/>
      <c r="L13" s="4"/>
      <c r="M13" s="4" t="s">
        <v>1398</v>
      </c>
      <c r="N13" s="4"/>
      <c r="O13" s="4"/>
      <c r="P13" s="4" t="s">
        <v>1399</v>
      </c>
      <c r="Q13" s="4">
        <v>100</v>
      </c>
      <c r="R13" s="4"/>
      <c r="S13" s="4"/>
      <c r="T13" s="4" t="s">
        <v>1400</v>
      </c>
      <c r="U13" s="4" t="s">
        <v>1348</v>
      </c>
      <c r="V13" s="4"/>
      <c r="X13" s="4" t="s">
        <v>1401</v>
      </c>
      <c r="Y13" s="4" t="s">
        <v>1353</v>
      </c>
    </row>
    <row r="14" ht="16" customHeight="1" s="4" customFormat="1">
      <c r="A14" s="4" t="s">
        <v>1402</v>
      </c>
      <c r="B14" s="4">
        <v>0.98</v>
      </c>
      <c r="C14" s="4"/>
      <c r="D14" s="4"/>
      <c r="E14" s="4"/>
      <c r="F14" s="4"/>
      <c r="G14" s="4"/>
      <c r="H14" s="4"/>
      <c r="I14" s="4" t="s">
        <v>1403</v>
      </c>
      <c r="J14" s="4" t="s">
        <v>1391</v>
      </c>
      <c r="K14" s="4"/>
      <c r="L14" s="4"/>
      <c r="M14" s="4" t="s">
        <v>1404</v>
      </c>
      <c r="N14" s="4"/>
      <c r="O14" s="4"/>
      <c r="P14" s="4" t="s">
        <v>1405</v>
      </c>
      <c r="Q14" s="4">
        <v>100</v>
      </c>
      <c r="R14" s="4"/>
      <c r="S14" s="4"/>
      <c r="T14" s="4" t="s">
        <v>1406</v>
      </c>
      <c r="U14" s="4" t="s">
        <v>1348</v>
      </c>
      <c r="V14" s="4"/>
      <c r="X14" s="4" t="s">
        <v>1407</v>
      </c>
      <c r="Y14" s="4" t="s">
        <v>1408</v>
      </c>
    </row>
    <row r="15" ht="16" customHeight="1" s="4" customFormat="1">
      <c r="A15" s="4" t="s">
        <v>1409</v>
      </c>
      <c r="B15" s="4">
        <v>0.15</v>
      </c>
      <c r="C15" s="4"/>
      <c r="D15" s="4"/>
      <c r="E15" s="4"/>
      <c r="F15" s="4"/>
      <c r="G15" s="4"/>
      <c r="H15" s="4"/>
      <c r="I15" s="4" t="s">
        <v>1410</v>
      </c>
      <c r="J15" s="4" t="s">
        <v>1391</v>
      </c>
      <c r="K15" s="4"/>
      <c r="L15" s="4"/>
      <c r="M15" s="4" t="s">
        <v>1411</v>
      </c>
      <c r="N15" s="4"/>
      <c r="O15" s="4"/>
      <c r="P15" s="4" t="s">
        <v>1412</v>
      </c>
      <c r="Q15" s="4">
        <v>100</v>
      </c>
      <c r="R15" s="4"/>
      <c r="S15" s="4"/>
      <c r="T15" s="4" t="s">
        <v>1413</v>
      </c>
      <c r="U15" s="4" t="s">
        <v>1348</v>
      </c>
      <c r="V15" s="4"/>
      <c r="X15" s="4" t="s">
        <v>1414</v>
      </c>
      <c r="Y15" s="4" t="s">
        <v>1408</v>
      </c>
    </row>
    <row r="16" ht="16" customHeight="1" s="4" customFormat="1">
      <c r="A16" s="4" t="s">
        <v>1415</v>
      </c>
      <c r="B16" s="4">
        <v>0.04</v>
      </c>
      <c r="C16" s="4"/>
      <c r="D16" s="4"/>
      <c r="E16" s="4"/>
      <c r="F16" s="4"/>
      <c r="G16" s="4"/>
      <c r="H16" s="4"/>
      <c r="I16" s="4" t="s">
        <v>1416</v>
      </c>
      <c r="J16" s="4" t="s">
        <v>1348</v>
      </c>
      <c r="K16" s="4"/>
      <c r="L16" s="4"/>
      <c r="M16" s="4" t="s">
        <v>104</v>
      </c>
      <c r="N16" s="4"/>
      <c r="O16" s="4"/>
      <c r="P16" s="4" t="s">
        <v>1417</v>
      </c>
      <c r="Q16" s="4">
        <v>100</v>
      </c>
      <c r="R16" s="4"/>
      <c r="S16" s="4"/>
      <c r="T16" s="4" t="s">
        <v>1364</v>
      </c>
      <c r="U16" s="4" t="s">
        <v>1418</v>
      </c>
      <c r="V16" s="4"/>
      <c r="X16" s="4" t="s">
        <v>1419</v>
      </c>
      <c r="Y16" s="4" t="s">
        <v>1353</v>
      </c>
    </row>
    <row r="17" ht="16" customHeight="1" s="4" customFormat="1">
      <c r="A17" s="4" t="s">
        <v>1420</v>
      </c>
      <c r="B17" s="4" t="s">
        <v>1361</v>
      </c>
      <c r="C17" s="4"/>
      <c r="D17" s="4"/>
      <c r="E17" s="4"/>
      <c r="F17" s="4"/>
      <c r="G17" s="4"/>
      <c r="H17" s="4"/>
      <c r="I17" s="4" t="s">
        <v>1421</v>
      </c>
      <c r="J17" s="4" t="s">
        <v>1348</v>
      </c>
      <c r="K17" s="4"/>
      <c r="L17" s="4"/>
      <c r="M17" s="4" t="s">
        <v>1422</v>
      </c>
      <c r="N17" s="4"/>
      <c r="O17" s="4"/>
      <c r="P17" s="4" t="s">
        <v>1423</v>
      </c>
      <c r="Q17" s="4">
        <v>100</v>
      </c>
      <c r="R17" s="4"/>
      <c r="S17" s="4"/>
      <c r="T17" s="4" t="s">
        <v>1424</v>
      </c>
      <c r="U17" s="4" t="s">
        <v>1348</v>
      </c>
      <c r="V17" s="4"/>
      <c r="X17" s="4" t="s">
        <v>110</v>
      </c>
      <c r="Y17" s="4" t="s">
        <v>1353</v>
      </c>
    </row>
    <row r="18" ht="16" customHeight="1" s="4" customFormat="1">
      <c r="A18" s="4" t="s">
        <v>1425</v>
      </c>
      <c r="B18" s="4" t="s">
        <v>1361</v>
      </c>
      <c r="C18" s="4"/>
      <c r="D18" s="4"/>
      <c r="E18" s="4"/>
      <c r="F18" s="4"/>
      <c r="G18" s="4"/>
      <c r="H18" s="4"/>
      <c r="I18" s="4" t="s">
        <v>1426</v>
      </c>
      <c r="J18" s="4" t="s">
        <v>1348</v>
      </c>
      <c r="K18" s="4"/>
      <c r="L18" s="4"/>
      <c r="M18" s="4" t="s">
        <v>1427</v>
      </c>
      <c r="N18" s="4"/>
      <c r="O18" s="4"/>
      <c r="P18" s="4" t="s">
        <v>1428</v>
      </c>
      <c r="Q18" s="4">
        <v>100</v>
      </c>
      <c r="R18" s="4"/>
      <c r="S18" s="4"/>
      <c r="T18" s="4" t="s">
        <v>1429</v>
      </c>
      <c r="U18" s="4" t="s">
        <v>1348</v>
      </c>
      <c r="V18" s="4"/>
      <c r="X18" s="4" t="s">
        <v>1360</v>
      </c>
      <c r="Y18" s="4" t="s">
        <v>1353</v>
      </c>
    </row>
    <row r="19" ht="16" customHeight="1" s="4" customFormat="1">
      <c r="A19" s="4" t="s">
        <v>1430</v>
      </c>
      <c r="B19" s="4" t="s">
        <v>1361</v>
      </c>
      <c r="C19" s="4"/>
      <c r="D19" s="4"/>
      <c r="E19" s="4"/>
      <c r="F19" s="4"/>
      <c r="G19" s="4"/>
      <c r="H19" s="4"/>
      <c r="I19" s="4" t="s">
        <v>1431</v>
      </c>
      <c r="J19" s="4" t="s">
        <v>1348</v>
      </c>
      <c r="K19" s="4"/>
      <c r="L19" s="4"/>
      <c r="M19" s="4" t="s">
        <v>1432</v>
      </c>
      <c r="N19" s="4"/>
      <c r="O19" s="4"/>
      <c r="P19" s="4" t="s">
        <v>1392</v>
      </c>
      <c r="Q19" s="4">
        <v>100</v>
      </c>
      <c r="R19" s="4"/>
      <c r="S19" s="4"/>
      <c r="T19" s="4" t="s">
        <v>1433</v>
      </c>
      <c r="U19" s="4" t="s">
        <v>1357</v>
      </c>
      <c r="V19" s="4"/>
      <c r="X19" s="4" t="s">
        <v>1405</v>
      </c>
      <c r="Y19" s="4" t="s">
        <v>1353</v>
      </c>
    </row>
    <row r="20" ht="16" customHeight="1" s="4" customFormat="1">
      <c r="A20" s="4" t="s">
        <v>1434</v>
      </c>
      <c r="B20" s="4" t="s">
        <v>1361</v>
      </c>
      <c r="C20" s="4"/>
      <c r="D20" s="4"/>
      <c r="E20" s="4"/>
      <c r="F20" s="4"/>
      <c r="G20" s="4"/>
      <c r="H20" s="4"/>
      <c r="I20" s="4" t="s">
        <v>1435</v>
      </c>
      <c r="J20" s="4" t="s">
        <v>1348</v>
      </c>
      <c r="K20" s="4"/>
      <c r="L20" s="4"/>
      <c r="M20" s="4" t="s">
        <v>1436</v>
      </c>
      <c r="N20" s="4"/>
      <c r="O20" s="4"/>
      <c r="P20" s="4" t="s">
        <v>1437</v>
      </c>
      <c r="Q20" s="4">
        <v>100</v>
      </c>
      <c r="R20" s="4"/>
      <c r="S20" s="4"/>
      <c r="T20" s="4" t="s">
        <v>1438</v>
      </c>
      <c r="U20" s="4" t="s">
        <v>1348</v>
      </c>
      <c r="V20" s="4"/>
      <c r="X20" s="4" t="s">
        <v>1346</v>
      </c>
      <c r="Y20" s="4" t="s">
        <v>1353</v>
      </c>
    </row>
    <row r="21" ht="16" customHeight="1" s="4" customFormat="1">
      <c r="A21" s="4" t="s">
        <v>1439</v>
      </c>
      <c r="B21" s="4" t="s">
        <v>1361</v>
      </c>
      <c r="C21" s="4"/>
      <c r="D21" s="4"/>
      <c r="E21" s="4"/>
      <c r="F21" s="4"/>
      <c r="G21" s="4"/>
      <c r="H21" s="4"/>
      <c r="I21" s="4" t="s">
        <v>1440</v>
      </c>
      <c r="J21" s="4" t="s">
        <v>1348</v>
      </c>
      <c r="K21" s="4"/>
      <c r="L21" s="4"/>
      <c r="M21" s="4" t="s">
        <v>1441</v>
      </c>
      <c r="N21" s="4"/>
      <c r="O21" s="4"/>
      <c r="P21" s="4" t="s">
        <v>1442</v>
      </c>
      <c r="Q21" s="4">
        <v>100</v>
      </c>
      <c r="R21" s="4"/>
      <c r="S21" s="4"/>
      <c r="T21" s="4" t="s">
        <v>1443</v>
      </c>
      <c r="U21" s="4" t="s">
        <v>1348</v>
      </c>
      <c r="V21" s="4"/>
      <c r="X21" s="4" t="s">
        <v>1412</v>
      </c>
      <c r="Y21" s="4" t="s">
        <v>1353</v>
      </c>
    </row>
    <row r="22" ht="16" customHeight="1" s="4" customFormat="1">
      <c r="A22" s="4" t="s">
        <v>1444</v>
      </c>
      <c r="B22" s="4" t="s">
        <v>1361</v>
      </c>
      <c r="C22" s="4"/>
      <c r="D22" s="4"/>
      <c r="E22" s="4"/>
      <c r="F22" s="4"/>
      <c r="G22" s="4"/>
      <c r="H22" s="4"/>
      <c r="I22" s="4" t="s">
        <v>1445</v>
      </c>
      <c r="J22" s="4" t="s">
        <v>1348</v>
      </c>
      <c r="K22" s="4"/>
      <c r="L22" s="4"/>
      <c r="M22" s="4" t="s">
        <v>1362</v>
      </c>
      <c r="N22" s="4"/>
      <c r="O22" s="4"/>
      <c r="P22" s="4" t="s">
        <v>1446</v>
      </c>
      <c r="Q22" s="4">
        <v>100</v>
      </c>
      <c r="R22" s="4"/>
      <c r="S22" s="4"/>
      <c r="T22" s="4" t="s">
        <v>1447</v>
      </c>
      <c r="U22" s="4" t="s">
        <v>1348</v>
      </c>
      <c r="V22" s="4"/>
      <c r="X22" s="4" t="s">
        <v>1448</v>
      </c>
      <c r="Y22" s="4" t="s">
        <v>1353</v>
      </c>
    </row>
    <row r="23" ht="16" customHeight="1" s="4" customFormat="1">
      <c r="A23" s="4" t="s">
        <v>1449</v>
      </c>
      <c r="B23" s="4" t="s">
        <v>1361</v>
      </c>
      <c r="C23" s="4"/>
      <c r="D23" s="4"/>
      <c r="E23" s="4"/>
      <c r="F23" s="4"/>
      <c r="G23" s="4"/>
      <c r="H23" s="4"/>
      <c r="I23" s="4" t="s">
        <v>1450</v>
      </c>
      <c r="J23" s="4" t="s">
        <v>1348</v>
      </c>
      <c r="K23" s="4"/>
      <c r="L23" s="4"/>
      <c r="M23" s="4" t="s">
        <v>1451</v>
      </c>
      <c r="N23" s="4"/>
      <c r="O23" s="4"/>
      <c r="P23" s="4" t="s">
        <v>1398</v>
      </c>
      <c r="Q23" s="4">
        <v>100</v>
      </c>
      <c r="R23" s="4"/>
      <c r="S23" s="4"/>
      <c r="T23" s="4" t="s">
        <v>1452</v>
      </c>
      <c r="U23" s="4" t="s">
        <v>1348</v>
      </c>
      <c r="V23" s="4"/>
      <c r="X23" s="4" t="s">
        <v>1453</v>
      </c>
      <c r="Y23" s="4" t="s">
        <v>1353</v>
      </c>
    </row>
    <row r="24" ht="16" customHeight="1" s="4" customFormat="1">
      <c r="A24" s="4" t="s">
        <v>68</v>
      </c>
      <c r="B24" s="4" t="s">
        <v>1361</v>
      </c>
      <c r="C24" s="4"/>
      <c r="D24" s="4"/>
      <c r="E24" s="4"/>
      <c r="F24" s="4"/>
      <c r="G24" s="4"/>
      <c r="H24" s="4"/>
      <c r="I24" s="4" t="s">
        <v>1454</v>
      </c>
      <c r="J24" s="4" t="s">
        <v>1348</v>
      </c>
      <c r="K24" s="4"/>
      <c r="L24" s="4"/>
      <c r="M24" s="4" t="s">
        <v>1455</v>
      </c>
      <c r="N24" s="4"/>
      <c r="O24" s="4"/>
      <c r="P24" s="4" t="s">
        <v>1456</v>
      </c>
      <c r="Q24" s="4">
        <v>100</v>
      </c>
      <c r="R24" s="4"/>
      <c r="S24" s="4"/>
      <c r="T24" s="4" t="s">
        <v>1457</v>
      </c>
      <c r="U24" s="4" t="s">
        <v>1348</v>
      </c>
      <c r="V24" s="4"/>
      <c r="X24" s="4" t="s">
        <v>1458</v>
      </c>
      <c r="Y24" s="4" t="s">
        <v>1408</v>
      </c>
    </row>
    <row r="25" ht="16" customHeight="1" s="4" customFormat="1">
      <c r="A25" s="4" t="s">
        <v>1459</v>
      </c>
      <c r="B25" s="4" t="s">
        <v>1361</v>
      </c>
      <c r="C25" s="4"/>
      <c r="D25" s="4"/>
      <c r="E25" s="4"/>
      <c r="F25" s="4"/>
      <c r="G25" s="4"/>
      <c r="H25" s="4"/>
      <c r="I25" s="4" t="s">
        <v>1460</v>
      </c>
      <c r="J25" s="4" t="s">
        <v>1348</v>
      </c>
      <c r="K25" s="4"/>
      <c r="L25" s="4"/>
      <c r="M25" s="4" t="s">
        <v>1461</v>
      </c>
      <c r="N25" s="4"/>
      <c r="O25" s="4"/>
      <c r="P25" s="4" t="s">
        <v>1422</v>
      </c>
      <c r="Q25" s="4">
        <v>100</v>
      </c>
      <c r="R25" s="4"/>
      <c r="S25" s="4"/>
      <c r="T25" s="4" t="s">
        <v>1462</v>
      </c>
      <c r="U25" s="4" t="s">
        <v>1348</v>
      </c>
      <c r="V25" s="4"/>
      <c r="X25" s="4" t="s">
        <v>1463</v>
      </c>
      <c r="Y25" s="4" t="s">
        <v>1353</v>
      </c>
    </row>
    <row r="26" ht="16" customHeight="1" s="4" customFormat="1">
      <c r="A26" s="4" t="s">
        <v>1464</v>
      </c>
      <c r="B26" s="4" t="s">
        <v>1361</v>
      </c>
      <c r="C26" s="4"/>
      <c r="D26" s="4"/>
      <c r="E26" s="4"/>
      <c r="F26" s="4"/>
      <c r="G26" s="4"/>
      <c r="H26" s="4"/>
      <c r="I26" s="4" t="s">
        <v>1465</v>
      </c>
      <c r="J26" s="4" t="s">
        <v>1348</v>
      </c>
      <c r="K26" s="4"/>
      <c r="L26" s="4"/>
      <c r="M26" s="4" t="s">
        <v>1466</v>
      </c>
      <c r="N26" s="4"/>
      <c r="O26" s="4"/>
      <c r="P26" s="4" t="s">
        <v>1427</v>
      </c>
      <c r="Q26" s="4">
        <v>100</v>
      </c>
      <c r="R26" s="4"/>
      <c r="S26" s="4"/>
      <c r="T26" s="4" t="s">
        <v>1467</v>
      </c>
      <c r="U26" s="4" t="s">
        <v>1348</v>
      </c>
      <c r="V26" s="4"/>
      <c r="X26" s="4" t="s">
        <v>1468</v>
      </c>
      <c r="Y26" s="4" t="s">
        <v>1353</v>
      </c>
    </row>
    <row r="27" ht="16" customHeight="1" s="4" customFormat="1">
      <c r="A27" s="4" t="s">
        <v>58</v>
      </c>
      <c r="B27" s="4" t="s">
        <v>1361</v>
      </c>
      <c r="C27" s="4"/>
      <c r="D27" s="4"/>
      <c r="E27" s="4"/>
      <c r="F27" s="4"/>
      <c r="G27" s="4"/>
      <c r="H27" s="4"/>
      <c r="I27" s="4" t="s">
        <v>1469</v>
      </c>
      <c r="J27" s="4" t="s">
        <v>1348</v>
      </c>
      <c r="K27" s="4"/>
      <c r="L27" s="4"/>
      <c r="M27" s="4" t="s">
        <v>1470</v>
      </c>
      <c r="N27" s="4"/>
      <c r="O27" s="4"/>
      <c r="P27" s="4" t="s">
        <v>1471</v>
      </c>
      <c r="Q27" s="4">
        <v>100</v>
      </c>
      <c r="R27" s="4"/>
      <c r="S27" s="4"/>
      <c r="T27" s="4" t="s">
        <v>1472</v>
      </c>
      <c r="U27" s="4" t="s">
        <v>1348</v>
      </c>
      <c r="V27" s="4"/>
      <c r="X27" s="4" t="s">
        <v>1473</v>
      </c>
      <c r="Y27" s="4" t="s">
        <v>1353</v>
      </c>
    </row>
    <row r="28" ht="16" customHeight="1" s="4" customFormat="1">
      <c r="A28" s="4" t="s">
        <v>1474</v>
      </c>
      <c r="B28" s="4" t="s">
        <v>1361</v>
      </c>
      <c r="C28" s="4"/>
      <c r="D28" s="4"/>
      <c r="E28" s="4"/>
      <c r="F28" s="4"/>
      <c r="G28" s="4"/>
      <c r="H28" s="4"/>
      <c r="I28" s="4" t="s">
        <v>1475</v>
      </c>
      <c r="J28" s="4" t="s">
        <v>1348</v>
      </c>
      <c r="K28" s="4"/>
      <c r="L28" s="4"/>
      <c r="M28" s="4" t="s">
        <v>194</v>
      </c>
      <c r="N28" s="4"/>
      <c r="O28" s="4"/>
      <c r="P28" s="4" t="s">
        <v>1476</v>
      </c>
      <c r="Q28" s="4">
        <v>100</v>
      </c>
      <c r="R28" s="4"/>
      <c r="S28" s="4"/>
      <c r="T28" s="4" t="s">
        <v>1477</v>
      </c>
      <c r="U28" s="4" t="s">
        <v>1348</v>
      </c>
      <c r="V28" s="4"/>
      <c r="X28" s="4" t="s">
        <v>1478</v>
      </c>
      <c r="Y28" s="4" t="s">
        <v>1353</v>
      </c>
    </row>
    <row r="29" ht="16" customHeight="1" s="4" customFormat="1">
      <c r="A29" s="4" t="s">
        <v>1479</v>
      </c>
      <c r="B29" s="4" t="s">
        <v>1361</v>
      </c>
      <c r="C29" s="4"/>
      <c r="D29" s="4"/>
      <c r="E29" s="4"/>
      <c r="F29" s="4"/>
      <c r="G29" s="4"/>
      <c r="H29" s="4"/>
      <c r="I29" s="4" t="s">
        <v>1480</v>
      </c>
      <c r="J29" s="4" t="s">
        <v>1348</v>
      </c>
      <c r="K29" s="4"/>
      <c r="L29" s="4"/>
      <c r="M29" s="4" t="s">
        <v>1444</v>
      </c>
      <c r="N29" s="4"/>
      <c r="O29" s="4"/>
      <c r="P29" s="4" t="s">
        <v>1441</v>
      </c>
      <c r="Q29" s="4">
        <v>100</v>
      </c>
      <c r="R29" s="4"/>
      <c r="S29" s="4"/>
      <c r="T29" s="4" t="s">
        <v>1481</v>
      </c>
      <c r="U29" s="4" t="s">
        <v>1348</v>
      </c>
      <c r="V29" s="4"/>
      <c r="X29" s="4" t="s">
        <v>1482</v>
      </c>
      <c r="Y29" s="4" t="s">
        <v>1353</v>
      </c>
    </row>
    <row r="30" ht="16" customHeight="1" s="4" customFormat="1">
      <c r="A30" s="4" t="s">
        <v>1483</v>
      </c>
      <c r="B30" s="4" t="s">
        <v>1361</v>
      </c>
      <c r="C30" s="4"/>
      <c r="D30" s="4"/>
      <c r="E30" s="4"/>
      <c r="F30" s="4"/>
      <c r="G30" s="4"/>
      <c r="H30" s="4"/>
      <c r="I30" s="4" t="s">
        <v>1484</v>
      </c>
      <c r="J30" s="4" t="s">
        <v>1348</v>
      </c>
      <c r="K30" s="4"/>
      <c r="L30" s="4"/>
      <c r="M30" s="4" t="s">
        <v>1393</v>
      </c>
      <c r="N30" s="4"/>
      <c r="O30" s="4"/>
      <c r="P30" s="4" t="s">
        <v>1451</v>
      </c>
      <c r="Q30" s="4">
        <v>100</v>
      </c>
      <c r="R30" s="4"/>
      <c r="S30" s="4"/>
      <c r="T30" s="4" t="s">
        <v>1485</v>
      </c>
      <c r="U30" s="4" t="s">
        <v>1397</v>
      </c>
      <c r="V30" s="4"/>
      <c r="X30" s="4" t="s">
        <v>1486</v>
      </c>
      <c r="Y30" s="4" t="s">
        <v>1353</v>
      </c>
    </row>
    <row r="31" ht="16" customHeight="1" s="4" customFormat="1">
      <c r="A31" s="4" t="s">
        <v>1487</v>
      </c>
      <c r="B31" s="4" t="s">
        <v>1361</v>
      </c>
      <c r="C31" s="4"/>
      <c r="D31" s="4"/>
      <c r="E31" s="4"/>
      <c r="F31" s="4"/>
      <c r="G31" s="4"/>
      <c r="H31" s="4"/>
      <c r="I31" s="4" t="s">
        <v>1488</v>
      </c>
      <c r="J31" s="4" t="s">
        <v>1348</v>
      </c>
      <c r="K31" s="4"/>
      <c r="L31" s="4"/>
      <c r="M31" s="4" t="s">
        <v>1489</v>
      </c>
      <c r="N31" s="4"/>
      <c r="O31" s="4"/>
      <c r="P31" s="4" t="s">
        <v>1490</v>
      </c>
      <c r="Q31" s="4">
        <v>100</v>
      </c>
      <c r="R31" s="4"/>
      <c r="S31" s="4"/>
      <c r="T31" s="4" t="s">
        <v>1491</v>
      </c>
      <c r="U31" s="4" t="s">
        <v>1348</v>
      </c>
      <c r="V31" s="4"/>
      <c r="X31" s="4" t="s">
        <v>1492</v>
      </c>
      <c r="Y31" s="4" t="s">
        <v>1408</v>
      </c>
    </row>
    <row r="32" ht="16" customHeight="1" s="4" customFormat="1">
      <c r="A32" s="4" t="s">
        <v>1493</v>
      </c>
      <c r="B32" s="4" t="s">
        <v>1361</v>
      </c>
      <c r="C32" s="4"/>
      <c r="D32" s="4"/>
      <c r="E32" s="4"/>
      <c r="F32" s="4"/>
      <c r="G32" s="4"/>
      <c r="H32" s="4"/>
      <c r="I32" s="4" t="s">
        <v>1494</v>
      </c>
      <c r="J32" s="4" t="s">
        <v>1348</v>
      </c>
      <c r="K32" s="4"/>
      <c r="L32" s="4"/>
      <c r="M32" s="4" t="s">
        <v>1442</v>
      </c>
      <c r="N32" s="4"/>
      <c r="O32" s="4"/>
      <c r="P32" s="4" t="s">
        <v>1495</v>
      </c>
      <c r="Q32" s="4">
        <v>100</v>
      </c>
      <c r="R32" s="4"/>
      <c r="S32" s="4"/>
      <c r="T32" s="4" t="s">
        <v>1496</v>
      </c>
      <c r="U32" s="4" t="s">
        <v>1418</v>
      </c>
      <c r="V32" s="4"/>
      <c r="X32" s="4" t="s">
        <v>104</v>
      </c>
      <c r="Y32" s="4" t="s">
        <v>1353</v>
      </c>
    </row>
    <row r="33" ht="16" customHeight="1" s="4" customFormat="1">
      <c r="A33" s="4" t="s">
        <v>1497</v>
      </c>
      <c r="B33" s="4" t="s">
        <v>1361</v>
      </c>
      <c r="C33" s="4"/>
      <c r="D33" s="4"/>
      <c r="E33" s="4"/>
      <c r="F33" s="4"/>
      <c r="G33" s="4"/>
      <c r="H33" s="4"/>
      <c r="I33" s="4" t="s">
        <v>1498</v>
      </c>
      <c r="J33" s="4" t="s">
        <v>1357</v>
      </c>
      <c r="K33" s="4"/>
      <c r="L33" s="4"/>
      <c r="M33" s="4" t="s">
        <v>1499</v>
      </c>
      <c r="N33" s="4"/>
      <c r="O33" s="4"/>
      <c r="P33" s="4" t="s">
        <v>1500</v>
      </c>
      <c r="Q33" s="4">
        <v>100</v>
      </c>
      <c r="R33" s="4"/>
      <c r="S33" s="4"/>
      <c r="T33" s="4" t="s">
        <v>1501</v>
      </c>
      <c r="U33" s="4" t="s">
        <v>1348</v>
      </c>
      <c r="V33" s="4"/>
      <c r="X33" s="4" t="s">
        <v>1502</v>
      </c>
      <c r="Y33" s="4" t="s">
        <v>1353</v>
      </c>
    </row>
    <row r="34" ht="16" customHeight="1" s="4" customFormat="1">
      <c r="A34" s="4" t="s">
        <v>1503</v>
      </c>
      <c r="B34" s="4" t="s">
        <v>1361</v>
      </c>
      <c r="C34" s="4"/>
      <c r="D34" s="4"/>
      <c r="E34" s="4"/>
      <c r="F34" s="4"/>
      <c r="G34" s="4"/>
      <c r="H34" s="4"/>
      <c r="I34" s="4" t="s">
        <v>1504</v>
      </c>
      <c r="J34" s="4" t="s">
        <v>1357</v>
      </c>
      <c r="K34" s="4"/>
      <c r="L34" s="4"/>
      <c r="M34" s="4" t="s">
        <v>1505</v>
      </c>
      <c r="N34" s="4"/>
      <c r="O34" s="4"/>
      <c r="P34" s="4" t="s">
        <v>1506</v>
      </c>
      <c r="Q34" s="4">
        <v>100</v>
      </c>
      <c r="R34" s="4"/>
      <c r="S34" s="4"/>
      <c r="T34" s="4" t="s">
        <v>1507</v>
      </c>
      <c r="U34" s="4" t="s">
        <v>1348</v>
      </c>
      <c r="V34" s="4"/>
      <c r="X34" s="4" t="s">
        <v>1508</v>
      </c>
      <c r="Y34" s="4" t="s">
        <v>1353</v>
      </c>
    </row>
    <row r="35" ht="16" customHeight="1" s="4" customFormat="1">
      <c r="A35" s="4" t="s">
        <v>1509</v>
      </c>
      <c r="B35" s="4" t="s">
        <v>1361</v>
      </c>
      <c r="C35" s="4"/>
      <c r="D35" s="4"/>
      <c r="E35" s="4"/>
      <c r="F35" s="4"/>
      <c r="G35" s="4"/>
      <c r="H35" s="4"/>
      <c r="I35" s="4" t="s">
        <v>1510</v>
      </c>
      <c r="J35" s="4" t="s">
        <v>1511</v>
      </c>
      <c r="K35" s="4"/>
      <c r="L35" s="4"/>
      <c r="M35" s="4" t="s">
        <v>68</v>
      </c>
      <c r="N35" s="4"/>
      <c r="O35" s="4"/>
      <c r="P35" s="4" t="s">
        <v>1512</v>
      </c>
      <c r="Q35" s="4">
        <v>100</v>
      </c>
      <c r="R35" s="4"/>
      <c r="S35" s="4"/>
      <c r="T35" s="4" t="s">
        <v>1513</v>
      </c>
      <c r="U35" s="4" t="s">
        <v>1348</v>
      </c>
      <c r="V35" s="4"/>
      <c r="X35" s="4" t="s">
        <v>1514</v>
      </c>
      <c r="Y35" s="4" t="s">
        <v>1353</v>
      </c>
    </row>
    <row r="36" ht="16" customHeight="1" s="4" customFormat="1">
      <c r="A36" s="4" t="s">
        <v>1515</v>
      </c>
      <c r="B36" s="4" t="s">
        <v>1361</v>
      </c>
      <c r="C36" s="4"/>
      <c r="D36" s="4"/>
      <c r="E36" s="4"/>
      <c r="F36" s="4"/>
      <c r="G36" s="4"/>
      <c r="H36" s="4"/>
      <c r="I36" s="4" t="s">
        <v>1516</v>
      </c>
      <c r="J36" s="4" t="s">
        <v>1511</v>
      </c>
      <c r="K36" s="4"/>
      <c r="L36" s="4"/>
      <c r="M36" s="4" t="s">
        <v>1517</v>
      </c>
      <c r="N36" s="4"/>
      <c r="O36" s="4"/>
      <c r="P36" s="4" t="s">
        <v>1518</v>
      </c>
      <c r="Q36" s="4">
        <v>100</v>
      </c>
      <c r="R36" s="4"/>
      <c r="S36" s="4"/>
      <c r="T36" s="4" t="s">
        <v>1519</v>
      </c>
      <c r="U36" s="4" t="s">
        <v>1348</v>
      </c>
      <c r="V36" s="4"/>
      <c r="X36" s="4" t="s">
        <v>1520</v>
      </c>
      <c r="Y36" s="4" t="s">
        <v>1521</v>
      </c>
    </row>
    <row r="37" ht="16" customHeight="1" s="4" customFormat="1">
      <c r="A37" s="4" t="s">
        <v>1522</v>
      </c>
      <c r="B37" s="4" t="s">
        <v>1361</v>
      </c>
      <c r="C37" s="4"/>
      <c r="D37" s="4"/>
      <c r="E37" s="4"/>
      <c r="F37" s="4"/>
      <c r="G37" s="4"/>
      <c r="H37" s="4"/>
      <c r="I37" s="4" t="s">
        <v>1523</v>
      </c>
      <c r="J37" s="4" t="s">
        <v>1348</v>
      </c>
      <c r="K37" s="4"/>
      <c r="L37" s="4"/>
      <c r="M37" s="4" t="s">
        <v>192</v>
      </c>
      <c r="N37" s="4"/>
      <c r="O37" s="4"/>
      <c r="P37" s="4" t="s">
        <v>1524</v>
      </c>
      <c r="Q37" s="4">
        <v>100</v>
      </c>
      <c r="R37" s="4"/>
      <c r="S37" s="4"/>
      <c r="T37" s="4" t="s">
        <v>1525</v>
      </c>
      <c r="U37" s="4" t="s">
        <v>1348</v>
      </c>
      <c r="V37" s="4"/>
      <c r="X37" s="4" t="s">
        <v>1526</v>
      </c>
      <c r="Y37" s="4" t="s">
        <v>1521</v>
      </c>
    </row>
    <row r="38" ht="16" customHeight="1" s="4" customFormat="1">
      <c r="A38" s="4" t="s">
        <v>1527</v>
      </c>
      <c r="B38" s="4" t="s">
        <v>1361</v>
      </c>
      <c r="C38" s="4"/>
      <c r="D38" s="4"/>
      <c r="E38" s="4"/>
      <c r="F38" s="4"/>
      <c r="G38" s="4"/>
      <c r="H38" s="4"/>
      <c r="I38" s="4"/>
      <c r="J38" s="4"/>
      <c r="K38" s="4"/>
      <c r="L38" s="4"/>
      <c r="M38" s="4" t="s">
        <v>1528</v>
      </c>
      <c r="N38" s="4"/>
      <c r="O38" s="4"/>
      <c r="P38" s="4" t="s">
        <v>1529</v>
      </c>
      <c r="Q38" s="4">
        <v>100</v>
      </c>
      <c r="R38" s="4"/>
      <c r="S38" s="4"/>
      <c r="T38" s="4" t="s">
        <v>1530</v>
      </c>
      <c r="U38" s="4" t="s">
        <v>1531</v>
      </c>
      <c r="V38" s="4"/>
      <c r="X38" s="4" t="s">
        <v>1362</v>
      </c>
      <c r="Y38" s="4" t="s">
        <v>1353</v>
      </c>
    </row>
    <row r="39" ht="16" customHeight="1" s="4" customFormat="1">
      <c r="A39" s="4" t="s">
        <v>1532</v>
      </c>
      <c r="B39" s="4" t="s">
        <v>1361</v>
      </c>
      <c r="C39" s="4"/>
      <c r="D39" s="4"/>
      <c r="E39" s="4"/>
      <c r="F39" s="4"/>
      <c r="G39" s="4"/>
      <c r="H39" s="4"/>
      <c r="I39" s="4"/>
      <c r="J39" s="4"/>
      <c r="K39" s="4"/>
      <c r="L39" s="4"/>
      <c r="M39" s="4" t="s">
        <v>1500</v>
      </c>
      <c r="N39" s="4"/>
      <c r="O39" s="4"/>
      <c r="P39" s="4" t="s">
        <v>1533</v>
      </c>
      <c r="Q39" s="4">
        <v>100</v>
      </c>
      <c r="R39" s="4"/>
      <c r="S39" s="4"/>
      <c r="T39" s="4" t="s">
        <v>1534</v>
      </c>
      <c r="U39" s="4" t="s">
        <v>1348</v>
      </c>
      <c r="V39" s="4"/>
      <c r="X39" s="4" t="s">
        <v>1362</v>
      </c>
      <c r="Y39" s="4" t="s">
        <v>1353</v>
      </c>
    </row>
    <row r="40" ht="16" customHeight="1" s="4" customFormat="1">
      <c r="A40" s="4" t="s">
        <v>1535</v>
      </c>
      <c r="B40" s="4" t="s">
        <v>1361</v>
      </c>
      <c r="C40" s="4"/>
      <c r="D40" s="4"/>
      <c r="E40" s="4"/>
      <c r="F40" s="4"/>
      <c r="G40" s="4"/>
      <c r="H40" s="4"/>
      <c r="I40" s="4"/>
      <c r="J40" s="4"/>
      <c r="K40" s="4"/>
      <c r="L40" s="4"/>
      <c r="M40" s="4" t="s">
        <v>1536</v>
      </c>
      <c r="N40" s="4"/>
      <c r="O40" s="4"/>
      <c r="P40" s="4" t="s">
        <v>1537</v>
      </c>
      <c r="Q40" s="4">
        <v>100</v>
      </c>
      <c r="R40" s="4"/>
      <c r="S40" s="4"/>
      <c r="T40" s="4" t="s">
        <v>1538</v>
      </c>
      <c r="U40" s="4" t="s">
        <v>1348</v>
      </c>
      <c r="V40" s="4"/>
      <c r="X40" s="4" t="s">
        <v>1539</v>
      </c>
      <c r="Y40" s="4" t="s">
        <v>1353</v>
      </c>
    </row>
    <row r="41" ht="16" customHeight="1" s="4" customFormat="1">
      <c r="A41" s="4" t="s">
        <v>1540</v>
      </c>
      <c r="B41" s="4" t="s">
        <v>1361</v>
      </c>
      <c r="C41" s="4"/>
      <c r="D41" s="4"/>
      <c r="E41" s="4"/>
      <c r="F41" s="4"/>
      <c r="G41" s="4"/>
      <c r="H41" s="4"/>
      <c r="I41" s="4"/>
      <c r="J41" s="4"/>
      <c r="K41" s="4"/>
      <c r="L41" s="4"/>
      <c r="M41" s="4" t="s">
        <v>214</v>
      </c>
      <c r="N41" s="4"/>
      <c r="O41" s="4"/>
      <c r="P41" s="4" t="s">
        <v>1541</v>
      </c>
      <c r="Q41" s="4">
        <v>100</v>
      </c>
      <c r="R41" s="4"/>
      <c r="S41" s="4"/>
      <c r="T41" s="4" t="s">
        <v>1542</v>
      </c>
      <c r="U41" s="4" t="s">
        <v>1543</v>
      </c>
      <c r="V41" s="4"/>
      <c r="X41" s="4" t="s">
        <v>1544</v>
      </c>
      <c r="Y41" s="4" t="s">
        <v>1353</v>
      </c>
    </row>
    <row r="42" ht="16" customHeight="1" s="4" customFormat="1">
      <c r="A42" s="4" t="s">
        <v>1545</v>
      </c>
      <c r="B42" s="4" t="s">
        <v>1361</v>
      </c>
      <c r="C42" s="4"/>
      <c r="D42" s="4"/>
      <c r="E42" s="4"/>
      <c r="F42" s="4"/>
      <c r="G42" s="4"/>
      <c r="H42" s="4"/>
      <c r="I42" s="4"/>
      <c r="J42" s="4"/>
      <c r="K42" s="4"/>
      <c r="L42" s="4"/>
      <c r="M42" s="4" t="s">
        <v>1546</v>
      </c>
      <c r="N42" s="4"/>
      <c r="O42" s="4"/>
      <c r="P42" s="4" t="s">
        <v>1547</v>
      </c>
      <c r="Q42" s="4">
        <v>100</v>
      </c>
      <c r="R42" s="4"/>
      <c r="S42" s="4"/>
      <c r="T42" s="4"/>
      <c r="U42" s="4"/>
      <c r="V42" s="4"/>
      <c r="X42" s="4" t="s">
        <v>1548</v>
      </c>
      <c r="Y42" s="4" t="s">
        <v>1353</v>
      </c>
    </row>
    <row r="43" ht="16" customHeight="1" s="4" customFormat="1">
      <c r="A43" s="4" t="s">
        <v>1549</v>
      </c>
      <c r="B43" s="4" t="s">
        <v>1361</v>
      </c>
      <c r="C43" s="4"/>
      <c r="D43" s="4"/>
      <c r="E43" s="4"/>
      <c r="F43" s="4"/>
      <c r="G43" s="4"/>
      <c r="H43" s="4"/>
      <c r="I43" s="4"/>
      <c r="J43" s="4"/>
      <c r="K43" s="4"/>
      <c r="L43" s="4"/>
      <c r="M43" s="4" t="s">
        <v>1550</v>
      </c>
      <c r="N43" s="4"/>
      <c r="O43" s="4"/>
      <c r="P43" s="4" t="s">
        <v>1551</v>
      </c>
      <c r="Q43" s="4">
        <v>100</v>
      </c>
      <c r="R43" s="4"/>
      <c r="S43" s="4"/>
      <c r="T43" s="4"/>
      <c r="U43" s="4"/>
      <c r="V43" s="4"/>
      <c r="X43" s="4" t="s">
        <v>1552</v>
      </c>
      <c r="Y43" s="4" t="s">
        <v>1353</v>
      </c>
    </row>
    <row r="44" ht="16" customHeight="1" s="4" customFormat="1">
      <c r="A44" s="4" t="s">
        <v>1553</v>
      </c>
      <c r="B44" s="4" t="s">
        <v>1361</v>
      </c>
      <c r="C44" s="4"/>
      <c r="D44" s="4"/>
      <c r="E44" s="4"/>
      <c r="F44" s="4"/>
      <c r="G44" s="4"/>
      <c r="H44" s="4"/>
      <c r="I44" s="4"/>
      <c r="J44" s="4"/>
      <c r="K44" s="4"/>
      <c r="L44" s="4"/>
      <c r="M44" s="4" t="s">
        <v>1554</v>
      </c>
      <c r="N44" s="4"/>
      <c r="O44" s="4"/>
      <c r="P44" s="4" t="s">
        <v>1455</v>
      </c>
      <c r="Q44" s="4">
        <v>100</v>
      </c>
      <c r="R44" s="4"/>
      <c r="S44" s="4"/>
      <c r="T44" s="4"/>
      <c r="U44" s="4"/>
      <c r="V44" s="4"/>
      <c r="X44" s="4" t="s">
        <v>1555</v>
      </c>
      <c r="Y44" s="4" t="s">
        <v>1353</v>
      </c>
    </row>
    <row r="45" ht="16" customHeight="1" s="4" customFormat="1">
      <c r="A45" s="4"/>
      <c r="B45" s="4"/>
      <c r="C45" s="4"/>
      <c r="D45" s="4"/>
      <c r="E45" s="4"/>
      <c r="F45" s="4"/>
      <c r="G45" s="4"/>
      <c r="H45" s="4"/>
      <c r="I45" s="4"/>
      <c r="J45" s="4"/>
      <c r="K45" s="4"/>
      <c r="L45" s="4"/>
      <c r="M45" s="4" t="s">
        <v>1556</v>
      </c>
      <c r="N45" s="4"/>
      <c r="O45" s="4"/>
      <c r="P45" s="4" t="s">
        <v>1557</v>
      </c>
      <c r="Q45" s="4">
        <v>100</v>
      </c>
      <c r="R45" s="4"/>
      <c r="S45" s="4"/>
      <c r="T45" s="4"/>
      <c r="U45" s="4"/>
      <c r="V45" s="4"/>
      <c r="X45" s="4" t="s">
        <v>1558</v>
      </c>
      <c r="Y45" s="4" t="s">
        <v>1353</v>
      </c>
    </row>
    <row r="46" ht="16" customHeight="1" s="4" customFormat="1">
      <c r="A46" s="4"/>
      <c r="B46" s="4"/>
      <c r="C46" s="4"/>
      <c r="D46" s="4"/>
      <c r="E46" s="4"/>
      <c r="F46" s="4"/>
      <c r="G46" s="4"/>
      <c r="H46" s="4"/>
      <c r="I46" s="4"/>
      <c r="J46" s="4"/>
      <c r="K46" s="4"/>
      <c r="L46" s="4"/>
      <c r="M46" s="4" t="s">
        <v>1559</v>
      </c>
      <c r="N46" s="4"/>
      <c r="O46" s="4"/>
      <c r="P46" s="4" t="s">
        <v>1376</v>
      </c>
      <c r="Q46" s="4">
        <v>95</v>
      </c>
      <c r="R46" s="4"/>
      <c r="S46" s="4"/>
      <c r="T46" s="4"/>
      <c r="U46" s="4"/>
      <c r="V46" s="4"/>
      <c r="X46" s="4" t="s">
        <v>1560</v>
      </c>
      <c r="Y46" s="4" t="s">
        <v>1353</v>
      </c>
    </row>
    <row r="47" ht="16" customHeight="1" s="4" customFormat="1">
      <c r="A47" s="4"/>
      <c r="B47" s="4"/>
      <c r="C47" s="4"/>
      <c r="D47" s="4"/>
      <c r="E47" s="4"/>
      <c r="F47" s="4"/>
      <c r="G47" s="4"/>
      <c r="H47" s="4"/>
      <c r="I47" s="4"/>
      <c r="J47" s="4"/>
      <c r="K47" s="4"/>
      <c r="L47" s="4"/>
      <c r="M47" s="4" t="s">
        <v>1561</v>
      </c>
      <c r="N47" s="4"/>
      <c r="O47" s="4"/>
      <c r="P47" s="4" t="s">
        <v>1562</v>
      </c>
      <c r="Q47" s="4">
        <v>74</v>
      </c>
      <c r="R47" s="4"/>
      <c r="S47" s="4"/>
      <c r="T47" s="4"/>
      <c r="U47" s="4"/>
      <c r="V47" s="4"/>
      <c r="X47" s="4" t="s">
        <v>1563</v>
      </c>
      <c r="Y47" s="4" t="s">
        <v>1353</v>
      </c>
    </row>
    <row r="48" ht="16" customHeight="1" s="4" customFormat="1">
      <c r="A48" s="4"/>
      <c r="B48" s="4"/>
      <c r="C48" s="4"/>
      <c r="D48" s="4"/>
      <c r="E48" s="4"/>
      <c r="F48" s="4"/>
      <c r="G48" s="4"/>
      <c r="H48" s="4"/>
      <c r="I48" s="4"/>
      <c r="J48" s="4"/>
      <c r="K48" s="4"/>
      <c r="L48" s="4"/>
      <c r="M48" s="4" t="s">
        <v>1402</v>
      </c>
      <c r="N48" s="4"/>
      <c r="O48" s="4"/>
      <c r="P48" s="4" t="s">
        <v>1346</v>
      </c>
      <c r="Q48" s="4">
        <v>65</v>
      </c>
      <c r="R48" s="4"/>
      <c r="S48" s="4"/>
      <c r="T48" s="4"/>
      <c r="U48" s="4"/>
      <c r="V48" s="4"/>
      <c r="X48" s="4" t="s">
        <v>1564</v>
      </c>
      <c r="Y48" s="4" t="s">
        <v>1353</v>
      </c>
    </row>
    <row r="49" ht="16" customHeight="1" s="4" customFormat="1">
      <c r="A49" s="4"/>
      <c r="B49" s="4"/>
      <c r="C49" s="4"/>
      <c r="D49" s="4"/>
      <c r="E49" s="4"/>
      <c r="F49" s="4"/>
      <c r="G49" s="4"/>
      <c r="H49" s="4"/>
      <c r="I49" s="4"/>
      <c r="J49" s="4"/>
      <c r="K49" s="4"/>
      <c r="L49" s="4"/>
      <c r="M49" s="4" t="s">
        <v>1565</v>
      </c>
      <c r="N49" s="4"/>
      <c r="O49" s="4"/>
      <c r="P49" s="4" t="s">
        <v>1448</v>
      </c>
      <c r="Q49" s="4">
        <v>64.9</v>
      </c>
      <c r="R49" s="4"/>
      <c r="S49" s="4"/>
      <c r="T49" s="4"/>
      <c r="U49" s="4"/>
      <c r="V49" s="4"/>
      <c r="X49" s="4" t="s">
        <v>1518</v>
      </c>
      <c r="Y49" s="4" t="s">
        <v>1521</v>
      </c>
    </row>
    <row r="50" ht="16" customHeight="1" s="4" customFormat="1">
      <c r="A50" s="4"/>
      <c r="B50" s="4"/>
      <c r="C50" s="4"/>
      <c r="D50" s="4"/>
      <c r="E50" s="4"/>
      <c r="F50" s="4"/>
      <c r="G50" s="4"/>
      <c r="H50" s="4"/>
      <c r="I50" s="4"/>
      <c r="J50" s="4"/>
      <c r="K50" s="4"/>
      <c r="L50" s="4"/>
      <c r="M50" s="4" t="s">
        <v>1553</v>
      </c>
      <c r="N50" s="4"/>
      <c r="P50" s="4" t="s">
        <v>115</v>
      </c>
      <c r="Q50" s="4">
        <v>64.9</v>
      </c>
      <c r="X50" s="4" t="s">
        <v>1524</v>
      </c>
      <c r="Y50" s="4" t="s">
        <v>1521</v>
      </c>
    </row>
    <row r="51" ht="16" customHeight="1" s="4" customFormat="1">
      <c r="A51" s="4"/>
      <c r="B51" s="4"/>
      <c r="C51" s="4"/>
      <c r="D51" s="4"/>
      <c r="E51" s="4"/>
      <c r="F51" s="4"/>
      <c r="G51" s="4"/>
      <c r="H51" s="4"/>
      <c r="I51" s="4"/>
      <c r="J51" s="4"/>
      <c r="K51" s="4"/>
      <c r="L51" s="4"/>
      <c r="M51" s="4"/>
      <c r="N51" s="4"/>
      <c r="P51" s="4" t="s">
        <v>106</v>
      </c>
      <c r="Q51" s="4">
        <v>64.9</v>
      </c>
      <c r="X51" s="4" t="s">
        <v>1537</v>
      </c>
      <c r="Y51" s="4" t="s">
        <v>1521</v>
      </c>
    </row>
    <row r="52" ht="16" customHeight="1" s="4" customFormat="1">
      <c r="A52" s="4"/>
      <c r="B52" s="4"/>
      <c r="C52" s="4"/>
      <c r="D52" s="4"/>
      <c r="E52" s="4"/>
      <c r="F52" s="4"/>
      <c r="G52" s="4"/>
      <c r="H52" s="4"/>
      <c r="I52" s="4"/>
      <c r="J52" s="4"/>
      <c r="K52" s="4"/>
      <c r="L52" s="4"/>
      <c r="M52" s="4"/>
      <c r="N52" s="4"/>
      <c r="P52" s="4" t="s">
        <v>1566</v>
      </c>
      <c r="Q52" s="4">
        <v>51.6</v>
      </c>
      <c r="X52" s="4" t="s">
        <v>115</v>
      </c>
      <c r="Y52" s="4" t="s">
        <v>1353</v>
      </c>
    </row>
    <row r="53" ht="16" customHeight="1" s="4" customFormat="1">
      <c r="A53" s="4"/>
      <c r="B53" s="4"/>
      <c r="C53" s="4"/>
      <c r="D53" s="4"/>
      <c r="E53" s="4"/>
      <c r="F53" s="4"/>
      <c r="G53" s="4"/>
      <c r="H53" s="4"/>
      <c r="I53" s="4"/>
      <c r="J53" s="4"/>
      <c r="K53" s="4"/>
      <c r="L53" s="4"/>
      <c r="M53" s="4"/>
      <c r="N53" s="4"/>
      <c r="P53" s="4" t="s">
        <v>1567</v>
      </c>
      <c r="Q53" s="4">
        <v>51.6</v>
      </c>
      <c r="X53" s="4" t="s">
        <v>1568</v>
      </c>
      <c r="Y53" s="4" t="s">
        <v>1353</v>
      </c>
    </row>
    <row r="54" ht="16" customHeight="1" s="4" customFormat="1">
      <c r="A54" s="4"/>
      <c r="B54" s="4"/>
      <c r="C54" s="4"/>
      <c r="D54" s="4"/>
      <c r="E54" s="4"/>
      <c r="F54" s="4"/>
      <c r="G54" s="4"/>
      <c r="H54" s="4"/>
      <c r="I54" s="4"/>
      <c r="J54" s="4"/>
      <c r="K54" s="4"/>
      <c r="L54" s="4"/>
      <c r="M54" s="4"/>
      <c r="N54" s="4"/>
      <c r="P54" s="4" t="s">
        <v>1569</v>
      </c>
      <c r="Q54" s="4">
        <v>51.6</v>
      </c>
      <c r="X54" s="4" t="s">
        <v>106</v>
      </c>
      <c r="Y54" s="4" t="s">
        <v>1353</v>
      </c>
    </row>
    <row r="55" ht="16" customHeight="1" s="4" customFormat="1">
      <c r="A55" s="4"/>
      <c r="B55" s="4"/>
      <c r="C55" s="4"/>
      <c r="D55" s="4"/>
      <c r="E55" s="4"/>
      <c r="F55" s="4"/>
      <c r="G55" s="4"/>
      <c r="H55" s="4"/>
      <c r="I55" s="4"/>
      <c r="J55" s="4"/>
      <c r="K55" s="4"/>
      <c r="L55" s="4"/>
      <c r="M55" s="4"/>
      <c r="N55" s="4"/>
      <c r="P55" s="4" t="s">
        <v>1349</v>
      </c>
      <c r="Q55" s="4">
        <v>51</v>
      </c>
    </row>
    <row r="56" ht="16" customHeight="1" s="4" customFormat="1">
      <c r="A56" s="4"/>
      <c r="B56" s="4"/>
      <c r="C56" s="4"/>
      <c r="D56" s="4"/>
      <c r="E56" s="4"/>
      <c r="F56" s="4"/>
      <c r="G56" s="4"/>
      <c r="H56" s="4"/>
      <c r="I56" s="4"/>
      <c r="J56" s="4"/>
      <c r="K56" s="4"/>
      <c r="L56" s="4"/>
      <c r="M56" s="4"/>
      <c r="N56" s="4"/>
      <c r="P56" s="4" t="s">
        <v>1386</v>
      </c>
      <c r="Q56" s="4" t="s">
        <v>1361</v>
      </c>
    </row>
    <row r="57" ht="16" customHeight="1" s="4" customFormat="1">
      <c r="A57" s="4"/>
      <c r="B57" s="4"/>
      <c r="C57" s="4"/>
      <c r="D57" s="4"/>
      <c r="E57" s="4"/>
      <c r="F57" s="4"/>
      <c r="G57" s="4"/>
      <c r="H57" s="4"/>
      <c r="I57" s="4"/>
      <c r="J57" s="4"/>
      <c r="K57" s="4"/>
      <c r="L57" s="4"/>
      <c r="M57" s="4"/>
      <c r="N57" s="4"/>
      <c r="P57" s="4" t="s">
        <v>1570</v>
      </c>
      <c r="Q57" s="4">
        <v>100</v>
      </c>
    </row>
    <row r="58" ht="16" customHeight="1" s="4" customFormat="1">
      <c r="A58" s="4"/>
      <c r="B58" s="4"/>
      <c r="C58" s="4"/>
      <c r="D58" s="4"/>
      <c r="E58" s="4"/>
      <c r="F58" s="4"/>
      <c r="G58" s="4"/>
      <c r="H58" s="4"/>
      <c r="I58" s="4"/>
      <c r="J58" s="4"/>
      <c r="K58" s="4"/>
      <c r="L58" s="4"/>
      <c r="M58" s="4"/>
      <c r="N58" s="4"/>
      <c r="P58" s="4" t="s">
        <v>1356</v>
      </c>
      <c r="Q58" s="4">
        <v>100</v>
      </c>
    </row>
    <row r="59" ht="16" customHeight="1" s="4" customFormat="1">
      <c r="A59" s="4"/>
      <c r="B59" s="4"/>
      <c r="C59" s="4"/>
      <c r="D59" s="4"/>
      <c r="E59" s="4"/>
      <c r="F59" s="4"/>
      <c r="G59" s="4"/>
      <c r="H59" s="4"/>
      <c r="I59" s="4"/>
      <c r="J59" s="4"/>
      <c r="K59" s="4"/>
      <c r="L59" s="4"/>
      <c r="M59" s="4"/>
      <c r="N59" s="4"/>
      <c r="P59" s="4" t="s">
        <v>1571</v>
      </c>
      <c r="Q59" s="4">
        <v>100</v>
      </c>
    </row>
    <row r="60" ht="16" customHeight="1" s="4" customFormat="1">
      <c r="A60" s="4"/>
      <c r="B60" s="4"/>
      <c r="C60" s="4"/>
      <c r="D60" s="4"/>
      <c r="E60" s="4"/>
      <c r="F60" s="4"/>
      <c r="G60" s="4"/>
      <c r="H60" s="4"/>
      <c r="I60" s="4"/>
      <c r="J60" s="4"/>
      <c r="K60" s="4"/>
      <c r="L60" s="4"/>
      <c r="M60" s="4"/>
      <c r="N60" s="4"/>
      <c r="P60" s="4" t="s">
        <v>1363</v>
      </c>
      <c r="Q60" s="4">
        <v>100</v>
      </c>
    </row>
    <row r="61" ht="16" customHeight="1" s="4" customFormat="1">
      <c r="A61" s="4"/>
      <c r="B61" s="4"/>
      <c r="C61" s="4"/>
      <c r="D61" s="4"/>
      <c r="E61" s="4"/>
      <c r="F61" s="4"/>
      <c r="G61" s="4"/>
      <c r="H61" s="4"/>
      <c r="I61" s="4"/>
      <c r="J61" s="4"/>
      <c r="K61" s="4"/>
      <c r="L61" s="4"/>
      <c r="M61" s="4"/>
      <c r="N61" s="4"/>
      <c r="P61" s="4" t="s">
        <v>1572</v>
      </c>
      <c r="Q61" s="4">
        <v>100</v>
      </c>
    </row>
    <row r="62" ht="16" customHeight="1" s="4" customFormat="1">
      <c r="A62" s="4"/>
      <c r="B62" s="4"/>
      <c r="C62" s="4"/>
      <c r="D62" s="4"/>
      <c r="E62" s="4"/>
      <c r="F62" s="4"/>
      <c r="G62" s="4"/>
      <c r="H62" s="4"/>
      <c r="I62" s="4"/>
      <c r="J62" s="4"/>
      <c r="K62" s="4"/>
      <c r="L62" s="4"/>
      <c r="M62" s="4"/>
      <c r="N62" s="4"/>
      <c r="P62" s="4" t="s">
        <v>1393</v>
      </c>
      <c r="Q62" s="4">
        <v>100</v>
      </c>
    </row>
    <row r="63" ht="16" customHeight="1" s="4" customFormat="1">
      <c r="A63" s="4"/>
      <c r="B63" s="4"/>
      <c r="C63" s="4"/>
      <c r="D63" s="4"/>
      <c r="E63" s="4"/>
      <c r="F63" s="4"/>
      <c r="G63" s="4"/>
      <c r="H63" s="4"/>
      <c r="I63" s="4"/>
      <c r="J63" s="4"/>
      <c r="K63" s="4"/>
      <c r="L63" s="4"/>
      <c r="M63" s="4"/>
      <c r="N63" s="4"/>
      <c r="P63" s="4" t="s">
        <v>1573</v>
      </c>
      <c r="Q63" s="4">
        <v>100</v>
      </c>
    </row>
    <row r="64" ht="16" customHeight="1" s="4" customFormat="1">
      <c r="A64" s="4"/>
      <c r="B64" s="4"/>
      <c r="C64" s="4"/>
      <c r="D64" s="4"/>
      <c r="E64" s="4"/>
      <c r="F64" s="4"/>
      <c r="G64" s="4"/>
      <c r="H64" s="4"/>
      <c r="I64" s="4"/>
      <c r="J64" s="4"/>
      <c r="K64" s="4"/>
      <c r="L64" s="4"/>
      <c r="M64" s="4"/>
      <c r="N64" s="4"/>
      <c r="P64" s="4" t="s">
        <v>1574</v>
      </c>
      <c r="Q64" s="4">
        <v>100</v>
      </c>
    </row>
    <row r="65" ht="16" customHeight="1" s="4" customFormat="1">
      <c r="A65" s="4"/>
      <c r="B65" s="4"/>
      <c r="C65" s="4"/>
      <c r="D65" s="4"/>
      <c r="E65" s="4"/>
      <c r="F65" s="4"/>
      <c r="G65" s="4"/>
      <c r="H65" s="4"/>
      <c r="I65" s="4"/>
      <c r="J65" s="4"/>
      <c r="K65" s="4"/>
      <c r="L65" s="4"/>
      <c r="M65" s="4"/>
      <c r="N65" s="4"/>
      <c r="P65" s="4" t="s">
        <v>1575</v>
      </c>
      <c r="Q65" s="4">
        <v>100</v>
      </c>
    </row>
    <row r="66" ht="16" customHeight="1" s="4" customFormat="1">
      <c r="A66" s="4"/>
      <c r="B66" s="4"/>
      <c r="C66" s="4"/>
      <c r="D66" s="4"/>
      <c r="E66" s="4"/>
      <c r="F66" s="4"/>
      <c r="G66" s="4"/>
      <c r="H66" s="4"/>
      <c r="I66" s="4"/>
      <c r="J66" s="4"/>
      <c r="K66" s="4"/>
      <c r="L66" s="4"/>
      <c r="M66" s="4"/>
      <c r="N66" s="4"/>
      <c r="P66" s="4" t="s">
        <v>1428</v>
      </c>
      <c r="Q66" s="4">
        <v>100</v>
      </c>
    </row>
    <row r="67" ht="16" customHeight="1" s="4" customFormat="1">
      <c r="A67" s="4"/>
      <c r="B67" s="4"/>
      <c r="C67" s="4"/>
      <c r="D67" s="4"/>
      <c r="E67" s="4"/>
      <c r="F67" s="4"/>
      <c r="G67" s="4"/>
      <c r="H67" s="4"/>
      <c r="I67" s="4"/>
      <c r="J67" s="4"/>
      <c r="K67" s="4"/>
      <c r="L67" s="4"/>
      <c r="M67" s="4"/>
      <c r="N67" s="4"/>
      <c r="P67" s="4" t="s">
        <v>1576</v>
      </c>
      <c r="Q67" s="4">
        <v>100</v>
      </c>
    </row>
    <row r="68" ht="16" customHeight="1" s="4" customFormat="1">
      <c r="A68" s="4"/>
      <c r="B68" s="4"/>
      <c r="C68" s="4"/>
      <c r="D68" s="4"/>
      <c r="E68" s="4"/>
      <c r="F68" s="4"/>
      <c r="G68" s="4"/>
      <c r="H68" s="4"/>
      <c r="I68" s="4"/>
      <c r="J68" s="4"/>
      <c r="K68" s="4"/>
      <c r="L68" s="4"/>
      <c r="M68" s="4"/>
      <c r="N68" s="4"/>
      <c r="P68" s="4" t="s">
        <v>1577</v>
      </c>
      <c r="Q68" s="4">
        <v>100</v>
      </c>
    </row>
    <row r="69" ht="16" customHeight="1" s="4" customFormat="1">
      <c r="A69" s="4"/>
      <c r="B69" s="4"/>
      <c r="C69" s="4"/>
      <c r="D69" s="4"/>
      <c r="E69" s="4"/>
      <c r="F69" s="4"/>
      <c r="G69" s="4"/>
      <c r="H69" s="4"/>
      <c r="I69" s="4"/>
      <c r="J69" s="4"/>
      <c r="K69" s="4"/>
      <c r="L69" s="4"/>
      <c r="M69" s="4"/>
      <c r="N69" s="4"/>
      <c r="P69" s="4" t="s">
        <v>1578</v>
      </c>
      <c r="Q69" s="4">
        <v>100</v>
      </c>
    </row>
    <row r="70" ht="16" customHeight="1" s="4" customFormat="1">
      <c r="A70" s="4"/>
      <c r="B70" s="4"/>
      <c r="C70" s="4"/>
      <c r="D70" s="4"/>
      <c r="E70" s="4"/>
      <c r="F70" s="4"/>
      <c r="G70" s="4"/>
      <c r="H70" s="4"/>
      <c r="I70" s="4"/>
      <c r="J70" s="4"/>
      <c r="K70" s="4"/>
      <c r="L70" s="4"/>
      <c r="M70" s="4"/>
      <c r="N70" s="4"/>
      <c r="P70" s="4" t="s">
        <v>1579</v>
      </c>
      <c r="Q70" s="4">
        <v>100</v>
      </c>
    </row>
    <row r="71" ht="16" customHeight="1" s="4" customFormat="1">
      <c r="A71" s="4"/>
      <c r="B71" s="4"/>
      <c r="C71" s="4"/>
      <c r="D71" s="4"/>
      <c r="E71" s="4"/>
      <c r="F71" s="4"/>
      <c r="G71" s="4"/>
      <c r="H71" s="4"/>
      <c r="I71" s="4"/>
      <c r="J71" s="4"/>
      <c r="K71" s="4"/>
      <c r="L71" s="4"/>
      <c r="M71" s="4"/>
      <c r="N71" s="4"/>
      <c r="P71" s="4" t="s">
        <v>1580</v>
      </c>
      <c r="Q71" s="4">
        <v>100</v>
      </c>
    </row>
    <row r="72" ht="16" customHeight="1" s="4" customFormat="1">
      <c r="A72" s="4"/>
      <c r="B72" s="4"/>
      <c r="C72" s="4"/>
      <c r="D72" s="4"/>
      <c r="E72" s="4"/>
      <c r="F72" s="4"/>
      <c r="G72" s="4"/>
      <c r="H72" s="4"/>
      <c r="I72" s="4"/>
      <c r="J72" s="4"/>
      <c r="K72" s="4"/>
      <c r="L72" s="4"/>
      <c r="M72" s="4"/>
      <c r="N72" s="4"/>
      <c r="P72" s="4" t="s">
        <v>1498</v>
      </c>
      <c r="Q72" s="4">
        <v>100</v>
      </c>
    </row>
    <row r="73" ht="16" customHeight="1" s="4" customFormat="1">
      <c r="A73" s="4"/>
      <c r="B73" s="4"/>
      <c r="C73" s="4"/>
      <c r="D73" s="4"/>
      <c r="E73" s="4"/>
      <c r="F73" s="4"/>
      <c r="G73" s="4"/>
      <c r="H73" s="4"/>
      <c r="I73" s="4"/>
      <c r="J73" s="4"/>
      <c r="K73" s="4"/>
      <c r="L73" s="4"/>
      <c r="M73" s="4"/>
      <c r="N73" s="4"/>
      <c r="P73" s="4" t="s">
        <v>1581</v>
      </c>
      <c r="Q73" s="4">
        <v>100</v>
      </c>
    </row>
    <row r="74" ht="16" customHeight="1" s="4" customFormat="1">
      <c r="A74" s="4"/>
      <c r="B74" s="4"/>
      <c r="C74" s="4"/>
      <c r="D74" s="4"/>
      <c r="E74" s="4"/>
      <c r="F74" s="4"/>
      <c r="G74" s="4"/>
      <c r="H74" s="4"/>
      <c r="I74" s="4"/>
      <c r="J74" s="4"/>
      <c r="K74" s="4"/>
      <c r="L74" s="4"/>
      <c r="M74" s="4"/>
      <c r="N74" s="4"/>
      <c r="P74" s="4" t="s">
        <v>1582</v>
      </c>
      <c r="Q74" s="4">
        <v>100</v>
      </c>
    </row>
    <row r="75" ht="16" customHeight="1" s="4" customFormat="1">
      <c r="A75" s="4"/>
      <c r="B75" s="4"/>
      <c r="C75" s="4"/>
      <c r="D75" s="4"/>
      <c r="E75" s="4"/>
      <c r="F75" s="4"/>
      <c r="G75" s="4"/>
      <c r="H75" s="4"/>
      <c r="I75" s="4"/>
      <c r="J75" s="4"/>
      <c r="K75" s="4"/>
      <c r="L75" s="4"/>
      <c r="M75" s="4"/>
      <c r="N75" s="4"/>
      <c r="P75" s="4" t="s">
        <v>1504</v>
      </c>
      <c r="Q75" s="4">
        <v>100</v>
      </c>
    </row>
    <row r="76" ht="16" customHeight="1" s="4" customFormat="1">
      <c r="A76" s="4"/>
      <c r="B76" s="4"/>
      <c r="C76" s="4"/>
      <c r="D76" s="4"/>
      <c r="E76" s="4"/>
      <c r="F76" s="4"/>
      <c r="G76" s="4"/>
      <c r="H76" s="4"/>
      <c r="I76" s="4"/>
      <c r="J76" s="4"/>
      <c r="K76" s="4"/>
      <c r="L76" s="4"/>
      <c r="M76" s="4"/>
      <c r="N76" s="4"/>
      <c r="P76" s="4" t="s">
        <v>1583</v>
      </c>
      <c r="Q76" s="4">
        <v>100</v>
      </c>
    </row>
    <row r="77" ht="16" customHeight="1" s="4" customFormat="1">
      <c r="A77" s="4"/>
      <c r="B77" s="4"/>
      <c r="C77" s="4"/>
      <c r="D77" s="4"/>
      <c r="E77" s="4"/>
      <c r="F77" s="4"/>
      <c r="G77" s="4"/>
      <c r="H77" s="4"/>
      <c r="I77" s="4"/>
      <c r="J77" s="4"/>
      <c r="K77" s="4"/>
      <c r="L77" s="4"/>
      <c r="M77" s="4"/>
      <c r="N77" s="4"/>
      <c r="P77" s="4" t="s">
        <v>1584</v>
      </c>
      <c r="Q77" s="4">
        <v>100</v>
      </c>
    </row>
    <row r="78" ht="16" customHeight="1" s="4" customFormat="1">
      <c r="A78" s="4"/>
      <c r="B78" s="4"/>
      <c r="C78" s="4"/>
      <c r="D78" s="4"/>
      <c r="E78" s="4"/>
      <c r="F78" s="4"/>
      <c r="G78" s="4"/>
      <c r="H78" s="4"/>
      <c r="I78" s="4"/>
      <c r="J78" s="4"/>
      <c r="K78" s="4"/>
      <c r="L78" s="4"/>
      <c r="M78" s="4"/>
      <c r="N78" s="4"/>
      <c r="P78" s="4" t="s">
        <v>1585</v>
      </c>
      <c r="Q78" s="4">
        <v>100</v>
      </c>
    </row>
    <row r="79" ht="16" customHeight="1" s="4" customFormat="1">
      <c r="A79" s="4"/>
      <c r="B79" s="4"/>
      <c r="C79" s="4"/>
      <c r="D79" s="4"/>
      <c r="E79" s="4"/>
      <c r="F79" s="4"/>
      <c r="G79" s="4"/>
      <c r="H79" s="4"/>
      <c r="I79" s="4"/>
      <c r="J79" s="4"/>
      <c r="K79" s="4"/>
      <c r="L79" s="4"/>
      <c r="M79" s="4"/>
      <c r="N79" s="4"/>
      <c r="P79" s="4" t="s">
        <v>1516</v>
      </c>
      <c r="Q79" s="4">
        <v>100</v>
      </c>
    </row>
    <row r="80" ht="16" customHeight="1" s="4" customFormat="1">
      <c r="A80" s="4"/>
      <c r="B80" s="4"/>
      <c r="C80" s="4"/>
      <c r="D80" s="4"/>
      <c r="E80" s="4"/>
      <c r="F80" s="4"/>
      <c r="G80" s="4"/>
      <c r="H80" s="4"/>
      <c r="I80" s="4"/>
      <c r="J80" s="4"/>
      <c r="K80" s="4"/>
      <c r="L80" s="4"/>
      <c r="M80" s="4"/>
      <c r="N80" s="4"/>
      <c r="P80" s="4" t="s">
        <v>115</v>
      </c>
      <c r="Q80" s="4">
        <v>100</v>
      </c>
    </row>
    <row r="81" ht="16" customHeight="1" s="4" customFormat="1">
      <c r="A81" s="4"/>
      <c r="B81" s="4"/>
      <c r="C81" s="4"/>
      <c r="D81" s="4"/>
      <c r="E81" s="4"/>
      <c r="F81" s="4"/>
      <c r="G81" s="4"/>
      <c r="H81" s="4"/>
      <c r="I81" s="4"/>
      <c r="J81" s="4"/>
      <c r="K81" s="4"/>
      <c r="L81" s="4"/>
      <c r="M81" s="4"/>
      <c r="N81" s="4"/>
      <c r="P81" s="4" t="s">
        <v>1586</v>
      </c>
      <c r="Q81" s="4">
        <v>100</v>
      </c>
    </row>
    <row r="82" ht="16" customHeight="1" s="4" customFormat="1">
      <c r="A82" s="4"/>
      <c r="B82" s="4"/>
      <c r="C82" s="4"/>
      <c r="D82" s="4"/>
      <c r="E82" s="4"/>
      <c r="F82" s="4"/>
      <c r="G82" s="4"/>
      <c r="H82" s="4"/>
      <c r="I82" s="4"/>
      <c r="J82" s="4"/>
      <c r="K82" s="4"/>
      <c r="L82" s="4"/>
      <c r="M82" s="4"/>
      <c r="N82" s="4"/>
      <c r="P82" s="4" t="s">
        <v>106</v>
      </c>
      <c r="Q82" s="4">
        <v>100</v>
      </c>
    </row>
    <row r="83" ht="16" customHeight="1" s="4" customFormat="1">
      <c r="A83" s="4"/>
      <c r="B83" s="4"/>
      <c r="C83" s="4"/>
      <c r="D83" s="4"/>
      <c r="E83" s="4"/>
      <c r="F83" s="4"/>
      <c r="G83" s="4"/>
      <c r="H83" s="4"/>
      <c r="I83" s="4"/>
      <c r="J83" s="4"/>
      <c r="K83" s="4"/>
      <c r="L83" s="4"/>
      <c r="M83" s="4"/>
      <c r="N83" s="4"/>
      <c r="P83" s="4" t="s">
        <v>1587</v>
      </c>
      <c r="Q83" s="4">
        <v>74</v>
      </c>
    </row>
    <row r="84" ht="16" customHeight="1">
      <c r="P84" s="3" t="s">
        <v>1566</v>
      </c>
      <c r="Q84" s="3">
        <v>52</v>
      </c>
    </row>
    <row r="85">
      <c r="P85" s="3" t="s">
        <v>1567</v>
      </c>
      <c r="Q85" s="3">
        <v>52</v>
      </c>
    </row>
    <row r="86">
      <c r="P86" s="3" t="s">
        <v>1569</v>
      </c>
      <c r="Q86" s="3">
        <v>52</v>
      </c>
    </row>
    <row r="87">
      <c r="P87" s="3" t="s">
        <v>1588</v>
      </c>
      <c r="Q87" s="3" t="s">
        <v>1361</v>
      </c>
    </row>
  </sheetData>
  <mergeCells>
    <mergeCell ref="A3:B3"/>
    <mergeCell ref="E3:F3"/>
    <mergeCell ref="I3:J3"/>
    <mergeCell ref="M3:M3"/>
    <mergeCell ref="P3:Q3"/>
    <mergeCell ref="T3:U3"/>
    <mergeCell ref="X3:Y3"/>
    <mergeCell ref="A1:AB1"/>
  </mergeCells>
  <headerFooter/>
</worksheet>
</file>

<file path=xl/worksheets/sheet21.xml><?xml version="1.0" encoding="utf-8"?>
<worksheet xmlns:r="http://schemas.openxmlformats.org/officeDocument/2006/relationships" xmlns="http://schemas.openxmlformats.org/spreadsheetml/2006/main">
  <dimension ref="A1:I55"/>
  <sheetViews>
    <sheetView workbookViewId="0"/>
  </sheetViews>
  <sheetFormatPr defaultRowHeight="15"/>
  <cols>
    <col min="1" max="1" width="196.166458129883" customWidth="1" style="3"/>
    <col min="2" max="2" width="20.9054069519043" customWidth="1" style="3"/>
    <col min="3" max="3" width="15.904013633728" customWidth="1" style="3"/>
    <col min="4" max="4" width="19.1392250061035" customWidth="1" style="3"/>
    <col min="5" max="5" width="19.7360420227051" customWidth="1" style="3"/>
    <col min="6" max="6" width="11.2556095123291" customWidth="1" style="3"/>
    <col min="7" max="16384" width="110.371192932129" customWidth="1" style="3"/>
    <col min="8" max="16384" width="9.140625" customWidth="1" style="3"/>
    <col min="9" max="16384" width="9.140625" customWidth="1" style="3"/>
  </cols>
  <sheetData>
    <row r="1" ht="20" customHeight="1" s="1" customFormat="1">
      <c r="A1" s="2" t="s">
        <v>1589</v>
      </c>
      <c r="B1" s="2" t="s">
        <v>1590</v>
      </c>
      <c r="C1" s="2" t="s">
        <v>1591</v>
      </c>
      <c r="D1" s="2" t="s">
        <v>1592</v>
      </c>
      <c r="E1" s="2" t="s">
        <v>1593</v>
      </c>
      <c r="F1" s="2" t="s">
        <v>1594</v>
      </c>
      <c r="G1" s="2" t="s">
        <v>33</v>
      </c>
    </row>
    <row r="2" ht="16" customHeight="1" s="4" customFormat="1">
      <c r="A2" s="4" t="s">
        <v>1595</v>
      </c>
      <c r="B2" s="4">
        <v>993</v>
      </c>
      <c r="C2" s="5">
        <v>45946</v>
      </c>
      <c r="D2" s="4"/>
      <c r="E2" s="4"/>
      <c r="F2" s="4">
        <v>101174154</v>
      </c>
      <c r="G2" s="4" t="s">
        <v>1596</v>
      </c>
      <c r="H2" s="4"/>
      <c r="I2" s="4"/>
    </row>
    <row r="3" ht="16" customHeight="1" s="4" customFormat="1">
      <c r="A3" s="4" t="s">
        <v>1595</v>
      </c>
      <c r="B3" s="4">
        <v>6000</v>
      </c>
      <c r="C3" s="5">
        <v>45929</v>
      </c>
      <c r="D3" s="5">
        <v>46069</v>
      </c>
      <c r="E3" s="4"/>
      <c r="F3" s="4">
        <v>101160243</v>
      </c>
      <c r="G3" s="4" t="s">
        <v>1596</v>
      </c>
      <c r="H3" s="4"/>
      <c r="I3" s="4"/>
    </row>
    <row r="4" ht="16" customHeight="1" s="4" customFormat="1">
      <c r="A4" s="4" t="s">
        <v>1595</v>
      </c>
      <c r="B4" s="4">
        <v>1000</v>
      </c>
      <c r="C4" s="5">
        <v>45838</v>
      </c>
      <c r="D4" s="5">
        <v>45890</v>
      </c>
      <c r="E4" s="4"/>
      <c r="F4" s="4">
        <v>101121316</v>
      </c>
      <c r="G4" s="4" t="s">
        <v>1596</v>
      </c>
      <c r="H4" s="4"/>
      <c r="I4" s="4"/>
    </row>
    <row r="5" ht="16" customHeight="1" s="4" customFormat="1">
      <c r="A5" s="4" t="s">
        <v>1595</v>
      </c>
      <c r="B5" s="4">
        <v>1500</v>
      </c>
      <c r="C5" s="5">
        <v>45834</v>
      </c>
      <c r="D5" s="4"/>
      <c r="E5" s="4"/>
      <c r="F5" s="4">
        <v>101124691</v>
      </c>
      <c r="G5" s="4" t="s">
        <v>1596</v>
      </c>
      <c r="H5" s="4"/>
      <c r="I5" s="4"/>
    </row>
    <row r="6" ht="16" customHeight="1" s="4" customFormat="1">
      <c r="A6" s="4" t="s">
        <v>1595</v>
      </c>
      <c r="B6" s="4">
        <v>350</v>
      </c>
      <c r="C6" s="5">
        <v>45833</v>
      </c>
      <c r="D6" s="4"/>
      <c r="E6" s="4"/>
      <c r="F6" s="4">
        <v>101121320</v>
      </c>
      <c r="G6" s="4" t="s">
        <v>1596</v>
      </c>
      <c r="H6" s="4"/>
      <c r="I6" s="4"/>
    </row>
    <row r="7" ht="16" customHeight="1" s="4" customFormat="1">
      <c r="A7" s="4" t="s">
        <v>1595</v>
      </c>
      <c r="B7" s="4">
        <v>500</v>
      </c>
      <c r="C7" s="5">
        <v>45828</v>
      </c>
      <c r="D7" s="4"/>
      <c r="E7" s="4"/>
      <c r="F7" s="4">
        <v>101113547</v>
      </c>
      <c r="G7" s="4" t="s">
        <v>1596</v>
      </c>
      <c r="H7" s="4"/>
      <c r="I7" s="4"/>
    </row>
    <row r="8" ht="16" customHeight="1" s="4" customFormat="1">
      <c r="A8" s="4" t="s">
        <v>1595</v>
      </c>
      <c r="B8" s="4">
        <v>2100</v>
      </c>
      <c r="C8" s="5">
        <v>45776</v>
      </c>
      <c r="D8" s="5">
        <v>45849</v>
      </c>
      <c r="E8" s="4"/>
      <c r="F8" s="4">
        <v>101090139</v>
      </c>
      <c r="G8" s="4" t="s">
        <v>1596</v>
      </c>
      <c r="H8" s="4"/>
      <c r="I8" s="4"/>
    </row>
    <row r="9" ht="16" customHeight="1" s="4" customFormat="1">
      <c r="A9" s="4" t="s">
        <v>1595</v>
      </c>
      <c r="B9" s="4">
        <v>3239</v>
      </c>
      <c r="C9" s="5">
        <v>45775</v>
      </c>
      <c r="D9" s="4"/>
      <c r="E9" s="4"/>
      <c r="F9" s="4">
        <v>101093697</v>
      </c>
      <c r="G9" s="4" t="s">
        <v>1596</v>
      </c>
      <c r="H9" s="4"/>
      <c r="I9" s="4"/>
    </row>
    <row r="10" ht="16" customHeight="1" s="4" customFormat="1">
      <c r="A10" s="4" t="s">
        <v>1595</v>
      </c>
      <c r="B10" s="4">
        <v>642</v>
      </c>
      <c r="C10" s="5">
        <v>45763</v>
      </c>
      <c r="D10" s="4"/>
      <c r="E10" s="4"/>
      <c r="F10" s="4">
        <v>101088695</v>
      </c>
      <c r="G10" s="4" t="s">
        <v>1596</v>
      </c>
      <c r="H10" s="4"/>
      <c r="I10" s="4"/>
    </row>
    <row r="11" ht="16" customHeight="1" s="4" customFormat="1">
      <c r="A11" s="4" t="s">
        <v>1595</v>
      </c>
      <c r="B11" s="4">
        <v>500</v>
      </c>
      <c r="C11" s="5">
        <v>45743</v>
      </c>
      <c r="D11" s="4"/>
      <c r="E11" s="4"/>
      <c r="F11" s="4">
        <v>101067560</v>
      </c>
      <c r="G11" s="4" t="s">
        <v>1596</v>
      </c>
      <c r="H11" s="4"/>
      <c r="I11" s="4"/>
    </row>
    <row r="12" ht="16" customHeight="1" s="4" customFormat="1">
      <c r="A12" s="4" t="s">
        <v>1595</v>
      </c>
      <c r="B12" s="4">
        <v>250</v>
      </c>
      <c r="C12" s="5">
        <v>45736</v>
      </c>
      <c r="D12" s="5">
        <v>45771</v>
      </c>
      <c r="E12" s="4"/>
      <c r="F12" s="4">
        <v>101069883</v>
      </c>
      <c r="G12" s="4" t="s">
        <v>1596</v>
      </c>
      <c r="H12" s="4"/>
      <c r="I12" s="4"/>
    </row>
    <row r="13" ht="16" customHeight="1" s="4" customFormat="1">
      <c r="A13" s="4" t="s">
        <v>1597</v>
      </c>
      <c r="B13" s="4">
        <v>100</v>
      </c>
      <c r="C13" s="5">
        <v>45716</v>
      </c>
      <c r="D13" s="4"/>
      <c r="E13" s="4"/>
      <c r="F13" s="4">
        <v>101063514</v>
      </c>
      <c r="G13" s="4" t="s">
        <v>1598</v>
      </c>
      <c r="H13" s="4"/>
      <c r="I13" s="4"/>
    </row>
    <row r="14" ht="16" customHeight="1" s="4" customFormat="1">
      <c r="A14" s="4" t="s">
        <v>1595</v>
      </c>
      <c r="B14" s="4">
        <v>300</v>
      </c>
      <c r="C14" s="5">
        <v>45649</v>
      </c>
      <c r="D14" s="4"/>
      <c r="E14" s="4"/>
      <c r="F14" s="4">
        <v>101028327</v>
      </c>
      <c r="G14" s="4" t="s">
        <v>1599</v>
      </c>
      <c r="H14" s="4"/>
      <c r="I14" s="4"/>
    </row>
    <row r="15" ht="16" customHeight="1" s="4" customFormat="1">
      <c r="A15" s="4" t="s">
        <v>1595</v>
      </c>
      <c r="B15" s="4">
        <v>250</v>
      </c>
      <c r="C15" s="5">
        <v>45649</v>
      </c>
      <c r="D15" s="4"/>
      <c r="E15" s="4"/>
      <c r="F15" s="4">
        <v>101028767</v>
      </c>
      <c r="G15" s="4" t="s">
        <v>1599</v>
      </c>
      <c r="H15" s="4"/>
      <c r="I15" s="4"/>
    </row>
    <row r="16" ht="16" customHeight="1" s="4" customFormat="1">
      <c r="A16" s="4" t="s">
        <v>1595</v>
      </c>
      <c r="B16" s="4">
        <v>1000</v>
      </c>
      <c r="C16" s="5">
        <v>45649</v>
      </c>
      <c r="D16" s="4"/>
      <c r="E16" s="4"/>
      <c r="F16" s="4">
        <v>101028974</v>
      </c>
      <c r="G16" s="4" t="s">
        <v>1599</v>
      </c>
      <c r="H16" s="4"/>
      <c r="I16" s="4"/>
    </row>
    <row r="17" ht="16" customHeight="1" s="4" customFormat="1">
      <c r="A17" s="4" t="s">
        <v>1595</v>
      </c>
      <c r="B17" s="4">
        <v>1000</v>
      </c>
      <c r="C17" s="5">
        <v>45628</v>
      </c>
      <c r="D17" s="4"/>
      <c r="E17" s="4"/>
      <c r="F17" s="4">
        <v>101008529</v>
      </c>
      <c r="G17" s="4" t="s">
        <v>1599</v>
      </c>
      <c r="H17" s="4"/>
      <c r="I17" s="4"/>
    </row>
    <row r="18" ht="16" customHeight="1" s="4" customFormat="1">
      <c r="A18" s="4" t="s">
        <v>1595</v>
      </c>
      <c r="B18" s="4">
        <v>800</v>
      </c>
      <c r="C18" s="5">
        <v>45628</v>
      </c>
      <c r="D18" s="5">
        <v>46030</v>
      </c>
      <c r="E18" s="4"/>
      <c r="F18" s="4">
        <v>101011010</v>
      </c>
      <c r="G18" s="4" t="s">
        <v>1596</v>
      </c>
      <c r="H18" s="4"/>
      <c r="I18" s="4"/>
    </row>
    <row r="19" ht="16" customHeight="1" s="4" customFormat="1">
      <c r="A19" s="4" t="s">
        <v>1595</v>
      </c>
      <c r="B19" s="4">
        <v>1672</v>
      </c>
      <c r="C19" s="5">
        <v>45488</v>
      </c>
      <c r="D19" s="5">
        <v>45943</v>
      </c>
      <c r="E19" s="4"/>
      <c r="F19" s="4">
        <v>100958661</v>
      </c>
      <c r="G19" s="4" t="s">
        <v>1596</v>
      </c>
      <c r="H19" s="4"/>
      <c r="I19" s="4"/>
    </row>
    <row r="20" ht="16" customHeight="1" s="4" customFormat="1">
      <c r="A20" s="4" t="s">
        <v>1595</v>
      </c>
      <c r="B20" s="4">
        <v>400</v>
      </c>
      <c r="C20" s="5">
        <v>45469</v>
      </c>
      <c r="D20" s="4"/>
      <c r="E20" s="4"/>
      <c r="F20" s="4">
        <v>100937090</v>
      </c>
      <c r="G20" s="4" t="s">
        <v>1599</v>
      </c>
      <c r="H20" s="4"/>
      <c r="I20" s="4"/>
    </row>
    <row r="21" ht="16" customHeight="1" s="4" customFormat="1">
      <c r="A21" s="4" t="s">
        <v>1600</v>
      </c>
      <c r="B21" s="4">
        <v>3918</v>
      </c>
      <c r="C21" s="5">
        <v>45469</v>
      </c>
      <c r="D21" s="5">
        <v>46093</v>
      </c>
      <c r="E21" s="4"/>
      <c r="F21" s="4">
        <v>100937550</v>
      </c>
      <c r="G21" s="4" t="s">
        <v>1601</v>
      </c>
      <c r="H21" s="4"/>
      <c r="I21" s="4"/>
    </row>
    <row r="22" ht="16" customHeight="1" s="4" customFormat="1">
      <c r="A22" s="4" t="s">
        <v>1595</v>
      </c>
      <c r="B22" s="4">
        <v>2500</v>
      </c>
      <c r="C22" s="5">
        <v>45422</v>
      </c>
      <c r="D22" s="4"/>
      <c r="E22" s="4"/>
      <c r="F22" s="4">
        <v>100928425</v>
      </c>
      <c r="G22" s="4" t="s">
        <v>1599</v>
      </c>
      <c r="H22" s="4"/>
      <c r="I22" s="4"/>
    </row>
    <row r="23" ht="16" customHeight="1" s="4" customFormat="1">
      <c r="A23" s="4" t="s">
        <v>1600</v>
      </c>
      <c r="B23" s="4">
        <v>250</v>
      </c>
      <c r="C23" s="5">
        <v>45406</v>
      </c>
      <c r="D23" s="4"/>
      <c r="E23" s="4"/>
      <c r="F23" s="4">
        <v>100905489</v>
      </c>
      <c r="G23" s="4" t="s">
        <v>1601</v>
      </c>
      <c r="H23" s="4"/>
      <c r="I23" s="4"/>
    </row>
    <row r="24" ht="16" customHeight="1" s="4" customFormat="1">
      <c r="A24" s="4" t="s">
        <v>1600</v>
      </c>
      <c r="B24" s="4">
        <v>7400</v>
      </c>
      <c r="C24" s="5">
        <v>45196</v>
      </c>
      <c r="D24" s="4"/>
      <c r="E24" s="4"/>
      <c r="F24" s="4">
        <v>100786148</v>
      </c>
      <c r="G24" s="4" t="s">
        <v>1601</v>
      </c>
      <c r="H24" s="4"/>
      <c r="I24" s="4"/>
    </row>
    <row r="25" ht="16" customHeight="1" s="4" customFormat="1">
      <c r="A25" s="4" t="s">
        <v>1595</v>
      </c>
      <c r="B25" s="4">
        <v>1000</v>
      </c>
      <c r="C25" s="5">
        <v>45174</v>
      </c>
      <c r="D25" s="5">
        <v>45943</v>
      </c>
      <c r="E25" s="4"/>
      <c r="F25" s="4">
        <v>100774746</v>
      </c>
      <c r="G25" s="4" t="s">
        <v>1596</v>
      </c>
      <c r="H25" s="4"/>
      <c r="I25" s="4"/>
    </row>
    <row r="26" ht="16" customHeight="1" s="4" customFormat="1">
      <c r="A26" s="4" t="s">
        <v>1595</v>
      </c>
      <c r="B26" s="4">
        <v>250</v>
      </c>
      <c r="C26" s="5">
        <v>45008</v>
      </c>
      <c r="D26" s="5">
        <v>45967</v>
      </c>
      <c r="E26" s="4"/>
      <c r="F26" s="4">
        <v>100698117</v>
      </c>
      <c r="G26" s="4" t="s">
        <v>1596</v>
      </c>
      <c r="H26" s="4"/>
      <c r="I26" s="4"/>
    </row>
    <row r="27" ht="16" customHeight="1" s="4" customFormat="1">
      <c r="A27" s="4" t="s">
        <v>1595</v>
      </c>
      <c r="B27" s="4">
        <v>325</v>
      </c>
      <c r="C27" s="5">
        <v>44972</v>
      </c>
      <c r="D27" s="5">
        <v>46029</v>
      </c>
      <c r="E27" s="4"/>
      <c r="F27" s="4">
        <v>100687104</v>
      </c>
      <c r="G27" s="4" t="s">
        <v>1596</v>
      </c>
      <c r="H27" s="4"/>
      <c r="I27" s="4"/>
    </row>
    <row r="28" ht="16" customHeight="1" s="4" customFormat="1">
      <c r="A28" s="4" t="s">
        <v>1595</v>
      </c>
      <c r="B28" s="4">
        <v>1250</v>
      </c>
      <c r="C28" s="5">
        <v>44950</v>
      </c>
      <c r="D28" s="5">
        <v>45974</v>
      </c>
      <c r="E28" s="4"/>
      <c r="F28" s="4">
        <v>100669123</v>
      </c>
      <c r="G28" s="4" t="s">
        <v>1596</v>
      </c>
      <c r="H28" s="4"/>
      <c r="I28" s="4"/>
    </row>
    <row r="29" ht="16" customHeight="1" s="4" customFormat="1">
      <c r="A29" s="4" t="s">
        <v>1595</v>
      </c>
      <c r="B29" s="4">
        <v>750</v>
      </c>
      <c r="C29" s="5">
        <v>44904</v>
      </c>
      <c r="D29" s="5">
        <v>46007</v>
      </c>
      <c r="E29" s="4"/>
      <c r="F29" s="4">
        <v>100655941</v>
      </c>
      <c r="G29" s="4" t="s">
        <v>1596</v>
      </c>
      <c r="H29" s="4"/>
      <c r="I29" s="4"/>
    </row>
    <row r="30" ht="16" customHeight="1" s="4" customFormat="1">
      <c r="A30" s="4" t="s">
        <v>1595</v>
      </c>
      <c r="B30" s="4">
        <v>500</v>
      </c>
      <c r="C30" s="5">
        <v>44894</v>
      </c>
      <c r="D30" s="4"/>
      <c r="E30" s="4"/>
      <c r="F30" s="4">
        <v>100654412</v>
      </c>
      <c r="G30" s="4" t="s">
        <v>1599</v>
      </c>
      <c r="H30" s="4"/>
      <c r="I30" s="4"/>
    </row>
    <row r="31" ht="16" customHeight="1" s="4" customFormat="1">
      <c r="A31" s="4" t="s">
        <v>1595</v>
      </c>
      <c r="B31" s="4">
        <v>411</v>
      </c>
      <c r="C31" s="5">
        <v>44846</v>
      </c>
      <c r="D31" s="5">
        <v>45105</v>
      </c>
      <c r="E31" s="4"/>
      <c r="F31" s="4">
        <v>100662692</v>
      </c>
      <c r="G31" s="4" t="s">
        <v>1599</v>
      </c>
      <c r="H31" s="4"/>
      <c r="I31" s="4"/>
    </row>
    <row r="32" ht="16" customHeight="1" s="4" customFormat="1">
      <c r="A32" s="4" t="s">
        <v>1595</v>
      </c>
      <c r="B32" s="4">
        <v>1000</v>
      </c>
      <c r="C32" s="5">
        <v>44741</v>
      </c>
      <c r="D32" s="5">
        <v>44865</v>
      </c>
      <c r="E32" s="4"/>
      <c r="F32" s="4">
        <v>100587703</v>
      </c>
      <c r="G32" s="4" t="s">
        <v>1599</v>
      </c>
      <c r="H32" s="4"/>
      <c r="I32" s="4"/>
    </row>
    <row r="33" ht="16" customHeight="1" s="4" customFormat="1">
      <c r="A33" s="4" t="s">
        <v>1595</v>
      </c>
      <c r="B33" s="4">
        <v>1300</v>
      </c>
      <c r="C33" s="5">
        <v>44736</v>
      </c>
      <c r="D33" s="4"/>
      <c r="E33" s="4"/>
      <c r="F33" s="4">
        <v>100587698</v>
      </c>
      <c r="G33" s="4" t="s">
        <v>1602</v>
      </c>
      <c r="H33" s="4"/>
      <c r="I33" s="4"/>
    </row>
    <row r="34" ht="16" customHeight="1" s="4" customFormat="1">
      <c r="A34" s="4" t="s">
        <v>1595</v>
      </c>
      <c r="B34" s="4">
        <v>4089</v>
      </c>
      <c r="C34" s="5">
        <v>44735</v>
      </c>
      <c r="D34" s="4"/>
      <c r="E34" s="4"/>
      <c r="F34" s="4">
        <v>100759559</v>
      </c>
      <c r="G34" s="4" t="s">
        <v>1603</v>
      </c>
      <c r="H34" s="4"/>
      <c r="I34" s="4"/>
    </row>
    <row r="35" ht="16" customHeight="1" s="4" customFormat="1">
      <c r="A35" s="4" t="s">
        <v>1595</v>
      </c>
      <c r="B35" s="4">
        <v>4089</v>
      </c>
      <c r="C35" s="5">
        <v>44735</v>
      </c>
      <c r="D35" s="4"/>
      <c r="E35" s="4"/>
      <c r="F35" s="4">
        <v>100585607</v>
      </c>
      <c r="G35" s="4" t="s">
        <v>1602</v>
      </c>
      <c r="H35" s="4"/>
      <c r="I35" s="4"/>
    </row>
    <row r="36" ht="16" customHeight="1" s="4" customFormat="1">
      <c r="A36" s="4" t="s">
        <v>1604</v>
      </c>
      <c r="B36" s="4">
        <v>21500</v>
      </c>
      <c r="C36" s="5">
        <v>44708</v>
      </c>
      <c r="D36" s="5">
        <v>45496</v>
      </c>
      <c r="E36" s="4"/>
      <c r="F36" s="4">
        <v>100582777</v>
      </c>
      <c r="G36" s="4" t="s">
        <v>1605</v>
      </c>
      <c r="H36" s="4"/>
      <c r="I36" s="4"/>
    </row>
    <row r="37" ht="16" customHeight="1" s="4" customFormat="1">
      <c r="A37" s="4" t="s">
        <v>1595</v>
      </c>
      <c r="B37" s="4">
        <v>1105</v>
      </c>
      <c r="C37" s="5">
        <v>44679</v>
      </c>
      <c r="D37" s="5">
        <v>46077</v>
      </c>
      <c r="E37" s="4"/>
      <c r="F37" s="4">
        <v>100569378</v>
      </c>
      <c r="G37" s="4" t="s">
        <v>1596</v>
      </c>
      <c r="H37" s="4"/>
      <c r="I37" s="4"/>
    </row>
    <row r="38" ht="16" customHeight="1" s="4" customFormat="1">
      <c r="A38" s="4" t="s">
        <v>1595</v>
      </c>
      <c r="B38" s="4">
        <v>1000</v>
      </c>
      <c r="C38" s="5">
        <v>44650</v>
      </c>
      <c r="D38" s="4"/>
      <c r="E38" s="4"/>
      <c r="F38" s="4">
        <v>100551939</v>
      </c>
      <c r="G38" s="4" t="s">
        <v>1602</v>
      </c>
      <c r="H38" s="4"/>
      <c r="I38" s="4"/>
    </row>
    <row r="39" ht="16" customHeight="1" s="4" customFormat="1">
      <c r="A39" s="4" t="s">
        <v>1595</v>
      </c>
      <c r="B39" s="4">
        <v>1660</v>
      </c>
      <c r="C39" s="5">
        <v>44645</v>
      </c>
      <c r="D39" s="5">
        <v>44909</v>
      </c>
      <c r="E39" s="4"/>
      <c r="F39" s="4">
        <v>100549754</v>
      </c>
      <c r="G39" s="4" t="s">
        <v>1599</v>
      </c>
      <c r="H39" s="4"/>
      <c r="I39" s="4"/>
    </row>
    <row r="40" ht="16" customHeight="1" s="4" customFormat="1">
      <c r="A40" s="4" t="s">
        <v>1595</v>
      </c>
      <c r="B40" s="4">
        <v>1000</v>
      </c>
      <c r="C40" s="5">
        <v>44560</v>
      </c>
      <c r="D40" s="4"/>
      <c r="E40" s="4"/>
      <c r="F40" s="4">
        <v>100516107</v>
      </c>
      <c r="G40" s="4" t="s">
        <v>1602</v>
      </c>
      <c r="H40" s="4"/>
      <c r="I40" s="4"/>
    </row>
    <row r="41" ht="16" customHeight="1" s="4" customFormat="1">
      <c r="A41" s="4" t="s">
        <v>1604</v>
      </c>
      <c r="B41" s="4">
        <v>8000</v>
      </c>
      <c r="C41" s="5">
        <v>44550</v>
      </c>
      <c r="D41" s="5">
        <v>46029</v>
      </c>
      <c r="E41" s="4"/>
      <c r="F41" s="4">
        <v>100512902</v>
      </c>
      <c r="G41" s="4" t="s">
        <v>1605</v>
      </c>
      <c r="H41" s="4"/>
      <c r="I41" s="4"/>
    </row>
    <row r="42" ht="16" customHeight="1" s="4" customFormat="1">
      <c r="A42" s="4" t="s">
        <v>1595</v>
      </c>
      <c r="B42" s="4">
        <v>225</v>
      </c>
      <c r="C42" s="5">
        <v>44543</v>
      </c>
      <c r="D42" s="5">
        <v>45994</v>
      </c>
      <c r="E42" s="4"/>
      <c r="F42" s="4">
        <v>100511441</v>
      </c>
      <c r="G42" s="4" t="s">
        <v>1596</v>
      </c>
      <c r="H42" s="4"/>
      <c r="I42" s="4"/>
    </row>
    <row r="43" ht="16" customHeight="1" s="4" customFormat="1">
      <c r="A43" s="4" t="s">
        <v>1595</v>
      </c>
      <c r="B43" s="4">
        <v>1150</v>
      </c>
      <c r="C43" s="5">
        <v>44466</v>
      </c>
      <c r="D43" s="5">
        <v>44624</v>
      </c>
      <c r="E43" s="4"/>
      <c r="F43" s="4">
        <v>100483944</v>
      </c>
      <c r="G43" s="4" t="s">
        <v>1606</v>
      </c>
      <c r="H43" s="4"/>
      <c r="I43" s="4"/>
    </row>
    <row r="44" ht="16" customHeight="1" s="4" customFormat="1">
      <c r="A44" s="4" t="s">
        <v>1595</v>
      </c>
      <c r="B44" s="4">
        <v>2000</v>
      </c>
      <c r="C44" s="5">
        <v>44433</v>
      </c>
      <c r="D44" s="5">
        <v>44624</v>
      </c>
      <c r="E44" s="4"/>
      <c r="F44" s="4">
        <v>100470559</v>
      </c>
      <c r="G44" s="4" t="s">
        <v>1606</v>
      </c>
      <c r="H44" s="4"/>
      <c r="I44" s="4"/>
    </row>
    <row r="45" ht="16" customHeight="1" s="4" customFormat="1">
      <c r="A45" s="4" t="s">
        <v>1595</v>
      </c>
      <c r="B45" s="4">
        <v>2000</v>
      </c>
      <c r="C45" s="5">
        <v>43874</v>
      </c>
      <c r="D45" s="4"/>
      <c r="E45" s="4"/>
      <c r="F45" s="4">
        <v>100325440</v>
      </c>
      <c r="G45" s="4" t="s">
        <v>1602</v>
      </c>
      <c r="H45" s="4"/>
      <c r="I45" s="4"/>
    </row>
    <row r="46" ht="16" customHeight="1" s="4" customFormat="1">
      <c r="A46" s="4" t="s">
        <v>1595</v>
      </c>
      <c r="B46" s="4">
        <v>3000</v>
      </c>
      <c r="C46" s="5">
        <v>43290</v>
      </c>
      <c r="D46" s="5">
        <v>43801</v>
      </c>
      <c r="E46" s="4"/>
      <c r="F46" s="4">
        <v>100191342</v>
      </c>
      <c r="G46" s="4" t="s">
        <v>1602</v>
      </c>
      <c r="H46" s="4"/>
      <c r="I46" s="4"/>
    </row>
    <row r="47" ht="16" customHeight="1" s="4" customFormat="1">
      <c r="A47" s="4" t="s">
        <v>1607</v>
      </c>
      <c r="B47" s="4">
        <v>76.5</v>
      </c>
      <c r="C47" s="5">
        <v>42545</v>
      </c>
      <c r="D47" s="4"/>
      <c r="E47" s="4"/>
      <c r="F47" s="4">
        <v>100039805</v>
      </c>
      <c r="G47" s="4" t="s">
        <v>1608</v>
      </c>
      <c r="H47" s="4"/>
      <c r="I47" s="4"/>
    </row>
    <row r="48" ht="16" customHeight="1" s="4" customFormat="1">
      <c r="A48" s="4" t="s">
        <v>1595</v>
      </c>
      <c r="B48" s="4">
        <v>4815</v>
      </c>
      <c r="C48" s="5">
        <v>42338</v>
      </c>
      <c r="D48" s="5">
        <v>45917</v>
      </c>
      <c r="E48" s="4"/>
      <c r="F48" s="4">
        <v>10608964</v>
      </c>
      <c r="G48" s="4" t="s">
        <v>1596</v>
      </c>
      <c r="H48" s="4"/>
      <c r="I48" s="4"/>
    </row>
    <row r="49" ht="16" customHeight="1" s="4" customFormat="1">
      <c r="A49" s="4" t="s">
        <v>1595</v>
      </c>
      <c r="B49" s="4">
        <v>17050</v>
      </c>
      <c r="C49" s="5">
        <v>42307</v>
      </c>
      <c r="D49" s="5">
        <v>44526</v>
      </c>
      <c r="E49" s="4"/>
      <c r="F49" s="4">
        <v>10600180</v>
      </c>
      <c r="G49" s="4" t="s">
        <v>1602</v>
      </c>
      <c r="H49" s="4"/>
      <c r="I49" s="4"/>
    </row>
    <row r="50" ht="16" customHeight="1" s="4" customFormat="1">
      <c r="A50" s="4" t="s">
        <v>1609</v>
      </c>
      <c r="B50" s="4">
        <v>750</v>
      </c>
      <c r="C50" s="5">
        <v>41156</v>
      </c>
      <c r="D50" s="4"/>
      <c r="E50" s="4"/>
      <c r="F50" s="4">
        <v>10378088</v>
      </c>
      <c r="G50" s="4" t="s">
        <v>1610</v>
      </c>
      <c r="H50" s="4"/>
      <c r="I50" s="4"/>
    </row>
    <row r="51" ht="16" customHeight="1" s="4" customFormat="1">
      <c r="A51" s="4" t="s">
        <v>1611</v>
      </c>
      <c r="B51" s="4">
        <v>2.5</v>
      </c>
      <c r="C51" s="5">
        <v>39685</v>
      </c>
      <c r="D51" s="5">
        <v>40315</v>
      </c>
      <c r="E51" s="4"/>
      <c r="F51" s="4">
        <v>10123840</v>
      </c>
      <c r="G51" s="4" t="s">
        <v>1612</v>
      </c>
      <c r="H51" s="4"/>
      <c r="I51" s="4"/>
    </row>
    <row r="52" ht="16" customHeight="1" s="4" customFormat="1">
      <c r="A52" s="4" t="s">
        <v>1609</v>
      </c>
      <c r="B52" s="4">
        <v>1.5</v>
      </c>
      <c r="C52" s="5">
        <v>32581</v>
      </c>
      <c r="D52" s="5">
        <v>33178</v>
      </c>
      <c r="E52" s="4"/>
      <c r="F52" s="4">
        <v>90064858</v>
      </c>
      <c r="G52" s="4" t="s">
        <v>1613</v>
      </c>
      <c r="H52" s="4"/>
      <c r="I52" s="4"/>
    </row>
    <row r="53" ht="16" customHeight="1" s="4" customFormat="1">
      <c r="A53" s="4" t="s">
        <v>1609</v>
      </c>
      <c r="B53" s="4">
        <v>1.5</v>
      </c>
      <c r="C53" s="5">
        <v>32581</v>
      </c>
      <c r="D53" s="5">
        <v>34183</v>
      </c>
      <c r="E53" s="4"/>
      <c r="F53" s="4">
        <v>90065417</v>
      </c>
      <c r="G53" s="4" t="s">
        <v>1614</v>
      </c>
      <c r="H53" s="4"/>
      <c r="I53" s="4"/>
    </row>
    <row r="54" ht="16" customHeight="1">
      <c r="A54" s="3" t="s">
        <v>1615</v>
      </c>
      <c r="B54" s="3">
        <v>0.68</v>
      </c>
      <c r="C54" s="6">
        <v>32498</v>
      </c>
      <c r="D54" s="3"/>
      <c r="E54" s="3"/>
      <c r="F54" s="3">
        <v>90065211</v>
      </c>
      <c r="G54" s="3" t="s">
        <v>1616</v>
      </c>
    </row>
    <row r="55" ht="16" customHeight="1">
      <c r="A55" s="3" t="s">
        <v>1615</v>
      </c>
      <c r="B55" s="3">
        <v>4.6</v>
      </c>
      <c r="C55" s="6">
        <v>31489</v>
      </c>
      <c r="D55" s="6">
        <v>35414</v>
      </c>
      <c r="E55" s="3"/>
      <c r="F55" s="3">
        <v>90065199</v>
      </c>
      <c r="G55" s="3" t="s">
        <v>1617</v>
      </c>
    </row>
  </sheetData>
  <headerFooter/>
</worksheet>
</file>

<file path=xl/worksheets/sheet22.xml><?xml version="1.0" encoding="utf-8"?>
<worksheet xmlns:r="http://schemas.openxmlformats.org/officeDocument/2006/relationships" xmlns="http://schemas.openxmlformats.org/spreadsheetml/2006/main">
  <dimension ref="A1:K201"/>
  <sheetViews>
    <sheetView workbookViewId="0"/>
  </sheetViews>
  <sheetFormatPr defaultRowHeight="15"/>
  <cols>
    <col min="1" max="1" width="214.81591796875" customWidth="1" style="3"/>
    <col min="2" max="2" width="15.0209217071533" customWidth="1" style="3"/>
    <col min="3" max="3" width="15.904013633728" customWidth="1" style="3"/>
    <col min="4" max="4" width="19.1392250061035" customWidth="1" style="3"/>
    <col min="5" max="5" width="18.7491588592529" customWidth="1" style="3"/>
    <col min="6" max="6" width="9.140625" customWidth="1" style="3"/>
    <col min="7" max="7" width="19.7360420227051" customWidth="1" style="3"/>
    <col min="8" max="8" width="11.2556095123291" customWidth="1" style="3"/>
    <col min="9" max="16384" width="110.371192932129" customWidth="1" style="3"/>
    <col min="10" max="16384" width="9.140625" customWidth="1" style="3"/>
    <col min="11" max="16384" width="9.140625" customWidth="1" style="3"/>
  </cols>
  <sheetData>
    <row r="1" ht="20" customHeight="1" s="1" customFormat="1">
      <c r="A1" s="2" t="s">
        <v>1589</v>
      </c>
      <c r="B1" s="2" t="s">
        <v>1618</v>
      </c>
      <c r="C1" s="2" t="s">
        <v>1591</v>
      </c>
      <c r="D1" s="2" t="s">
        <v>1592</v>
      </c>
      <c r="E1" s="2" t="s">
        <v>1619</v>
      </c>
      <c r="F1" s="2" t="s">
        <v>1620</v>
      </c>
      <c r="G1" s="2" t="s">
        <v>1593</v>
      </c>
      <c r="H1" s="2" t="s">
        <v>1594</v>
      </c>
      <c r="I1" s="2" t="s">
        <v>33</v>
      </c>
    </row>
    <row r="2" ht="16" customHeight="1" s="4" customFormat="1">
      <c r="A2" s="4" t="s">
        <v>1595</v>
      </c>
      <c r="B2" s="4">
        <v>993</v>
      </c>
      <c r="C2" s="5">
        <v>45946</v>
      </c>
      <c r="D2" s="4"/>
      <c r="E2" s="4"/>
      <c r="F2" s="4" t="s">
        <v>1621</v>
      </c>
      <c r="G2" s="4"/>
      <c r="H2" s="4">
        <v>101174154</v>
      </c>
      <c r="I2" s="4" t="s">
        <v>1596</v>
      </c>
      <c r="J2" s="4"/>
      <c r="K2" s="4"/>
    </row>
    <row r="3" ht="16" customHeight="1" s="4" customFormat="1">
      <c r="A3" s="4" t="s">
        <v>1595</v>
      </c>
      <c r="B3" s="4">
        <v>6000</v>
      </c>
      <c r="C3" s="5">
        <v>45929</v>
      </c>
      <c r="D3" s="5">
        <v>46069</v>
      </c>
      <c r="E3" s="4"/>
      <c r="F3" s="4" t="s">
        <v>1621</v>
      </c>
      <c r="G3" s="4"/>
      <c r="H3" s="4">
        <v>101160243</v>
      </c>
      <c r="I3" s="4" t="s">
        <v>1596</v>
      </c>
      <c r="J3" s="4"/>
      <c r="K3" s="4"/>
    </row>
    <row r="4" ht="16" customHeight="1" s="4" customFormat="1">
      <c r="A4" s="4" t="s">
        <v>1595</v>
      </c>
      <c r="B4" s="4">
        <v>1000</v>
      </c>
      <c r="C4" s="5">
        <v>45838</v>
      </c>
      <c r="D4" s="5">
        <v>45890</v>
      </c>
      <c r="E4" s="4"/>
      <c r="F4" s="4" t="s">
        <v>1621</v>
      </c>
      <c r="G4" s="4"/>
      <c r="H4" s="4">
        <v>101121316</v>
      </c>
      <c r="I4" s="4" t="s">
        <v>1596</v>
      </c>
      <c r="J4" s="4"/>
      <c r="K4" s="4"/>
    </row>
    <row r="5" ht="16" customHeight="1" s="4" customFormat="1">
      <c r="A5" s="4" t="s">
        <v>1595</v>
      </c>
      <c r="B5" s="4">
        <v>1500</v>
      </c>
      <c r="C5" s="5">
        <v>45834</v>
      </c>
      <c r="D5" s="4"/>
      <c r="E5" s="4"/>
      <c r="F5" s="4" t="s">
        <v>1621</v>
      </c>
      <c r="G5" s="4"/>
      <c r="H5" s="4">
        <v>101124691</v>
      </c>
      <c r="I5" s="4" t="s">
        <v>1596</v>
      </c>
      <c r="J5" s="4"/>
      <c r="K5" s="4"/>
    </row>
    <row r="6" ht="16" customHeight="1" s="4" customFormat="1">
      <c r="A6" s="4" t="s">
        <v>1595</v>
      </c>
      <c r="B6" s="4">
        <v>350</v>
      </c>
      <c r="C6" s="5">
        <v>45833</v>
      </c>
      <c r="D6" s="4"/>
      <c r="E6" s="4"/>
      <c r="F6" s="4" t="s">
        <v>1621</v>
      </c>
      <c r="G6" s="4"/>
      <c r="H6" s="4">
        <v>101121320</v>
      </c>
      <c r="I6" s="4" t="s">
        <v>1596</v>
      </c>
      <c r="J6" s="4"/>
      <c r="K6" s="4"/>
    </row>
    <row r="7" ht="16" customHeight="1" s="4" customFormat="1">
      <c r="A7" s="4" t="s">
        <v>1595</v>
      </c>
      <c r="B7" s="4">
        <v>500</v>
      </c>
      <c r="C7" s="5">
        <v>45828</v>
      </c>
      <c r="D7" s="4"/>
      <c r="E7" s="4"/>
      <c r="F7" s="4" t="s">
        <v>1621</v>
      </c>
      <c r="G7" s="4"/>
      <c r="H7" s="4">
        <v>101113547</v>
      </c>
      <c r="I7" s="4" t="s">
        <v>1596</v>
      </c>
      <c r="J7" s="4"/>
      <c r="K7" s="4"/>
    </row>
    <row r="8" ht="16" customHeight="1" s="4" customFormat="1">
      <c r="A8" s="4" t="s">
        <v>1595</v>
      </c>
      <c r="B8" s="4">
        <v>2100</v>
      </c>
      <c r="C8" s="5">
        <v>45776</v>
      </c>
      <c r="D8" s="5">
        <v>45849</v>
      </c>
      <c r="E8" s="4"/>
      <c r="F8" s="4" t="s">
        <v>1621</v>
      </c>
      <c r="G8" s="4"/>
      <c r="H8" s="4">
        <v>101090139</v>
      </c>
      <c r="I8" s="4" t="s">
        <v>1596</v>
      </c>
      <c r="J8" s="4"/>
      <c r="K8" s="4"/>
    </row>
    <row r="9" ht="16" customHeight="1" s="4" customFormat="1">
      <c r="A9" s="4" t="s">
        <v>1595</v>
      </c>
      <c r="B9" s="4">
        <v>3239</v>
      </c>
      <c r="C9" s="5">
        <v>45775</v>
      </c>
      <c r="D9" s="4"/>
      <c r="E9" s="4"/>
      <c r="F9" s="4" t="s">
        <v>1621</v>
      </c>
      <c r="G9" s="4"/>
      <c r="H9" s="4">
        <v>101093697</v>
      </c>
      <c r="I9" s="4" t="s">
        <v>1596</v>
      </c>
      <c r="J9" s="4"/>
      <c r="K9" s="4"/>
    </row>
    <row r="10" ht="16" customHeight="1" s="4" customFormat="1">
      <c r="A10" s="4" t="s">
        <v>1595</v>
      </c>
      <c r="B10" s="4">
        <v>642</v>
      </c>
      <c r="C10" s="5">
        <v>45763</v>
      </c>
      <c r="D10" s="4"/>
      <c r="E10" s="4"/>
      <c r="F10" s="4" t="s">
        <v>1621</v>
      </c>
      <c r="G10" s="4"/>
      <c r="H10" s="4">
        <v>101088695</v>
      </c>
      <c r="I10" s="4" t="s">
        <v>1596</v>
      </c>
      <c r="J10" s="4"/>
      <c r="K10" s="4"/>
    </row>
    <row r="11" ht="16" customHeight="1" s="4" customFormat="1">
      <c r="A11" s="4" t="s">
        <v>1595</v>
      </c>
      <c r="B11" s="4">
        <v>500</v>
      </c>
      <c r="C11" s="5">
        <v>45743</v>
      </c>
      <c r="D11" s="4"/>
      <c r="E11" s="4"/>
      <c r="F11" s="4" t="s">
        <v>1621</v>
      </c>
      <c r="G11" s="4"/>
      <c r="H11" s="4">
        <v>101067560</v>
      </c>
      <c r="I11" s="4" t="s">
        <v>1596</v>
      </c>
      <c r="J11" s="4"/>
      <c r="K11" s="4"/>
    </row>
    <row r="12" ht="16" customHeight="1" s="4" customFormat="1">
      <c r="A12" s="4" t="s">
        <v>1595</v>
      </c>
      <c r="B12" s="4">
        <v>250</v>
      </c>
      <c r="C12" s="5">
        <v>45736</v>
      </c>
      <c r="D12" s="5">
        <v>45771</v>
      </c>
      <c r="E12" s="4"/>
      <c r="F12" s="4" t="s">
        <v>1621</v>
      </c>
      <c r="G12" s="4"/>
      <c r="H12" s="4">
        <v>101069883</v>
      </c>
      <c r="I12" s="4" t="s">
        <v>1596</v>
      </c>
      <c r="J12" s="4"/>
      <c r="K12" s="4"/>
    </row>
    <row r="13" ht="16" customHeight="1" s="4" customFormat="1">
      <c r="A13" s="4" t="s">
        <v>1597</v>
      </c>
      <c r="B13" s="4">
        <v>100</v>
      </c>
      <c r="C13" s="5">
        <v>45716</v>
      </c>
      <c r="D13" s="4"/>
      <c r="E13" s="4"/>
      <c r="F13" s="4" t="s">
        <v>1621</v>
      </c>
      <c r="G13" s="4"/>
      <c r="H13" s="4">
        <v>101063514</v>
      </c>
      <c r="I13" s="4" t="s">
        <v>1598</v>
      </c>
      <c r="J13" s="4"/>
      <c r="K13" s="4"/>
    </row>
    <row r="14" ht="16" customHeight="1" s="4" customFormat="1">
      <c r="A14" s="4" t="s">
        <v>1595</v>
      </c>
      <c r="B14" s="4">
        <v>300</v>
      </c>
      <c r="C14" s="5">
        <v>45649</v>
      </c>
      <c r="D14" s="4"/>
      <c r="E14" s="4"/>
      <c r="F14" s="4" t="s">
        <v>1621</v>
      </c>
      <c r="G14" s="4"/>
      <c r="H14" s="4">
        <v>101028327</v>
      </c>
      <c r="I14" s="4" t="s">
        <v>1599</v>
      </c>
      <c r="J14" s="4"/>
      <c r="K14" s="4"/>
    </row>
    <row r="15" ht="16" customHeight="1" s="4" customFormat="1">
      <c r="A15" s="4" t="s">
        <v>1595</v>
      </c>
      <c r="B15" s="4">
        <v>250</v>
      </c>
      <c r="C15" s="5">
        <v>45649</v>
      </c>
      <c r="D15" s="4"/>
      <c r="E15" s="4"/>
      <c r="F15" s="4" t="s">
        <v>1621</v>
      </c>
      <c r="G15" s="4"/>
      <c r="H15" s="4">
        <v>101028767</v>
      </c>
      <c r="I15" s="4" t="s">
        <v>1599</v>
      </c>
      <c r="J15" s="4"/>
      <c r="K15" s="4"/>
    </row>
    <row r="16" ht="16" customHeight="1" s="4" customFormat="1">
      <c r="A16" s="4" t="s">
        <v>1595</v>
      </c>
      <c r="B16" s="4">
        <v>1000</v>
      </c>
      <c r="C16" s="5">
        <v>45649</v>
      </c>
      <c r="D16" s="4"/>
      <c r="E16" s="4"/>
      <c r="F16" s="4" t="s">
        <v>1621</v>
      </c>
      <c r="G16" s="4"/>
      <c r="H16" s="4">
        <v>101028974</v>
      </c>
      <c r="I16" s="4" t="s">
        <v>1599</v>
      </c>
      <c r="J16" s="4"/>
      <c r="K16" s="4"/>
    </row>
    <row r="17" ht="16" customHeight="1" s="4" customFormat="1">
      <c r="A17" s="4" t="s">
        <v>1595</v>
      </c>
      <c r="B17" s="4">
        <v>1000</v>
      </c>
      <c r="C17" s="5">
        <v>45628</v>
      </c>
      <c r="D17" s="4"/>
      <c r="E17" s="4"/>
      <c r="F17" s="4" t="s">
        <v>1621</v>
      </c>
      <c r="G17" s="4"/>
      <c r="H17" s="4">
        <v>101008529</v>
      </c>
      <c r="I17" s="4" t="s">
        <v>1599</v>
      </c>
      <c r="J17" s="4"/>
      <c r="K17" s="4"/>
    </row>
    <row r="18" ht="16" customHeight="1" s="4" customFormat="1">
      <c r="A18" s="4" t="s">
        <v>1595</v>
      </c>
      <c r="B18" s="4">
        <v>800</v>
      </c>
      <c r="C18" s="5">
        <v>45628</v>
      </c>
      <c r="D18" s="5">
        <v>46030</v>
      </c>
      <c r="E18" s="4"/>
      <c r="F18" s="4" t="s">
        <v>1621</v>
      </c>
      <c r="G18" s="4"/>
      <c r="H18" s="4">
        <v>101011010</v>
      </c>
      <c r="I18" s="4" t="s">
        <v>1596</v>
      </c>
      <c r="J18" s="4"/>
      <c r="K18" s="4"/>
    </row>
    <row r="19" ht="16" customHeight="1" s="4" customFormat="1">
      <c r="A19" s="4" t="s">
        <v>1595</v>
      </c>
      <c r="B19" s="4">
        <v>800</v>
      </c>
      <c r="C19" s="5">
        <v>45545</v>
      </c>
      <c r="D19" s="4"/>
      <c r="E19" s="5">
        <v>46031</v>
      </c>
      <c r="F19" s="4" t="s">
        <v>1622</v>
      </c>
      <c r="G19" s="4"/>
      <c r="H19" s="4">
        <v>100984055</v>
      </c>
      <c r="I19" s="4" t="s">
        <v>1599</v>
      </c>
      <c r="J19" s="4"/>
      <c r="K19" s="4"/>
    </row>
    <row r="20" ht="16" customHeight="1" s="4" customFormat="1">
      <c r="A20" s="4" t="s">
        <v>1595</v>
      </c>
      <c r="B20" s="4">
        <v>600</v>
      </c>
      <c r="C20" s="5">
        <v>45503</v>
      </c>
      <c r="D20" s="4"/>
      <c r="E20" s="5">
        <v>45940</v>
      </c>
      <c r="F20" s="4" t="s">
        <v>1622</v>
      </c>
      <c r="G20" s="4"/>
      <c r="H20" s="4">
        <v>100956441</v>
      </c>
      <c r="I20" s="4" t="s">
        <v>1599</v>
      </c>
      <c r="J20" s="4"/>
      <c r="K20" s="4"/>
    </row>
    <row r="21" ht="16" customHeight="1" s="4" customFormat="1">
      <c r="A21" s="4" t="s">
        <v>1595</v>
      </c>
      <c r="B21" s="4">
        <v>1672</v>
      </c>
      <c r="C21" s="5">
        <v>45488</v>
      </c>
      <c r="D21" s="5">
        <v>45943</v>
      </c>
      <c r="E21" s="4"/>
      <c r="F21" s="4" t="s">
        <v>1621</v>
      </c>
      <c r="G21" s="4"/>
      <c r="H21" s="4">
        <v>100958661</v>
      </c>
      <c r="I21" s="4" t="s">
        <v>1596</v>
      </c>
      <c r="J21" s="4"/>
      <c r="K21" s="4"/>
    </row>
    <row r="22" ht="16" customHeight="1" s="4" customFormat="1">
      <c r="A22" s="4" t="s">
        <v>1595</v>
      </c>
      <c r="B22" s="4">
        <v>1000</v>
      </c>
      <c r="C22" s="5">
        <v>45482</v>
      </c>
      <c r="D22" s="4"/>
      <c r="E22" s="5">
        <v>45950</v>
      </c>
      <c r="F22" s="4" t="s">
        <v>1622</v>
      </c>
      <c r="G22" s="4"/>
      <c r="H22" s="4">
        <v>100993509</v>
      </c>
      <c r="I22" s="4" t="s">
        <v>1599</v>
      </c>
      <c r="J22" s="4"/>
      <c r="K22" s="4"/>
    </row>
    <row r="23" ht="16" customHeight="1" s="4" customFormat="1">
      <c r="A23" s="4" t="s">
        <v>1595</v>
      </c>
      <c r="B23" s="4">
        <v>400</v>
      </c>
      <c r="C23" s="5">
        <v>45469</v>
      </c>
      <c r="D23" s="4"/>
      <c r="E23" s="4"/>
      <c r="F23" s="4" t="s">
        <v>1621</v>
      </c>
      <c r="G23" s="4"/>
      <c r="H23" s="4">
        <v>100937090</v>
      </c>
      <c r="I23" s="4" t="s">
        <v>1599</v>
      </c>
      <c r="J23" s="4"/>
      <c r="K23" s="4"/>
    </row>
    <row r="24" ht="16" customHeight="1" s="4" customFormat="1">
      <c r="A24" s="4" t="s">
        <v>1600</v>
      </c>
      <c r="B24" s="4">
        <v>3918</v>
      </c>
      <c r="C24" s="5">
        <v>45469</v>
      </c>
      <c r="D24" s="5">
        <v>46093</v>
      </c>
      <c r="E24" s="4"/>
      <c r="F24" s="4" t="s">
        <v>1621</v>
      </c>
      <c r="G24" s="4"/>
      <c r="H24" s="4">
        <v>100937550</v>
      </c>
      <c r="I24" s="4" t="s">
        <v>1601</v>
      </c>
      <c r="J24" s="4"/>
      <c r="K24" s="4"/>
    </row>
    <row r="25" ht="16" customHeight="1" s="4" customFormat="1">
      <c r="A25" s="4" t="s">
        <v>1595</v>
      </c>
      <c r="B25" s="4">
        <v>2500</v>
      </c>
      <c r="C25" s="5">
        <v>45422</v>
      </c>
      <c r="D25" s="4"/>
      <c r="E25" s="4"/>
      <c r="F25" s="4" t="s">
        <v>1621</v>
      </c>
      <c r="G25" s="4"/>
      <c r="H25" s="4">
        <v>100928425</v>
      </c>
      <c r="I25" s="4" t="s">
        <v>1599</v>
      </c>
      <c r="J25" s="4"/>
      <c r="K25" s="4"/>
    </row>
    <row r="26" ht="16" customHeight="1" s="4" customFormat="1">
      <c r="A26" s="4" t="s">
        <v>1600</v>
      </c>
      <c r="B26" s="4">
        <v>250</v>
      </c>
      <c r="C26" s="5">
        <v>45406</v>
      </c>
      <c r="D26" s="4"/>
      <c r="E26" s="4"/>
      <c r="F26" s="4" t="s">
        <v>1621</v>
      </c>
      <c r="G26" s="4"/>
      <c r="H26" s="4">
        <v>100905489</v>
      </c>
      <c r="I26" s="4" t="s">
        <v>1601</v>
      </c>
      <c r="J26" s="4"/>
      <c r="K26" s="4"/>
    </row>
    <row r="27" ht="16" customHeight="1" s="4" customFormat="1">
      <c r="A27" s="4" t="s">
        <v>1623</v>
      </c>
      <c r="B27" s="4">
        <v>1600</v>
      </c>
      <c r="C27" s="5">
        <v>45377</v>
      </c>
      <c r="D27" s="4"/>
      <c r="E27" s="5">
        <v>45551</v>
      </c>
      <c r="F27" s="4" t="s">
        <v>1622</v>
      </c>
      <c r="G27" s="4"/>
      <c r="H27" s="4">
        <v>100904148</v>
      </c>
      <c r="I27" s="4" t="s">
        <v>1624</v>
      </c>
      <c r="J27" s="4"/>
      <c r="K27" s="4"/>
    </row>
    <row r="28" ht="16" customHeight="1" s="4" customFormat="1">
      <c r="A28" s="4" t="s">
        <v>1623</v>
      </c>
      <c r="B28" s="4">
        <v>3400</v>
      </c>
      <c r="C28" s="5">
        <v>45279</v>
      </c>
      <c r="D28" s="4"/>
      <c r="E28" s="5">
        <v>45833</v>
      </c>
      <c r="F28" s="4" t="s">
        <v>1622</v>
      </c>
      <c r="G28" s="4"/>
      <c r="H28" s="4">
        <v>100948874</v>
      </c>
      <c r="I28" s="4" t="s">
        <v>1624</v>
      </c>
      <c r="J28" s="4"/>
      <c r="K28" s="4"/>
    </row>
    <row r="29" ht="16" customHeight="1" s="4" customFormat="1">
      <c r="A29" s="4" t="s">
        <v>1600</v>
      </c>
      <c r="B29" s="4">
        <v>7400</v>
      </c>
      <c r="C29" s="5">
        <v>45196</v>
      </c>
      <c r="D29" s="4"/>
      <c r="E29" s="4"/>
      <c r="F29" s="4" t="s">
        <v>1621</v>
      </c>
      <c r="G29" s="4"/>
      <c r="H29" s="4">
        <v>100786148</v>
      </c>
      <c r="I29" s="4" t="s">
        <v>1601</v>
      </c>
      <c r="J29" s="4"/>
      <c r="K29" s="4"/>
    </row>
    <row r="30" ht="16" customHeight="1" s="4" customFormat="1">
      <c r="A30" s="4" t="s">
        <v>1623</v>
      </c>
      <c r="B30" s="4">
        <v>2500</v>
      </c>
      <c r="C30" s="5">
        <v>45196</v>
      </c>
      <c r="D30" s="4"/>
      <c r="E30" s="5">
        <v>45772</v>
      </c>
      <c r="F30" s="4" t="s">
        <v>1622</v>
      </c>
      <c r="G30" s="4"/>
      <c r="H30" s="4">
        <v>100862898</v>
      </c>
      <c r="I30" s="4" t="s">
        <v>1624</v>
      </c>
      <c r="J30" s="4"/>
      <c r="K30" s="4"/>
    </row>
    <row r="31" ht="16" customHeight="1" s="4" customFormat="1">
      <c r="A31" s="4" t="s">
        <v>1595</v>
      </c>
      <c r="B31" s="4">
        <v>1000</v>
      </c>
      <c r="C31" s="5">
        <v>45174</v>
      </c>
      <c r="D31" s="5">
        <v>45943</v>
      </c>
      <c r="E31" s="4"/>
      <c r="F31" s="4" t="s">
        <v>1621</v>
      </c>
      <c r="G31" s="4"/>
      <c r="H31" s="4">
        <v>100774746</v>
      </c>
      <c r="I31" s="4" t="s">
        <v>1596</v>
      </c>
      <c r="J31" s="4"/>
      <c r="K31" s="4"/>
    </row>
    <row r="32" ht="16" customHeight="1" s="4" customFormat="1">
      <c r="A32" s="4" t="s">
        <v>1595</v>
      </c>
      <c r="B32" s="4">
        <v>8134</v>
      </c>
      <c r="C32" s="5">
        <v>45068</v>
      </c>
      <c r="D32" s="5">
        <v>45251</v>
      </c>
      <c r="E32" s="5">
        <v>45750</v>
      </c>
      <c r="F32" s="4" t="s">
        <v>1622</v>
      </c>
      <c r="G32" s="4"/>
      <c r="H32" s="4">
        <v>100731435</v>
      </c>
      <c r="I32" s="4" t="s">
        <v>1599</v>
      </c>
      <c r="J32" s="4"/>
      <c r="K32" s="4"/>
    </row>
    <row r="33" ht="16" customHeight="1" s="4" customFormat="1">
      <c r="A33" s="4" t="s">
        <v>1595</v>
      </c>
      <c r="B33" s="4">
        <v>1100</v>
      </c>
      <c r="C33" s="5">
        <v>45047</v>
      </c>
      <c r="D33" s="4"/>
      <c r="E33" s="5">
        <v>45538</v>
      </c>
      <c r="F33" s="4" t="s">
        <v>1622</v>
      </c>
      <c r="G33" s="4"/>
      <c r="H33" s="4">
        <v>100712243</v>
      </c>
      <c r="I33" s="4" t="s">
        <v>1625</v>
      </c>
      <c r="J33" s="4"/>
      <c r="K33" s="4"/>
    </row>
    <row r="34" ht="16" customHeight="1" s="4" customFormat="1">
      <c r="A34" s="4" t="s">
        <v>1595</v>
      </c>
      <c r="B34" s="4">
        <v>1500</v>
      </c>
      <c r="C34" s="5">
        <v>45030</v>
      </c>
      <c r="D34" s="5">
        <v>45097</v>
      </c>
      <c r="E34" s="5">
        <v>45610</v>
      </c>
      <c r="F34" s="4" t="s">
        <v>1622</v>
      </c>
      <c r="G34" s="4"/>
      <c r="H34" s="4">
        <v>100706561</v>
      </c>
      <c r="I34" s="4" t="s">
        <v>1599</v>
      </c>
      <c r="J34" s="4"/>
      <c r="K34" s="4"/>
    </row>
    <row r="35" ht="16" customHeight="1" s="4" customFormat="1">
      <c r="A35" s="4" t="s">
        <v>1595</v>
      </c>
      <c r="B35" s="4">
        <v>250</v>
      </c>
      <c r="C35" s="5">
        <v>45008</v>
      </c>
      <c r="D35" s="5">
        <v>45967</v>
      </c>
      <c r="E35" s="4"/>
      <c r="F35" s="4" t="s">
        <v>1621</v>
      </c>
      <c r="G35" s="4"/>
      <c r="H35" s="4">
        <v>100698117</v>
      </c>
      <c r="I35" s="4" t="s">
        <v>1596</v>
      </c>
      <c r="J35" s="4"/>
      <c r="K35" s="4"/>
    </row>
    <row r="36" ht="16" customHeight="1" s="4" customFormat="1">
      <c r="A36" s="4" t="s">
        <v>1595</v>
      </c>
      <c r="B36" s="4">
        <v>325</v>
      </c>
      <c r="C36" s="5">
        <v>44972</v>
      </c>
      <c r="D36" s="5">
        <v>46029</v>
      </c>
      <c r="E36" s="4"/>
      <c r="F36" s="4" t="s">
        <v>1621</v>
      </c>
      <c r="G36" s="4"/>
      <c r="H36" s="4">
        <v>100687104</v>
      </c>
      <c r="I36" s="4" t="s">
        <v>1596</v>
      </c>
      <c r="J36" s="4"/>
      <c r="K36" s="4"/>
    </row>
    <row r="37" ht="16" customHeight="1" s="4" customFormat="1">
      <c r="A37" s="4" t="s">
        <v>1595</v>
      </c>
      <c r="B37" s="4">
        <v>1250</v>
      </c>
      <c r="C37" s="5">
        <v>44950</v>
      </c>
      <c r="D37" s="5">
        <v>45974</v>
      </c>
      <c r="E37" s="4"/>
      <c r="F37" s="4" t="s">
        <v>1621</v>
      </c>
      <c r="G37" s="4"/>
      <c r="H37" s="4">
        <v>100669123</v>
      </c>
      <c r="I37" s="4" t="s">
        <v>1596</v>
      </c>
      <c r="J37" s="4"/>
      <c r="K37" s="4"/>
    </row>
    <row r="38" ht="16" customHeight="1" s="4" customFormat="1">
      <c r="A38" s="4" t="s">
        <v>1595</v>
      </c>
      <c r="B38" s="4">
        <v>750</v>
      </c>
      <c r="C38" s="5">
        <v>44904</v>
      </c>
      <c r="D38" s="5">
        <v>46007</v>
      </c>
      <c r="E38" s="4"/>
      <c r="F38" s="4" t="s">
        <v>1621</v>
      </c>
      <c r="G38" s="4"/>
      <c r="H38" s="4">
        <v>100655941</v>
      </c>
      <c r="I38" s="4" t="s">
        <v>1596</v>
      </c>
      <c r="J38" s="4"/>
      <c r="K38" s="4"/>
    </row>
    <row r="39" ht="16" customHeight="1" s="4" customFormat="1">
      <c r="A39" s="4" t="s">
        <v>1595</v>
      </c>
      <c r="B39" s="4">
        <v>500</v>
      </c>
      <c r="C39" s="5">
        <v>44894</v>
      </c>
      <c r="D39" s="4"/>
      <c r="E39" s="4"/>
      <c r="F39" s="4" t="s">
        <v>1621</v>
      </c>
      <c r="G39" s="4"/>
      <c r="H39" s="4">
        <v>100654412</v>
      </c>
      <c r="I39" s="4" t="s">
        <v>1599</v>
      </c>
      <c r="J39" s="4"/>
      <c r="K39" s="4"/>
    </row>
    <row r="40" ht="16" customHeight="1" s="4" customFormat="1">
      <c r="A40" s="4" t="s">
        <v>1595</v>
      </c>
      <c r="B40" s="4">
        <v>411</v>
      </c>
      <c r="C40" s="5">
        <v>44846</v>
      </c>
      <c r="D40" s="5">
        <v>45105</v>
      </c>
      <c r="E40" s="4"/>
      <c r="F40" s="4" t="s">
        <v>1621</v>
      </c>
      <c r="G40" s="4"/>
      <c r="H40" s="4">
        <v>100662692</v>
      </c>
      <c r="I40" s="4" t="s">
        <v>1599</v>
      </c>
      <c r="J40" s="4"/>
      <c r="K40" s="4"/>
    </row>
    <row r="41" ht="16" customHeight="1" s="4" customFormat="1">
      <c r="A41" s="4" t="s">
        <v>1600</v>
      </c>
      <c r="B41" s="4">
        <v>250</v>
      </c>
      <c r="C41" s="5">
        <v>44755</v>
      </c>
      <c r="D41" s="4"/>
      <c r="E41" s="5">
        <v>45141</v>
      </c>
      <c r="F41" s="4" t="s">
        <v>1622</v>
      </c>
      <c r="G41" s="4"/>
      <c r="H41" s="4">
        <v>100592298</v>
      </c>
      <c r="I41" s="4" t="s">
        <v>1626</v>
      </c>
      <c r="J41" s="4"/>
      <c r="K41" s="4"/>
    </row>
    <row r="42" ht="16" customHeight="1" s="4" customFormat="1">
      <c r="A42" s="4" t="s">
        <v>1595</v>
      </c>
      <c r="B42" s="4">
        <v>1000</v>
      </c>
      <c r="C42" s="5">
        <v>44741</v>
      </c>
      <c r="D42" s="5">
        <v>44865</v>
      </c>
      <c r="E42" s="4"/>
      <c r="F42" s="4" t="s">
        <v>1621</v>
      </c>
      <c r="G42" s="4"/>
      <c r="H42" s="4">
        <v>100587703</v>
      </c>
      <c r="I42" s="4" t="s">
        <v>1599</v>
      </c>
      <c r="J42" s="4"/>
      <c r="K42" s="4"/>
    </row>
    <row r="43" ht="16" customHeight="1" s="4" customFormat="1">
      <c r="A43" s="4" t="s">
        <v>1595</v>
      </c>
      <c r="B43" s="4">
        <v>1300</v>
      </c>
      <c r="C43" s="5">
        <v>44736</v>
      </c>
      <c r="D43" s="4"/>
      <c r="E43" s="4"/>
      <c r="F43" s="4" t="s">
        <v>1621</v>
      </c>
      <c r="G43" s="4"/>
      <c r="H43" s="4">
        <v>100587698</v>
      </c>
      <c r="I43" s="4" t="s">
        <v>1602</v>
      </c>
      <c r="J43" s="4"/>
      <c r="K43" s="4"/>
    </row>
    <row r="44" ht="16" customHeight="1" s="4" customFormat="1">
      <c r="A44" s="4" t="s">
        <v>1595</v>
      </c>
      <c r="B44" s="4">
        <v>4089</v>
      </c>
      <c r="C44" s="5">
        <v>44735</v>
      </c>
      <c r="D44" s="4"/>
      <c r="E44" s="4"/>
      <c r="F44" s="4" t="s">
        <v>1621</v>
      </c>
      <c r="G44" s="4"/>
      <c r="H44" s="4">
        <v>100759559</v>
      </c>
      <c r="I44" s="4" t="s">
        <v>1603</v>
      </c>
      <c r="J44" s="4"/>
      <c r="K44" s="4"/>
    </row>
    <row r="45" ht="16" customHeight="1" s="4" customFormat="1">
      <c r="A45" s="4" t="s">
        <v>1595</v>
      </c>
      <c r="B45" s="4">
        <v>4089</v>
      </c>
      <c r="C45" s="5">
        <v>44735</v>
      </c>
      <c r="D45" s="4"/>
      <c r="E45" s="4"/>
      <c r="F45" s="4" t="s">
        <v>1621</v>
      </c>
      <c r="G45" s="4"/>
      <c r="H45" s="4">
        <v>100585607</v>
      </c>
      <c r="I45" s="4" t="s">
        <v>1602</v>
      </c>
      <c r="J45" s="4"/>
      <c r="K45" s="4"/>
    </row>
    <row r="46" ht="16" customHeight="1" s="4" customFormat="1">
      <c r="A46" s="4" t="s">
        <v>1604</v>
      </c>
      <c r="B46" s="4">
        <v>21500</v>
      </c>
      <c r="C46" s="5">
        <v>44708</v>
      </c>
      <c r="D46" s="5">
        <v>45496</v>
      </c>
      <c r="E46" s="4"/>
      <c r="F46" s="4" t="s">
        <v>1621</v>
      </c>
      <c r="G46" s="4"/>
      <c r="H46" s="4">
        <v>100582777</v>
      </c>
      <c r="I46" s="4" t="s">
        <v>1605</v>
      </c>
      <c r="J46" s="4"/>
      <c r="K46" s="4"/>
    </row>
    <row r="47" ht="16" customHeight="1" s="4" customFormat="1">
      <c r="A47" s="4" t="s">
        <v>1595</v>
      </c>
      <c r="B47" s="4">
        <v>1105</v>
      </c>
      <c r="C47" s="5">
        <v>44679</v>
      </c>
      <c r="D47" s="5">
        <v>46077</v>
      </c>
      <c r="E47" s="4"/>
      <c r="F47" s="4" t="s">
        <v>1621</v>
      </c>
      <c r="G47" s="4"/>
      <c r="H47" s="4">
        <v>100569378</v>
      </c>
      <c r="I47" s="4" t="s">
        <v>1596</v>
      </c>
      <c r="J47" s="4"/>
      <c r="K47" s="4"/>
    </row>
    <row r="48" ht="16" customHeight="1" s="4" customFormat="1">
      <c r="A48" s="4" t="s">
        <v>1595</v>
      </c>
      <c r="B48" s="4">
        <v>350</v>
      </c>
      <c r="C48" s="5">
        <v>44651</v>
      </c>
      <c r="D48" s="4"/>
      <c r="E48" s="5">
        <v>45777</v>
      </c>
      <c r="F48" s="4" t="s">
        <v>1622</v>
      </c>
      <c r="G48" s="4"/>
      <c r="H48" s="4">
        <v>100553541</v>
      </c>
      <c r="I48" s="4" t="s">
        <v>1602</v>
      </c>
      <c r="J48" s="4"/>
      <c r="K48" s="4"/>
    </row>
    <row r="49" ht="16" customHeight="1" s="4" customFormat="1">
      <c r="A49" s="4" t="s">
        <v>1595</v>
      </c>
      <c r="B49" s="4">
        <v>1000</v>
      </c>
      <c r="C49" s="5">
        <v>44650</v>
      </c>
      <c r="D49" s="4"/>
      <c r="E49" s="4"/>
      <c r="F49" s="4" t="s">
        <v>1621</v>
      </c>
      <c r="G49" s="4"/>
      <c r="H49" s="4">
        <v>100551939</v>
      </c>
      <c r="I49" s="4" t="s">
        <v>1602</v>
      </c>
      <c r="J49" s="4"/>
      <c r="K49" s="4"/>
    </row>
    <row r="50" ht="16" customHeight="1" s="4" customFormat="1">
      <c r="A50" s="4" t="s">
        <v>1595</v>
      </c>
      <c r="B50" s="4">
        <v>1660</v>
      </c>
      <c r="C50" s="5">
        <v>44645</v>
      </c>
      <c r="D50" s="5">
        <v>44909</v>
      </c>
      <c r="E50" s="4"/>
      <c r="F50" s="4" t="s">
        <v>1621</v>
      </c>
      <c r="G50" s="4"/>
      <c r="H50" s="4">
        <v>100549754</v>
      </c>
      <c r="I50" s="4" t="s">
        <v>1599</v>
      </c>
      <c r="J50" s="4"/>
      <c r="K50" s="4"/>
    </row>
    <row r="51" ht="16" customHeight="1" s="4" customFormat="1">
      <c r="A51" s="4" t="s">
        <v>1595</v>
      </c>
      <c r="B51" s="4">
        <v>1000</v>
      </c>
      <c r="C51" s="5">
        <v>44560</v>
      </c>
      <c r="D51" s="4"/>
      <c r="E51" s="4"/>
      <c r="F51" s="4" t="s">
        <v>1621</v>
      </c>
      <c r="G51" s="4"/>
      <c r="H51" s="4">
        <v>100516107</v>
      </c>
      <c r="I51" s="4" t="s">
        <v>1602</v>
      </c>
      <c r="J51" s="4"/>
      <c r="K51" s="4"/>
    </row>
    <row r="52" ht="16" customHeight="1" s="4" customFormat="1">
      <c r="A52" s="4" t="s">
        <v>1595</v>
      </c>
      <c r="B52" s="4">
        <v>1000</v>
      </c>
      <c r="C52" s="5">
        <v>44559</v>
      </c>
      <c r="D52" s="4"/>
      <c r="E52" s="5">
        <v>45686</v>
      </c>
      <c r="F52" s="4" t="s">
        <v>1622</v>
      </c>
      <c r="G52" s="4"/>
      <c r="H52" s="4">
        <v>100521350</v>
      </c>
      <c r="I52" s="4" t="s">
        <v>1602</v>
      </c>
      <c r="J52" s="4"/>
      <c r="K52" s="4"/>
    </row>
    <row r="53" ht="16" customHeight="1" s="4" customFormat="1">
      <c r="A53" s="4" t="s">
        <v>1604</v>
      </c>
      <c r="B53" s="4">
        <v>8000</v>
      </c>
      <c r="C53" s="5">
        <v>44550</v>
      </c>
      <c r="D53" s="5">
        <v>46029</v>
      </c>
      <c r="E53" s="4"/>
      <c r="F53" s="4" t="s">
        <v>1621</v>
      </c>
      <c r="G53" s="4"/>
      <c r="H53" s="4">
        <v>100512902</v>
      </c>
      <c r="I53" s="4" t="s">
        <v>1605</v>
      </c>
      <c r="J53" s="4"/>
      <c r="K53" s="4"/>
    </row>
    <row r="54" ht="16" customHeight="1" s="4" customFormat="1">
      <c r="A54" s="4" t="s">
        <v>1595</v>
      </c>
      <c r="B54" s="4">
        <v>225</v>
      </c>
      <c r="C54" s="5">
        <v>44543</v>
      </c>
      <c r="D54" s="5">
        <v>45994</v>
      </c>
      <c r="E54" s="4"/>
      <c r="F54" s="4" t="s">
        <v>1621</v>
      </c>
      <c r="G54" s="4"/>
      <c r="H54" s="4">
        <v>100511441</v>
      </c>
      <c r="I54" s="4" t="s">
        <v>1596</v>
      </c>
      <c r="J54" s="4"/>
      <c r="K54" s="4"/>
    </row>
    <row r="55" ht="16" customHeight="1" s="4" customFormat="1">
      <c r="A55" s="4" t="s">
        <v>1595</v>
      </c>
      <c r="B55" s="4">
        <v>300</v>
      </c>
      <c r="C55" s="5">
        <v>44538</v>
      </c>
      <c r="D55" s="5">
        <v>44624</v>
      </c>
      <c r="E55" s="5">
        <v>45996</v>
      </c>
      <c r="F55" s="4" t="s">
        <v>1622</v>
      </c>
      <c r="G55" s="4"/>
      <c r="H55" s="4">
        <v>100509333</v>
      </c>
      <c r="I55" s="4" t="s">
        <v>1606</v>
      </c>
      <c r="J55" s="4"/>
      <c r="K55" s="4"/>
    </row>
    <row r="56" ht="16" customHeight="1" s="4" customFormat="1">
      <c r="A56" s="4" t="s">
        <v>1595</v>
      </c>
      <c r="B56" s="4">
        <v>1150</v>
      </c>
      <c r="C56" s="5">
        <v>44466</v>
      </c>
      <c r="D56" s="5">
        <v>44624</v>
      </c>
      <c r="E56" s="4"/>
      <c r="F56" s="4" t="s">
        <v>1621</v>
      </c>
      <c r="G56" s="4"/>
      <c r="H56" s="4">
        <v>100483944</v>
      </c>
      <c r="I56" s="4" t="s">
        <v>1606</v>
      </c>
      <c r="J56" s="4"/>
      <c r="K56" s="4"/>
    </row>
    <row r="57" ht="16" customHeight="1" s="4" customFormat="1">
      <c r="A57" s="4" t="s">
        <v>1595</v>
      </c>
      <c r="B57" s="4">
        <v>500</v>
      </c>
      <c r="C57" s="5">
        <v>44453</v>
      </c>
      <c r="D57" s="5">
        <v>44624</v>
      </c>
      <c r="E57" s="5">
        <v>45975</v>
      </c>
      <c r="F57" s="4" t="s">
        <v>1622</v>
      </c>
      <c r="G57" s="4"/>
      <c r="H57" s="4">
        <v>100476833</v>
      </c>
      <c r="I57" s="4" t="s">
        <v>1606</v>
      </c>
      <c r="J57" s="4"/>
      <c r="K57" s="4"/>
    </row>
    <row r="58" ht="16" customHeight="1" s="4" customFormat="1">
      <c r="A58" s="4" t="s">
        <v>1595</v>
      </c>
      <c r="B58" s="4">
        <v>500</v>
      </c>
      <c r="C58" s="5">
        <v>44438</v>
      </c>
      <c r="D58" s="5">
        <v>44624</v>
      </c>
      <c r="E58" s="5">
        <v>45982</v>
      </c>
      <c r="F58" s="4" t="s">
        <v>1622</v>
      </c>
      <c r="G58" s="4"/>
      <c r="H58" s="4">
        <v>100472361</v>
      </c>
      <c r="I58" s="4" t="s">
        <v>1606</v>
      </c>
      <c r="J58" s="4"/>
      <c r="K58" s="4"/>
    </row>
    <row r="59" ht="16" customHeight="1" s="4" customFormat="1">
      <c r="A59" s="4" t="s">
        <v>1595</v>
      </c>
      <c r="B59" s="4">
        <v>2000</v>
      </c>
      <c r="C59" s="5">
        <v>44433</v>
      </c>
      <c r="D59" s="5">
        <v>44624</v>
      </c>
      <c r="E59" s="4"/>
      <c r="F59" s="4" t="s">
        <v>1621</v>
      </c>
      <c r="G59" s="4"/>
      <c r="H59" s="4">
        <v>100470559</v>
      </c>
      <c r="I59" s="4" t="s">
        <v>1606</v>
      </c>
      <c r="J59" s="4"/>
      <c r="K59" s="4"/>
    </row>
    <row r="60" ht="16" customHeight="1" s="4" customFormat="1">
      <c r="A60" s="4" t="s">
        <v>1595</v>
      </c>
      <c r="B60" s="4">
        <v>500</v>
      </c>
      <c r="C60" s="5">
        <v>44322</v>
      </c>
      <c r="D60" s="4"/>
      <c r="E60" s="5">
        <v>44785</v>
      </c>
      <c r="F60" s="4" t="s">
        <v>1622</v>
      </c>
      <c r="G60" s="4"/>
      <c r="H60" s="4">
        <v>100442467</v>
      </c>
      <c r="I60" s="4" t="s">
        <v>1602</v>
      </c>
      <c r="J60" s="4"/>
      <c r="K60" s="4"/>
    </row>
    <row r="61" ht="16" customHeight="1" s="4" customFormat="1">
      <c r="A61" s="4" t="s">
        <v>1604</v>
      </c>
      <c r="B61" s="4">
        <v>10000</v>
      </c>
      <c r="C61" s="5">
        <v>44070</v>
      </c>
      <c r="D61" s="5">
        <v>44434</v>
      </c>
      <c r="E61" s="5">
        <v>44655</v>
      </c>
      <c r="F61" s="4" t="s">
        <v>1622</v>
      </c>
      <c r="G61" s="4"/>
      <c r="H61" s="4">
        <v>100361506</v>
      </c>
      <c r="I61" s="4" t="s">
        <v>1627</v>
      </c>
      <c r="J61" s="4"/>
      <c r="K61" s="4"/>
    </row>
    <row r="62" ht="16" customHeight="1" s="4" customFormat="1">
      <c r="A62" s="4" t="s">
        <v>1628</v>
      </c>
      <c r="B62" s="4">
        <v>500</v>
      </c>
      <c r="C62" s="5">
        <v>43921</v>
      </c>
      <c r="D62" s="4"/>
      <c r="E62" s="5">
        <v>44301</v>
      </c>
      <c r="F62" s="4" t="s">
        <v>1622</v>
      </c>
      <c r="G62" s="4"/>
      <c r="H62" s="4">
        <v>100333650</v>
      </c>
      <c r="I62" s="4" t="s">
        <v>1629</v>
      </c>
      <c r="J62" s="4"/>
      <c r="K62" s="4"/>
    </row>
    <row r="63" ht="16" customHeight="1" s="4" customFormat="1">
      <c r="A63" s="4" t="s">
        <v>1595</v>
      </c>
      <c r="B63" s="4">
        <v>700</v>
      </c>
      <c r="C63" s="5">
        <v>43896</v>
      </c>
      <c r="D63" s="4"/>
      <c r="E63" s="5">
        <v>45022</v>
      </c>
      <c r="F63" s="4" t="s">
        <v>1622</v>
      </c>
      <c r="G63" s="4"/>
      <c r="H63" s="4">
        <v>100331518</v>
      </c>
      <c r="I63" s="4" t="s">
        <v>1602</v>
      </c>
      <c r="J63" s="4"/>
      <c r="K63" s="4"/>
    </row>
    <row r="64" ht="16" customHeight="1" s="4" customFormat="1">
      <c r="A64" s="4" t="s">
        <v>1595</v>
      </c>
      <c r="B64" s="4">
        <v>250</v>
      </c>
      <c r="C64" s="5">
        <v>43889</v>
      </c>
      <c r="D64" s="4"/>
      <c r="E64" s="5">
        <v>45868</v>
      </c>
      <c r="F64" s="4" t="s">
        <v>1622</v>
      </c>
      <c r="G64" s="4"/>
      <c r="H64" s="4">
        <v>100330006</v>
      </c>
      <c r="I64" s="4" t="s">
        <v>1602</v>
      </c>
      <c r="J64" s="4"/>
      <c r="K64" s="4"/>
    </row>
    <row r="65" ht="16" customHeight="1" s="4" customFormat="1">
      <c r="A65" s="4" t="s">
        <v>1595</v>
      </c>
      <c r="B65" s="4">
        <v>1270</v>
      </c>
      <c r="C65" s="5">
        <v>43879</v>
      </c>
      <c r="D65" s="5">
        <v>43977</v>
      </c>
      <c r="E65" s="5">
        <v>44894</v>
      </c>
      <c r="F65" s="4" t="s">
        <v>1622</v>
      </c>
      <c r="G65" s="4"/>
      <c r="H65" s="4">
        <v>100336254</v>
      </c>
      <c r="I65" s="4" t="s">
        <v>1602</v>
      </c>
      <c r="J65" s="4"/>
      <c r="K65" s="4"/>
    </row>
    <row r="66" ht="16" customHeight="1" s="4" customFormat="1">
      <c r="A66" s="4" t="s">
        <v>1595</v>
      </c>
      <c r="B66" s="4">
        <v>2000</v>
      </c>
      <c r="C66" s="5">
        <v>43874</v>
      </c>
      <c r="D66" s="4"/>
      <c r="E66" s="4"/>
      <c r="F66" s="4" t="s">
        <v>1621</v>
      </c>
      <c r="G66" s="4"/>
      <c r="H66" s="4">
        <v>100325440</v>
      </c>
      <c r="I66" s="4" t="s">
        <v>1602</v>
      </c>
      <c r="J66" s="4"/>
      <c r="K66" s="4"/>
    </row>
    <row r="67" ht="16" customHeight="1" s="4" customFormat="1">
      <c r="A67" s="4" t="s">
        <v>1595</v>
      </c>
      <c r="B67" s="4">
        <v>750</v>
      </c>
      <c r="C67" s="5">
        <v>43851</v>
      </c>
      <c r="D67" s="5">
        <v>44592</v>
      </c>
      <c r="E67" s="5">
        <v>45068</v>
      </c>
      <c r="F67" s="4" t="s">
        <v>1622</v>
      </c>
      <c r="G67" s="4"/>
      <c r="H67" s="4">
        <v>100324981</v>
      </c>
      <c r="I67" s="4" t="s">
        <v>1602</v>
      </c>
      <c r="J67" s="4"/>
      <c r="K67" s="4"/>
    </row>
    <row r="68" ht="16" customHeight="1" s="4" customFormat="1">
      <c r="A68" s="4" t="s">
        <v>1595</v>
      </c>
      <c r="B68" s="4">
        <v>500</v>
      </c>
      <c r="C68" s="5">
        <v>43762</v>
      </c>
      <c r="D68" s="4"/>
      <c r="E68" s="5">
        <v>45805</v>
      </c>
      <c r="F68" s="4" t="s">
        <v>1622</v>
      </c>
      <c r="G68" s="4"/>
      <c r="H68" s="4">
        <v>100300599</v>
      </c>
      <c r="I68" s="4" t="s">
        <v>1602</v>
      </c>
      <c r="J68" s="4"/>
      <c r="K68" s="4"/>
    </row>
    <row r="69" ht="16" customHeight="1" s="4" customFormat="1">
      <c r="A69" s="4" t="s">
        <v>1595</v>
      </c>
      <c r="B69" s="4">
        <v>700</v>
      </c>
      <c r="C69" s="5">
        <v>43707</v>
      </c>
      <c r="D69" s="4"/>
      <c r="E69" s="5">
        <v>44946</v>
      </c>
      <c r="F69" s="4" t="s">
        <v>1622</v>
      </c>
      <c r="G69" s="4"/>
      <c r="H69" s="4">
        <v>100288795</v>
      </c>
      <c r="I69" s="4" t="s">
        <v>1602</v>
      </c>
      <c r="J69" s="4"/>
      <c r="K69" s="4"/>
    </row>
    <row r="70" ht="16" customHeight="1" s="4" customFormat="1">
      <c r="A70" s="4" t="s">
        <v>1595</v>
      </c>
      <c r="B70" s="4">
        <v>150</v>
      </c>
      <c r="C70" s="5">
        <v>43385</v>
      </c>
      <c r="D70" s="5">
        <v>45568</v>
      </c>
      <c r="E70" s="5">
        <v>45770</v>
      </c>
      <c r="F70" s="4" t="s">
        <v>1622</v>
      </c>
      <c r="G70" s="4"/>
      <c r="H70" s="4">
        <v>100213645</v>
      </c>
      <c r="I70" s="4" t="s">
        <v>1599</v>
      </c>
      <c r="J70" s="4"/>
      <c r="K70" s="4"/>
    </row>
    <row r="71" ht="16" customHeight="1" s="4" customFormat="1">
      <c r="A71" s="4" t="s">
        <v>1595</v>
      </c>
      <c r="B71" s="4">
        <v>500</v>
      </c>
      <c r="C71" s="5">
        <v>43367</v>
      </c>
      <c r="D71" s="4"/>
      <c r="E71" s="5">
        <v>45938</v>
      </c>
      <c r="F71" s="4" t="s">
        <v>1622</v>
      </c>
      <c r="G71" s="4"/>
      <c r="H71" s="4">
        <v>100209085</v>
      </c>
      <c r="I71" s="4" t="s">
        <v>1602</v>
      </c>
      <c r="J71" s="4"/>
      <c r="K71" s="4"/>
    </row>
    <row r="72" ht="16" customHeight="1" s="4" customFormat="1">
      <c r="A72" s="4" t="s">
        <v>1595</v>
      </c>
      <c r="B72" s="4">
        <v>1000</v>
      </c>
      <c r="C72" s="5">
        <v>43325</v>
      </c>
      <c r="D72" s="5">
        <v>43340</v>
      </c>
      <c r="E72" s="5">
        <v>44476</v>
      </c>
      <c r="F72" s="4" t="s">
        <v>1622</v>
      </c>
      <c r="G72" s="4"/>
      <c r="H72" s="4">
        <v>100202721</v>
      </c>
      <c r="I72" s="4" t="s">
        <v>1602</v>
      </c>
      <c r="J72" s="4"/>
      <c r="K72" s="4"/>
    </row>
    <row r="73" ht="16" customHeight="1" s="4" customFormat="1">
      <c r="A73" s="4" t="s">
        <v>1595</v>
      </c>
      <c r="B73" s="4">
        <v>1000</v>
      </c>
      <c r="C73" s="5">
        <v>43322</v>
      </c>
      <c r="D73" s="4"/>
      <c r="E73" s="5">
        <v>45582</v>
      </c>
      <c r="F73" s="4" t="s">
        <v>1622</v>
      </c>
      <c r="G73" s="4"/>
      <c r="H73" s="4">
        <v>100200384</v>
      </c>
      <c r="I73" s="4" t="s">
        <v>1602</v>
      </c>
      <c r="J73" s="4"/>
      <c r="K73" s="4"/>
    </row>
    <row r="74" ht="16" customHeight="1" s="4" customFormat="1">
      <c r="A74" s="4" t="s">
        <v>1595</v>
      </c>
      <c r="B74" s="4">
        <v>3000</v>
      </c>
      <c r="C74" s="5">
        <v>43290</v>
      </c>
      <c r="D74" s="5">
        <v>43801</v>
      </c>
      <c r="E74" s="4"/>
      <c r="F74" s="4" t="s">
        <v>1621</v>
      </c>
      <c r="G74" s="4"/>
      <c r="H74" s="4">
        <v>100191342</v>
      </c>
      <c r="I74" s="4" t="s">
        <v>1602</v>
      </c>
      <c r="J74" s="4"/>
      <c r="K74" s="4"/>
    </row>
    <row r="75" ht="16" customHeight="1" s="4" customFormat="1">
      <c r="A75" s="4" t="s">
        <v>1595</v>
      </c>
      <c r="B75" s="4">
        <v>4000</v>
      </c>
      <c r="C75" s="5">
        <v>43242</v>
      </c>
      <c r="D75" s="5">
        <v>43254</v>
      </c>
      <c r="E75" s="5">
        <v>44488</v>
      </c>
      <c r="F75" s="4" t="s">
        <v>1622</v>
      </c>
      <c r="G75" s="4"/>
      <c r="H75" s="4">
        <v>100185992</v>
      </c>
      <c r="I75" s="4" t="s">
        <v>1602</v>
      </c>
      <c r="J75" s="4"/>
      <c r="K75" s="4"/>
    </row>
    <row r="76" ht="16" customHeight="1" s="4" customFormat="1">
      <c r="A76" s="4" t="s">
        <v>1595</v>
      </c>
      <c r="B76" s="4">
        <v>500</v>
      </c>
      <c r="C76" s="5">
        <v>43090</v>
      </c>
      <c r="D76" s="5">
        <v>43120</v>
      </c>
      <c r="E76" s="5">
        <v>43628</v>
      </c>
      <c r="F76" s="4" t="s">
        <v>1622</v>
      </c>
      <c r="G76" s="4"/>
      <c r="H76" s="4">
        <v>100147013</v>
      </c>
      <c r="I76" s="4" t="s">
        <v>1602</v>
      </c>
      <c r="J76" s="4"/>
      <c r="K76" s="4"/>
    </row>
    <row r="77" ht="16" customHeight="1" s="4" customFormat="1">
      <c r="A77" s="4" t="s">
        <v>1595</v>
      </c>
      <c r="B77" s="4">
        <v>350</v>
      </c>
      <c r="C77" s="5">
        <v>42935</v>
      </c>
      <c r="D77" s="5">
        <v>42963</v>
      </c>
      <c r="E77" s="5">
        <v>43636</v>
      </c>
      <c r="F77" s="4" t="s">
        <v>1622</v>
      </c>
      <c r="G77" s="4"/>
      <c r="H77" s="4">
        <v>100114900</v>
      </c>
      <c r="I77" s="4" t="s">
        <v>1602</v>
      </c>
      <c r="J77" s="4"/>
      <c r="K77" s="4"/>
    </row>
    <row r="78" ht="16" customHeight="1" s="4" customFormat="1">
      <c r="A78" s="4" t="s">
        <v>1595</v>
      </c>
      <c r="B78" s="4">
        <v>200</v>
      </c>
      <c r="C78" s="5">
        <v>42760</v>
      </c>
      <c r="D78" s="5">
        <v>42824</v>
      </c>
      <c r="E78" s="5">
        <v>43837</v>
      </c>
      <c r="F78" s="4" t="s">
        <v>1622</v>
      </c>
      <c r="G78" s="4"/>
      <c r="H78" s="4">
        <v>100085028</v>
      </c>
      <c r="I78" s="4" t="s">
        <v>1602</v>
      </c>
      <c r="J78" s="4"/>
      <c r="K78" s="4"/>
    </row>
    <row r="79" ht="16" customHeight="1" s="4" customFormat="1">
      <c r="A79" s="4" t="s">
        <v>803</v>
      </c>
      <c r="B79" s="4">
        <v>500</v>
      </c>
      <c r="C79" s="5">
        <v>42727</v>
      </c>
      <c r="D79" s="4"/>
      <c r="E79" s="5">
        <v>45117</v>
      </c>
      <c r="F79" s="4" t="s">
        <v>1622</v>
      </c>
      <c r="G79" s="4"/>
      <c r="H79" s="4">
        <v>100073350</v>
      </c>
      <c r="I79" s="4" t="s">
        <v>1630</v>
      </c>
      <c r="J79" s="4"/>
      <c r="K79" s="4"/>
    </row>
    <row r="80" ht="16" customHeight="1" s="4" customFormat="1">
      <c r="A80" s="4" t="s">
        <v>1595</v>
      </c>
      <c r="B80" s="4">
        <v>300</v>
      </c>
      <c r="C80" s="5">
        <v>42698</v>
      </c>
      <c r="D80" s="5">
        <v>42741</v>
      </c>
      <c r="E80" s="5">
        <v>43844</v>
      </c>
      <c r="F80" s="4" t="s">
        <v>1622</v>
      </c>
      <c r="G80" s="4"/>
      <c r="H80" s="4">
        <v>100066982</v>
      </c>
      <c r="I80" s="4" t="s">
        <v>1602</v>
      </c>
      <c r="J80" s="4"/>
      <c r="K80" s="4"/>
    </row>
    <row r="81" ht="16" customHeight="1" s="4" customFormat="1">
      <c r="A81" s="4" t="s">
        <v>1595</v>
      </c>
      <c r="B81" s="4">
        <v>250</v>
      </c>
      <c r="C81" s="5">
        <v>42698</v>
      </c>
      <c r="D81" s="5">
        <v>44321</v>
      </c>
      <c r="E81" s="5">
        <v>44488</v>
      </c>
      <c r="F81" s="4" t="s">
        <v>1622</v>
      </c>
      <c r="G81" s="4"/>
      <c r="H81" s="4">
        <v>100066983</v>
      </c>
      <c r="I81" s="4" t="s">
        <v>1602</v>
      </c>
      <c r="J81" s="4"/>
      <c r="K81" s="4"/>
    </row>
    <row r="82" ht="16" customHeight="1" s="4" customFormat="1">
      <c r="A82" s="4" t="s">
        <v>1595</v>
      </c>
      <c r="B82" s="4">
        <v>300</v>
      </c>
      <c r="C82" s="5">
        <v>42698</v>
      </c>
      <c r="D82" s="5">
        <v>42741</v>
      </c>
      <c r="E82" s="5">
        <v>43797</v>
      </c>
      <c r="F82" s="4" t="s">
        <v>1622</v>
      </c>
      <c r="G82" s="4"/>
      <c r="H82" s="4">
        <v>100066986</v>
      </c>
      <c r="I82" s="4" t="s">
        <v>1602</v>
      </c>
      <c r="J82" s="4"/>
      <c r="K82" s="4"/>
    </row>
    <row r="83" ht="16" customHeight="1" s="4" customFormat="1">
      <c r="A83" s="4" t="s">
        <v>1631</v>
      </c>
      <c r="B83" s="4">
        <v>1525</v>
      </c>
      <c r="C83" s="5">
        <v>42587</v>
      </c>
      <c r="D83" s="4"/>
      <c r="E83" s="5">
        <v>43970</v>
      </c>
      <c r="F83" s="4" t="s">
        <v>1622</v>
      </c>
      <c r="G83" s="4"/>
      <c r="H83" s="4">
        <v>100057906</v>
      </c>
      <c r="I83" s="4" t="s">
        <v>1632</v>
      </c>
      <c r="J83" s="4"/>
      <c r="K83" s="4"/>
    </row>
    <row r="84" ht="16" customHeight="1" s="4" customFormat="1">
      <c r="A84" s="4" t="s">
        <v>1631</v>
      </c>
      <c r="B84" s="4">
        <v>1000</v>
      </c>
      <c r="C84" s="5">
        <v>42558</v>
      </c>
      <c r="D84" s="5">
        <v>42758</v>
      </c>
      <c r="E84" s="5">
        <v>42877</v>
      </c>
      <c r="F84" s="4" t="s">
        <v>1622</v>
      </c>
      <c r="G84" s="4"/>
      <c r="H84" s="4">
        <v>100052491</v>
      </c>
      <c r="I84" s="4" t="s">
        <v>1633</v>
      </c>
      <c r="J84" s="4"/>
      <c r="K84" s="4"/>
    </row>
    <row r="85" ht="16" customHeight="1" s="4" customFormat="1">
      <c r="A85" s="4" t="s">
        <v>1607</v>
      </c>
      <c r="B85" s="4">
        <v>76.5</v>
      </c>
      <c r="C85" s="5">
        <v>42545</v>
      </c>
      <c r="D85" s="4"/>
      <c r="E85" s="4"/>
      <c r="F85" s="4" t="s">
        <v>1621</v>
      </c>
      <c r="G85" s="4"/>
      <c r="H85" s="4">
        <v>100039805</v>
      </c>
      <c r="I85" s="4" t="s">
        <v>1608</v>
      </c>
      <c r="J85" s="4"/>
      <c r="K85" s="4"/>
    </row>
    <row r="86" ht="16" customHeight="1" s="4" customFormat="1">
      <c r="A86" s="4" t="s">
        <v>1595</v>
      </c>
      <c r="B86" s="4">
        <v>3000</v>
      </c>
      <c r="C86" s="5">
        <v>42524</v>
      </c>
      <c r="D86" s="5">
        <v>42555</v>
      </c>
      <c r="E86" s="5">
        <v>44544</v>
      </c>
      <c r="F86" s="4" t="s">
        <v>1622</v>
      </c>
      <c r="G86" s="4"/>
      <c r="H86" s="4">
        <v>100041969</v>
      </c>
      <c r="I86" s="4" t="s">
        <v>1634</v>
      </c>
      <c r="J86" s="4"/>
      <c r="K86" s="4"/>
    </row>
    <row r="87" ht="16" customHeight="1" s="4" customFormat="1">
      <c r="A87" s="4" t="s">
        <v>1595</v>
      </c>
      <c r="B87" s="4">
        <v>470</v>
      </c>
      <c r="C87" s="5">
        <v>42429</v>
      </c>
      <c r="D87" s="5">
        <v>42555</v>
      </c>
      <c r="E87" s="5">
        <v>42920</v>
      </c>
      <c r="F87" s="4" t="s">
        <v>1622</v>
      </c>
      <c r="G87" s="4"/>
      <c r="H87" s="4">
        <v>10624218</v>
      </c>
      <c r="I87" s="4" t="s">
        <v>1634</v>
      </c>
      <c r="J87" s="4"/>
      <c r="K87" s="4"/>
    </row>
    <row r="88" ht="16" customHeight="1" s="4" customFormat="1">
      <c r="A88" s="4" t="s">
        <v>1604</v>
      </c>
      <c r="B88" s="4">
        <v>3000</v>
      </c>
      <c r="C88" s="5">
        <v>42366</v>
      </c>
      <c r="D88" s="5">
        <v>42733</v>
      </c>
      <c r="E88" s="5">
        <v>43110</v>
      </c>
      <c r="F88" s="4" t="s">
        <v>1622</v>
      </c>
      <c r="G88" s="4"/>
      <c r="H88" s="4">
        <v>10609369</v>
      </c>
      <c r="I88" s="4" t="s">
        <v>1635</v>
      </c>
      <c r="J88" s="4"/>
      <c r="K88" s="4"/>
    </row>
    <row r="89" ht="16" customHeight="1" s="4" customFormat="1">
      <c r="A89" s="4" t="s">
        <v>1604</v>
      </c>
      <c r="B89" s="4">
        <v>1250</v>
      </c>
      <c r="C89" s="5">
        <v>42366</v>
      </c>
      <c r="D89" s="5">
        <v>42733</v>
      </c>
      <c r="E89" s="5">
        <v>45947</v>
      </c>
      <c r="F89" s="4" t="s">
        <v>1622</v>
      </c>
      <c r="G89" s="4"/>
      <c r="H89" s="4">
        <v>10609371</v>
      </c>
      <c r="I89" s="4" t="s">
        <v>1635</v>
      </c>
      <c r="J89" s="4"/>
      <c r="K89" s="4"/>
    </row>
    <row r="90" ht="16" customHeight="1" s="4" customFormat="1">
      <c r="A90" s="4" t="s">
        <v>1595</v>
      </c>
      <c r="B90" s="4">
        <v>4815</v>
      </c>
      <c r="C90" s="5">
        <v>42338</v>
      </c>
      <c r="D90" s="5">
        <v>45917</v>
      </c>
      <c r="E90" s="4"/>
      <c r="F90" s="4" t="s">
        <v>1621</v>
      </c>
      <c r="G90" s="4"/>
      <c r="H90" s="4">
        <v>10608964</v>
      </c>
      <c r="I90" s="4" t="s">
        <v>1596</v>
      </c>
      <c r="J90" s="4"/>
      <c r="K90" s="4"/>
    </row>
    <row r="91" ht="16" customHeight="1" s="4" customFormat="1">
      <c r="A91" s="4" t="s">
        <v>1595</v>
      </c>
      <c r="B91" s="4">
        <v>17050</v>
      </c>
      <c r="C91" s="5">
        <v>42307</v>
      </c>
      <c r="D91" s="5">
        <v>44526</v>
      </c>
      <c r="E91" s="4"/>
      <c r="F91" s="4" t="s">
        <v>1621</v>
      </c>
      <c r="G91" s="4"/>
      <c r="H91" s="4">
        <v>10600180</v>
      </c>
      <c r="I91" s="4" t="s">
        <v>1602</v>
      </c>
      <c r="J91" s="4"/>
      <c r="K91" s="4"/>
    </row>
    <row r="92" ht="16" customHeight="1" s="4" customFormat="1">
      <c r="A92" s="4" t="s">
        <v>1595</v>
      </c>
      <c r="B92" s="4">
        <v>2000</v>
      </c>
      <c r="C92" s="5">
        <v>42258</v>
      </c>
      <c r="D92" s="5">
        <v>42258</v>
      </c>
      <c r="E92" s="5">
        <v>44110</v>
      </c>
      <c r="F92" s="4" t="s">
        <v>1622</v>
      </c>
      <c r="G92" s="4"/>
      <c r="H92" s="4">
        <v>10594535</v>
      </c>
      <c r="I92" s="4" t="s">
        <v>1634</v>
      </c>
      <c r="J92" s="4"/>
      <c r="K92" s="4"/>
    </row>
    <row r="93" ht="16" customHeight="1" s="4" customFormat="1">
      <c r="A93" s="4" t="s">
        <v>1595</v>
      </c>
      <c r="B93" s="4">
        <v>525</v>
      </c>
      <c r="C93" s="5">
        <v>41996</v>
      </c>
      <c r="D93" s="5">
        <v>43095</v>
      </c>
      <c r="E93" s="5">
        <v>43133</v>
      </c>
      <c r="F93" s="4" t="s">
        <v>1622</v>
      </c>
      <c r="G93" s="4"/>
      <c r="H93" s="4">
        <v>10549220</v>
      </c>
      <c r="I93" s="4" t="s">
        <v>1602</v>
      </c>
      <c r="J93" s="4"/>
      <c r="K93" s="4"/>
    </row>
    <row r="94" ht="16" customHeight="1" s="4" customFormat="1">
      <c r="A94" s="4" t="s">
        <v>1604</v>
      </c>
      <c r="B94" s="4">
        <v>2000</v>
      </c>
      <c r="C94" s="5">
        <v>41925</v>
      </c>
      <c r="D94" s="5">
        <v>42209</v>
      </c>
      <c r="E94" s="5">
        <v>44335</v>
      </c>
      <c r="F94" s="4" t="s">
        <v>1622</v>
      </c>
      <c r="G94" s="4"/>
      <c r="H94" s="4">
        <v>10527478</v>
      </c>
      <c r="I94" s="4" t="s">
        <v>1636</v>
      </c>
      <c r="J94" s="4"/>
      <c r="K94" s="4"/>
    </row>
    <row r="95" ht="16" customHeight="1" s="4" customFormat="1">
      <c r="A95" s="4" t="s">
        <v>1604</v>
      </c>
      <c r="B95" s="4">
        <v>1025</v>
      </c>
      <c r="C95" s="5">
        <v>41894</v>
      </c>
      <c r="D95" s="5">
        <v>44279</v>
      </c>
      <c r="E95" s="5">
        <v>44420</v>
      </c>
      <c r="F95" s="4" t="s">
        <v>1622</v>
      </c>
      <c r="G95" s="4"/>
      <c r="H95" s="4">
        <v>10521351</v>
      </c>
      <c r="I95" s="4" t="s">
        <v>1637</v>
      </c>
      <c r="J95" s="4"/>
      <c r="K95" s="4"/>
    </row>
    <row r="96" ht="16" customHeight="1" s="4" customFormat="1">
      <c r="A96" s="4" t="s">
        <v>1631</v>
      </c>
      <c r="B96" s="4">
        <v>271</v>
      </c>
      <c r="C96" s="5">
        <v>41872</v>
      </c>
      <c r="D96" s="4"/>
      <c r="E96" s="5">
        <v>42254</v>
      </c>
      <c r="F96" s="4" t="s">
        <v>1622</v>
      </c>
      <c r="G96" s="4"/>
      <c r="H96" s="4">
        <v>10519057</v>
      </c>
      <c r="I96" s="4" t="s">
        <v>1633</v>
      </c>
      <c r="J96" s="4"/>
      <c r="K96" s="4"/>
    </row>
    <row r="97" ht="16" customHeight="1" s="4" customFormat="1">
      <c r="A97" s="4" t="s">
        <v>1631</v>
      </c>
      <c r="B97" s="4">
        <v>3038</v>
      </c>
      <c r="C97" s="5">
        <v>41872</v>
      </c>
      <c r="D97" s="4"/>
      <c r="E97" s="5">
        <v>42866</v>
      </c>
      <c r="F97" s="4" t="s">
        <v>1622</v>
      </c>
      <c r="G97" s="4"/>
      <c r="H97" s="4">
        <v>10519060</v>
      </c>
      <c r="I97" s="4" t="s">
        <v>1633</v>
      </c>
      <c r="J97" s="4"/>
      <c r="K97" s="4"/>
    </row>
    <row r="98" ht="16" customHeight="1" s="4" customFormat="1">
      <c r="A98" s="4" t="s">
        <v>1604</v>
      </c>
      <c r="B98" s="4">
        <v>5000</v>
      </c>
      <c r="C98" s="5">
        <v>41841</v>
      </c>
      <c r="D98" s="5">
        <v>42209</v>
      </c>
      <c r="E98" s="5">
        <v>44939</v>
      </c>
      <c r="F98" s="4" t="s">
        <v>1622</v>
      </c>
      <c r="G98" s="4"/>
      <c r="H98" s="4">
        <v>10510114</v>
      </c>
      <c r="I98" s="4" t="s">
        <v>1636</v>
      </c>
      <c r="J98" s="4"/>
      <c r="K98" s="4"/>
    </row>
    <row r="99" ht="16" customHeight="1" s="4" customFormat="1">
      <c r="A99" s="4" t="s">
        <v>1638</v>
      </c>
      <c r="B99" s="4">
        <v>500</v>
      </c>
      <c r="C99" s="5">
        <v>41744</v>
      </c>
      <c r="D99" s="4"/>
      <c r="E99" s="5">
        <v>41894</v>
      </c>
      <c r="F99" s="4" t="s">
        <v>1622</v>
      </c>
      <c r="G99" s="4"/>
      <c r="H99" s="4">
        <v>10497008</v>
      </c>
      <c r="I99" s="4" t="s">
        <v>1639</v>
      </c>
      <c r="J99" s="4"/>
      <c r="K99" s="4"/>
    </row>
    <row r="100" ht="16" customHeight="1" s="4" customFormat="1">
      <c r="A100" s="4" t="s">
        <v>1595</v>
      </c>
      <c r="B100" s="4">
        <v>2000</v>
      </c>
      <c r="C100" s="5">
        <v>41635</v>
      </c>
      <c r="D100" s="5">
        <v>41858</v>
      </c>
      <c r="E100" s="5">
        <v>42354</v>
      </c>
      <c r="F100" s="4" t="s">
        <v>1622</v>
      </c>
      <c r="G100" s="4"/>
      <c r="H100" s="4">
        <v>10470762</v>
      </c>
      <c r="I100" s="4" t="s">
        <v>1634</v>
      </c>
      <c r="J100" s="4"/>
      <c r="K100" s="4"/>
    </row>
    <row r="101" ht="16" customHeight="1" s="4" customFormat="1">
      <c r="A101" s="4" t="s">
        <v>1595</v>
      </c>
      <c r="B101" s="4">
        <v>1000</v>
      </c>
      <c r="C101" s="5">
        <v>41606</v>
      </c>
      <c r="D101" s="5">
        <v>41723</v>
      </c>
      <c r="E101" s="5">
        <v>42983</v>
      </c>
      <c r="F101" s="4" t="s">
        <v>1622</v>
      </c>
      <c r="G101" s="4"/>
      <c r="H101" s="4">
        <v>10467271</v>
      </c>
      <c r="I101" s="4" t="s">
        <v>1634</v>
      </c>
      <c r="J101" s="4"/>
      <c r="K101" s="4"/>
    </row>
    <row r="102" ht="16" customHeight="1" s="4" customFormat="1">
      <c r="A102" s="4" t="s">
        <v>1595</v>
      </c>
      <c r="B102" s="4">
        <v>1200</v>
      </c>
      <c r="C102" s="5">
        <v>41547</v>
      </c>
      <c r="D102" s="5">
        <v>41631</v>
      </c>
      <c r="E102" s="5">
        <v>43307</v>
      </c>
      <c r="F102" s="4" t="s">
        <v>1622</v>
      </c>
      <c r="G102" s="4"/>
      <c r="H102" s="4">
        <v>10464741</v>
      </c>
      <c r="I102" s="4" t="s">
        <v>1634</v>
      </c>
      <c r="J102" s="4"/>
      <c r="K102" s="4"/>
    </row>
    <row r="103" ht="16" customHeight="1" s="4" customFormat="1">
      <c r="A103" s="4" t="s">
        <v>1595</v>
      </c>
      <c r="B103" s="4">
        <v>1000</v>
      </c>
      <c r="C103" s="5">
        <v>41516</v>
      </c>
      <c r="D103" s="5">
        <v>41702</v>
      </c>
      <c r="E103" s="5">
        <v>41898</v>
      </c>
      <c r="F103" s="4" t="s">
        <v>1622</v>
      </c>
      <c r="G103" s="4"/>
      <c r="H103" s="4">
        <v>10449511</v>
      </c>
      <c r="I103" s="4" t="s">
        <v>1634</v>
      </c>
      <c r="J103" s="4"/>
      <c r="K103" s="4"/>
    </row>
    <row r="104" ht="16" customHeight="1" s="4" customFormat="1">
      <c r="A104" s="4" t="s">
        <v>1595</v>
      </c>
      <c r="B104" s="4">
        <v>2500</v>
      </c>
      <c r="C104" s="5">
        <v>41450</v>
      </c>
      <c r="D104" s="5">
        <v>41544</v>
      </c>
      <c r="E104" s="5">
        <v>43223</v>
      </c>
      <c r="F104" s="4" t="s">
        <v>1622</v>
      </c>
      <c r="G104" s="4"/>
      <c r="H104" s="4">
        <v>10437388</v>
      </c>
      <c r="I104" s="4" t="s">
        <v>1634</v>
      </c>
      <c r="J104" s="4"/>
      <c r="K104" s="4"/>
    </row>
    <row r="105" ht="16" customHeight="1" s="4" customFormat="1">
      <c r="A105" s="4" t="s">
        <v>1595</v>
      </c>
      <c r="B105" s="4">
        <v>2000</v>
      </c>
      <c r="C105" s="5">
        <v>41379</v>
      </c>
      <c r="D105" s="4"/>
      <c r="E105" s="5">
        <v>43133</v>
      </c>
      <c r="F105" s="4" t="s">
        <v>1622</v>
      </c>
      <c r="G105" s="4"/>
      <c r="H105" s="4">
        <v>10419764</v>
      </c>
      <c r="I105" s="4" t="s">
        <v>1634</v>
      </c>
      <c r="J105" s="4"/>
      <c r="K105" s="4"/>
    </row>
    <row r="106" ht="16" customHeight="1" s="4" customFormat="1">
      <c r="A106" s="4" t="s">
        <v>1640</v>
      </c>
      <c r="B106" s="4">
        <v>120</v>
      </c>
      <c r="C106" s="5">
        <v>41355</v>
      </c>
      <c r="D106" s="4"/>
      <c r="E106" s="5">
        <v>41591</v>
      </c>
      <c r="F106" s="4" t="s">
        <v>1622</v>
      </c>
      <c r="G106" s="4"/>
      <c r="H106" s="4">
        <v>10421231</v>
      </c>
      <c r="I106" s="4" t="s">
        <v>1641</v>
      </c>
      <c r="J106" s="4"/>
      <c r="K106" s="4"/>
    </row>
    <row r="107" ht="16" customHeight="1" s="4" customFormat="1">
      <c r="A107" s="4" t="s">
        <v>1595</v>
      </c>
      <c r="B107" s="4">
        <v>2000</v>
      </c>
      <c r="C107" s="5">
        <v>41295</v>
      </c>
      <c r="D107" s="4"/>
      <c r="E107" s="5">
        <v>43133</v>
      </c>
      <c r="F107" s="4" t="s">
        <v>1622</v>
      </c>
      <c r="G107" s="4"/>
      <c r="H107" s="4">
        <v>10403083</v>
      </c>
      <c r="I107" s="4" t="s">
        <v>1634</v>
      </c>
      <c r="J107" s="4"/>
      <c r="K107" s="4"/>
    </row>
    <row r="108" ht="16" customHeight="1" s="4" customFormat="1">
      <c r="A108" s="4" t="s">
        <v>1609</v>
      </c>
      <c r="B108" s="4">
        <v>750</v>
      </c>
      <c r="C108" s="5">
        <v>41156</v>
      </c>
      <c r="D108" s="4"/>
      <c r="E108" s="4"/>
      <c r="F108" s="4" t="s">
        <v>1621</v>
      </c>
      <c r="G108" s="4"/>
      <c r="H108" s="4">
        <v>10378088</v>
      </c>
      <c r="I108" s="4" t="s">
        <v>1610</v>
      </c>
      <c r="J108" s="4"/>
      <c r="K108" s="4"/>
    </row>
    <row r="109" ht="16" customHeight="1" s="4" customFormat="1">
      <c r="A109" s="4" t="s">
        <v>1642</v>
      </c>
      <c r="B109" s="4">
        <v>250</v>
      </c>
      <c r="C109" s="5">
        <v>40997</v>
      </c>
      <c r="D109" s="4"/>
      <c r="E109" s="5">
        <v>41204</v>
      </c>
      <c r="F109" s="4" t="s">
        <v>1622</v>
      </c>
      <c r="G109" s="4"/>
      <c r="H109" s="4">
        <v>10351132</v>
      </c>
      <c r="I109" s="4" t="s">
        <v>1643</v>
      </c>
      <c r="J109" s="4"/>
      <c r="K109" s="4"/>
    </row>
    <row r="110" ht="16" customHeight="1" s="4" customFormat="1">
      <c r="A110" s="4" t="s">
        <v>1609</v>
      </c>
      <c r="B110" s="4">
        <v>625</v>
      </c>
      <c r="C110" s="5">
        <v>40644</v>
      </c>
      <c r="D110" s="5">
        <v>40654</v>
      </c>
      <c r="E110" s="5">
        <v>41963</v>
      </c>
      <c r="F110" s="4" t="s">
        <v>1622</v>
      </c>
      <c r="G110" s="4"/>
      <c r="H110" s="4">
        <v>10285311</v>
      </c>
      <c r="I110" s="4" t="s">
        <v>1644</v>
      </c>
      <c r="J110" s="4"/>
      <c r="K110" s="4"/>
    </row>
    <row r="111" ht="16" customHeight="1" s="4" customFormat="1">
      <c r="A111" s="4" t="s">
        <v>1611</v>
      </c>
      <c r="B111" s="4">
        <v>160</v>
      </c>
      <c r="C111" s="5">
        <v>40621</v>
      </c>
      <c r="D111" s="4"/>
      <c r="E111" s="5">
        <v>42769</v>
      </c>
      <c r="F111" s="4" t="s">
        <v>1622</v>
      </c>
      <c r="G111" s="4"/>
      <c r="H111" s="4">
        <v>10276869</v>
      </c>
      <c r="I111" s="4" t="s">
        <v>1612</v>
      </c>
      <c r="J111" s="4"/>
      <c r="K111" s="4"/>
    </row>
    <row r="112" ht="16" customHeight="1" s="4" customFormat="1">
      <c r="A112" s="4" t="s">
        <v>1645</v>
      </c>
      <c r="B112" s="4">
        <v>400</v>
      </c>
      <c r="C112" s="5">
        <v>40556</v>
      </c>
      <c r="D112" s="5">
        <v>41116</v>
      </c>
      <c r="E112" s="5">
        <v>42835</v>
      </c>
      <c r="F112" s="4" t="s">
        <v>1622</v>
      </c>
      <c r="G112" s="4"/>
      <c r="H112" s="4">
        <v>10268621</v>
      </c>
      <c r="I112" s="4" t="s">
        <v>1646</v>
      </c>
      <c r="J112" s="4"/>
      <c r="K112" s="4"/>
    </row>
    <row r="113" ht="16" customHeight="1" s="4" customFormat="1">
      <c r="A113" s="4" t="s">
        <v>803</v>
      </c>
      <c r="B113" s="4">
        <v>100</v>
      </c>
      <c r="C113" s="5">
        <v>40283</v>
      </c>
      <c r="D113" s="4"/>
      <c r="E113" s="5">
        <v>41964</v>
      </c>
      <c r="F113" s="4" t="s">
        <v>1622</v>
      </c>
      <c r="G113" s="4"/>
      <c r="H113" s="4">
        <v>10217878</v>
      </c>
      <c r="I113" s="4" t="s">
        <v>1647</v>
      </c>
      <c r="J113" s="4"/>
      <c r="K113" s="4"/>
    </row>
    <row r="114" ht="16" customHeight="1" s="4" customFormat="1">
      <c r="A114" s="4" t="s">
        <v>1609</v>
      </c>
      <c r="B114" s="4">
        <v>100</v>
      </c>
      <c r="C114" s="5">
        <v>40185</v>
      </c>
      <c r="D114" s="4"/>
      <c r="E114" s="5">
        <v>41963</v>
      </c>
      <c r="F114" s="4" t="s">
        <v>1622</v>
      </c>
      <c r="G114" s="4"/>
      <c r="H114" s="4">
        <v>10291966</v>
      </c>
      <c r="I114" s="4" t="s">
        <v>1648</v>
      </c>
      <c r="J114" s="4"/>
      <c r="K114" s="4"/>
    </row>
    <row r="115" ht="16" customHeight="1" s="4" customFormat="1">
      <c r="A115" s="4" t="s">
        <v>1609</v>
      </c>
      <c r="B115" s="4">
        <v>38</v>
      </c>
      <c r="C115" s="5">
        <v>40154</v>
      </c>
      <c r="D115" s="4"/>
      <c r="E115" s="5">
        <v>41963</v>
      </c>
      <c r="F115" s="4" t="s">
        <v>1622</v>
      </c>
      <c r="G115" s="4"/>
      <c r="H115" s="4">
        <v>10291957</v>
      </c>
      <c r="I115" s="4" t="s">
        <v>1649</v>
      </c>
      <c r="J115" s="4"/>
      <c r="K115" s="4"/>
    </row>
    <row r="116" ht="16" customHeight="1" s="4" customFormat="1">
      <c r="A116" s="4" t="s">
        <v>1631</v>
      </c>
      <c r="B116" s="4">
        <v>581</v>
      </c>
      <c r="C116" s="5">
        <v>39993</v>
      </c>
      <c r="D116" s="5">
        <v>41348</v>
      </c>
      <c r="E116" s="5">
        <v>41495</v>
      </c>
      <c r="F116" s="4" t="s">
        <v>1622</v>
      </c>
      <c r="G116" s="4"/>
      <c r="H116" s="4">
        <v>10167570</v>
      </c>
      <c r="I116" s="4" t="s">
        <v>1633</v>
      </c>
      <c r="J116" s="4"/>
      <c r="K116" s="4"/>
    </row>
    <row r="117" ht="16" customHeight="1" s="4" customFormat="1">
      <c r="A117" s="4" t="s">
        <v>1611</v>
      </c>
      <c r="B117" s="4">
        <v>2.5</v>
      </c>
      <c r="C117" s="5">
        <v>39685</v>
      </c>
      <c r="D117" s="5">
        <v>40315</v>
      </c>
      <c r="E117" s="4"/>
      <c r="F117" s="4" t="s">
        <v>1621</v>
      </c>
      <c r="G117" s="4"/>
      <c r="H117" s="4">
        <v>10123840</v>
      </c>
      <c r="I117" s="4" t="s">
        <v>1612</v>
      </c>
      <c r="J117" s="4"/>
      <c r="K117" s="4"/>
    </row>
    <row r="118" ht="16" customHeight="1" s="4" customFormat="1">
      <c r="A118" s="4" t="s">
        <v>1650</v>
      </c>
      <c r="B118" s="4">
        <v>586</v>
      </c>
      <c r="C118" s="5">
        <v>39169</v>
      </c>
      <c r="D118" s="4"/>
      <c r="E118" s="5">
        <v>39507</v>
      </c>
      <c r="F118" s="4" t="s">
        <v>1622</v>
      </c>
      <c r="G118" s="4"/>
      <c r="H118" s="4">
        <v>10048007</v>
      </c>
      <c r="I118" s="4" t="s">
        <v>1651</v>
      </c>
      <c r="J118" s="4"/>
      <c r="K118" s="4"/>
    </row>
    <row r="119" ht="16" customHeight="1" s="4" customFormat="1">
      <c r="A119" s="4" t="s">
        <v>1652</v>
      </c>
      <c r="B119" s="4">
        <v>345</v>
      </c>
      <c r="C119" s="5">
        <v>38989</v>
      </c>
      <c r="D119" s="4"/>
      <c r="E119" s="5">
        <v>40935</v>
      </c>
      <c r="F119" s="4" t="s">
        <v>1622</v>
      </c>
      <c r="G119" s="4"/>
      <c r="H119" s="4">
        <v>10029223</v>
      </c>
      <c r="I119" s="4" t="s">
        <v>1653</v>
      </c>
      <c r="J119" s="4"/>
      <c r="K119" s="4"/>
    </row>
    <row r="120" ht="16" customHeight="1" s="4" customFormat="1">
      <c r="A120" s="4" t="s">
        <v>1611</v>
      </c>
      <c r="B120" s="4">
        <v>800</v>
      </c>
      <c r="C120" s="5">
        <v>38980</v>
      </c>
      <c r="D120" s="5">
        <v>41355</v>
      </c>
      <c r="E120" s="5">
        <v>42752</v>
      </c>
      <c r="F120" s="4" t="s">
        <v>1622</v>
      </c>
      <c r="G120" s="4"/>
      <c r="H120" s="4">
        <v>10020828</v>
      </c>
      <c r="I120" s="4" t="s">
        <v>1612</v>
      </c>
      <c r="J120" s="4"/>
      <c r="K120" s="4"/>
    </row>
    <row r="121" ht="16" customHeight="1" s="4" customFormat="1">
      <c r="A121" s="4" t="s">
        <v>1654</v>
      </c>
      <c r="B121" s="4">
        <v>120</v>
      </c>
      <c r="C121" s="5">
        <v>38980</v>
      </c>
      <c r="D121" s="5">
        <v>41355</v>
      </c>
      <c r="E121" s="5">
        <v>41355</v>
      </c>
      <c r="F121" s="4" t="s">
        <v>1622</v>
      </c>
      <c r="G121" s="4"/>
      <c r="H121" s="4">
        <v>10022004</v>
      </c>
      <c r="I121" s="4" t="s">
        <v>1655</v>
      </c>
      <c r="J121" s="4"/>
      <c r="K121" s="4"/>
    </row>
    <row r="122" ht="16" customHeight="1" s="4" customFormat="1">
      <c r="A122" s="4" t="s">
        <v>1656</v>
      </c>
      <c r="B122" s="4">
        <v>210</v>
      </c>
      <c r="C122" s="5">
        <v>38980</v>
      </c>
      <c r="D122" s="5">
        <v>41355</v>
      </c>
      <c r="E122" s="5">
        <v>42307</v>
      </c>
      <c r="F122" s="4" t="s">
        <v>1622</v>
      </c>
      <c r="G122" s="4"/>
      <c r="H122" s="4">
        <v>10024200</v>
      </c>
      <c r="I122" s="4" t="s">
        <v>1657</v>
      </c>
      <c r="J122" s="4"/>
      <c r="K122" s="4"/>
    </row>
    <row r="123" ht="16" customHeight="1" s="4" customFormat="1">
      <c r="A123" s="4" t="s">
        <v>1658</v>
      </c>
      <c r="B123" s="4">
        <v>200</v>
      </c>
      <c r="C123" s="5">
        <v>38980</v>
      </c>
      <c r="D123" s="4"/>
      <c r="E123" s="5">
        <v>41320</v>
      </c>
      <c r="F123" s="4" t="s">
        <v>1622</v>
      </c>
      <c r="G123" s="4"/>
      <c r="H123" s="4">
        <v>10024202</v>
      </c>
      <c r="I123" s="4" t="s">
        <v>1659</v>
      </c>
      <c r="J123" s="4"/>
      <c r="K123" s="4"/>
    </row>
    <row r="124" ht="16" customHeight="1" s="4" customFormat="1">
      <c r="A124" s="4" t="s">
        <v>1660</v>
      </c>
      <c r="B124" s="4">
        <v>250</v>
      </c>
      <c r="C124" s="5">
        <v>38980</v>
      </c>
      <c r="D124" s="4"/>
      <c r="E124" s="5">
        <v>40945</v>
      </c>
      <c r="F124" s="4" t="s">
        <v>1622</v>
      </c>
      <c r="G124" s="4"/>
      <c r="H124" s="4">
        <v>10024575</v>
      </c>
      <c r="I124" s="4" t="s">
        <v>1661</v>
      </c>
      <c r="J124" s="4"/>
      <c r="K124" s="4"/>
    </row>
    <row r="125" ht="16" customHeight="1" s="4" customFormat="1">
      <c r="A125" s="4" t="s">
        <v>1662</v>
      </c>
      <c r="B125" s="4">
        <v>500</v>
      </c>
      <c r="C125" s="5">
        <v>38980</v>
      </c>
      <c r="D125" s="5">
        <v>41355</v>
      </c>
      <c r="E125" s="5">
        <v>42740</v>
      </c>
      <c r="F125" s="4" t="s">
        <v>1622</v>
      </c>
      <c r="G125" s="4"/>
      <c r="H125" s="4">
        <v>10024856</v>
      </c>
      <c r="I125" s="4" t="s">
        <v>1663</v>
      </c>
      <c r="J125" s="4"/>
      <c r="K125" s="4"/>
    </row>
    <row r="126" ht="16" customHeight="1" s="4" customFormat="1">
      <c r="A126" s="4" t="s">
        <v>1664</v>
      </c>
      <c r="B126" s="4">
        <v>125</v>
      </c>
      <c r="C126" s="5">
        <v>38980</v>
      </c>
      <c r="D126" s="4"/>
      <c r="E126" s="5">
        <v>41394</v>
      </c>
      <c r="F126" s="4" t="s">
        <v>1622</v>
      </c>
      <c r="G126" s="4"/>
      <c r="H126" s="4">
        <v>10025338</v>
      </c>
      <c r="I126" s="4" t="s">
        <v>1665</v>
      </c>
      <c r="J126" s="4"/>
      <c r="K126" s="4"/>
    </row>
    <row r="127" ht="16" customHeight="1" s="4" customFormat="1">
      <c r="A127" s="4" t="s">
        <v>803</v>
      </c>
      <c r="B127" s="4">
        <v>1700</v>
      </c>
      <c r="C127" s="5">
        <v>38980</v>
      </c>
      <c r="D127" s="5">
        <v>41355</v>
      </c>
      <c r="E127" s="5">
        <v>42712</v>
      </c>
      <c r="F127" s="4" t="s">
        <v>1622</v>
      </c>
      <c r="G127" s="4"/>
      <c r="H127" s="4">
        <v>10026057</v>
      </c>
      <c r="I127" s="4" t="s">
        <v>1647</v>
      </c>
      <c r="J127" s="4"/>
      <c r="K127" s="4"/>
    </row>
    <row r="128" ht="16" customHeight="1" s="4" customFormat="1">
      <c r="A128" s="4" t="s">
        <v>1607</v>
      </c>
      <c r="B128" s="4">
        <v>100</v>
      </c>
      <c r="C128" s="5">
        <v>38980</v>
      </c>
      <c r="D128" s="4"/>
      <c r="E128" s="5">
        <v>41310</v>
      </c>
      <c r="F128" s="4" t="s">
        <v>1622</v>
      </c>
      <c r="G128" s="4"/>
      <c r="H128" s="4">
        <v>10027282</v>
      </c>
      <c r="I128" s="4" t="s">
        <v>1666</v>
      </c>
      <c r="J128" s="4"/>
      <c r="K128" s="4"/>
    </row>
    <row r="129" ht="16" customHeight="1" s="4" customFormat="1">
      <c r="A129" s="4" t="s">
        <v>1667</v>
      </c>
      <c r="B129" s="4">
        <v>270</v>
      </c>
      <c r="C129" s="5">
        <v>38980</v>
      </c>
      <c r="D129" s="5">
        <v>41355</v>
      </c>
      <c r="E129" s="5">
        <v>42744</v>
      </c>
      <c r="F129" s="4" t="s">
        <v>1622</v>
      </c>
      <c r="G129" s="4"/>
      <c r="H129" s="4">
        <v>10027283</v>
      </c>
      <c r="I129" s="4" t="s">
        <v>1668</v>
      </c>
      <c r="J129" s="4"/>
      <c r="K129" s="4"/>
    </row>
    <row r="130" ht="16" customHeight="1" s="4" customFormat="1">
      <c r="A130" s="4" t="s">
        <v>1609</v>
      </c>
      <c r="B130" s="4">
        <v>400</v>
      </c>
      <c r="C130" s="5">
        <v>38980</v>
      </c>
      <c r="D130" s="5">
        <v>41355</v>
      </c>
      <c r="E130" s="5">
        <v>42702</v>
      </c>
      <c r="F130" s="4" t="s">
        <v>1622</v>
      </c>
      <c r="G130" s="4"/>
      <c r="H130" s="4">
        <v>10033069</v>
      </c>
      <c r="I130" s="4" t="s">
        <v>1669</v>
      </c>
      <c r="J130" s="4"/>
      <c r="K130" s="4"/>
    </row>
    <row r="131" ht="16" customHeight="1" s="4" customFormat="1">
      <c r="A131" s="4" t="s">
        <v>515</v>
      </c>
      <c r="B131" s="4">
        <v>100</v>
      </c>
      <c r="C131" s="5">
        <v>38980</v>
      </c>
      <c r="D131" s="4"/>
      <c r="E131" s="5">
        <v>40941</v>
      </c>
      <c r="F131" s="4" t="s">
        <v>1622</v>
      </c>
      <c r="G131" s="4"/>
      <c r="H131" s="4">
        <v>10033072</v>
      </c>
      <c r="I131" s="4" t="s">
        <v>1670</v>
      </c>
      <c r="J131" s="4"/>
      <c r="K131" s="4"/>
    </row>
    <row r="132" ht="16" customHeight="1" s="4" customFormat="1">
      <c r="A132" s="4" t="s">
        <v>1671</v>
      </c>
      <c r="B132" s="4">
        <v>17.5</v>
      </c>
      <c r="C132" s="5">
        <v>38980</v>
      </c>
      <c r="D132" s="5">
        <v>41355</v>
      </c>
      <c r="E132" s="5">
        <v>42710</v>
      </c>
      <c r="F132" s="4" t="s">
        <v>1622</v>
      </c>
      <c r="G132" s="4"/>
      <c r="H132" s="4">
        <v>10033074</v>
      </c>
      <c r="I132" s="4" t="s">
        <v>1672</v>
      </c>
      <c r="J132" s="4"/>
      <c r="K132" s="4"/>
    </row>
    <row r="133" ht="16" customHeight="1" s="4" customFormat="1">
      <c r="A133" s="4" t="s">
        <v>1673</v>
      </c>
      <c r="B133" s="4">
        <v>200</v>
      </c>
      <c r="C133" s="5">
        <v>38980</v>
      </c>
      <c r="D133" s="5">
        <v>41355</v>
      </c>
      <c r="E133" s="5">
        <v>42713</v>
      </c>
      <c r="F133" s="4" t="s">
        <v>1622</v>
      </c>
      <c r="G133" s="4"/>
      <c r="H133" s="4">
        <v>10033075</v>
      </c>
      <c r="I133" s="4" t="s">
        <v>1674</v>
      </c>
      <c r="J133" s="4"/>
      <c r="K133" s="4"/>
    </row>
    <row r="134" ht="16" customHeight="1" s="4" customFormat="1">
      <c r="A134" s="4" t="s">
        <v>1675</v>
      </c>
      <c r="B134" s="4">
        <v>125</v>
      </c>
      <c r="C134" s="5">
        <v>38980</v>
      </c>
      <c r="D134" s="4"/>
      <c r="E134" s="5">
        <v>41334</v>
      </c>
      <c r="F134" s="4" t="s">
        <v>1622</v>
      </c>
      <c r="G134" s="4"/>
      <c r="H134" s="4">
        <v>10033076</v>
      </c>
      <c r="I134" s="4" t="s">
        <v>1676</v>
      </c>
      <c r="J134" s="4"/>
      <c r="K134" s="4"/>
    </row>
    <row r="135" ht="16" customHeight="1" s="4" customFormat="1">
      <c r="A135" s="4" t="s">
        <v>1530</v>
      </c>
      <c r="B135" s="4">
        <v>100</v>
      </c>
      <c r="C135" s="5">
        <v>38980</v>
      </c>
      <c r="D135" s="4"/>
      <c r="E135" s="5">
        <v>41355</v>
      </c>
      <c r="F135" s="4" t="s">
        <v>1622</v>
      </c>
      <c r="G135" s="4"/>
      <c r="H135" s="4">
        <v>10033540</v>
      </c>
      <c r="I135" s="4" t="s">
        <v>1677</v>
      </c>
      <c r="J135" s="4"/>
      <c r="K135" s="4"/>
    </row>
    <row r="136" ht="16" customHeight="1" s="4" customFormat="1">
      <c r="A136" s="4" t="s">
        <v>1678</v>
      </c>
      <c r="B136" s="4">
        <v>125</v>
      </c>
      <c r="C136" s="5">
        <v>38980</v>
      </c>
      <c r="D136" s="4"/>
      <c r="E136" s="5">
        <v>41011</v>
      </c>
      <c r="F136" s="4" t="s">
        <v>1622</v>
      </c>
      <c r="G136" s="4"/>
      <c r="H136" s="4">
        <v>10033594</v>
      </c>
      <c r="I136" s="4" t="s">
        <v>1679</v>
      </c>
      <c r="J136" s="4"/>
      <c r="K136" s="4"/>
    </row>
    <row r="137" ht="16" customHeight="1" s="4" customFormat="1">
      <c r="A137" s="4" t="s">
        <v>1660</v>
      </c>
      <c r="B137" s="4">
        <v>250</v>
      </c>
      <c r="C137" s="5">
        <v>38980</v>
      </c>
      <c r="D137" s="4"/>
      <c r="E137" s="5">
        <v>40945</v>
      </c>
      <c r="F137" s="4" t="s">
        <v>1622</v>
      </c>
      <c r="G137" s="4"/>
      <c r="H137" s="4">
        <v>10060605</v>
      </c>
      <c r="I137" s="4" t="s">
        <v>1661</v>
      </c>
      <c r="J137" s="4"/>
      <c r="K137" s="4"/>
    </row>
    <row r="138" ht="16" customHeight="1" s="4" customFormat="1">
      <c r="A138" s="4" t="s">
        <v>1628</v>
      </c>
      <c r="B138" s="4">
        <v>150</v>
      </c>
      <c r="C138" s="5">
        <v>38980</v>
      </c>
      <c r="D138" s="4"/>
      <c r="E138" s="5">
        <v>40975</v>
      </c>
      <c r="F138" s="4" t="s">
        <v>1622</v>
      </c>
      <c r="G138" s="4"/>
      <c r="H138" s="4">
        <v>10321373</v>
      </c>
      <c r="I138" s="4" t="s">
        <v>1680</v>
      </c>
      <c r="J138" s="4"/>
      <c r="K138" s="4"/>
    </row>
    <row r="139" ht="16" customHeight="1" s="4" customFormat="1">
      <c r="A139" s="4" t="s">
        <v>1681</v>
      </c>
      <c r="B139" s="4">
        <v>77</v>
      </c>
      <c r="C139" s="5">
        <v>38618</v>
      </c>
      <c r="D139" s="5">
        <v>38972</v>
      </c>
      <c r="E139" s="5">
        <v>41011</v>
      </c>
      <c r="F139" s="4" t="s">
        <v>1622</v>
      </c>
      <c r="G139" s="4"/>
      <c r="H139" s="4">
        <v>10043348</v>
      </c>
      <c r="I139" s="4" t="s">
        <v>1682</v>
      </c>
      <c r="J139" s="4"/>
      <c r="K139" s="4"/>
    </row>
    <row r="140" ht="16" customHeight="1" s="4" customFormat="1">
      <c r="A140" s="4" t="s">
        <v>803</v>
      </c>
      <c r="B140" s="4">
        <v>23</v>
      </c>
      <c r="C140" s="5">
        <v>38507</v>
      </c>
      <c r="D140" s="5">
        <v>38484</v>
      </c>
      <c r="E140" s="5">
        <v>41830</v>
      </c>
      <c r="F140" s="4" t="s">
        <v>1622</v>
      </c>
      <c r="G140" s="4"/>
      <c r="H140" s="4">
        <v>90001890</v>
      </c>
      <c r="I140" s="4" t="s">
        <v>1683</v>
      </c>
      <c r="J140" s="4"/>
      <c r="K140" s="4"/>
    </row>
    <row r="141" ht="16" customHeight="1" s="4" customFormat="1">
      <c r="A141" s="4" t="s">
        <v>1684</v>
      </c>
      <c r="B141" s="4">
        <v>30</v>
      </c>
      <c r="C141" s="5">
        <v>38156</v>
      </c>
      <c r="D141" s="5">
        <v>39762</v>
      </c>
      <c r="E141" s="5">
        <v>41041</v>
      </c>
      <c r="F141" s="4" t="s">
        <v>1622</v>
      </c>
      <c r="G141" s="4"/>
      <c r="H141" s="4">
        <v>90001642</v>
      </c>
      <c r="I141" s="4" t="s">
        <v>1685</v>
      </c>
      <c r="J141" s="4"/>
      <c r="K141" s="4"/>
    </row>
    <row r="142" ht="16" customHeight="1" s="4" customFormat="1">
      <c r="A142" s="4" t="s">
        <v>803</v>
      </c>
      <c r="B142" s="4">
        <v>100</v>
      </c>
      <c r="C142" s="5">
        <v>38142</v>
      </c>
      <c r="D142" s="5">
        <v>40929</v>
      </c>
      <c r="E142" s="5">
        <v>42228</v>
      </c>
      <c r="F142" s="4" t="s">
        <v>1622</v>
      </c>
      <c r="G142" s="4"/>
      <c r="H142" s="4">
        <v>80064579</v>
      </c>
      <c r="I142" s="4" t="s">
        <v>1686</v>
      </c>
      <c r="J142" s="4"/>
      <c r="K142" s="4"/>
    </row>
    <row r="143" ht="16" customHeight="1" s="4" customFormat="1">
      <c r="A143" s="4" t="s">
        <v>803</v>
      </c>
      <c r="B143" s="4">
        <v>23</v>
      </c>
      <c r="C143" s="5">
        <v>38142</v>
      </c>
      <c r="D143" s="5">
        <v>38484</v>
      </c>
      <c r="E143" s="5">
        <v>39777</v>
      </c>
      <c r="F143" s="4" t="s">
        <v>1622</v>
      </c>
      <c r="G143" s="4"/>
      <c r="H143" s="4">
        <v>90001628</v>
      </c>
      <c r="I143" s="4" t="s">
        <v>1687</v>
      </c>
      <c r="J143" s="4"/>
      <c r="K143" s="4"/>
    </row>
    <row r="144" ht="16" customHeight="1" s="4" customFormat="1">
      <c r="A144" s="4" t="s">
        <v>1650</v>
      </c>
      <c r="B144" s="4">
        <v>849</v>
      </c>
      <c r="C144" s="5">
        <v>37967</v>
      </c>
      <c r="D144" s="4"/>
      <c r="E144" s="5">
        <v>40962</v>
      </c>
      <c r="F144" s="4" t="s">
        <v>1622</v>
      </c>
      <c r="G144" s="4"/>
      <c r="H144" s="4">
        <v>80064142</v>
      </c>
      <c r="I144" s="4" t="s">
        <v>1688</v>
      </c>
      <c r="J144" s="4"/>
      <c r="K144" s="4"/>
    </row>
    <row r="145" ht="16" customHeight="1" s="4" customFormat="1">
      <c r="A145" s="4" t="s">
        <v>803</v>
      </c>
      <c r="B145" s="4">
        <v>115</v>
      </c>
      <c r="C145" s="5">
        <v>37903</v>
      </c>
      <c r="D145" s="4"/>
      <c r="E145" s="5">
        <v>44411</v>
      </c>
      <c r="F145" s="4" t="s">
        <v>1622</v>
      </c>
      <c r="G145" s="4"/>
      <c r="H145" s="4">
        <v>90001523</v>
      </c>
      <c r="I145" s="4" t="s">
        <v>1689</v>
      </c>
      <c r="J145" s="4"/>
      <c r="K145" s="4"/>
    </row>
    <row r="146" ht="16" customHeight="1" s="4" customFormat="1">
      <c r="A146" s="4" t="s">
        <v>1690</v>
      </c>
      <c r="B146" s="4">
        <v>250</v>
      </c>
      <c r="C146" s="5">
        <v>37893</v>
      </c>
      <c r="D146" s="4"/>
      <c r="E146" s="5">
        <v>39016</v>
      </c>
      <c r="F146" s="4" t="s">
        <v>1622</v>
      </c>
      <c r="G146" s="4"/>
      <c r="H146" s="4">
        <v>90146519</v>
      </c>
      <c r="I146" s="4" t="s">
        <v>1691</v>
      </c>
      <c r="J146" s="4"/>
      <c r="K146" s="4"/>
    </row>
    <row r="147" ht="16" customHeight="1" s="4" customFormat="1">
      <c r="A147" s="4" t="s">
        <v>1631</v>
      </c>
      <c r="B147" s="4">
        <v>60</v>
      </c>
      <c r="C147" s="5">
        <v>37811</v>
      </c>
      <c r="D147" s="5">
        <v>40709</v>
      </c>
      <c r="E147" s="5">
        <v>41425</v>
      </c>
      <c r="F147" s="4" t="s">
        <v>1622</v>
      </c>
      <c r="G147" s="4"/>
      <c r="H147" s="4">
        <v>80062051</v>
      </c>
      <c r="I147" s="4" t="s">
        <v>1633</v>
      </c>
      <c r="J147" s="4"/>
      <c r="K147" s="4"/>
    </row>
    <row r="148" ht="16" customHeight="1" s="4" customFormat="1">
      <c r="A148" s="4" t="s">
        <v>1692</v>
      </c>
      <c r="B148" s="4">
        <v>250</v>
      </c>
      <c r="C148" s="5">
        <v>37807</v>
      </c>
      <c r="D148" s="4"/>
      <c r="E148" s="5">
        <v>42094</v>
      </c>
      <c r="F148" s="4" t="s">
        <v>1622</v>
      </c>
      <c r="G148" s="4"/>
      <c r="H148" s="4">
        <v>90144569</v>
      </c>
      <c r="I148" s="4" t="s">
        <v>1693</v>
      </c>
      <c r="J148" s="4"/>
      <c r="K148" s="4"/>
    </row>
    <row r="149" ht="16" customHeight="1" s="4" customFormat="1">
      <c r="A149" s="4" t="s">
        <v>1667</v>
      </c>
      <c r="B149" s="4">
        <v>25</v>
      </c>
      <c r="C149" s="5">
        <v>37464</v>
      </c>
      <c r="D149" s="5">
        <v>38152</v>
      </c>
      <c r="E149" s="5">
        <v>40953</v>
      </c>
      <c r="F149" s="4" t="s">
        <v>1622</v>
      </c>
      <c r="G149" s="4"/>
      <c r="H149" s="4">
        <v>90001353</v>
      </c>
      <c r="I149" s="4" t="s">
        <v>1694</v>
      </c>
      <c r="J149" s="4"/>
      <c r="K149" s="4"/>
    </row>
    <row r="150" ht="16" customHeight="1" s="4" customFormat="1">
      <c r="A150" s="4" t="s">
        <v>1667</v>
      </c>
      <c r="B150" s="4">
        <v>25</v>
      </c>
      <c r="C150" s="5">
        <v>37461</v>
      </c>
      <c r="D150" s="5">
        <v>38649</v>
      </c>
      <c r="E150" s="5">
        <v>40953</v>
      </c>
      <c r="F150" s="4" t="s">
        <v>1622</v>
      </c>
      <c r="G150" s="4"/>
      <c r="H150" s="4">
        <v>90001349</v>
      </c>
      <c r="I150" s="4" t="s">
        <v>1695</v>
      </c>
      <c r="J150" s="4"/>
      <c r="K150" s="4"/>
    </row>
    <row r="151" ht="16" customHeight="1" s="4" customFormat="1">
      <c r="A151" s="4" t="s">
        <v>803</v>
      </c>
      <c r="B151" s="4">
        <v>250</v>
      </c>
      <c r="C151" s="5">
        <v>37452</v>
      </c>
      <c r="D151" s="4"/>
      <c r="E151" s="5">
        <v>42013</v>
      </c>
      <c r="F151" s="4" t="s">
        <v>1622</v>
      </c>
      <c r="G151" s="4"/>
      <c r="H151" s="4">
        <v>90144006</v>
      </c>
      <c r="I151" s="4" t="s">
        <v>1696</v>
      </c>
      <c r="J151" s="4"/>
      <c r="K151" s="4"/>
    </row>
    <row r="152" ht="16" customHeight="1" s="4" customFormat="1">
      <c r="A152" s="4" t="s">
        <v>803</v>
      </c>
      <c r="B152" s="4">
        <v>75</v>
      </c>
      <c r="C152" s="5">
        <v>37188</v>
      </c>
      <c r="D152" s="5">
        <v>37244</v>
      </c>
      <c r="E152" s="5">
        <v>38302</v>
      </c>
      <c r="F152" s="4" t="s">
        <v>1622</v>
      </c>
      <c r="G152" s="4"/>
      <c r="H152" s="4">
        <v>90001250</v>
      </c>
      <c r="I152" s="4" t="s">
        <v>1697</v>
      </c>
      <c r="J152" s="4"/>
      <c r="K152" s="4"/>
    </row>
    <row r="153" ht="16" customHeight="1" s="4" customFormat="1">
      <c r="A153" s="4" t="s">
        <v>1628</v>
      </c>
      <c r="B153" s="4">
        <v>6.8</v>
      </c>
      <c r="C153" s="5">
        <v>37133</v>
      </c>
      <c r="D153" s="5">
        <v>38145</v>
      </c>
      <c r="E153" s="5">
        <v>38293</v>
      </c>
      <c r="F153" s="4" t="s">
        <v>1622</v>
      </c>
      <c r="G153" s="4"/>
      <c r="H153" s="4">
        <v>90065073</v>
      </c>
      <c r="I153" s="4" t="s">
        <v>1698</v>
      </c>
      <c r="J153" s="4"/>
      <c r="K153" s="4"/>
    </row>
    <row r="154" ht="16" customHeight="1" s="4" customFormat="1">
      <c r="A154" s="4" t="s">
        <v>1699</v>
      </c>
      <c r="B154" s="4">
        <v>170</v>
      </c>
      <c r="C154" s="5">
        <v>37039</v>
      </c>
      <c r="D154" s="5">
        <v>37256</v>
      </c>
      <c r="E154" s="5">
        <v>41359</v>
      </c>
      <c r="F154" s="4" t="s">
        <v>1622</v>
      </c>
      <c r="G154" s="4"/>
      <c r="H154" s="4">
        <v>90238388</v>
      </c>
      <c r="I154" s="4" t="s">
        <v>1700</v>
      </c>
      <c r="J154" s="4"/>
      <c r="K154" s="4"/>
    </row>
    <row r="155" ht="16" customHeight="1" s="4" customFormat="1">
      <c r="A155" s="4" t="s">
        <v>803</v>
      </c>
      <c r="B155" s="4">
        <v>20</v>
      </c>
      <c r="C155" s="5">
        <v>36887</v>
      </c>
      <c r="D155" s="5">
        <v>37244</v>
      </c>
      <c r="E155" s="5">
        <v>41856</v>
      </c>
      <c r="F155" s="4" t="s">
        <v>1622</v>
      </c>
      <c r="G155" s="4"/>
      <c r="H155" s="4">
        <v>90001143</v>
      </c>
      <c r="I155" s="4" t="s">
        <v>1697</v>
      </c>
      <c r="J155" s="4"/>
      <c r="K155" s="4"/>
    </row>
    <row r="156" ht="16" customHeight="1" s="4" customFormat="1">
      <c r="A156" s="4" t="s">
        <v>1662</v>
      </c>
      <c r="B156" s="4">
        <v>24.5</v>
      </c>
      <c r="C156" s="5">
        <v>36857</v>
      </c>
      <c r="D156" s="4"/>
      <c r="E156" s="5">
        <v>41955</v>
      </c>
      <c r="F156" s="4" t="s">
        <v>1622</v>
      </c>
      <c r="G156" s="4"/>
      <c r="H156" s="4">
        <v>90001135</v>
      </c>
      <c r="I156" s="4" t="s">
        <v>1701</v>
      </c>
      <c r="J156" s="4"/>
      <c r="K156" s="4"/>
    </row>
    <row r="157" ht="16" customHeight="1" s="4" customFormat="1">
      <c r="A157" s="4" t="s">
        <v>1684</v>
      </c>
      <c r="B157" s="4">
        <v>22</v>
      </c>
      <c r="C157" s="5">
        <v>36802</v>
      </c>
      <c r="D157" s="5">
        <v>37601</v>
      </c>
      <c r="E157" s="5">
        <v>41041</v>
      </c>
      <c r="F157" s="4" t="s">
        <v>1622</v>
      </c>
      <c r="G157" s="4"/>
      <c r="H157" s="4">
        <v>90001117</v>
      </c>
      <c r="I157" s="4" t="s">
        <v>1702</v>
      </c>
      <c r="J157" s="4"/>
      <c r="K157" s="4"/>
    </row>
    <row r="158" ht="16" customHeight="1" s="4" customFormat="1">
      <c r="A158" s="4" t="s">
        <v>1615</v>
      </c>
      <c r="B158" s="4">
        <v>46.3</v>
      </c>
      <c r="C158" s="5">
        <v>36742</v>
      </c>
      <c r="D158" s="5">
        <v>38145</v>
      </c>
      <c r="E158" s="5">
        <v>42758</v>
      </c>
      <c r="F158" s="4" t="s">
        <v>1622</v>
      </c>
      <c r="G158" s="4"/>
      <c r="H158" s="4">
        <v>90065050</v>
      </c>
      <c r="I158" s="4" t="s">
        <v>1613</v>
      </c>
      <c r="J158" s="4"/>
      <c r="K158" s="4"/>
    </row>
    <row r="159" ht="16" customHeight="1" s="4" customFormat="1">
      <c r="A159" s="4" t="s">
        <v>803</v>
      </c>
      <c r="B159" s="4">
        <v>30</v>
      </c>
      <c r="C159" s="5">
        <v>36730</v>
      </c>
      <c r="D159" s="4"/>
      <c r="E159" s="5">
        <v>41926</v>
      </c>
      <c r="F159" s="4" t="s">
        <v>1622</v>
      </c>
      <c r="G159" s="4"/>
      <c r="H159" s="4">
        <v>90001092</v>
      </c>
      <c r="I159" s="4" t="s">
        <v>1703</v>
      </c>
      <c r="J159" s="4"/>
      <c r="K159" s="4"/>
    </row>
    <row r="160" ht="16" customHeight="1" s="4" customFormat="1">
      <c r="A160" s="4" t="s">
        <v>803</v>
      </c>
      <c r="B160" s="4">
        <v>25</v>
      </c>
      <c r="C160" s="5">
        <v>36700</v>
      </c>
      <c r="D160" s="5">
        <v>37329</v>
      </c>
      <c r="E160" s="5">
        <v>38420</v>
      </c>
      <c r="F160" s="4" t="s">
        <v>1622</v>
      </c>
      <c r="G160" s="4"/>
      <c r="H160" s="4">
        <v>90065779</v>
      </c>
      <c r="I160" s="4" t="s">
        <v>1704</v>
      </c>
      <c r="J160" s="4"/>
      <c r="K160" s="4"/>
    </row>
    <row r="161" ht="16" customHeight="1" s="4" customFormat="1">
      <c r="A161" s="4" t="s">
        <v>1671</v>
      </c>
      <c r="B161" s="4">
        <v>16</v>
      </c>
      <c r="C161" s="5">
        <v>36655</v>
      </c>
      <c r="D161" s="5">
        <v>38356</v>
      </c>
      <c r="E161" s="5">
        <v>39778</v>
      </c>
      <c r="F161" s="4" t="s">
        <v>1622</v>
      </c>
      <c r="G161" s="4"/>
      <c r="H161" s="4">
        <v>90001066</v>
      </c>
      <c r="I161" s="4" t="s">
        <v>1705</v>
      </c>
      <c r="J161" s="4"/>
      <c r="K161" s="4"/>
    </row>
    <row r="162" ht="16" customHeight="1" s="4" customFormat="1">
      <c r="A162" s="4" t="s">
        <v>1699</v>
      </c>
      <c r="B162" s="4">
        <v>187</v>
      </c>
      <c r="C162" s="5">
        <v>36430</v>
      </c>
      <c r="D162" s="4"/>
      <c r="E162" s="5">
        <v>41359</v>
      </c>
      <c r="F162" s="4" t="s">
        <v>1622</v>
      </c>
      <c r="G162" s="4"/>
      <c r="H162" s="4">
        <v>90238342</v>
      </c>
      <c r="I162" s="4" t="s">
        <v>1700</v>
      </c>
      <c r="J162" s="4"/>
      <c r="K162" s="4"/>
    </row>
    <row r="163" ht="16" customHeight="1" s="4" customFormat="1">
      <c r="A163" s="4" t="s">
        <v>803</v>
      </c>
      <c r="B163" s="4">
        <v>25</v>
      </c>
      <c r="C163" s="5">
        <v>36334</v>
      </c>
      <c r="D163" s="5">
        <v>36705</v>
      </c>
      <c r="E163" s="5">
        <v>38420</v>
      </c>
      <c r="F163" s="4" t="s">
        <v>1622</v>
      </c>
      <c r="G163" s="4"/>
      <c r="H163" s="4">
        <v>90065022</v>
      </c>
      <c r="I163" s="4" t="s">
        <v>1706</v>
      </c>
      <c r="J163" s="4"/>
      <c r="K163" s="4"/>
    </row>
    <row r="164" ht="16" customHeight="1" s="4" customFormat="1">
      <c r="A164" s="4" t="s">
        <v>1615</v>
      </c>
      <c r="B164" s="4">
        <v>36.8</v>
      </c>
      <c r="C164" s="5">
        <v>36327</v>
      </c>
      <c r="D164" s="5">
        <v>37810</v>
      </c>
      <c r="E164" s="5">
        <v>38222</v>
      </c>
      <c r="F164" s="4" t="s">
        <v>1622</v>
      </c>
      <c r="G164" s="4"/>
      <c r="H164" s="4">
        <v>90065021</v>
      </c>
      <c r="I164" s="4" t="s">
        <v>1707</v>
      </c>
      <c r="J164" s="4"/>
      <c r="K164" s="4"/>
    </row>
    <row r="165" ht="16" customHeight="1" s="4" customFormat="1">
      <c r="A165" s="4" t="s">
        <v>1662</v>
      </c>
      <c r="B165" s="4">
        <v>10</v>
      </c>
      <c r="C165" s="5">
        <v>36325</v>
      </c>
      <c r="D165" s="4"/>
      <c r="E165" s="5">
        <v>41955</v>
      </c>
      <c r="F165" s="4" t="s">
        <v>1622</v>
      </c>
      <c r="G165" s="4"/>
      <c r="H165" s="4">
        <v>90000952</v>
      </c>
      <c r="I165" s="4" t="s">
        <v>1708</v>
      </c>
      <c r="J165" s="4"/>
      <c r="K165" s="4"/>
    </row>
    <row r="166" ht="16" customHeight="1" s="4" customFormat="1">
      <c r="A166" s="4" t="s">
        <v>1662</v>
      </c>
      <c r="B166" s="4">
        <v>2.5</v>
      </c>
      <c r="C166" s="5">
        <v>36132</v>
      </c>
      <c r="D166" s="5">
        <v>38316</v>
      </c>
      <c r="E166" s="5">
        <v>41955</v>
      </c>
      <c r="F166" s="4" t="s">
        <v>1622</v>
      </c>
      <c r="G166" s="4"/>
      <c r="H166" s="4">
        <v>90000899</v>
      </c>
      <c r="I166" s="4" t="s">
        <v>1709</v>
      </c>
      <c r="J166" s="4"/>
      <c r="K166" s="4"/>
    </row>
    <row r="167" ht="16" customHeight="1" s="4" customFormat="1">
      <c r="A167" s="4" t="s">
        <v>1662</v>
      </c>
      <c r="B167" s="4">
        <v>2</v>
      </c>
      <c r="C167" s="5">
        <v>35963</v>
      </c>
      <c r="D167" s="4"/>
      <c r="E167" s="5">
        <v>41955</v>
      </c>
      <c r="F167" s="4" t="s">
        <v>1622</v>
      </c>
      <c r="G167" s="4"/>
      <c r="H167" s="4">
        <v>90000854</v>
      </c>
      <c r="I167" s="4" t="s">
        <v>1710</v>
      </c>
      <c r="J167" s="4"/>
      <c r="K167" s="4"/>
    </row>
    <row r="168" ht="16" customHeight="1" s="4" customFormat="1">
      <c r="A168" s="4" t="s">
        <v>1671</v>
      </c>
      <c r="B168" s="4">
        <v>0.3</v>
      </c>
      <c r="C168" s="5">
        <v>35569</v>
      </c>
      <c r="D168" s="4"/>
      <c r="E168" s="5">
        <v>41611</v>
      </c>
      <c r="F168" s="4" t="s">
        <v>1622</v>
      </c>
      <c r="G168" s="4"/>
      <c r="H168" s="4">
        <v>90000725</v>
      </c>
      <c r="I168" s="4" t="s">
        <v>1711</v>
      </c>
      <c r="J168" s="4"/>
      <c r="K168" s="4"/>
    </row>
    <row r="169" ht="16" customHeight="1" s="4" customFormat="1">
      <c r="A169" s="4" t="s">
        <v>1712</v>
      </c>
      <c r="B169" s="4">
        <v>15</v>
      </c>
      <c r="C169" s="5">
        <v>35248</v>
      </c>
      <c r="D169" s="4"/>
      <c r="E169" s="5">
        <v>41344</v>
      </c>
      <c r="F169" s="4" t="s">
        <v>1622</v>
      </c>
      <c r="G169" s="4"/>
      <c r="H169" s="4">
        <v>90240240</v>
      </c>
      <c r="I169" s="4" t="s">
        <v>1713</v>
      </c>
      <c r="J169" s="4"/>
      <c r="K169" s="4"/>
    </row>
    <row r="170" ht="16" customHeight="1" s="4" customFormat="1">
      <c r="A170" s="4" t="s">
        <v>1664</v>
      </c>
      <c r="B170" s="4">
        <v>0.38</v>
      </c>
      <c r="C170" s="5">
        <v>35244</v>
      </c>
      <c r="D170" s="4"/>
      <c r="E170" s="5">
        <v>40981</v>
      </c>
      <c r="F170" s="4" t="s">
        <v>1622</v>
      </c>
      <c r="G170" s="4"/>
      <c r="H170" s="4">
        <v>90240237</v>
      </c>
      <c r="I170" s="4" t="s">
        <v>1714</v>
      </c>
      <c r="J170" s="4"/>
      <c r="K170" s="4"/>
    </row>
    <row r="171" ht="16" customHeight="1" s="4" customFormat="1">
      <c r="A171" s="4" t="s">
        <v>1667</v>
      </c>
      <c r="B171" s="4">
        <v>1.5</v>
      </c>
      <c r="C171" s="5">
        <v>35142</v>
      </c>
      <c r="D171" s="5">
        <v>32806</v>
      </c>
      <c r="E171" s="5">
        <v>36321</v>
      </c>
      <c r="F171" s="4" t="s">
        <v>1622</v>
      </c>
      <c r="G171" s="4"/>
      <c r="H171" s="4">
        <v>90064966</v>
      </c>
      <c r="I171" s="4" t="s">
        <v>1715</v>
      </c>
      <c r="J171" s="4"/>
      <c r="K171" s="4"/>
    </row>
    <row r="172" ht="16" customHeight="1" s="4" customFormat="1">
      <c r="A172" s="4" t="s">
        <v>1615</v>
      </c>
      <c r="B172" s="4">
        <v>1.5</v>
      </c>
      <c r="C172" s="5">
        <v>35142</v>
      </c>
      <c r="D172" s="5">
        <v>35627</v>
      </c>
      <c r="E172" s="5">
        <v>42758</v>
      </c>
      <c r="F172" s="4" t="s">
        <v>1622</v>
      </c>
      <c r="G172" s="4"/>
      <c r="H172" s="4">
        <v>90065476</v>
      </c>
      <c r="I172" s="4" t="s">
        <v>1716</v>
      </c>
      <c r="J172" s="4"/>
      <c r="K172" s="4"/>
    </row>
    <row r="173" ht="16" customHeight="1" s="4" customFormat="1">
      <c r="A173" s="4" t="s">
        <v>1667</v>
      </c>
      <c r="B173" s="4">
        <v>50</v>
      </c>
      <c r="C173" s="5">
        <v>35138</v>
      </c>
      <c r="D173" s="4"/>
      <c r="E173" s="5">
        <v>41233</v>
      </c>
      <c r="F173" s="4" t="s">
        <v>1622</v>
      </c>
      <c r="G173" s="4"/>
      <c r="H173" s="4">
        <v>90240197</v>
      </c>
      <c r="I173" s="4" t="s">
        <v>1717</v>
      </c>
      <c r="J173" s="4"/>
      <c r="K173" s="4"/>
    </row>
    <row r="174" ht="16" customHeight="1" s="4" customFormat="1">
      <c r="A174" s="4" t="s">
        <v>1609</v>
      </c>
      <c r="B174" s="4">
        <v>70</v>
      </c>
      <c r="C174" s="5">
        <v>34954</v>
      </c>
      <c r="D174" s="5">
        <v>35313</v>
      </c>
      <c r="E174" s="5">
        <v>40967</v>
      </c>
      <c r="F174" s="4" t="s">
        <v>1622</v>
      </c>
      <c r="G174" s="4"/>
      <c r="H174" s="4">
        <v>90240119</v>
      </c>
      <c r="I174" s="4" t="s">
        <v>1718</v>
      </c>
      <c r="J174" s="4"/>
      <c r="K174" s="4"/>
    </row>
    <row r="175" ht="16" customHeight="1" s="4" customFormat="1">
      <c r="A175" s="4" t="s">
        <v>1615</v>
      </c>
      <c r="B175" s="4">
        <v>3.3</v>
      </c>
      <c r="C175" s="5">
        <v>34773</v>
      </c>
      <c r="D175" s="4"/>
      <c r="E175" s="5">
        <v>34947</v>
      </c>
      <c r="F175" s="4" t="s">
        <v>1622</v>
      </c>
      <c r="G175" s="4"/>
      <c r="H175" s="4">
        <v>90065462</v>
      </c>
      <c r="I175" s="4" t="s">
        <v>1719</v>
      </c>
      <c r="J175" s="4"/>
      <c r="K175" s="4"/>
    </row>
    <row r="176" ht="16" customHeight="1" s="4" customFormat="1">
      <c r="A176" s="4" t="s">
        <v>1615</v>
      </c>
      <c r="B176" s="4">
        <v>6.2</v>
      </c>
      <c r="C176" s="5">
        <v>34754</v>
      </c>
      <c r="D176" s="5">
        <v>36178</v>
      </c>
      <c r="E176" s="5">
        <v>36742</v>
      </c>
      <c r="F176" s="4" t="s">
        <v>1622</v>
      </c>
      <c r="G176" s="4"/>
      <c r="H176" s="4">
        <v>90065264</v>
      </c>
      <c r="I176" s="4" t="s">
        <v>1617</v>
      </c>
      <c r="J176" s="4"/>
      <c r="K176" s="4"/>
    </row>
    <row r="177" ht="16" customHeight="1" s="4" customFormat="1">
      <c r="A177" s="4" t="s">
        <v>1615</v>
      </c>
      <c r="B177" s="4">
        <v>7.7</v>
      </c>
      <c r="C177" s="5">
        <v>34596</v>
      </c>
      <c r="D177" s="5">
        <v>38076</v>
      </c>
      <c r="E177" s="5">
        <v>42758</v>
      </c>
      <c r="F177" s="4" t="s">
        <v>1622</v>
      </c>
      <c r="G177" s="4"/>
      <c r="H177" s="4">
        <v>90065255</v>
      </c>
      <c r="I177" s="4" t="s">
        <v>1720</v>
      </c>
      <c r="J177" s="4"/>
      <c r="K177" s="4"/>
    </row>
    <row r="178" ht="16" customHeight="1" s="4" customFormat="1">
      <c r="A178" s="4" t="s">
        <v>1721</v>
      </c>
      <c r="B178" s="4">
        <v>7</v>
      </c>
      <c r="C178" s="5">
        <v>34554</v>
      </c>
      <c r="D178" s="5">
        <v>34659</v>
      </c>
      <c r="E178" s="5">
        <v>36019</v>
      </c>
      <c r="F178" s="4" t="s">
        <v>1622</v>
      </c>
      <c r="G178" s="4"/>
      <c r="H178" s="4">
        <v>90064936</v>
      </c>
      <c r="I178" s="4" t="s">
        <v>1722</v>
      </c>
      <c r="J178" s="4"/>
      <c r="K178" s="4"/>
    </row>
    <row r="179" ht="16" customHeight="1" s="4" customFormat="1">
      <c r="A179" s="4" t="s">
        <v>803</v>
      </c>
      <c r="B179" s="4">
        <v>0.08</v>
      </c>
      <c r="C179" s="5">
        <v>34436</v>
      </c>
      <c r="D179" s="4"/>
      <c r="E179" s="5">
        <v>44995</v>
      </c>
      <c r="F179" s="4" t="s">
        <v>1622</v>
      </c>
      <c r="G179" s="4"/>
      <c r="H179" s="4">
        <v>90064930</v>
      </c>
      <c r="I179" s="4" t="s">
        <v>1723</v>
      </c>
      <c r="J179" s="4"/>
      <c r="K179" s="4"/>
    </row>
    <row r="180" ht="16" customHeight="1" s="4" customFormat="1">
      <c r="A180" s="4" t="s">
        <v>1724</v>
      </c>
      <c r="B180" s="4">
        <v>0.15</v>
      </c>
      <c r="C180" s="5">
        <v>33737</v>
      </c>
      <c r="D180" s="4"/>
      <c r="E180" s="5">
        <v>41247</v>
      </c>
      <c r="F180" s="4" t="s">
        <v>1622</v>
      </c>
      <c r="G180" s="4"/>
      <c r="H180" s="4">
        <v>90239733</v>
      </c>
      <c r="I180" s="4" t="s">
        <v>1725</v>
      </c>
      <c r="J180" s="4"/>
      <c r="K180" s="4"/>
    </row>
    <row r="181" ht="16" customHeight="1" s="4" customFormat="1">
      <c r="A181" s="4" t="s">
        <v>1667</v>
      </c>
      <c r="B181" s="4">
        <v>1.5</v>
      </c>
      <c r="C181" s="5">
        <v>33509</v>
      </c>
      <c r="D181" s="5">
        <v>34793</v>
      </c>
      <c r="E181" s="5">
        <v>43173</v>
      </c>
      <c r="F181" s="4" t="s">
        <v>1622</v>
      </c>
      <c r="G181" s="4"/>
      <c r="H181" s="4">
        <v>90065232</v>
      </c>
      <c r="I181" s="4" t="s">
        <v>1726</v>
      </c>
      <c r="J181" s="4"/>
      <c r="K181" s="4"/>
    </row>
    <row r="182" ht="16" customHeight="1" s="4" customFormat="1">
      <c r="A182" s="4" t="s">
        <v>1667</v>
      </c>
      <c r="B182" s="4">
        <v>0.25</v>
      </c>
      <c r="C182" s="5">
        <v>33318</v>
      </c>
      <c r="D182" s="4"/>
      <c r="E182" s="5">
        <v>35000</v>
      </c>
      <c r="F182" s="4" t="s">
        <v>1622</v>
      </c>
      <c r="G182" s="4"/>
      <c r="H182" s="4">
        <v>90064885</v>
      </c>
      <c r="I182" s="4" t="s">
        <v>1727</v>
      </c>
      <c r="J182" s="4"/>
      <c r="K182" s="4"/>
    </row>
    <row r="183" ht="16" customHeight="1" s="4" customFormat="1">
      <c r="A183" s="4" t="s">
        <v>803</v>
      </c>
      <c r="B183" s="4">
        <v>0.06</v>
      </c>
      <c r="C183" s="5">
        <v>33270</v>
      </c>
      <c r="D183" s="5">
        <v>33373</v>
      </c>
      <c r="E183" s="5">
        <v>36259</v>
      </c>
      <c r="F183" s="4" t="s">
        <v>1622</v>
      </c>
      <c r="G183" s="4"/>
      <c r="H183" s="4">
        <v>90064883</v>
      </c>
      <c r="I183" s="4" t="s">
        <v>1728</v>
      </c>
      <c r="J183" s="4"/>
      <c r="K183" s="4"/>
    </row>
    <row r="184" ht="16" customHeight="1" s="4" customFormat="1">
      <c r="A184" s="4" t="s">
        <v>1611</v>
      </c>
      <c r="B184" s="4">
        <v>1.4</v>
      </c>
      <c r="C184" s="5">
        <v>33121</v>
      </c>
      <c r="D184" s="4"/>
      <c r="E184" s="5">
        <v>41785</v>
      </c>
      <c r="F184" s="4" t="s">
        <v>1622</v>
      </c>
      <c r="G184" s="4"/>
      <c r="H184" s="4">
        <v>90007976</v>
      </c>
      <c r="I184" s="4" t="s">
        <v>1729</v>
      </c>
      <c r="J184" s="4"/>
      <c r="K184" s="4"/>
    </row>
    <row r="185" ht="16" customHeight="1" s="4" customFormat="1">
      <c r="A185" s="4" t="s">
        <v>1730</v>
      </c>
      <c r="B185" s="4">
        <v>3.7</v>
      </c>
      <c r="C185" s="5">
        <v>33072</v>
      </c>
      <c r="D185" s="5">
        <v>33373</v>
      </c>
      <c r="E185" s="5">
        <v>35884</v>
      </c>
      <c r="F185" s="4" t="s">
        <v>1622</v>
      </c>
      <c r="G185" s="4"/>
      <c r="H185" s="4">
        <v>90064873</v>
      </c>
      <c r="I185" s="4" t="s">
        <v>1731</v>
      </c>
      <c r="J185" s="4"/>
      <c r="K185" s="4"/>
    </row>
    <row r="186" ht="16" customHeight="1" s="4" customFormat="1">
      <c r="A186" s="4" t="s">
        <v>803</v>
      </c>
      <c r="B186" s="4">
        <v>30</v>
      </c>
      <c r="C186" s="5">
        <v>32679</v>
      </c>
      <c r="D186" s="5">
        <v>33373</v>
      </c>
      <c r="E186" s="5">
        <v>35892</v>
      </c>
      <c r="F186" s="4" t="s">
        <v>1622</v>
      </c>
      <c r="G186" s="4"/>
      <c r="H186" s="4">
        <v>90064861</v>
      </c>
      <c r="I186" s="4" t="s">
        <v>1728</v>
      </c>
      <c r="J186" s="4"/>
      <c r="K186" s="4"/>
    </row>
    <row r="187" ht="16" customHeight="1" s="4" customFormat="1">
      <c r="A187" s="4" t="s">
        <v>1609</v>
      </c>
      <c r="B187" s="4">
        <v>1.5</v>
      </c>
      <c r="C187" s="5">
        <v>32581</v>
      </c>
      <c r="D187" s="5">
        <v>33178</v>
      </c>
      <c r="E187" s="4"/>
      <c r="F187" s="4" t="s">
        <v>1621</v>
      </c>
      <c r="G187" s="4"/>
      <c r="H187" s="4">
        <v>90064858</v>
      </c>
      <c r="I187" s="4" t="s">
        <v>1613</v>
      </c>
      <c r="J187" s="4"/>
      <c r="K187" s="4"/>
    </row>
    <row r="188" ht="16" customHeight="1" s="4" customFormat="1">
      <c r="A188" s="4" t="s">
        <v>1609</v>
      </c>
      <c r="B188" s="4">
        <v>1.5</v>
      </c>
      <c r="C188" s="5">
        <v>32581</v>
      </c>
      <c r="D188" s="5">
        <v>34183</v>
      </c>
      <c r="E188" s="4"/>
      <c r="F188" s="4" t="s">
        <v>1621</v>
      </c>
      <c r="G188" s="4"/>
      <c r="H188" s="4">
        <v>90065417</v>
      </c>
      <c r="I188" s="4" t="s">
        <v>1614</v>
      </c>
      <c r="J188" s="4"/>
      <c r="K188" s="4"/>
    </row>
    <row r="189" ht="16" customHeight="1" s="4" customFormat="1">
      <c r="A189" s="4" t="s">
        <v>1615</v>
      </c>
      <c r="B189" s="4">
        <v>0.68</v>
      </c>
      <c r="C189" s="5">
        <v>32498</v>
      </c>
      <c r="D189" s="4"/>
      <c r="E189" s="4"/>
      <c r="F189" s="4" t="s">
        <v>1621</v>
      </c>
      <c r="G189" s="4"/>
      <c r="H189" s="4">
        <v>90065211</v>
      </c>
      <c r="I189" s="4" t="s">
        <v>1616</v>
      </c>
      <c r="J189" s="4"/>
      <c r="K189" s="4"/>
    </row>
    <row r="190" ht="16" customHeight="1" s="4" customFormat="1">
      <c r="A190" s="4" t="s">
        <v>1611</v>
      </c>
      <c r="B190" s="4">
        <v>0.33</v>
      </c>
      <c r="C190" s="5">
        <v>32153</v>
      </c>
      <c r="D190" s="5">
        <v>32946</v>
      </c>
      <c r="E190" s="5">
        <v>41340</v>
      </c>
      <c r="F190" s="4" t="s">
        <v>1622</v>
      </c>
      <c r="G190" s="4"/>
      <c r="H190" s="4">
        <v>90239276</v>
      </c>
      <c r="I190" s="4" t="s">
        <v>1732</v>
      </c>
      <c r="J190" s="4"/>
      <c r="K190" s="4"/>
    </row>
    <row r="191" ht="16" customHeight="1" s="4" customFormat="1">
      <c r="A191" s="4" t="s">
        <v>1684</v>
      </c>
      <c r="B191" s="4">
        <v>1.2</v>
      </c>
      <c r="C191" s="5">
        <v>31896</v>
      </c>
      <c r="D191" s="4"/>
      <c r="E191" s="5">
        <v>42104</v>
      </c>
      <c r="F191" s="4" t="s">
        <v>1622</v>
      </c>
      <c r="G191" s="4"/>
      <c r="H191" s="4">
        <v>90000162</v>
      </c>
      <c r="I191" s="4" t="s">
        <v>1733</v>
      </c>
      <c r="J191" s="4"/>
      <c r="K191" s="4"/>
    </row>
    <row r="192" ht="16" customHeight="1" s="4" customFormat="1">
      <c r="A192" s="4" t="s">
        <v>803</v>
      </c>
      <c r="B192" s="4">
        <v>2</v>
      </c>
      <c r="C192" s="5">
        <v>31869</v>
      </c>
      <c r="D192" s="5">
        <v>32252</v>
      </c>
      <c r="E192" s="5">
        <v>41036</v>
      </c>
      <c r="F192" s="4" t="s">
        <v>1622</v>
      </c>
      <c r="G192" s="4"/>
      <c r="H192" s="4">
        <v>90239204</v>
      </c>
      <c r="I192" s="4" t="s">
        <v>1734</v>
      </c>
      <c r="J192" s="4"/>
      <c r="K192" s="4"/>
    </row>
    <row r="193" ht="16" customHeight="1" s="4" customFormat="1">
      <c r="A193" s="4" t="s">
        <v>803</v>
      </c>
      <c r="B193" s="4">
        <v>0.06</v>
      </c>
      <c r="C193" s="5">
        <v>31677</v>
      </c>
      <c r="D193" s="5">
        <v>32252</v>
      </c>
      <c r="E193" s="5">
        <v>41036</v>
      </c>
      <c r="F193" s="4" t="s">
        <v>1622</v>
      </c>
      <c r="G193" s="4"/>
      <c r="H193" s="4">
        <v>90239161</v>
      </c>
      <c r="I193" s="4" t="s">
        <v>1735</v>
      </c>
      <c r="J193" s="4"/>
      <c r="K193" s="4"/>
    </row>
    <row r="194" ht="16" customHeight="1" s="4" customFormat="1">
      <c r="A194" s="4" t="s">
        <v>1615</v>
      </c>
      <c r="B194" s="4">
        <v>4.6</v>
      </c>
      <c r="C194" s="5">
        <v>31489</v>
      </c>
      <c r="D194" s="5">
        <v>35414</v>
      </c>
      <c r="E194" s="4"/>
      <c r="F194" s="4" t="s">
        <v>1621</v>
      </c>
      <c r="G194" s="4"/>
      <c r="H194" s="4">
        <v>90065199</v>
      </c>
      <c r="I194" s="4" t="s">
        <v>1617</v>
      </c>
      <c r="J194" s="4"/>
      <c r="K194" s="4"/>
    </row>
    <row r="195" ht="16" customHeight="1" s="4" customFormat="1">
      <c r="A195" s="4" t="s">
        <v>1615</v>
      </c>
      <c r="B195" s="4">
        <v>313</v>
      </c>
      <c r="C195" s="5">
        <v>31489</v>
      </c>
      <c r="D195" s="5">
        <v>40592</v>
      </c>
      <c r="E195" s="5">
        <v>42758</v>
      </c>
      <c r="F195" s="4" t="s">
        <v>1622</v>
      </c>
      <c r="G195" s="4"/>
      <c r="H195" s="4">
        <v>90065405</v>
      </c>
      <c r="I195" s="4" t="s">
        <v>1736</v>
      </c>
      <c r="J195" s="4"/>
      <c r="K195" s="4"/>
    </row>
    <row r="196" ht="16" customHeight="1" s="4" customFormat="1">
      <c r="A196" s="4" t="s">
        <v>1737</v>
      </c>
      <c r="B196" s="4">
        <v>1</v>
      </c>
      <c r="C196" s="5">
        <v>31103</v>
      </c>
      <c r="D196" s="5">
        <v>31264</v>
      </c>
      <c r="E196" s="5">
        <v>34746</v>
      </c>
      <c r="F196" s="4" t="s">
        <v>1622</v>
      </c>
      <c r="G196" s="4"/>
      <c r="H196" s="4">
        <v>90000118</v>
      </c>
      <c r="I196" s="4" t="s">
        <v>1738</v>
      </c>
      <c r="J196" s="4"/>
      <c r="K196" s="4"/>
    </row>
    <row r="197" ht="16" customHeight="1" s="4" customFormat="1">
      <c r="A197" s="4" t="s">
        <v>1615</v>
      </c>
      <c r="B197" s="4">
        <v>0.6</v>
      </c>
      <c r="C197" s="5">
        <v>31050</v>
      </c>
      <c r="D197" s="4"/>
      <c r="E197" s="5">
        <v>41236</v>
      </c>
      <c r="F197" s="4" t="s">
        <v>1622</v>
      </c>
      <c r="G197" s="4"/>
      <c r="H197" s="4">
        <v>90239062</v>
      </c>
      <c r="I197" s="4" t="s">
        <v>1739</v>
      </c>
      <c r="J197" s="4"/>
      <c r="K197" s="4"/>
    </row>
    <row r="198" ht="16" customHeight="1" s="4" customFormat="1">
      <c r="A198" s="4" t="s">
        <v>1615</v>
      </c>
      <c r="B198" s="4">
        <v>0.58</v>
      </c>
      <c r="C198" s="5">
        <v>30985</v>
      </c>
      <c r="D198" s="4"/>
      <c r="E198" s="5">
        <v>41236</v>
      </c>
      <c r="F198" s="4" t="s">
        <v>1622</v>
      </c>
      <c r="G198" s="4"/>
      <c r="H198" s="4">
        <v>90239055</v>
      </c>
      <c r="I198" s="4" t="s">
        <v>1740</v>
      </c>
      <c r="J198" s="4"/>
      <c r="K198" s="4"/>
    </row>
    <row r="199" ht="16" customHeight="1" s="4" customFormat="1">
      <c r="A199" s="4" t="s">
        <v>1615</v>
      </c>
      <c r="B199" s="4">
        <v>0.04</v>
      </c>
      <c r="C199" s="5">
        <v>30854</v>
      </c>
      <c r="D199" s="4"/>
      <c r="E199" s="5">
        <v>41320</v>
      </c>
      <c r="F199" s="4" t="s">
        <v>1622</v>
      </c>
      <c r="G199" s="4"/>
      <c r="H199" s="4">
        <v>90239045</v>
      </c>
      <c r="I199" s="4" t="s">
        <v>1741</v>
      </c>
      <c r="J199" s="4"/>
      <c r="K199" s="4"/>
    </row>
    <row r="200" ht="16" customHeight="1">
      <c r="A200" s="3" t="s">
        <v>1609</v>
      </c>
      <c r="B200" s="3">
        <v>3.6</v>
      </c>
      <c r="C200" s="6">
        <v>29992</v>
      </c>
      <c r="D200" s="3"/>
      <c r="E200" s="6">
        <v>34786</v>
      </c>
      <c r="F200" s="3" t="s">
        <v>1622</v>
      </c>
      <c r="G200" s="3"/>
      <c r="H200" s="3">
        <v>90000063</v>
      </c>
      <c r="I200" s="3" t="s">
        <v>1742</v>
      </c>
    </row>
    <row r="201" ht="16" customHeight="1">
      <c r="A201" s="3" t="s">
        <v>1611</v>
      </c>
      <c r="B201" s="3">
        <v>1.4</v>
      </c>
      <c r="C201" s="6">
        <v>29469</v>
      </c>
      <c r="D201" s="6">
        <v>31264</v>
      </c>
      <c r="E201" s="6">
        <v>34726</v>
      </c>
      <c r="F201" s="3" t="s">
        <v>1622</v>
      </c>
      <c r="G201" s="3"/>
      <c r="H201" s="3">
        <v>90000044</v>
      </c>
      <c r="I201" s="3" t="s">
        <v>1743</v>
      </c>
    </row>
  </sheetData>
  <headerFooter/>
</worksheet>
</file>

<file path=xl/worksheets/sheet23.xml><?xml version="1.0" encoding="utf-8"?>
<worksheet xmlns:r="http://schemas.openxmlformats.org/officeDocument/2006/relationships" xmlns="http://schemas.openxmlformats.org/spreadsheetml/2006/main">
  <dimension ref="A1:K5"/>
  <sheetViews>
    <sheetView workbookViewId="0"/>
  </sheetViews>
  <sheetFormatPr defaultRowHeight="15"/>
  <cols>
    <col min="1" max="1" width="189.353866577148" customWidth="1" style="3"/>
    <col min="2" max="2" width="21.3959197998047" customWidth="1" style="3"/>
    <col min="3" max="3" width="15.904013633728" customWidth="1" style="3"/>
    <col min="4" max="4" width="19.1392250061035" customWidth="1" style="3"/>
    <col min="5" max="5" width="18.7491588592529" customWidth="1" style="3"/>
    <col min="6" max="6" width="9.140625" customWidth="1" style="3"/>
    <col min="7" max="7" width="19.7360420227051" customWidth="1" style="3"/>
    <col min="8" max="8" width="11.2556095123291" customWidth="1" style="3"/>
    <col min="9" max="16384" width="110.371192932129" customWidth="1" style="3"/>
    <col min="10" max="16384" width="9.140625" customWidth="1" style="3"/>
    <col min="11" max="16384" width="9.140625" customWidth="1" style="3"/>
  </cols>
  <sheetData>
    <row r="1" ht="20" customHeight="1" s="1" customFormat="1">
      <c r="A1" s="2" t="s">
        <v>1589</v>
      </c>
      <c r="B1" s="2" t="s">
        <v>1744</v>
      </c>
      <c r="C1" s="2" t="s">
        <v>1591</v>
      </c>
      <c r="D1" s="2" t="s">
        <v>1592</v>
      </c>
      <c r="E1" s="2" t="s">
        <v>1619</v>
      </c>
      <c r="F1" s="2" t="s">
        <v>1620</v>
      </c>
      <c r="G1" s="2" t="s">
        <v>1593</v>
      </c>
      <c r="H1" s="2" t="s">
        <v>1594</v>
      </c>
      <c r="I1" s="2" t="s">
        <v>33</v>
      </c>
    </row>
    <row r="2" ht="16" customHeight="1" s="4" customFormat="1">
      <c r="A2" s="4" t="s">
        <v>1595</v>
      </c>
      <c r="B2" s="4">
        <v>800</v>
      </c>
      <c r="C2" s="5">
        <v>45545</v>
      </c>
      <c r="D2" s="4"/>
      <c r="E2" s="5">
        <v>46031</v>
      </c>
      <c r="F2" s="4" t="s">
        <v>1622</v>
      </c>
      <c r="G2" s="4"/>
      <c r="H2" s="4">
        <v>100984055</v>
      </c>
      <c r="I2" s="4" t="s">
        <v>1599</v>
      </c>
      <c r="J2" s="4"/>
      <c r="K2" s="4"/>
    </row>
    <row r="3" ht="16" customHeight="1" s="4" customFormat="1">
      <c r="A3" s="4" t="s">
        <v>1595</v>
      </c>
      <c r="B3" s="4">
        <v>500</v>
      </c>
      <c r="C3" s="5">
        <v>44438</v>
      </c>
      <c r="D3" s="5">
        <v>44624</v>
      </c>
      <c r="E3" s="5">
        <v>45982</v>
      </c>
      <c r="F3" s="4" t="s">
        <v>1622</v>
      </c>
      <c r="G3" s="4"/>
      <c r="H3" s="4">
        <v>100472361</v>
      </c>
      <c r="I3" s="4" t="s">
        <v>1606</v>
      </c>
      <c r="J3" s="4"/>
      <c r="K3" s="4"/>
    </row>
    <row r="4" ht="16" customHeight="1">
      <c r="A4" s="3" t="s">
        <v>1595</v>
      </c>
      <c r="B4" s="3">
        <v>500</v>
      </c>
      <c r="C4" s="6">
        <v>44453</v>
      </c>
      <c r="D4" s="6">
        <v>44624</v>
      </c>
      <c r="E4" s="6">
        <v>45975</v>
      </c>
      <c r="F4" s="3" t="s">
        <v>1622</v>
      </c>
      <c r="G4" s="3"/>
      <c r="H4" s="3">
        <v>100476833</v>
      </c>
      <c r="I4" s="3" t="s">
        <v>1606</v>
      </c>
    </row>
    <row r="5" ht="16" customHeight="1">
      <c r="A5" s="3" t="s">
        <v>1595</v>
      </c>
      <c r="B5" s="3">
        <v>300</v>
      </c>
      <c r="C5" s="6">
        <v>44538</v>
      </c>
      <c r="D5" s="6">
        <v>44624</v>
      </c>
      <c r="E5" s="6">
        <v>45996</v>
      </c>
      <c r="F5" s="3" t="s">
        <v>1622</v>
      </c>
      <c r="G5" s="3"/>
      <c r="H5" s="3">
        <v>100509333</v>
      </c>
      <c r="I5" s="3" t="s">
        <v>1606</v>
      </c>
    </row>
  </sheetData>
  <headerFooter/>
</worksheet>
</file>

<file path=xl/worksheets/sheet24.xml><?xml version="1.0" encoding="utf-8"?>
<worksheet xmlns:r="http://schemas.openxmlformats.org/officeDocument/2006/relationships" xmlns="http://schemas.openxmlformats.org/spreadsheetml/2006/main">
  <dimension ref="A1:K342"/>
  <sheetViews>
    <sheetView workbookViewId="0"/>
  </sheetViews>
  <sheetFormatPr defaultRowHeight="15"/>
  <cols>
    <col min="1" max="1" width="12.8065767288208" customWidth="1" style="3"/>
    <col min="2" max="2" width="16.2974281311035" customWidth="1" style="3"/>
    <col min="3" max="3" width="22.3343830108643" customWidth="1" style="3"/>
    <col min="4" max="4" width="42.8642311096191" customWidth="1" style="3"/>
    <col min="5" max="5" width="14.4127893447876" customWidth="1" style="3"/>
    <col min="6" max="6" width="15.411826133728" customWidth="1" style="3"/>
    <col min="7" max="7" width="12.3733224868774" customWidth="1" style="3"/>
    <col min="8" max="8" width="22.4336204528809" customWidth="1" style="3"/>
    <col min="9" max="16384" width="264.869384765625" customWidth="1" style="3"/>
    <col min="10" max="16384" width="9.140625" customWidth="1" style="3"/>
    <col min="11" max="16384" width="9.140625" customWidth="1" style="3"/>
  </cols>
  <sheetData>
    <row r="1" ht="20" customHeight="1" s="1" customFormat="1">
      <c r="A1" s="2" t="s">
        <v>1745</v>
      </c>
      <c r="B1" s="2" t="s">
        <v>1746</v>
      </c>
      <c r="C1" s="2" t="s">
        <v>1747</v>
      </c>
      <c r="D1" s="2" t="s">
        <v>1748</v>
      </c>
      <c r="E1" s="2" t="s">
        <v>1749</v>
      </c>
      <c r="F1" s="2" t="s">
        <v>1750</v>
      </c>
      <c r="G1" s="2" t="s">
        <v>1751</v>
      </c>
      <c r="H1" s="2" t="s">
        <v>1752</v>
      </c>
      <c r="I1" s="2" t="s">
        <v>1753</v>
      </c>
    </row>
    <row r="2" ht="16" customHeight="1" s="4" customFormat="1">
      <c r="A2" s="5">
        <v>46079</v>
      </c>
      <c r="B2" s="4" t="s">
        <v>1298</v>
      </c>
      <c r="C2" s="4" t="s">
        <v>1754</v>
      </c>
      <c r="D2" s="4" t="s">
        <v>1755</v>
      </c>
      <c r="E2" s="4" t="s">
        <v>1756</v>
      </c>
      <c r="F2" s="4" t="s">
        <v>1302</v>
      </c>
      <c r="G2" s="4" t="s">
        <v>1757</v>
      </c>
      <c r="H2" s="4" t="s">
        <v>1758</v>
      </c>
      <c r="I2" s="4" t="s">
        <v>1759</v>
      </c>
      <c r="J2" s="4"/>
      <c r="K2" s="4"/>
    </row>
    <row r="3" ht="16" customHeight="1" s="4" customFormat="1">
      <c r="A3" s="5">
        <v>46079</v>
      </c>
      <c r="B3" s="4" t="s">
        <v>1298</v>
      </c>
      <c r="C3" s="4" t="s">
        <v>1754</v>
      </c>
      <c r="D3" s="4" t="s">
        <v>1760</v>
      </c>
      <c r="E3" s="4" t="s">
        <v>1761</v>
      </c>
      <c r="F3" s="4" t="s">
        <v>1302</v>
      </c>
      <c r="G3" s="4" t="s">
        <v>1757</v>
      </c>
      <c r="H3" s="4" t="s">
        <v>1758</v>
      </c>
      <c r="I3" s="4" t="s">
        <v>1759</v>
      </c>
      <c r="J3" s="4"/>
      <c r="K3" s="4"/>
    </row>
    <row r="4" ht="16" customHeight="1" s="4" customFormat="1">
      <c r="A4" s="5">
        <v>46079</v>
      </c>
      <c r="B4" s="4" t="s">
        <v>1298</v>
      </c>
      <c r="C4" s="4" t="s">
        <v>1762</v>
      </c>
      <c r="D4" s="4" t="s">
        <v>1763</v>
      </c>
      <c r="E4" s="4" t="s">
        <v>1764</v>
      </c>
      <c r="F4" s="4" t="s">
        <v>1765</v>
      </c>
      <c r="G4" s="4" t="s">
        <v>1757</v>
      </c>
      <c r="H4" s="4" t="s">
        <v>1758</v>
      </c>
      <c r="I4" s="4" t="s">
        <v>1759</v>
      </c>
      <c r="J4" s="4"/>
      <c r="K4" s="4"/>
    </row>
    <row r="5" ht="16" customHeight="1" s="4" customFormat="1">
      <c r="A5" s="5">
        <v>46079</v>
      </c>
      <c r="B5" s="4" t="s">
        <v>1298</v>
      </c>
      <c r="C5" s="4" t="s">
        <v>1754</v>
      </c>
      <c r="D5" s="4" t="s">
        <v>1760</v>
      </c>
      <c r="E5" s="4" t="s">
        <v>1761</v>
      </c>
      <c r="F5" s="4" t="s">
        <v>1302</v>
      </c>
      <c r="G5" s="4" t="s">
        <v>1766</v>
      </c>
      <c r="H5" s="4" t="s">
        <v>1758</v>
      </c>
      <c r="I5" s="4" t="s">
        <v>1759</v>
      </c>
      <c r="J5" s="4"/>
      <c r="K5" s="4"/>
    </row>
    <row r="6" ht="16" customHeight="1" s="4" customFormat="1">
      <c r="A6" s="5">
        <v>46079</v>
      </c>
      <c r="B6" s="4" t="s">
        <v>1298</v>
      </c>
      <c r="C6" s="4" t="s">
        <v>1767</v>
      </c>
      <c r="D6" s="4" t="s">
        <v>1768</v>
      </c>
      <c r="E6" s="4" t="s">
        <v>1769</v>
      </c>
      <c r="F6" s="4" t="s">
        <v>1296</v>
      </c>
      <c r="G6" s="4" t="s">
        <v>1757</v>
      </c>
      <c r="H6" s="4" t="s">
        <v>1758</v>
      </c>
      <c r="I6" s="4" t="s">
        <v>1759</v>
      </c>
      <c r="J6" s="4"/>
      <c r="K6" s="4"/>
    </row>
    <row r="7" ht="16" customHeight="1" s="4" customFormat="1">
      <c r="A7" s="5">
        <v>46078</v>
      </c>
      <c r="B7" s="4" t="s">
        <v>1287</v>
      </c>
      <c r="C7" s="4" t="s">
        <v>1754</v>
      </c>
      <c r="D7" s="4" t="s">
        <v>1770</v>
      </c>
      <c r="E7" s="4" t="s">
        <v>1771</v>
      </c>
      <c r="F7" s="4" t="s">
        <v>1302</v>
      </c>
      <c r="G7" s="4" t="s">
        <v>1757</v>
      </c>
      <c r="H7" s="4" t="s">
        <v>1758</v>
      </c>
      <c r="I7" s="4" t="s">
        <v>1759</v>
      </c>
      <c r="J7" s="4"/>
      <c r="K7" s="4"/>
    </row>
    <row r="8" ht="16" customHeight="1" s="4" customFormat="1">
      <c r="A8" s="5">
        <v>46078</v>
      </c>
      <c r="B8" s="4" t="s">
        <v>1287</v>
      </c>
      <c r="C8" s="4" t="s">
        <v>1754</v>
      </c>
      <c r="D8" s="4" t="s">
        <v>1772</v>
      </c>
      <c r="E8" s="4" t="s">
        <v>1773</v>
      </c>
      <c r="F8" s="4" t="s">
        <v>1302</v>
      </c>
      <c r="G8" s="4" t="s">
        <v>1757</v>
      </c>
      <c r="H8" s="4" t="s">
        <v>1758</v>
      </c>
      <c r="I8" s="4" t="s">
        <v>1759</v>
      </c>
      <c r="J8" s="4"/>
      <c r="K8" s="4"/>
    </row>
    <row r="9" ht="16" customHeight="1" s="4" customFormat="1">
      <c r="A9" s="5">
        <v>46078</v>
      </c>
      <c r="B9" s="4" t="s">
        <v>1287</v>
      </c>
      <c r="C9" s="4" t="s">
        <v>1767</v>
      </c>
      <c r="D9" s="4" t="s">
        <v>1770</v>
      </c>
      <c r="E9" s="4" t="s">
        <v>1774</v>
      </c>
      <c r="F9" s="4" t="s">
        <v>1296</v>
      </c>
      <c r="G9" s="4" t="s">
        <v>1757</v>
      </c>
      <c r="H9" s="4"/>
      <c r="I9" s="4" t="s">
        <v>1759</v>
      </c>
      <c r="J9" s="4"/>
      <c r="K9" s="4"/>
    </row>
    <row r="10" ht="16" customHeight="1" s="4" customFormat="1">
      <c r="A10" s="5">
        <v>46078</v>
      </c>
      <c r="B10" s="4" t="s">
        <v>1287</v>
      </c>
      <c r="C10" s="4" t="s">
        <v>1767</v>
      </c>
      <c r="D10" s="4" t="s">
        <v>1768</v>
      </c>
      <c r="E10" s="4" t="s">
        <v>1769</v>
      </c>
      <c r="F10" s="4" t="s">
        <v>1296</v>
      </c>
      <c r="G10" s="4" t="s">
        <v>1757</v>
      </c>
      <c r="H10" s="4"/>
      <c r="I10" s="4" t="s">
        <v>1759</v>
      </c>
      <c r="J10" s="4"/>
      <c r="K10" s="4"/>
    </row>
    <row r="11" ht="16" customHeight="1" s="4" customFormat="1">
      <c r="A11" s="5">
        <v>46024</v>
      </c>
      <c r="B11" s="4" t="s">
        <v>1298</v>
      </c>
      <c r="C11" s="4" t="s">
        <v>1754</v>
      </c>
      <c r="D11" s="4" t="s">
        <v>1775</v>
      </c>
      <c r="E11" s="4" t="s">
        <v>1761</v>
      </c>
      <c r="F11" s="4" t="s">
        <v>1302</v>
      </c>
      <c r="G11" s="4" t="s">
        <v>1757</v>
      </c>
      <c r="H11" s="4" t="s">
        <v>1758</v>
      </c>
      <c r="I11" s="4" t="s">
        <v>1759</v>
      </c>
      <c r="J11" s="4"/>
      <c r="K11" s="4"/>
    </row>
    <row r="12" ht="16" customHeight="1" s="4" customFormat="1">
      <c r="A12" s="5">
        <v>46024</v>
      </c>
      <c r="B12" s="4" t="s">
        <v>1298</v>
      </c>
      <c r="C12" s="4" t="s">
        <v>1754</v>
      </c>
      <c r="D12" s="4" t="s">
        <v>1776</v>
      </c>
      <c r="E12" s="4" t="s">
        <v>1777</v>
      </c>
      <c r="F12" s="4" t="s">
        <v>1302</v>
      </c>
      <c r="G12" s="4" t="s">
        <v>1757</v>
      </c>
      <c r="H12" s="4" t="s">
        <v>1758</v>
      </c>
      <c r="I12" s="4" t="s">
        <v>1759</v>
      </c>
      <c r="J12" s="4"/>
      <c r="K12" s="4"/>
    </row>
    <row r="13" ht="16" customHeight="1" s="4" customFormat="1">
      <c r="A13" s="5">
        <v>46024</v>
      </c>
      <c r="B13" s="4" t="s">
        <v>1298</v>
      </c>
      <c r="C13" s="4" t="s">
        <v>1762</v>
      </c>
      <c r="D13" s="4" t="s">
        <v>1763</v>
      </c>
      <c r="E13" s="4" t="s">
        <v>1778</v>
      </c>
      <c r="F13" s="4" t="s">
        <v>1765</v>
      </c>
      <c r="G13" s="4" t="s">
        <v>1757</v>
      </c>
      <c r="H13" s="4" t="s">
        <v>1758</v>
      </c>
      <c r="I13" s="4" t="s">
        <v>1759</v>
      </c>
      <c r="J13" s="4"/>
      <c r="K13" s="4"/>
    </row>
    <row r="14" ht="16" customHeight="1" s="4" customFormat="1">
      <c r="A14" s="5">
        <v>46024</v>
      </c>
      <c r="B14" s="4" t="s">
        <v>1298</v>
      </c>
      <c r="C14" s="4" t="s">
        <v>1767</v>
      </c>
      <c r="D14" s="4" t="s">
        <v>1768</v>
      </c>
      <c r="E14" s="4" t="s">
        <v>1769</v>
      </c>
      <c r="F14" s="4" t="s">
        <v>1296</v>
      </c>
      <c r="G14" s="4" t="s">
        <v>1757</v>
      </c>
      <c r="H14" s="4" t="s">
        <v>1758</v>
      </c>
      <c r="I14" s="4" t="s">
        <v>1759</v>
      </c>
      <c r="J14" s="4"/>
      <c r="K14" s="4"/>
    </row>
    <row r="15" ht="16" customHeight="1" s="4" customFormat="1">
      <c r="A15" s="5">
        <v>46006</v>
      </c>
      <c r="B15" s="4" t="s">
        <v>1328</v>
      </c>
      <c r="C15" s="4" t="s">
        <v>1754</v>
      </c>
      <c r="D15" s="4" t="s">
        <v>1779</v>
      </c>
      <c r="E15" s="4" t="s">
        <v>1780</v>
      </c>
      <c r="F15" s="4" t="s">
        <v>1295</v>
      </c>
      <c r="G15" s="4" t="s">
        <v>1757</v>
      </c>
      <c r="H15" s="4" t="s">
        <v>1758</v>
      </c>
      <c r="I15" s="4" t="s">
        <v>1759</v>
      </c>
      <c r="J15" s="4"/>
      <c r="K15" s="4"/>
    </row>
    <row r="16" ht="16" customHeight="1" s="4" customFormat="1">
      <c r="A16" s="5">
        <v>45954</v>
      </c>
      <c r="B16" s="4" t="s">
        <v>1287</v>
      </c>
      <c r="C16" s="4" t="s">
        <v>1754</v>
      </c>
      <c r="D16" s="4" t="s">
        <v>1770</v>
      </c>
      <c r="E16" s="4" t="s">
        <v>1781</v>
      </c>
      <c r="F16" s="4" t="s">
        <v>1302</v>
      </c>
      <c r="G16" s="4" t="s">
        <v>1757</v>
      </c>
      <c r="H16" s="4" t="s">
        <v>1758</v>
      </c>
      <c r="I16" s="4" t="s">
        <v>1759</v>
      </c>
      <c r="J16" s="4"/>
      <c r="K16" s="4"/>
    </row>
    <row r="17" ht="16" customHeight="1" s="4" customFormat="1">
      <c r="A17" s="5">
        <v>45954</v>
      </c>
      <c r="B17" s="4" t="s">
        <v>1287</v>
      </c>
      <c r="C17" s="4" t="s">
        <v>1754</v>
      </c>
      <c r="D17" s="4" t="s">
        <v>1772</v>
      </c>
      <c r="E17" s="4" t="s">
        <v>1773</v>
      </c>
      <c r="F17" s="4" t="s">
        <v>1302</v>
      </c>
      <c r="G17" s="4" t="s">
        <v>1757</v>
      </c>
      <c r="H17" s="4" t="s">
        <v>1758</v>
      </c>
      <c r="I17" s="4" t="s">
        <v>1759</v>
      </c>
      <c r="J17" s="4"/>
      <c r="K17" s="4"/>
    </row>
    <row r="18" ht="16" customHeight="1" s="4" customFormat="1">
      <c r="A18" s="5">
        <v>45954</v>
      </c>
      <c r="B18" s="4" t="s">
        <v>1287</v>
      </c>
      <c r="C18" s="4" t="s">
        <v>1754</v>
      </c>
      <c r="D18" s="4" t="s">
        <v>1772</v>
      </c>
      <c r="E18" s="4" t="s">
        <v>1782</v>
      </c>
      <c r="F18" s="4" t="s">
        <v>1308</v>
      </c>
      <c r="G18" s="4" t="s">
        <v>1308</v>
      </c>
      <c r="H18" s="4"/>
      <c r="I18" s="4" t="s">
        <v>1759</v>
      </c>
      <c r="J18" s="4"/>
      <c r="K18" s="4"/>
    </row>
    <row r="19" ht="16" customHeight="1" s="4" customFormat="1">
      <c r="A19" s="5">
        <v>45954</v>
      </c>
      <c r="B19" s="4" t="s">
        <v>1287</v>
      </c>
      <c r="C19" s="4" t="s">
        <v>1767</v>
      </c>
      <c r="D19" s="4" t="s">
        <v>1770</v>
      </c>
      <c r="E19" s="4" t="s">
        <v>1783</v>
      </c>
      <c r="F19" s="4" t="s">
        <v>1296</v>
      </c>
      <c r="G19" s="4" t="s">
        <v>1757</v>
      </c>
      <c r="H19" s="4"/>
      <c r="I19" s="4" t="s">
        <v>1759</v>
      </c>
      <c r="J19" s="4"/>
      <c r="K19" s="4"/>
    </row>
    <row r="20" ht="16" customHeight="1" s="4" customFormat="1">
      <c r="A20" s="5">
        <v>45954</v>
      </c>
      <c r="B20" s="4" t="s">
        <v>1287</v>
      </c>
      <c r="C20" s="4" t="s">
        <v>1767</v>
      </c>
      <c r="D20" s="4" t="s">
        <v>1768</v>
      </c>
      <c r="E20" s="4" t="s">
        <v>1769</v>
      </c>
      <c r="F20" s="4" t="s">
        <v>1296</v>
      </c>
      <c r="G20" s="4" t="s">
        <v>1757</v>
      </c>
      <c r="H20" s="4"/>
      <c r="I20" s="4" t="s">
        <v>1759</v>
      </c>
      <c r="J20" s="4"/>
      <c r="K20" s="4"/>
    </row>
    <row r="21" ht="16" customHeight="1" s="4" customFormat="1">
      <c r="A21" s="5">
        <v>45911</v>
      </c>
      <c r="B21" s="4" t="s">
        <v>1287</v>
      </c>
      <c r="C21" s="4" t="s">
        <v>1754</v>
      </c>
      <c r="D21" s="4" t="s">
        <v>1770</v>
      </c>
      <c r="E21" s="4" t="s">
        <v>1784</v>
      </c>
      <c r="F21" s="4" t="s">
        <v>1302</v>
      </c>
      <c r="G21" s="4" t="s">
        <v>1757</v>
      </c>
      <c r="H21" s="4" t="s">
        <v>1758</v>
      </c>
      <c r="I21" s="4" t="s">
        <v>1759</v>
      </c>
      <c r="J21" s="4"/>
      <c r="K21" s="4"/>
    </row>
    <row r="22" ht="16" customHeight="1" s="4" customFormat="1">
      <c r="A22" s="5">
        <v>45911</v>
      </c>
      <c r="B22" s="4" t="s">
        <v>1287</v>
      </c>
      <c r="C22" s="4" t="s">
        <v>1754</v>
      </c>
      <c r="D22" s="4" t="s">
        <v>1772</v>
      </c>
      <c r="E22" s="4" t="s">
        <v>1773</v>
      </c>
      <c r="F22" s="4" t="s">
        <v>1302</v>
      </c>
      <c r="G22" s="4" t="s">
        <v>1757</v>
      </c>
      <c r="H22" s="4" t="s">
        <v>1758</v>
      </c>
      <c r="I22" s="4" t="s">
        <v>1759</v>
      </c>
      <c r="J22" s="4"/>
      <c r="K22" s="4"/>
    </row>
    <row r="23" ht="16" customHeight="1" s="4" customFormat="1">
      <c r="A23" s="5">
        <v>45911</v>
      </c>
      <c r="B23" s="4" t="s">
        <v>1287</v>
      </c>
      <c r="C23" s="4" t="s">
        <v>1767</v>
      </c>
      <c r="D23" s="4" t="s">
        <v>1768</v>
      </c>
      <c r="E23" s="4" t="s">
        <v>1769</v>
      </c>
      <c r="F23" s="4" t="s">
        <v>1296</v>
      </c>
      <c r="G23" s="4" t="s">
        <v>1757</v>
      </c>
      <c r="H23" s="4"/>
      <c r="I23" s="4" t="s">
        <v>1759</v>
      </c>
      <c r="J23" s="4"/>
      <c r="K23" s="4"/>
    </row>
    <row r="24" ht="16" customHeight="1" s="4" customFormat="1">
      <c r="A24" s="5">
        <v>45911</v>
      </c>
      <c r="B24" s="4" t="s">
        <v>1287</v>
      </c>
      <c r="C24" s="4" t="s">
        <v>1767</v>
      </c>
      <c r="D24" s="4" t="s">
        <v>1770</v>
      </c>
      <c r="E24" s="4" t="s">
        <v>1785</v>
      </c>
      <c r="F24" s="4" t="s">
        <v>1296</v>
      </c>
      <c r="G24" s="4" t="s">
        <v>1757</v>
      </c>
      <c r="H24" s="4" t="s">
        <v>1758</v>
      </c>
      <c r="I24" s="4" t="s">
        <v>1759</v>
      </c>
      <c r="J24" s="4"/>
      <c r="K24" s="4"/>
    </row>
    <row r="25" ht="16" customHeight="1" s="4" customFormat="1">
      <c r="A25" s="5">
        <v>45856</v>
      </c>
      <c r="B25" s="4" t="s">
        <v>1298</v>
      </c>
      <c r="C25" s="4" t="s">
        <v>1754</v>
      </c>
      <c r="D25" s="4" t="s">
        <v>1775</v>
      </c>
      <c r="E25" s="4" t="s">
        <v>1761</v>
      </c>
      <c r="F25" s="4" t="s">
        <v>1302</v>
      </c>
      <c r="G25" s="4" t="s">
        <v>1757</v>
      </c>
      <c r="H25" s="4" t="s">
        <v>1758</v>
      </c>
      <c r="I25" s="4" t="s">
        <v>1759</v>
      </c>
      <c r="J25" s="4"/>
      <c r="K25" s="4"/>
    </row>
    <row r="26" ht="16" customHeight="1" s="4" customFormat="1">
      <c r="A26" s="5">
        <v>45856</v>
      </c>
      <c r="B26" s="4" t="s">
        <v>1298</v>
      </c>
      <c r="C26" s="4" t="s">
        <v>1754</v>
      </c>
      <c r="D26" s="4" t="s">
        <v>1776</v>
      </c>
      <c r="E26" s="4" t="s">
        <v>1777</v>
      </c>
      <c r="F26" s="4" t="s">
        <v>1302</v>
      </c>
      <c r="G26" s="4" t="s">
        <v>1757</v>
      </c>
      <c r="H26" s="4" t="s">
        <v>1758</v>
      </c>
      <c r="I26" s="4" t="s">
        <v>1759</v>
      </c>
      <c r="J26" s="4"/>
      <c r="K26" s="4"/>
    </row>
    <row r="27" ht="16" customHeight="1" s="4" customFormat="1">
      <c r="A27" s="5">
        <v>45856</v>
      </c>
      <c r="B27" s="4" t="s">
        <v>1298</v>
      </c>
      <c r="C27" s="4" t="s">
        <v>1762</v>
      </c>
      <c r="D27" s="4" t="s">
        <v>1763</v>
      </c>
      <c r="E27" s="4" t="s">
        <v>1778</v>
      </c>
      <c r="F27" s="4" t="s">
        <v>1765</v>
      </c>
      <c r="G27" s="4" t="s">
        <v>1757</v>
      </c>
      <c r="H27" s="4" t="s">
        <v>1758</v>
      </c>
      <c r="I27" s="4" t="s">
        <v>1759</v>
      </c>
      <c r="J27" s="4"/>
      <c r="K27" s="4"/>
    </row>
    <row r="28" ht="16" customHeight="1" s="4" customFormat="1">
      <c r="A28" s="5">
        <v>45856</v>
      </c>
      <c r="B28" s="4" t="s">
        <v>1298</v>
      </c>
      <c r="C28" s="4" t="s">
        <v>1767</v>
      </c>
      <c r="D28" s="4" t="s">
        <v>1768</v>
      </c>
      <c r="E28" s="4" t="s">
        <v>1769</v>
      </c>
      <c r="F28" s="4" t="s">
        <v>1296</v>
      </c>
      <c r="G28" s="4" t="s">
        <v>1757</v>
      </c>
      <c r="H28" s="4" t="s">
        <v>1758</v>
      </c>
      <c r="I28" s="4" t="s">
        <v>1759</v>
      </c>
      <c r="J28" s="4"/>
      <c r="K28" s="4"/>
    </row>
    <row r="29" ht="16" customHeight="1" s="4" customFormat="1">
      <c r="A29" s="5">
        <v>45807</v>
      </c>
      <c r="B29" s="4" t="s">
        <v>1287</v>
      </c>
      <c r="C29" s="4" t="s">
        <v>1754</v>
      </c>
      <c r="D29" s="4" t="s">
        <v>1770</v>
      </c>
      <c r="E29" s="4" t="s">
        <v>1786</v>
      </c>
      <c r="F29" s="4" t="s">
        <v>1302</v>
      </c>
      <c r="G29" s="4" t="s">
        <v>1757</v>
      </c>
      <c r="H29" s="4" t="s">
        <v>1758</v>
      </c>
      <c r="I29" s="4" t="s">
        <v>1759</v>
      </c>
      <c r="J29" s="4"/>
      <c r="K29" s="4"/>
    </row>
    <row r="30" ht="16" customHeight="1" s="4" customFormat="1">
      <c r="A30" s="5">
        <v>45807</v>
      </c>
      <c r="B30" s="4" t="s">
        <v>1287</v>
      </c>
      <c r="C30" s="4" t="s">
        <v>1754</v>
      </c>
      <c r="D30" s="4" t="s">
        <v>1772</v>
      </c>
      <c r="E30" s="4" t="s">
        <v>1787</v>
      </c>
      <c r="F30" s="4" t="s">
        <v>1302</v>
      </c>
      <c r="G30" s="4" t="s">
        <v>1757</v>
      </c>
      <c r="H30" s="4" t="s">
        <v>1758</v>
      </c>
      <c r="I30" s="4" t="s">
        <v>1759</v>
      </c>
      <c r="J30" s="4"/>
      <c r="K30" s="4"/>
    </row>
    <row r="31" ht="16" customHeight="1" s="4" customFormat="1">
      <c r="A31" s="5">
        <v>45807</v>
      </c>
      <c r="B31" s="4" t="s">
        <v>1287</v>
      </c>
      <c r="C31" s="4" t="s">
        <v>1767</v>
      </c>
      <c r="D31" s="4" t="s">
        <v>1768</v>
      </c>
      <c r="E31" s="4" t="s">
        <v>1769</v>
      </c>
      <c r="F31" s="4" t="s">
        <v>1296</v>
      </c>
      <c r="G31" s="4" t="s">
        <v>1757</v>
      </c>
      <c r="H31" s="4"/>
      <c r="I31" s="4" t="s">
        <v>1759</v>
      </c>
      <c r="J31" s="4"/>
      <c r="K31" s="4"/>
    </row>
    <row r="32" ht="16" customHeight="1" s="4" customFormat="1">
      <c r="A32" s="5">
        <v>45807</v>
      </c>
      <c r="B32" s="4" t="s">
        <v>1287</v>
      </c>
      <c r="C32" s="4" t="s">
        <v>1767</v>
      </c>
      <c r="D32" s="4" t="s">
        <v>1770</v>
      </c>
      <c r="E32" s="4" t="s">
        <v>1788</v>
      </c>
      <c r="F32" s="4" t="s">
        <v>1296</v>
      </c>
      <c r="G32" s="4" t="s">
        <v>1757</v>
      </c>
      <c r="H32" s="4"/>
      <c r="I32" s="4" t="s">
        <v>1759</v>
      </c>
      <c r="J32" s="4"/>
      <c r="K32" s="4"/>
    </row>
    <row r="33" ht="16" customHeight="1" s="4" customFormat="1">
      <c r="A33" s="5">
        <v>45721</v>
      </c>
      <c r="B33" s="4" t="s">
        <v>1287</v>
      </c>
      <c r="C33" s="4" t="s">
        <v>1754</v>
      </c>
      <c r="D33" s="4" t="s">
        <v>1772</v>
      </c>
      <c r="E33" s="4" t="s">
        <v>1787</v>
      </c>
      <c r="F33" s="4" t="s">
        <v>1302</v>
      </c>
      <c r="G33" s="4" t="s">
        <v>1757</v>
      </c>
      <c r="H33" s="4" t="s">
        <v>1758</v>
      </c>
      <c r="I33" s="4" t="s">
        <v>1759</v>
      </c>
      <c r="J33" s="4"/>
      <c r="K33" s="4"/>
    </row>
    <row r="34" ht="16" customHeight="1" s="4" customFormat="1">
      <c r="A34" s="5">
        <v>45721</v>
      </c>
      <c r="B34" s="4" t="s">
        <v>1287</v>
      </c>
      <c r="C34" s="4" t="s">
        <v>1754</v>
      </c>
      <c r="D34" s="4" t="s">
        <v>1770</v>
      </c>
      <c r="E34" s="4" t="s">
        <v>1789</v>
      </c>
      <c r="F34" s="4" t="s">
        <v>1302</v>
      </c>
      <c r="G34" s="4" t="s">
        <v>1757</v>
      </c>
      <c r="H34" s="4" t="s">
        <v>1758</v>
      </c>
      <c r="I34" s="4" t="s">
        <v>1759</v>
      </c>
      <c r="J34" s="4"/>
      <c r="K34" s="4"/>
    </row>
    <row r="35" ht="16" customHeight="1" s="4" customFormat="1">
      <c r="A35" s="5">
        <v>45721</v>
      </c>
      <c r="B35" s="4" t="s">
        <v>1287</v>
      </c>
      <c r="C35" s="4" t="s">
        <v>1767</v>
      </c>
      <c r="D35" s="4" t="s">
        <v>1770</v>
      </c>
      <c r="E35" s="4" t="s">
        <v>1790</v>
      </c>
      <c r="F35" s="4" t="s">
        <v>1296</v>
      </c>
      <c r="G35" s="4" t="s">
        <v>1757</v>
      </c>
      <c r="H35" s="4"/>
      <c r="I35" s="4" t="s">
        <v>1759</v>
      </c>
      <c r="J35" s="4"/>
      <c r="K35" s="4"/>
    </row>
    <row r="36" ht="16" customHeight="1" s="4" customFormat="1">
      <c r="A36" s="5">
        <v>45721</v>
      </c>
      <c r="B36" s="4" t="s">
        <v>1287</v>
      </c>
      <c r="C36" s="4" t="s">
        <v>1767</v>
      </c>
      <c r="D36" s="4" t="s">
        <v>1768</v>
      </c>
      <c r="E36" s="4" t="s">
        <v>1769</v>
      </c>
      <c r="F36" s="4" t="s">
        <v>1296</v>
      </c>
      <c r="G36" s="4" t="s">
        <v>1757</v>
      </c>
      <c r="H36" s="4"/>
      <c r="I36" s="4" t="s">
        <v>1759</v>
      </c>
      <c r="J36" s="4"/>
      <c r="K36" s="4"/>
    </row>
    <row r="37" ht="16" customHeight="1" s="4" customFormat="1">
      <c r="A37" s="5">
        <v>45685</v>
      </c>
      <c r="B37" s="4" t="s">
        <v>1298</v>
      </c>
      <c r="C37" s="4" t="s">
        <v>1754</v>
      </c>
      <c r="D37" s="4" t="s">
        <v>1775</v>
      </c>
      <c r="E37" s="4" t="s">
        <v>1782</v>
      </c>
      <c r="F37" s="4" t="s">
        <v>1302</v>
      </c>
      <c r="G37" s="4" t="s">
        <v>1766</v>
      </c>
      <c r="H37" s="4" t="s">
        <v>1758</v>
      </c>
      <c r="I37" s="4" t="s">
        <v>1759</v>
      </c>
      <c r="J37" s="4"/>
      <c r="K37" s="4"/>
    </row>
    <row r="38" ht="16" customHeight="1" s="4" customFormat="1">
      <c r="A38" s="5">
        <v>45685</v>
      </c>
      <c r="B38" s="4" t="s">
        <v>1298</v>
      </c>
      <c r="C38" s="4" t="s">
        <v>1762</v>
      </c>
      <c r="D38" s="4" t="s">
        <v>1763</v>
      </c>
      <c r="E38" s="4" t="s">
        <v>1778</v>
      </c>
      <c r="F38" s="4" t="s">
        <v>1765</v>
      </c>
      <c r="G38" s="4" t="s">
        <v>1757</v>
      </c>
      <c r="H38" s="4" t="s">
        <v>1758</v>
      </c>
      <c r="I38" s="4" t="s">
        <v>1759</v>
      </c>
      <c r="J38" s="4"/>
      <c r="K38" s="4"/>
    </row>
    <row r="39" ht="16" customHeight="1" s="4" customFormat="1">
      <c r="A39" s="5">
        <v>45685</v>
      </c>
      <c r="B39" s="4" t="s">
        <v>1298</v>
      </c>
      <c r="C39" s="4" t="s">
        <v>1754</v>
      </c>
      <c r="D39" s="4" t="s">
        <v>1791</v>
      </c>
      <c r="E39" s="4" t="s">
        <v>1777</v>
      </c>
      <c r="F39" s="4" t="s">
        <v>1302</v>
      </c>
      <c r="G39" s="4" t="s">
        <v>1757</v>
      </c>
      <c r="H39" s="4" t="s">
        <v>1758</v>
      </c>
      <c r="I39" s="4" t="s">
        <v>1759</v>
      </c>
      <c r="J39" s="4"/>
      <c r="K39" s="4"/>
    </row>
    <row r="40" ht="16" customHeight="1" s="4" customFormat="1">
      <c r="A40" s="5">
        <v>45685</v>
      </c>
      <c r="B40" s="4" t="s">
        <v>1298</v>
      </c>
      <c r="C40" s="4" t="s">
        <v>1754</v>
      </c>
      <c r="D40" s="4" t="s">
        <v>1775</v>
      </c>
      <c r="E40" s="4" t="s">
        <v>1792</v>
      </c>
      <c r="F40" s="4" t="s">
        <v>1302</v>
      </c>
      <c r="G40" s="4" t="s">
        <v>1757</v>
      </c>
      <c r="H40" s="4" t="s">
        <v>1758</v>
      </c>
      <c r="I40" s="4" t="s">
        <v>1759</v>
      </c>
      <c r="J40" s="4"/>
      <c r="K40" s="4"/>
    </row>
    <row r="41" ht="16" customHeight="1" s="4" customFormat="1">
      <c r="A41" s="5">
        <v>45685</v>
      </c>
      <c r="B41" s="4" t="s">
        <v>1298</v>
      </c>
      <c r="C41" s="4" t="s">
        <v>1767</v>
      </c>
      <c r="D41" s="4" t="s">
        <v>1768</v>
      </c>
      <c r="E41" s="4" t="s">
        <v>1769</v>
      </c>
      <c r="F41" s="4" t="s">
        <v>1296</v>
      </c>
      <c r="G41" s="4" t="s">
        <v>1757</v>
      </c>
      <c r="H41" s="4" t="s">
        <v>1758</v>
      </c>
      <c r="I41" s="4" t="s">
        <v>1759</v>
      </c>
      <c r="J41" s="4"/>
      <c r="K41" s="4"/>
    </row>
    <row r="42" ht="16" customHeight="1" s="4" customFormat="1">
      <c r="A42" s="5">
        <v>45645</v>
      </c>
      <c r="B42" s="4" t="s">
        <v>1298</v>
      </c>
      <c r="C42" s="4" t="s">
        <v>1762</v>
      </c>
      <c r="D42" s="4" t="s">
        <v>1763</v>
      </c>
      <c r="E42" s="4" t="s">
        <v>1778</v>
      </c>
      <c r="F42" s="4" t="s">
        <v>1765</v>
      </c>
      <c r="G42" s="4" t="s">
        <v>1757</v>
      </c>
      <c r="H42" s="4" t="s">
        <v>1758</v>
      </c>
      <c r="I42" s="4" t="s">
        <v>1759</v>
      </c>
      <c r="J42" s="4"/>
      <c r="K42" s="4"/>
    </row>
    <row r="43" ht="16" customHeight="1" s="4" customFormat="1">
      <c r="A43" s="5">
        <v>45645</v>
      </c>
      <c r="B43" s="4" t="s">
        <v>1298</v>
      </c>
      <c r="C43" s="4" t="s">
        <v>1754</v>
      </c>
      <c r="D43" s="4" t="s">
        <v>1775</v>
      </c>
      <c r="E43" s="4" t="s">
        <v>1792</v>
      </c>
      <c r="F43" s="4" t="s">
        <v>1302</v>
      </c>
      <c r="G43" s="4" t="s">
        <v>1757</v>
      </c>
      <c r="H43" s="4" t="s">
        <v>1758</v>
      </c>
      <c r="I43" s="4" t="s">
        <v>1759</v>
      </c>
      <c r="J43" s="4"/>
      <c r="K43" s="4"/>
    </row>
    <row r="44" ht="16" customHeight="1" s="4" customFormat="1">
      <c r="A44" s="5">
        <v>45645</v>
      </c>
      <c r="B44" s="4" t="s">
        <v>1298</v>
      </c>
      <c r="C44" s="4" t="s">
        <v>1754</v>
      </c>
      <c r="D44" s="4" t="s">
        <v>1776</v>
      </c>
      <c r="E44" s="4" t="s">
        <v>1777</v>
      </c>
      <c r="F44" s="4" t="s">
        <v>1302</v>
      </c>
      <c r="G44" s="4" t="s">
        <v>1757</v>
      </c>
      <c r="H44" s="4" t="s">
        <v>1758</v>
      </c>
      <c r="I44" s="4" t="s">
        <v>1759</v>
      </c>
      <c r="J44" s="4"/>
      <c r="K44" s="4"/>
    </row>
    <row r="45" ht="16" customHeight="1" s="4" customFormat="1">
      <c r="A45" s="5">
        <v>45645</v>
      </c>
      <c r="B45" s="4" t="s">
        <v>1298</v>
      </c>
      <c r="C45" s="4" t="s">
        <v>1767</v>
      </c>
      <c r="D45" s="4" t="s">
        <v>1768</v>
      </c>
      <c r="E45" s="4" t="s">
        <v>1769</v>
      </c>
      <c r="F45" s="4" t="s">
        <v>1296</v>
      </c>
      <c r="G45" s="4" t="s">
        <v>1757</v>
      </c>
      <c r="H45" s="4" t="s">
        <v>1758</v>
      </c>
      <c r="I45" s="4" t="s">
        <v>1759</v>
      </c>
      <c r="J45" s="4"/>
      <c r="K45" s="4"/>
    </row>
    <row r="46" ht="16" customHeight="1" s="4" customFormat="1">
      <c r="A46" s="5">
        <v>45642</v>
      </c>
      <c r="B46" s="4" t="s">
        <v>1328</v>
      </c>
      <c r="C46" s="4" t="s">
        <v>1754</v>
      </c>
      <c r="D46" s="4" t="s">
        <v>1760</v>
      </c>
      <c r="E46" s="4" t="s">
        <v>1780</v>
      </c>
      <c r="F46" s="4" t="s">
        <v>1295</v>
      </c>
      <c r="G46" s="4" t="s">
        <v>1793</v>
      </c>
      <c r="H46" s="4" t="s">
        <v>1758</v>
      </c>
      <c r="I46" s="4" t="s">
        <v>1759</v>
      </c>
      <c r="J46" s="4"/>
      <c r="K46" s="4"/>
    </row>
    <row r="47" ht="16" customHeight="1" s="4" customFormat="1">
      <c r="A47" s="5">
        <v>45642</v>
      </c>
      <c r="B47" s="4" t="s">
        <v>1328</v>
      </c>
      <c r="C47" s="4" t="s">
        <v>1767</v>
      </c>
      <c r="D47" s="4" t="s">
        <v>1768</v>
      </c>
      <c r="E47" s="4" t="s">
        <v>1794</v>
      </c>
      <c r="F47" s="4" t="s">
        <v>1308</v>
      </c>
      <c r="G47" s="4" t="s">
        <v>1308</v>
      </c>
      <c r="H47" s="4"/>
      <c r="I47" s="4" t="s">
        <v>1759</v>
      </c>
      <c r="J47" s="4"/>
      <c r="K47" s="4"/>
    </row>
    <row r="48" ht="16" customHeight="1" s="4" customFormat="1">
      <c r="A48" s="5">
        <v>45629</v>
      </c>
      <c r="B48" s="4" t="s">
        <v>1287</v>
      </c>
      <c r="C48" s="4" t="s">
        <v>1754</v>
      </c>
      <c r="D48" s="4" t="s">
        <v>1772</v>
      </c>
      <c r="E48" s="4" t="s">
        <v>1795</v>
      </c>
      <c r="F48" s="4" t="s">
        <v>1302</v>
      </c>
      <c r="G48" s="4" t="s">
        <v>1793</v>
      </c>
      <c r="H48" s="4" t="s">
        <v>1758</v>
      </c>
      <c r="I48" s="4" t="s">
        <v>1759</v>
      </c>
      <c r="J48" s="4"/>
      <c r="K48" s="4"/>
    </row>
    <row r="49" ht="16" customHeight="1" s="4" customFormat="1">
      <c r="A49" s="5">
        <v>45629</v>
      </c>
      <c r="B49" s="4" t="s">
        <v>1287</v>
      </c>
      <c r="C49" s="4" t="s">
        <v>1754</v>
      </c>
      <c r="D49" s="4" t="s">
        <v>1770</v>
      </c>
      <c r="E49" s="4" t="s">
        <v>1789</v>
      </c>
      <c r="F49" s="4" t="s">
        <v>1302</v>
      </c>
      <c r="G49" s="4" t="s">
        <v>1793</v>
      </c>
      <c r="H49" s="4" t="s">
        <v>1758</v>
      </c>
      <c r="I49" s="4" t="s">
        <v>1759</v>
      </c>
      <c r="J49" s="4"/>
      <c r="K49" s="4"/>
    </row>
    <row r="50" ht="16" customHeight="1" s="4" customFormat="1">
      <c r="A50" s="5">
        <v>45629</v>
      </c>
      <c r="B50" s="4" t="s">
        <v>1287</v>
      </c>
      <c r="C50" s="4" t="s">
        <v>1767</v>
      </c>
      <c r="D50" s="4" t="s">
        <v>1768</v>
      </c>
      <c r="E50" s="4" t="s">
        <v>1769</v>
      </c>
      <c r="F50" s="4" t="s">
        <v>1296</v>
      </c>
      <c r="G50" s="4" t="s">
        <v>1757</v>
      </c>
      <c r="H50" s="4"/>
      <c r="I50" s="4" t="s">
        <v>1759</v>
      </c>
      <c r="J50" s="4"/>
      <c r="K50" s="4"/>
    </row>
    <row r="51" ht="16" customHeight="1" s="4" customFormat="1">
      <c r="A51" s="5">
        <v>45629</v>
      </c>
      <c r="B51" s="4" t="s">
        <v>1287</v>
      </c>
      <c r="C51" s="4" t="s">
        <v>1767</v>
      </c>
      <c r="D51" s="4" t="s">
        <v>1770</v>
      </c>
      <c r="E51" s="4" t="s">
        <v>1790</v>
      </c>
      <c r="F51" s="4" t="s">
        <v>1296</v>
      </c>
      <c r="G51" s="4" t="s">
        <v>1757</v>
      </c>
      <c r="H51" s="4"/>
      <c r="I51" s="4" t="s">
        <v>1759</v>
      </c>
      <c r="J51" s="4"/>
      <c r="K51" s="4"/>
    </row>
    <row r="52" ht="16" customHeight="1" s="4" customFormat="1">
      <c r="A52" s="5">
        <v>45547</v>
      </c>
      <c r="B52" s="4" t="s">
        <v>1298</v>
      </c>
      <c r="C52" s="4" t="s">
        <v>1754</v>
      </c>
      <c r="D52" s="4" t="s">
        <v>1776</v>
      </c>
      <c r="E52" s="4" t="s">
        <v>1777</v>
      </c>
      <c r="F52" s="4" t="s">
        <v>1302</v>
      </c>
      <c r="G52" s="4" t="s">
        <v>1757</v>
      </c>
      <c r="H52" s="4" t="s">
        <v>1758</v>
      </c>
      <c r="I52" s="4" t="s">
        <v>1759</v>
      </c>
      <c r="J52" s="4"/>
      <c r="K52" s="4"/>
    </row>
    <row r="53" ht="16" customHeight="1" s="4" customFormat="1">
      <c r="A53" s="5">
        <v>45547</v>
      </c>
      <c r="B53" s="4" t="s">
        <v>1298</v>
      </c>
      <c r="C53" s="4" t="s">
        <v>1762</v>
      </c>
      <c r="D53" s="4" t="s">
        <v>1763</v>
      </c>
      <c r="E53" s="4" t="s">
        <v>1778</v>
      </c>
      <c r="F53" s="4" t="s">
        <v>1765</v>
      </c>
      <c r="G53" s="4" t="s">
        <v>1757</v>
      </c>
      <c r="H53" s="4" t="s">
        <v>1758</v>
      </c>
      <c r="I53" s="4" t="s">
        <v>1759</v>
      </c>
      <c r="J53" s="4"/>
      <c r="K53" s="4"/>
    </row>
    <row r="54" ht="16" customHeight="1" s="4" customFormat="1">
      <c r="A54" s="5">
        <v>45547</v>
      </c>
      <c r="B54" s="4" t="s">
        <v>1298</v>
      </c>
      <c r="C54" s="4" t="s">
        <v>1767</v>
      </c>
      <c r="D54" s="4" t="s">
        <v>1768</v>
      </c>
      <c r="E54" s="4" t="s">
        <v>1769</v>
      </c>
      <c r="F54" s="4" t="s">
        <v>1296</v>
      </c>
      <c r="G54" s="4" t="s">
        <v>1757</v>
      </c>
      <c r="H54" s="4" t="s">
        <v>1758</v>
      </c>
      <c r="I54" s="4" t="s">
        <v>1759</v>
      </c>
      <c r="J54" s="4"/>
      <c r="K54" s="4"/>
    </row>
    <row r="55" ht="16" customHeight="1" s="4" customFormat="1">
      <c r="A55" s="5">
        <v>45545</v>
      </c>
      <c r="B55" s="4" t="s">
        <v>1287</v>
      </c>
      <c r="C55" s="4" t="s">
        <v>1754</v>
      </c>
      <c r="D55" s="4" t="s">
        <v>1772</v>
      </c>
      <c r="E55" s="4" t="s">
        <v>1795</v>
      </c>
      <c r="F55" s="4" t="s">
        <v>1295</v>
      </c>
      <c r="G55" s="4" t="s">
        <v>1757</v>
      </c>
      <c r="H55" s="4" t="s">
        <v>1796</v>
      </c>
      <c r="I55" s="4" t="s">
        <v>1759</v>
      </c>
      <c r="J55" s="4"/>
      <c r="K55" s="4"/>
    </row>
    <row r="56" ht="16" customHeight="1" s="4" customFormat="1">
      <c r="A56" s="5">
        <v>45545</v>
      </c>
      <c r="B56" s="4" t="s">
        <v>1287</v>
      </c>
      <c r="C56" s="4" t="s">
        <v>1754</v>
      </c>
      <c r="D56" s="4" t="s">
        <v>1770</v>
      </c>
      <c r="E56" s="4" t="s">
        <v>1797</v>
      </c>
      <c r="F56" s="4" t="s">
        <v>1295</v>
      </c>
      <c r="G56" s="4" t="s">
        <v>1757</v>
      </c>
      <c r="H56" s="4" t="s">
        <v>1796</v>
      </c>
      <c r="I56" s="4" t="s">
        <v>1759</v>
      </c>
      <c r="J56" s="4"/>
      <c r="K56" s="4"/>
    </row>
    <row r="57" ht="16" customHeight="1" s="4" customFormat="1">
      <c r="A57" s="5">
        <v>45545</v>
      </c>
      <c r="B57" s="4" t="s">
        <v>1287</v>
      </c>
      <c r="C57" s="4" t="s">
        <v>1767</v>
      </c>
      <c r="D57" s="4" t="s">
        <v>1768</v>
      </c>
      <c r="E57" s="4" t="s">
        <v>1769</v>
      </c>
      <c r="F57" s="4" t="s">
        <v>1296</v>
      </c>
      <c r="G57" s="4" t="s">
        <v>1757</v>
      </c>
      <c r="H57" s="4"/>
      <c r="I57" s="4" t="s">
        <v>1759</v>
      </c>
      <c r="J57" s="4"/>
      <c r="K57" s="4"/>
    </row>
    <row r="58" ht="16" customHeight="1" s="4" customFormat="1">
      <c r="A58" s="5">
        <v>45545</v>
      </c>
      <c r="B58" s="4" t="s">
        <v>1287</v>
      </c>
      <c r="C58" s="4" t="s">
        <v>1767</v>
      </c>
      <c r="D58" s="4" t="s">
        <v>1770</v>
      </c>
      <c r="E58" s="4" t="s">
        <v>1798</v>
      </c>
      <c r="F58" s="4" t="s">
        <v>1296</v>
      </c>
      <c r="G58" s="4" t="s">
        <v>1757</v>
      </c>
      <c r="H58" s="4"/>
      <c r="I58" s="4" t="s">
        <v>1759</v>
      </c>
      <c r="J58" s="4"/>
      <c r="K58" s="4"/>
    </row>
    <row r="59" ht="16" customHeight="1" s="4" customFormat="1">
      <c r="A59" s="5">
        <v>45539</v>
      </c>
      <c r="B59" s="4" t="s">
        <v>1298</v>
      </c>
      <c r="C59" s="4" t="s">
        <v>1754</v>
      </c>
      <c r="D59" s="4" t="s">
        <v>1799</v>
      </c>
      <c r="E59" s="4" t="s">
        <v>1800</v>
      </c>
      <c r="F59" s="4" t="s">
        <v>1302</v>
      </c>
      <c r="G59" s="4" t="s">
        <v>1793</v>
      </c>
      <c r="H59" s="4" t="s">
        <v>1758</v>
      </c>
      <c r="I59" s="4" t="s">
        <v>1759</v>
      </c>
      <c r="J59" s="4"/>
      <c r="K59" s="4"/>
    </row>
    <row r="60" ht="16" customHeight="1" s="4" customFormat="1">
      <c r="A60" s="5">
        <v>45539</v>
      </c>
      <c r="B60" s="4" t="s">
        <v>1298</v>
      </c>
      <c r="C60" s="4" t="s">
        <v>1754</v>
      </c>
      <c r="D60" s="4" t="s">
        <v>1763</v>
      </c>
      <c r="E60" s="4" t="s">
        <v>1801</v>
      </c>
      <c r="F60" s="4" t="s">
        <v>1302</v>
      </c>
      <c r="G60" s="4" t="s">
        <v>1793</v>
      </c>
      <c r="H60" s="4" t="s">
        <v>1758</v>
      </c>
      <c r="I60" s="4" t="s">
        <v>1759</v>
      </c>
      <c r="J60" s="4"/>
      <c r="K60" s="4"/>
    </row>
    <row r="61" ht="16" customHeight="1" s="4" customFormat="1">
      <c r="A61" s="5">
        <v>45539</v>
      </c>
      <c r="B61" s="4" t="s">
        <v>1298</v>
      </c>
      <c r="C61" s="4" t="s">
        <v>1767</v>
      </c>
      <c r="D61" s="4" t="s">
        <v>1768</v>
      </c>
      <c r="E61" s="4" t="s">
        <v>1769</v>
      </c>
      <c r="F61" s="4" t="s">
        <v>1296</v>
      </c>
      <c r="G61" s="4" t="s">
        <v>1757</v>
      </c>
      <c r="H61" s="4" t="s">
        <v>1758</v>
      </c>
      <c r="I61" s="4" t="s">
        <v>1759</v>
      </c>
      <c r="J61" s="4"/>
      <c r="K61" s="4"/>
    </row>
    <row r="62" ht="16" customHeight="1" s="4" customFormat="1">
      <c r="A62" s="5">
        <v>45533</v>
      </c>
      <c r="B62" s="4" t="s">
        <v>1328</v>
      </c>
      <c r="C62" s="4" t="s">
        <v>1754</v>
      </c>
      <c r="D62" s="4" t="s">
        <v>1760</v>
      </c>
      <c r="E62" s="4" t="s">
        <v>1780</v>
      </c>
      <c r="F62" s="4" t="s">
        <v>1294</v>
      </c>
      <c r="G62" s="4" t="s">
        <v>1757</v>
      </c>
      <c r="H62" s="4" t="s">
        <v>1796</v>
      </c>
      <c r="I62" s="4" t="s">
        <v>1759</v>
      </c>
      <c r="J62" s="4"/>
      <c r="K62" s="4"/>
    </row>
    <row r="63" ht="16" customHeight="1" s="4" customFormat="1">
      <c r="A63" s="5">
        <v>45533</v>
      </c>
      <c r="B63" s="4" t="s">
        <v>1328</v>
      </c>
      <c r="C63" s="4" t="s">
        <v>1754</v>
      </c>
      <c r="D63" s="4" t="s">
        <v>1802</v>
      </c>
      <c r="E63" s="4" t="s">
        <v>1803</v>
      </c>
      <c r="F63" s="4" t="s">
        <v>1308</v>
      </c>
      <c r="G63" s="4" t="s">
        <v>1308</v>
      </c>
      <c r="H63" s="4"/>
      <c r="I63" s="4" t="s">
        <v>1759</v>
      </c>
      <c r="J63" s="4"/>
      <c r="K63" s="4"/>
    </row>
    <row r="64" ht="16" customHeight="1" s="4" customFormat="1">
      <c r="A64" s="5">
        <v>45533</v>
      </c>
      <c r="B64" s="4" t="s">
        <v>1328</v>
      </c>
      <c r="C64" s="4" t="s">
        <v>1754</v>
      </c>
      <c r="D64" s="4" t="s">
        <v>1804</v>
      </c>
      <c r="E64" s="4" t="s">
        <v>1794</v>
      </c>
      <c r="F64" s="4" t="s">
        <v>1308</v>
      </c>
      <c r="G64" s="4" t="s">
        <v>1308</v>
      </c>
      <c r="H64" s="4"/>
      <c r="I64" s="4" t="s">
        <v>1759</v>
      </c>
      <c r="J64" s="4"/>
      <c r="K64" s="4"/>
    </row>
    <row r="65" ht="16" customHeight="1" s="4" customFormat="1">
      <c r="A65" s="5">
        <v>45533</v>
      </c>
      <c r="B65" s="4" t="s">
        <v>1328</v>
      </c>
      <c r="C65" s="4" t="s">
        <v>1754</v>
      </c>
      <c r="D65" s="4" t="s">
        <v>1805</v>
      </c>
      <c r="E65" s="4" t="s">
        <v>1806</v>
      </c>
      <c r="F65" s="4" t="s">
        <v>1308</v>
      </c>
      <c r="G65" s="4" t="s">
        <v>1308</v>
      </c>
      <c r="H65" s="4"/>
      <c r="I65" s="4" t="s">
        <v>1759</v>
      </c>
      <c r="J65" s="4"/>
      <c r="K65" s="4"/>
    </row>
    <row r="66" ht="16" customHeight="1" s="4" customFormat="1">
      <c r="A66" s="5">
        <v>45533</v>
      </c>
      <c r="B66" s="4" t="s">
        <v>1328</v>
      </c>
      <c r="C66" s="4" t="s">
        <v>1767</v>
      </c>
      <c r="D66" s="4" t="s">
        <v>1768</v>
      </c>
      <c r="E66" s="4" t="s">
        <v>1794</v>
      </c>
      <c r="F66" s="4" t="s">
        <v>1296</v>
      </c>
      <c r="G66" s="4" t="s">
        <v>1793</v>
      </c>
      <c r="H66" s="4"/>
      <c r="I66" s="4" t="s">
        <v>1759</v>
      </c>
      <c r="J66" s="4"/>
      <c r="K66" s="4"/>
    </row>
    <row r="67" ht="16" customHeight="1" s="4" customFormat="1">
      <c r="A67" s="5">
        <v>45530</v>
      </c>
      <c r="B67" s="4" t="s">
        <v>1298</v>
      </c>
      <c r="C67" s="4" t="s">
        <v>1754</v>
      </c>
      <c r="D67" s="4" t="s">
        <v>1807</v>
      </c>
      <c r="E67" s="4" t="s">
        <v>1800</v>
      </c>
      <c r="F67" s="4" t="s">
        <v>1295</v>
      </c>
      <c r="G67" s="4" t="s">
        <v>1757</v>
      </c>
      <c r="H67" s="4" t="s">
        <v>1758</v>
      </c>
      <c r="I67" s="4" t="s">
        <v>1759</v>
      </c>
      <c r="J67" s="4"/>
      <c r="K67" s="4"/>
    </row>
    <row r="68" ht="16" customHeight="1" s="4" customFormat="1">
      <c r="A68" s="5">
        <v>45530</v>
      </c>
      <c r="B68" s="4" t="s">
        <v>1298</v>
      </c>
      <c r="C68" s="4" t="s">
        <v>1762</v>
      </c>
      <c r="D68" s="4" t="s">
        <v>1763</v>
      </c>
      <c r="E68" s="4" t="s">
        <v>1801</v>
      </c>
      <c r="F68" s="4" t="s">
        <v>1808</v>
      </c>
      <c r="G68" s="4" t="s">
        <v>1757</v>
      </c>
      <c r="H68" s="4" t="s">
        <v>1758</v>
      </c>
      <c r="I68" s="4" t="s">
        <v>1759</v>
      </c>
      <c r="J68" s="4"/>
      <c r="K68" s="4"/>
    </row>
    <row r="69" ht="16" customHeight="1" s="4" customFormat="1">
      <c r="A69" s="5">
        <v>45530</v>
      </c>
      <c r="B69" s="4" t="s">
        <v>1298</v>
      </c>
      <c r="C69" s="4" t="s">
        <v>1767</v>
      </c>
      <c r="D69" s="4" t="s">
        <v>1768</v>
      </c>
      <c r="E69" s="4" t="s">
        <v>1769</v>
      </c>
      <c r="F69" s="4" t="s">
        <v>1296</v>
      </c>
      <c r="G69" s="4" t="s">
        <v>1757</v>
      </c>
      <c r="H69" s="4" t="s">
        <v>1758</v>
      </c>
      <c r="I69" s="4" t="s">
        <v>1759</v>
      </c>
      <c r="J69" s="4"/>
      <c r="K69" s="4"/>
    </row>
    <row r="70" ht="16" customHeight="1" s="4" customFormat="1">
      <c r="A70" s="5">
        <v>45463</v>
      </c>
      <c r="B70" s="4" t="s">
        <v>1287</v>
      </c>
      <c r="C70" s="4" t="s">
        <v>1754</v>
      </c>
      <c r="D70" s="4" t="s">
        <v>1770</v>
      </c>
      <c r="E70" s="4" t="s">
        <v>1809</v>
      </c>
      <c r="F70" s="4" t="s">
        <v>1295</v>
      </c>
      <c r="G70" s="4" t="s">
        <v>1757</v>
      </c>
      <c r="H70" s="4" t="s">
        <v>1758</v>
      </c>
      <c r="I70" s="4" t="s">
        <v>1759</v>
      </c>
      <c r="J70" s="4"/>
      <c r="K70" s="4"/>
    </row>
    <row r="71" ht="16" customHeight="1" s="4" customFormat="1">
      <c r="A71" s="5">
        <v>45463</v>
      </c>
      <c r="B71" s="4" t="s">
        <v>1287</v>
      </c>
      <c r="C71" s="4" t="s">
        <v>1754</v>
      </c>
      <c r="D71" s="4" t="s">
        <v>1772</v>
      </c>
      <c r="E71" s="4" t="s">
        <v>1795</v>
      </c>
      <c r="F71" s="4" t="s">
        <v>1295</v>
      </c>
      <c r="G71" s="4" t="s">
        <v>1757</v>
      </c>
      <c r="H71" s="4" t="s">
        <v>1758</v>
      </c>
      <c r="I71" s="4" t="s">
        <v>1759</v>
      </c>
      <c r="J71" s="4"/>
      <c r="K71" s="4"/>
    </row>
    <row r="72" ht="16" customHeight="1" s="4" customFormat="1">
      <c r="A72" s="5">
        <v>45463</v>
      </c>
      <c r="B72" s="4" t="s">
        <v>1287</v>
      </c>
      <c r="C72" s="4" t="s">
        <v>1767</v>
      </c>
      <c r="D72" s="4" t="s">
        <v>1770</v>
      </c>
      <c r="E72" s="4" t="s">
        <v>1810</v>
      </c>
      <c r="F72" s="4" t="s">
        <v>1296</v>
      </c>
      <c r="G72" s="4" t="s">
        <v>1757</v>
      </c>
      <c r="H72" s="4" t="s">
        <v>1758</v>
      </c>
      <c r="I72" s="4" t="s">
        <v>1759</v>
      </c>
      <c r="J72" s="4"/>
      <c r="K72" s="4"/>
    </row>
    <row r="73" ht="16" customHeight="1" s="4" customFormat="1">
      <c r="A73" s="5">
        <v>45463</v>
      </c>
      <c r="B73" s="4" t="s">
        <v>1287</v>
      </c>
      <c r="C73" s="4" t="s">
        <v>1767</v>
      </c>
      <c r="D73" s="4" t="s">
        <v>1768</v>
      </c>
      <c r="E73" s="4" t="s">
        <v>1811</v>
      </c>
      <c r="F73" s="4" t="s">
        <v>1296</v>
      </c>
      <c r="G73" s="4" t="s">
        <v>1757</v>
      </c>
      <c r="H73" s="4" t="s">
        <v>1758</v>
      </c>
      <c r="I73" s="4" t="s">
        <v>1759</v>
      </c>
      <c r="J73" s="4"/>
      <c r="K73" s="4"/>
    </row>
    <row r="74" ht="16" customHeight="1" s="4" customFormat="1">
      <c r="A74" s="5">
        <v>45442</v>
      </c>
      <c r="B74" s="4" t="s">
        <v>1298</v>
      </c>
      <c r="C74" s="4" t="s">
        <v>1762</v>
      </c>
      <c r="D74" s="4" t="s">
        <v>1763</v>
      </c>
      <c r="E74" s="4" t="s">
        <v>1801</v>
      </c>
      <c r="F74" s="4" t="s">
        <v>1808</v>
      </c>
      <c r="G74" s="4" t="s">
        <v>1757</v>
      </c>
      <c r="H74" s="4" t="s">
        <v>1758</v>
      </c>
      <c r="I74" s="4" t="s">
        <v>1759</v>
      </c>
      <c r="J74" s="4"/>
      <c r="K74" s="4"/>
    </row>
    <row r="75" ht="16" customHeight="1" s="4" customFormat="1">
      <c r="A75" s="5">
        <v>45442</v>
      </c>
      <c r="B75" s="4" t="s">
        <v>1298</v>
      </c>
      <c r="C75" s="4" t="s">
        <v>1754</v>
      </c>
      <c r="D75" s="4" t="s">
        <v>1812</v>
      </c>
      <c r="E75" s="4" t="s">
        <v>1800</v>
      </c>
      <c r="F75" s="4" t="s">
        <v>1295</v>
      </c>
      <c r="G75" s="4" t="s">
        <v>1766</v>
      </c>
      <c r="H75" s="4" t="s">
        <v>1758</v>
      </c>
      <c r="I75" s="4" t="s">
        <v>1759</v>
      </c>
      <c r="J75" s="4"/>
      <c r="K75" s="4"/>
    </row>
    <row r="76" ht="16" customHeight="1" s="4" customFormat="1">
      <c r="A76" s="5">
        <v>45442</v>
      </c>
      <c r="B76" s="4" t="s">
        <v>1298</v>
      </c>
      <c r="C76" s="4" t="s">
        <v>1767</v>
      </c>
      <c r="D76" s="4" t="s">
        <v>1768</v>
      </c>
      <c r="E76" s="4" t="s">
        <v>1769</v>
      </c>
      <c r="F76" s="4" t="s">
        <v>1296</v>
      </c>
      <c r="G76" s="4" t="s">
        <v>1766</v>
      </c>
      <c r="H76" s="4" t="s">
        <v>1758</v>
      </c>
      <c r="I76" s="4" t="s">
        <v>1759</v>
      </c>
      <c r="J76" s="4"/>
      <c r="K76" s="4"/>
    </row>
    <row r="77" ht="16" customHeight="1" s="4" customFormat="1">
      <c r="A77" s="5">
        <v>45428</v>
      </c>
      <c r="B77" s="4" t="s">
        <v>1298</v>
      </c>
      <c r="C77" s="4" t="s">
        <v>1762</v>
      </c>
      <c r="D77" s="4" t="s">
        <v>1763</v>
      </c>
      <c r="E77" s="4" t="s">
        <v>1782</v>
      </c>
      <c r="F77" s="4" t="s">
        <v>1808</v>
      </c>
      <c r="G77" s="4" t="s">
        <v>1766</v>
      </c>
      <c r="H77" s="4" t="s">
        <v>1758</v>
      </c>
      <c r="I77" s="4" t="s">
        <v>1759</v>
      </c>
      <c r="J77" s="4"/>
      <c r="K77" s="4"/>
    </row>
    <row r="78" ht="16" customHeight="1" s="4" customFormat="1">
      <c r="A78" s="5">
        <v>45373</v>
      </c>
      <c r="B78" s="4" t="s">
        <v>1287</v>
      </c>
      <c r="C78" s="4" t="s">
        <v>1754</v>
      </c>
      <c r="D78" s="4" t="s">
        <v>1770</v>
      </c>
      <c r="E78" s="4" t="s">
        <v>1809</v>
      </c>
      <c r="F78" s="4" t="s">
        <v>1295</v>
      </c>
      <c r="G78" s="4" t="s">
        <v>1757</v>
      </c>
      <c r="H78" s="4" t="s">
        <v>1758</v>
      </c>
      <c r="I78" s="4" t="s">
        <v>1759</v>
      </c>
      <c r="J78" s="4"/>
      <c r="K78" s="4"/>
    </row>
    <row r="79" ht="16" customHeight="1" s="4" customFormat="1">
      <c r="A79" s="5">
        <v>45373</v>
      </c>
      <c r="B79" s="4" t="s">
        <v>1287</v>
      </c>
      <c r="C79" s="4" t="s">
        <v>1754</v>
      </c>
      <c r="D79" s="4" t="s">
        <v>1772</v>
      </c>
      <c r="E79" s="4" t="s">
        <v>1782</v>
      </c>
      <c r="F79" s="4" t="s">
        <v>1295</v>
      </c>
      <c r="G79" s="4" t="s">
        <v>1766</v>
      </c>
      <c r="H79" s="4" t="s">
        <v>1758</v>
      </c>
      <c r="I79" s="4" t="s">
        <v>1759</v>
      </c>
      <c r="J79" s="4"/>
      <c r="K79" s="4"/>
    </row>
    <row r="80" ht="16" customHeight="1" s="4" customFormat="1">
      <c r="A80" s="5">
        <v>45373</v>
      </c>
      <c r="B80" s="4" t="s">
        <v>1287</v>
      </c>
      <c r="C80" s="4" t="s">
        <v>1754</v>
      </c>
      <c r="D80" s="4" t="s">
        <v>1772</v>
      </c>
      <c r="E80" s="4" t="s">
        <v>1795</v>
      </c>
      <c r="F80" s="4" t="s">
        <v>1295</v>
      </c>
      <c r="G80" s="4" t="s">
        <v>1757</v>
      </c>
      <c r="H80" s="4" t="s">
        <v>1758</v>
      </c>
      <c r="I80" s="4" t="s">
        <v>1759</v>
      </c>
      <c r="J80" s="4"/>
      <c r="K80" s="4"/>
    </row>
    <row r="81" ht="16" customHeight="1" s="4" customFormat="1">
      <c r="A81" s="5">
        <v>45373</v>
      </c>
      <c r="B81" s="4" t="s">
        <v>1287</v>
      </c>
      <c r="C81" s="4" t="s">
        <v>1767</v>
      </c>
      <c r="D81" s="4" t="s">
        <v>1770</v>
      </c>
      <c r="E81" s="4" t="s">
        <v>1810</v>
      </c>
      <c r="F81" s="4" t="s">
        <v>1296</v>
      </c>
      <c r="G81" s="4" t="s">
        <v>1757</v>
      </c>
      <c r="H81" s="4" t="s">
        <v>1758</v>
      </c>
      <c r="I81" s="4" t="s">
        <v>1759</v>
      </c>
      <c r="J81" s="4"/>
      <c r="K81" s="4"/>
    </row>
    <row r="82" ht="16" customHeight="1" s="4" customFormat="1">
      <c r="A82" s="5">
        <v>45373</v>
      </c>
      <c r="B82" s="4" t="s">
        <v>1287</v>
      </c>
      <c r="C82" s="4" t="s">
        <v>1767</v>
      </c>
      <c r="D82" s="4" t="s">
        <v>1768</v>
      </c>
      <c r="E82" s="4" t="s">
        <v>1811</v>
      </c>
      <c r="F82" s="4" t="s">
        <v>1296</v>
      </c>
      <c r="G82" s="4" t="s">
        <v>1757</v>
      </c>
      <c r="H82" s="4" t="s">
        <v>1758</v>
      </c>
      <c r="I82" s="4" t="s">
        <v>1759</v>
      </c>
      <c r="J82" s="4"/>
      <c r="K82" s="4"/>
    </row>
    <row r="83" ht="16" customHeight="1" s="4" customFormat="1">
      <c r="A83" s="5">
        <v>45313</v>
      </c>
      <c r="B83" s="4" t="s">
        <v>1813</v>
      </c>
      <c r="C83" s="4" t="s">
        <v>1754</v>
      </c>
      <c r="D83" s="4" t="s">
        <v>1802</v>
      </c>
      <c r="E83" s="4" t="s">
        <v>1803</v>
      </c>
      <c r="F83" s="4" t="s">
        <v>1294</v>
      </c>
      <c r="G83" s="4" t="s">
        <v>1814</v>
      </c>
      <c r="H83" s="4" t="s">
        <v>1758</v>
      </c>
      <c r="I83" s="4" t="s">
        <v>1759</v>
      </c>
      <c r="J83" s="4"/>
      <c r="K83" s="4"/>
    </row>
    <row r="84" ht="16" customHeight="1" s="4" customFormat="1">
      <c r="A84" s="5">
        <v>45313</v>
      </c>
      <c r="B84" s="4" t="s">
        <v>1813</v>
      </c>
      <c r="C84" s="4" t="s">
        <v>1754</v>
      </c>
      <c r="D84" s="4" t="s">
        <v>1815</v>
      </c>
      <c r="E84" s="4" t="s">
        <v>1780</v>
      </c>
      <c r="F84" s="4" t="s">
        <v>1294</v>
      </c>
      <c r="G84" s="4" t="s">
        <v>1814</v>
      </c>
      <c r="H84" s="4" t="s">
        <v>1758</v>
      </c>
      <c r="I84" s="4" t="s">
        <v>1759</v>
      </c>
      <c r="J84" s="4"/>
      <c r="K84" s="4"/>
    </row>
    <row r="85" ht="16" customHeight="1" s="4" customFormat="1">
      <c r="A85" s="5">
        <v>45313</v>
      </c>
      <c r="B85" s="4" t="s">
        <v>1813</v>
      </c>
      <c r="C85" s="4" t="s">
        <v>1754</v>
      </c>
      <c r="D85" s="4" t="s">
        <v>1804</v>
      </c>
      <c r="E85" s="4" t="s">
        <v>1794</v>
      </c>
      <c r="F85" s="4" t="s">
        <v>1294</v>
      </c>
      <c r="G85" s="4" t="s">
        <v>1814</v>
      </c>
      <c r="H85" s="4" t="s">
        <v>1758</v>
      </c>
      <c r="I85" s="4" t="s">
        <v>1759</v>
      </c>
      <c r="J85" s="4"/>
      <c r="K85" s="4"/>
    </row>
    <row r="86" ht="16" customHeight="1" s="4" customFormat="1">
      <c r="A86" s="5">
        <v>45313</v>
      </c>
      <c r="B86" s="4" t="s">
        <v>1813</v>
      </c>
      <c r="C86" s="4" t="s">
        <v>1754</v>
      </c>
      <c r="D86" s="4" t="s">
        <v>1805</v>
      </c>
      <c r="E86" s="4" t="s">
        <v>1806</v>
      </c>
      <c r="F86" s="4" t="s">
        <v>1294</v>
      </c>
      <c r="G86" s="4" t="s">
        <v>1814</v>
      </c>
      <c r="H86" s="4" t="s">
        <v>1758</v>
      </c>
      <c r="I86" s="4" t="s">
        <v>1759</v>
      </c>
      <c r="J86" s="4"/>
      <c r="K86" s="4"/>
    </row>
    <row r="87" ht="16" customHeight="1" s="4" customFormat="1">
      <c r="A87" s="5">
        <v>45313</v>
      </c>
      <c r="B87" s="4" t="s">
        <v>1813</v>
      </c>
      <c r="C87" s="4" t="s">
        <v>1767</v>
      </c>
      <c r="D87" s="4" t="s">
        <v>1768</v>
      </c>
      <c r="E87" s="4" t="s">
        <v>1816</v>
      </c>
      <c r="F87" s="4" t="s">
        <v>1817</v>
      </c>
      <c r="G87" s="4" t="s">
        <v>1814</v>
      </c>
      <c r="H87" s="4" t="s">
        <v>1758</v>
      </c>
      <c r="I87" s="4" t="s">
        <v>1759</v>
      </c>
      <c r="J87" s="4"/>
      <c r="K87" s="4"/>
    </row>
    <row r="88" ht="16" customHeight="1" s="4" customFormat="1">
      <c r="A88" s="5">
        <v>45310</v>
      </c>
      <c r="B88" s="4" t="s">
        <v>1287</v>
      </c>
      <c r="C88" s="4" t="s">
        <v>1754</v>
      </c>
      <c r="D88" s="4" t="s">
        <v>1772</v>
      </c>
      <c r="E88" s="4" t="s">
        <v>1795</v>
      </c>
      <c r="F88" s="4" t="s">
        <v>1295</v>
      </c>
      <c r="G88" s="4" t="s">
        <v>1757</v>
      </c>
      <c r="H88" s="4" t="s">
        <v>1758</v>
      </c>
      <c r="I88" s="4" t="s">
        <v>1759</v>
      </c>
      <c r="J88" s="4"/>
      <c r="K88" s="4"/>
    </row>
    <row r="89" ht="16" customHeight="1" s="4" customFormat="1">
      <c r="A89" s="5">
        <v>45310</v>
      </c>
      <c r="B89" s="4" t="s">
        <v>1287</v>
      </c>
      <c r="C89" s="4" t="s">
        <v>1754</v>
      </c>
      <c r="D89" s="4" t="s">
        <v>1770</v>
      </c>
      <c r="E89" s="4" t="s">
        <v>1818</v>
      </c>
      <c r="F89" s="4" t="s">
        <v>1295</v>
      </c>
      <c r="G89" s="4" t="s">
        <v>1757</v>
      </c>
      <c r="H89" s="4" t="s">
        <v>1758</v>
      </c>
      <c r="I89" s="4" t="s">
        <v>1759</v>
      </c>
      <c r="J89" s="4"/>
      <c r="K89" s="4"/>
    </row>
    <row r="90" ht="16" customHeight="1" s="4" customFormat="1">
      <c r="A90" s="5">
        <v>45310</v>
      </c>
      <c r="B90" s="4" t="s">
        <v>1287</v>
      </c>
      <c r="C90" s="4" t="s">
        <v>1767</v>
      </c>
      <c r="D90" s="4" t="s">
        <v>1768</v>
      </c>
      <c r="E90" s="4" t="s">
        <v>1811</v>
      </c>
      <c r="F90" s="4" t="s">
        <v>1296</v>
      </c>
      <c r="G90" s="4" t="s">
        <v>1757</v>
      </c>
      <c r="H90" s="4" t="s">
        <v>1758</v>
      </c>
      <c r="I90" s="4" t="s">
        <v>1759</v>
      </c>
      <c r="J90" s="4"/>
      <c r="K90" s="4"/>
    </row>
    <row r="91" ht="16" customHeight="1" s="4" customFormat="1">
      <c r="A91" s="5">
        <v>45310</v>
      </c>
      <c r="B91" s="4" t="s">
        <v>1287</v>
      </c>
      <c r="C91" s="4" t="s">
        <v>1767</v>
      </c>
      <c r="D91" s="4" t="s">
        <v>1770</v>
      </c>
      <c r="E91" s="4" t="s">
        <v>1819</v>
      </c>
      <c r="F91" s="4" t="s">
        <v>1296</v>
      </c>
      <c r="G91" s="4" t="s">
        <v>1757</v>
      </c>
      <c r="H91" s="4" t="s">
        <v>1758</v>
      </c>
      <c r="I91" s="4" t="s">
        <v>1759</v>
      </c>
      <c r="J91" s="4"/>
      <c r="K91" s="4"/>
    </row>
    <row r="92" ht="16" customHeight="1" s="4" customFormat="1">
      <c r="A92" s="5">
        <v>45286</v>
      </c>
      <c r="B92" s="4" t="s">
        <v>1287</v>
      </c>
      <c r="C92" s="4" t="s">
        <v>1754</v>
      </c>
      <c r="D92" s="4" t="s">
        <v>1772</v>
      </c>
      <c r="E92" s="4" t="s">
        <v>1795</v>
      </c>
      <c r="F92" s="4" t="s">
        <v>1295</v>
      </c>
      <c r="G92" s="4" t="s">
        <v>1757</v>
      </c>
      <c r="H92" s="4" t="s">
        <v>1758</v>
      </c>
      <c r="I92" s="4" t="s">
        <v>1759</v>
      </c>
      <c r="J92" s="4"/>
      <c r="K92" s="4"/>
    </row>
    <row r="93" ht="16" customHeight="1" s="4" customFormat="1">
      <c r="A93" s="5">
        <v>45286</v>
      </c>
      <c r="B93" s="4" t="s">
        <v>1287</v>
      </c>
      <c r="C93" s="4" t="s">
        <v>1754</v>
      </c>
      <c r="D93" s="4" t="s">
        <v>1770</v>
      </c>
      <c r="E93" s="4" t="s">
        <v>1818</v>
      </c>
      <c r="F93" s="4" t="s">
        <v>1295</v>
      </c>
      <c r="G93" s="4" t="s">
        <v>1757</v>
      </c>
      <c r="H93" s="4" t="s">
        <v>1758</v>
      </c>
      <c r="I93" s="4" t="s">
        <v>1759</v>
      </c>
      <c r="J93" s="4"/>
      <c r="K93" s="4"/>
    </row>
    <row r="94" ht="16" customHeight="1" s="4" customFormat="1">
      <c r="A94" s="5">
        <v>45286</v>
      </c>
      <c r="B94" s="4" t="s">
        <v>1287</v>
      </c>
      <c r="C94" s="4" t="s">
        <v>1767</v>
      </c>
      <c r="D94" s="4" t="s">
        <v>1768</v>
      </c>
      <c r="E94" s="4" t="s">
        <v>1811</v>
      </c>
      <c r="F94" s="4" t="s">
        <v>1296</v>
      </c>
      <c r="G94" s="4" t="s">
        <v>1757</v>
      </c>
      <c r="H94" s="4" t="s">
        <v>1758</v>
      </c>
      <c r="I94" s="4" t="s">
        <v>1759</v>
      </c>
      <c r="J94" s="4"/>
      <c r="K94" s="4"/>
    </row>
    <row r="95" ht="16" customHeight="1" s="4" customFormat="1">
      <c r="A95" s="5">
        <v>45286</v>
      </c>
      <c r="B95" s="4" t="s">
        <v>1287</v>
      </c>
      <c r="C95" s="4" t="s">
        <v>1767</v>
      </c>
      <c r="D95" s="4" t="s">
        <v>1770</v>
      </c>
      <c r="E95" s="4" t="s">
        <v>1819</v>
      </c>
      <c r="F95" s="4" t="s">
        <v>1296</v>
      </c>
      <c r="G95" s="4" t="s">
        <v>1757</v>
      </c>
      <c r="H95" s="4" t="s">
        <v>1758</v>
      </c>
      <c r="I95" s="4" t="s">
        <v>1759</v>
      </c>
      <c r="J95" s="4"/>
      <c r="K95" s="4"/>
    </row>
    <row r="96" ht="16" customHeight="1" s="4" customFormat="1">
      <c r="A96" s="5">
        <v>45282</v>
      </c>
      <c r="B96" s="4" t="s">
        <v>1813</v>
      </c>
      <c r="C96" s="4" t="s">
        <v>1754</v>
      </c>
      <c r="D96" s="4" t="s">
        <v>1802</v>
      </c>
      <c r="E96" s="4" t="s">
        <v>1803</v>
      </c>
      <c r="F96" s="4" t="s">
        <v>1295</v>
      </c>
      <c r="G96" s="4" t="s">
        <v>1757</v>
      </c>
      <c r="H96" s="4" t="s">
        <v>1820</v>
      </c>
      <c r="I96" s="4" t="s">
        <v>1759</v>
      </c>
      <c r="J96" s="4"/>
      <c r="K96" s="4"/>
    </row>
    <row r="97" ht="16" customHeight="1" s="4" customFormat="1">
      <c r="A97" s="5">
        <v>45282</v>
      </c>
      <c r="B97" s="4" t="s">
        <v>1813</v>
      </c>
      <c r="C97" s="4" t="s">
        <v>1754</v>
      </c>
      <c r="D97" s="4" t="s">
        <v>1815</v>
      </c>
      <c r="E97" s="4" t="s">
        <v>1780</v>
      </c>
      <c r="F97" s="4" t="s">
        <v>1295</v>
      </c>
      <c r="G97" s="4" t="s">
        <v>1757</v>
      </c>
      <c r="H97" s="4" t="s">
        <v>1820</v>
      </c>
      <c r="I97" s="4" t="s">
        <v>1759</v>
      </c>
      <c r="J97" s="4"/>
      <c r="K97" s="4"/>
    </row>
    <row r="98" ht="16" customHeight="1" s="4" customFormat="1">
      <c r="A98" s="5">
        <v>45282</v>
      </c>
      <c r="B98" s="4" t="s">
        <v>1813</v>
      </c>
      <c r="C98" s="4" t="s">
        <v>1754</v>
      </c>
      <c r="D98" s="4" t="s">
        <v>1804</v>
      </c>
      <c r="E98" s="4" t="s">
        <v>1794</v>
      </c>
      <c r="F98" s="4" t="s">
        <v>1295</v>
      </c>
      <c r="G98" s="4" t="s">
        <v>1757</v>
      </c>
      <c r="H98" s="4" t="s">
        <v>1820</v>
      </c>
      <c r="I98" s="4" t="s">
        <v>1759</v>
      </c>
      <c r="J98" s="4"/>
      <c r="K98" s="4"/>
    </row>
    <row r="99" ht="16" customHeight="1" s="4" customFormat="1">
      <c r="A99" s="5">
        <v>45282</v>
      </c>
      <c r="B99" s="4" t="s">
        <v>1813</v>
      </c>
      <c r="C99" s="4" t="s">
        <v>1754</v>
      </c>
      <c r="D99" s="4" t="s">
        <v>1805</v>
      </c>
      <c r="E99" s="4" t="s">
        <v>1806</v>
      </c>
      <c r="F99" s="4" t="s">
        <v>1295</v>
      </c>
      <c r="G99" s="4" t="s">
        <v>1757</v>
      </c>
      <c r="H99" s="4" t="s">
        <v>1820</v>
      </c>
      <c r="I99" s="4" t="s">
        <v>1759</v>
      </c>
      <c r="J99" s="4"/>
      <c r="K99" s="4"/>
    </row>
    <row r="100" ht="16" customHeight="1" s="4" customFormat="1">
      <c r="A100" s="5">
        <v>45282</v>
      </c>
      <c r="B100" s="4" t="s">
        <v>1813</v>
      </c>
      <c r="C100" s="4" t="s">
        <v>1767</v>
      </c>
      <c r="D100" s="4" t="s">
        <v>1768</v>
      </c>
      <c r="E100" s="4" t="s">
        <v>1821</v>
      </c>
      <c r="F100" s="4" t="s">
        <v>1296</v>
      </c>
      <c r="G100" s="4" t="s">
        <v>1757</v>
      </c>
      <c r="H100" s="4" t="s">
        <v>1820</v>
      </c>
      <c r="I100" s="4" t="s">
        <v>1759</v>
      </c>
      <c r="J100" s="4"/>
      <c r="K100" s="4"/>
    </row>
    <row r="101" ht="16" customHeight="1" s="4" customFormat="1">
      <c r="A101" s="5">
        <v>45247</v>
      </c>
      <c r="B101" s="4" t="s">
        <v>1287</v>
      </c>
      <c r="C101" s="4" t="s">
        <v>1754</v>
      </c>
      <c r="D101" s="4" t="s">
        <v>1770</v>
      </c>
      <c r="E101" s="4" t="s">
        <v>1822</v>
      </c>
      <c r="F101" s="4" t="s">
        <v>1295</v>
      </c>
      <c r="G101" s="4" t="s">
        <v>1814</v>
      </c>
      <c r="H101" s="4" t="s">
        <v>1758</v>
      </c>
      <c r="I101" s="4" t="s">
        <v>1759</v>
      </c>
      <c r="J101" s="4"/>
      <c r="K101" s="4"/>
    </row>
    <row r="102" ht="16" customHeight="1" s="4" customFormat="1">
      <c r="A102" s="5">
        <v>45247</v>
      </c>
      <c r="B102" s="4" t="s">
        <v>1287</v>
      </c>
      <c r="C102" s="4" t="s">
        <v>1754</v>
      </c>
      <c r="D102" s="4" t="s">
        <v>1772</v>
      </c>
      <c r="E102" s="4" t="s">
        <v>1761</v>
      </c>
      <c r="F102" s="4" t="s">
        <v>1295</v>
      </c>
      <c r="G102" s="4" t="s">
        <v>1757</v>
      </c>
      <c r="H102" s="4" t="s">
        <v>1758</v>
      </c>
      <c r="I102" s="4" t="s">
        <v>1759</v>
      </c>
      <c r="J102" s="4"/>
      <c r="K102" s="4"/>
    </row>
    <row r="103" ht="16" customHeight="1" s="4" customFormat="1">
      <c r="A103" s="5">
        <v>45247</v>
      </c>
      <c r="B103" s="4" t="s">
        <v>1287</v>
      </c>
      <c r="C103" s="4" t="s">
        <v>1754</v>
      </c>
      <c r="D103" s="4" t="s">
        <v>1772</v>
      </c>
      <c r="E103" s="4" t="s">
        <v>1795</v>
      </c>
      <c r="F103" s="4" t="s">
        <v>1295</v>
      </c>
      <c r="G103" s="4" t="s">
        <v>1814</v>
      </c>
      <c r="H103" s="4" t="s">
        <v>1758</v>
      </c>
      <c r="I103" s="4" t="s">
        <v>1759</v>
      </c>
      <c r="J103" s="4"/>
      <c r="K103" s="4"/>
    </row>
    <row r="104" ht="16" customHeight="1" s="4" customFormat="1">
      <c r="A104" s="5">
        <v>45247</v>
      </c>
      <c r="B104" s="4" t="s">
        <v>1287</v>
      </c>
      <c r="C104" s="4" t="s">
        <v>1767</v>
      </c>
      <c r="D104" s="4" t="s">
        <v>1768</v>
      </c>
      <c r="E104" s="4" t="s">
        <v>1811</v>
      </c>
      <c r="F104" s="4" t="s">
        <v>1296</v>
      </c>
      <c r="G104" s="4" t="s">
        <v>1757</v>
      </c>
      <c r="H104" s="4" t="s">
        <v>1758</v>
      </c>
      <c r="I104" s="4" t="s">
        <v>1759</v>
      </c>
      <c r="J104" s="4"/>
      <c r="K104" s="4"/>
    </row>
    <row r="105" ht="16" customHeight="1" s="4" customFormat="1">
      <c r="A105" s="5">
        <v>45247</v>
      </c>
      <c r="B105" s="4" t="s">
        <v>1287</v>
      </c>
      <c r="C105" s="4" t="s">
        <v>1767</v>
      </c>
      <c r="D105" s="4" t="s">
        <v>1770</v>
      </c>
      <c r="E105" s="4" t="s">
        <v>1823</v>
      </c>
      <c r="F105" s="4" t="s">
        <v>1296</v>
      </c>
      <c r="G105" s="4" t="s">
        <v>1757</v>
      </c>
      <c r="H105" s="4" t="s">
        <v>1758</v>
      </c>
      <c r="I105" s="4" t="s">
        <v>1759</v>
      </c>
      <c r="J105" s="4"/>
      <c r="K105" s="4"/>
    </row>
    <row r="106" ht="16" customHeight="1" s="4" customFormat="1">
      <c r="A106" s="5">
        <v>45210</v>
      </c>
      <c r="B106" s="4" t="s">
        <v>1813</v>
      </c>
      <c r="C106" s="4" t="s">
        <v>1754</v>
      </c>
      <c r="D106" s="4" t="s">
        <v>1824</v>
      </c>
      <c r="E106" s="4"/>
      <c r="F106" s="4" t="s">
        <v>1295</v>
      </c>
      <c r="G106" s="4" t="s">
        <v>1814</v>
      </c>
      <c r="H106" s="4" t="s">
        <v>1820</v>
      </c>
      <c r="I106" s="4" t="s">
        <v>1759</v>
      </c>
      <c r="J106" s="4"/>
      <c r="K106" s="4"/>
    </row>
    <row r="107" ht="16" customHeight="1" s="4" customFormat="1">
      <c r="A107" s="5">
        <v>45210</v>
      </c>
      <c r="B107" s="4" t="s">
        <v>1813</v>
      </c>
      <c r="C107" s="4" t="s">
        <v>1754</v>
      </c>
      <c r="D107" s="4" t="s">
        <v>1804</v>
      </c>
      <c r="E107" s="4" t="s">
        <v>1794</v>
      </c>
      <c r="F107" s="4" t="s">
        <v>1295</v>
      </c>
      <c r="G107" s="4" t="s">
        <v>1814</v>
      </c>
      <c r="H107" s="4" t="s">
        <v>1820</v>
      </c>
      <c r="I107" s="4" t="s">
        <v>1759</v>
      </c>
      <c r="J107" s="4"/>
      <c r="K107" s="4"/>
    </row>
    <row r="108" ht="16" customHeight="1" s="4" customFormat="1">
      <c r="A108" s="5">
        <v>45210</v>
      </c>
      <c r="B108" s="4" t="s">
        <v>1813</v>
      </c>
      <c r="C108" s="4" t="s">
        <v>1754</v>
      </c>
      <c r="D108" s="4" t="s">
        <v>1805</v>
      </c>
      <c r="E108" s="4" t="s">
        <v>1806</v>
      </c>
      <c r="F108" s="4" t="s">
        <v>1295</v>
      </c>
      <c r="G108" s="4" t="s">
        <v>1814</v>
      </c>
      <c r="H108" s="4" t="s">
        <v>1820</v>
      </c>
      <c r="I108" s="4" t="s">
        <v>1759</v>
      </c>
      <c r="J108" s="4"/>
      <c r="K108" s="4"/>
    </row>
    <row r="109" ht="16" customHeight="1" s="4" customFormat="1">
      <c r="A109" s="5">
        <v>45210</v>
      </c>
      <c r="B109" s="4" t="s">
        <v>1813</v>
      </c>
      <c r="C109" s="4" t="s">
        <v>1754</v>
      </c>
      <c r="D109" s="4" t="s">
        <v>1802</v>
      </c>
      <c r="E109" s="4" t="s">
        <v>1803</v>
      </c>
      <c r="F109" s="4" t="s">
        <v>1295</v>
      </c>
      <c r="G109" s="4" t="s">
        <v>1814</v>
      </c>
      <c r="H109" s="4" t="s">
        <v>1820</v>
      </c>
      <c r="I109" s="4" t="s">
        <v>1759</v>
      </c>
      <c r="J109" s="4"/>
      <c r="K109" s="4"/>
    </row>
    <row r="110" ht="16" customHeight="1" s="4" customFormat="1">
      <c r="A110" s="5">
        <v>45210</v>
      </c>
      <c r="B110" s="4" t="s">
        <v>1813</v>
      </c>
      <c r="C110" s="4" t="s">
        <v>1754</v>
      </c>
      <c r="D110" s="4" t="s">
        <v>1815</v>
      </c>
      <c r="E110" s="4" t="s">
        <v>1780</v>
      </c>
      <c r="F110" s="4" t="s">
        <v>1295</v>
      </c>
      <c r="G110" s="4" t="s">
        <v>1814</v>
      </c>
      <c r="H110" s="4" t="s">
        <v>1820</v>
      </c>
      <c r="I110" s="4" t="s">
        <v>1759</v>
      </c>
      <c r="J110" s="4"/>
      <c r="K110" s="4"/>
    </row>
    <row r="111" ht="16" customHeight="1" s="4" customFormat="1">
      <c r="A111" s="5">
        <v>45203</v>
      </c>
      <c r="B111" s="4" t="s">
        <v>1287</v>
      </c>
      <c r="C111" s="4" t="s">
        <v>1754</v>
      </c>
      <c r="D111" s="4" t="s">
        <v>1772</v>
      </c>
      <c r="E111" s="4" t="s">
        <v>1795</v>
      </c>
      <c r="F111" s="4" t="s">
        <v>1302</v>
      </c>
      <c r="G111" s="4" t="s">
        <v>1757</v>
      </c>
      <c r="H111" s="4" t="s">
        <v>1820</v>
      </c>
      <c r="I111" s="4" t="s">
        <v>1759</v>
      </c>
      <c r="J111" s="4"/>
      <c r="K111" s="4"/>
    </row>
    <row r="112" ht="16" customHeight="1" s="4" customFormat="1">
      <c r="A112" s="5">
        <v>45203</v>
      </c>
      <c r="B112" s="4" t="s">
        <v>1287</v>
      </c>
      <c r="C112" s="4" t="s">
        <v>1754</v>
      </c>
      <c r="D112" s="4" t="s">
        <v>1770</v>
      </c>
      <c r="E112" s="4" t="s">
        <v>1822</v>
      </c>
      <c r="F112" s="4" t="s">
        <v>1302</v>
      </c>
      <c r="G112" s="4" t="s">
        <v>1757</v>
      </c>
      <c r="H112" s="4" t="s">
        <v>1820</v>
      </c>
      <c r="I112" s="4" t="s">
        <v>1759</v>
      </c>
      <c r="J112" s="4"/>
      <c r="K112" s="4"/>
    </row>
    <row r="113" ht="16" customHeight="1" s="4" customFormat="1">
      <c r="A113" s="5">
        <v>45203</v>
      </c>
      <c r="B113" s="4" t="s">
        <v>1287</v>
      </c>
      <c r="C113" s="4" t="s">
        <v>1767</v>
      </c>
      <c r="D113" s="4" t="s">
        <v>1768</v>
      </c>
      <c r="E113" s="4" t="s">
        <v>1811</v>
      </c>
      <c r="F113" s="4" t="s">
        <v>1296</v>
      </c>
      <c r="G113" s="4" t="s">
        <v>1757</v>
      </c>
      <c r="H113" s="4"/>
      <c r="I113" s="4" t="s">
        <v>1759</v>
      </c>
      <c r="J113" s="4"/>
      <c r="K113" s="4"/>
    </row>
    <row r="114" ht="16" customHeight="1" s="4" customFormat="1">
      <c r="A114" s="5">
        <v>45203</v>
      </c>
      <c r="B114" s="4" t="s">
        <v>1287</v>
      </c>
      <c r="C114" s="4" t="s">
        <v>1767</v>
      </c>
      <c r="D114" s="4" t="s">
        <v>1770</v>
      </c>
      <c r="E114" s="4" t="s">
        <v>1823</v>
      </c>
      <c r="F114" s="4" t="s">
        <v>1296</v>
      </c>
      <c r="G114" s="4" t="s">
        <v>1757</v>
      </c>
      <c r="H114" s="4"/>
      <c r="I114" s="4" t="s">
        <v>1759</v>
      </c>
      <c r="J114" s="4"/>
      <c r="K114" s="4"/>
    </row>
    <row r="115" ht="16" customHeight="1" s="4" customFormat="1">
      <c r="A115" s="5">
        <v>45042</v>
      </c>
      <c r="B115" s="4" t="s">
        <v>1287</v>
      </c>
      <c r="C115" s="4" t="s">
        <v>1754</v>
      </c>
      <c r="D115" s="4" t="s">
        <v>1770</v>
      </c>
      <c r="E115" s="4" t="s">
        <v>1825</v>
      </c>
      <c r="F115" s="4" t="s">
        <v>1302</v>
      </c>
      <c r="G115" s="4" t="s">
        <v>1757</v>
      </c>
      <c r="H115" s="4" t="s">
        <v>1826</v>
      </c>
      <c r="I115" s="4" t="s">
        <v>1759</v>
      </c>
      <c r="J115" s="4"/>
      <c r="K115" s="4"/>
    </row>
    <row r="116" ht="16" customHeight="1" s="4" customFormat="1">
      <c r="A116" s="5">
        <v>45042</v>
      </c>
      <c r="B116" s="4" t="s">
        <v>1287</v>
      </c>
      <c r="C116" s="4" t="s">
        <v>1754</v>
      </c>
      <c r="D116" s="4" t="s">
        <v>1772</v>
      </c>
      <c r="E116" s="4" t="s">
        <v>1795</v>
      </c>
      <c r="F116" s="4" t="s">
        <v>1302</v>
      </c>
      <c r="G116" s="4" t="s">
        <v>1757</v>
      </c>
      <c r="H116" s="4" t="s">
        <v>1826</v>
      </c>
      <c r="I116" s="4" t="s">
        <v>1759</v>
      </c>
      <c r="J116" s="4"/>
      <c r="K116" s="4"/>
    </row>
    <row r="117" ht="16" customHeight="1" s="4" customFormat="1">
      <c r="A117" s="5">
        <v>45042</v>
      </c>
      <c r="B117" s="4" t="s">
        <v>1287</v>
      </c>
      <c r="C117" s="4" t="s">
        <v>1767</v>
      </c>
      <c r="D117" s="4" t="s">
        <v>1770</v>
      </c>
      <c r="E117" s="4" t="s">
        <v>1827</v>
      </c>
      <c r="F117" s="4" t="s">
        <v>1296</v>
      </c>
      <c r="G117" s="4" t="s">
        <v>1757</v>
      </c>
      <c r="H117" s="4"/>
      <c r="I117" s="4" t="s">
        <v>1759</v>
      </c>
      <c r="J117" s="4"/>
      <c r="K117" s="4"/>
    </row>
    <row r="118" ht="16" customHeight="1" s="4" customFormat="1">
      <c r="A118" s="5">
        <v>45042</v>
      </c>
      <c r="B118" s="4" t="s">
        <v>1287</v>
      </c>
      <c r="C118" s="4" t="s">
        <v>1767</v>
      </c>
      <c r="D118" s="4" t="s">
        <v>1768</v>
      </c>
      <c r="E118" s="4" t="s">
        <v>1811</v>
      </c>
      <c r="F118" s="4" t="s">
        <v>1296</v>
      </c>
      <c r="G118" s="4" t="s">
        <v>1757</v>
      </c>
      <c r="H118" s="4"/>
      <c r="I118" s="4" t="s">
        <v>1759</v>
      </c>
      <c r="J118" s="4"/>
      <c r="K118" s="4"/>
    </row>
    <row r="119" ht="16" customHeight="1" s="4" customFormat="1">
      <c r="A119" s="5">
        <v>45016</v>
      </c>
      <c r="B119" s="4" t="s">
        <v>1813</v>
      </c>
      <c r="C119" s="4" t="s">
        <v>1754</v>
      </c>
      <c r="D119" s="4" t="s">
        <v>1802</v>
      </c>
      <c r="E119" s="4" t="s">
        <v>1803</v>
      </c>
      <c r="F119" s="4" t="s">
        <v>1302</v>
      </c>
      <c r="G119" s="4" t="s">
        <v>1766</v>
      </c>
      <c r="H119" s="4" t="s">
        <v>1826</v>
      </c>
      <c r="I119" s="4" t="s">
        <v>1759</v>
      </c>
      <c r="J119" s="4"/>
      <c r="K119" s="4"/>
    </row>
    <row r="120" ht="16" customHeight="1" s="4" customFormat="1">
      <c r="A120" s="5">
        <v>45016</v>
      </c>
      <c r="B120" s="4" t="s">
        <v>1813</v>
      </c>
      <c r="C120" s="4" t="s">
        <v>1754</v>
      </c>
      <c r="D120" s="4" t="s">
        <v>1772</v>
      </c>
      <c r="E120" s="4" t="s">
        <v>1780</v>
      </c>
      <c r="F120" s="4" t="s">
        <v>1302</v>
      </c>
      <c r="G120" s="4" t="s">
        <v>1757</v>
      </c>
      <c r="H120" s="4" t="s">
        <v>1826</v>
      </c>
      <c r="I120" s="4" t="s">
        <v>1759</v>
      </c>
      <c r="J120" s="4"/>
      <c r="K120" s="4"/>
    </row>
    <row r="121" ht="16" customHeight="1" s="4" customFormat="1">
      <c r="A121" s="5">
        <v>45016</v>
      </c>
      <c r="B121" s="4" t="s">
        <v>1813</v>
      </c>
      <c r="C121" s="4" t="s">
        <v>1754</v>
      </c>
      <c r="D121" s="4" t="s">
        <v>1804</v>
      </c>
      <c r="E121" s="4" t="s">
        <v>1794</v>
      </c>
      <c r="F121" s="4" t="s">
        <v>1302</v>
      </c>
      <c r="G121" s="4" t="s">
        <v>1757</v>
      </c>
      <c r="H121" s="4" t="s">
        <v>1826</v>
      </c>
      <c r="I121" s="4" t="s">
        <v>1759</v>
      </c>
      <c r="J121" s="4"/>
      <c r="K121" s="4"/>
    </row>
    <row r="122" ht="16" customHeight="1" s="4" customFormat="1">
      <c r="A122" s="5">
        <v>45016</v>
      </c>
      <c r="B122" s="4" t="s">
        <v>1813</v>
      </c>
      <c r="C122" s="4" t="s">
        <v>1754</v>
      </c>
      <c r="D122" s="4" t="s">
        <v>1805</v>
      </c>
      <c r="E122" s="4" t="s">
        <v>1806</v>
      </c>
      <c r="F122" s="4" t="s">
        <v>1302</v>
      </c>
      <c r="G122" s="4" t="s">
        <v>1757</v>
      </c>
      <c r="H122" s="4" t="s">
        <v>1826</v>
      </c>
      <c r="I122" s="4" t="s">
        <v>1759</v>
      </c>
      <c r="J122" s="4"/>
      <c r="K122" s="4"/>
    </row>
    <row r="123" ht="16" customHeight="1" s="4" customFormat="1">
      <c r="A123" s="5">
        <v>45016</v>
      </c>
      <c r="B123" s="4" t="s">
        <v>1813</v>
      </c>
      <c r="C123" s="4" t="s">
        <v>1754</v>
      </c>
      <c r="D123" s="4" t="s">
        <v>1824</v>
      </c>
      <c r="E123" s="4"/>
      <c r="F123" s="4" t="s">
        <v>1302</v>
      </c>
      <c r="G123" s="4" t="s">
        <v>1757</v>
      </c>
      <c r="H123" s="4" t="s">
        <v>1826</v>
      </c>
      <c r="I123" s="4" t="s">
        <v>1759</v>
      </c>
      <c r="J123" s="4"/>
      <c r="K123" s="4"/>
    </row>
    <row r="124" ht="16" customHeight="1" s="4" customFormat="1">
      <c r="A124" s="5">
        <v>45013</v>
      </c>
      <c r="B124" s="4" t="s">
        <v>1287</v>
      </c>
      <c r="C124" s="4" t="s">
        <v>1754</v>
      </c>
      <c r="D124" s="4" t="s">
        <v>1770</v>
      </c>
      <c r="E124" s="4" t="s">
        <v>1828</v>
      </c>
      <c r="F124" s="4" t="s">
        <v>1302</v>
      </c>
      <c r="G124" s="4" t="s">
        <v>1757</v>
      </c>
      <c r="H124" s="4" t="s">
        <v>1826</v>
      </c>
      <c r="I124" s="4" t="s">
        <v>1759</v>
      </c>
      <c r="J124" s="4"/>
      <c r="K124" s="4"/>
    </row>
    <row r="125" ht="16" customHeight="1" s="4" customFormat="1">
      <c r="A125" s="5">
        <v>45013</v>
      </c>
      <c r="B125" s="4" t="s">
        <v>1287</v>
      </c>
      <c r="C125" s="4" t="s">
        <v>1754</v>
      </c>
      <c r="D125" s="4" t="s">
        <v>1772</v>
      </c>
      <c r="E125" s="4" t="s">
        <v>1795</v>
      </c>
      <c r="F125" s="4" t="s">
        <v>1302</v>
      </c>
      <c r="G125" s="4" t="s">
        <v>1757</v>
      </c>
      <c r="H125" s="4" t="s">
        <v>1826</v>
      </c>
      <c r="I125" s="4" t="s">
        <v>1759</v>
      </c>
      <c r="J125" s="4"/>
      <c r="K125" s="4"/>
    </row>
    <row r="126" ht="16" customHeight="1" s="4" customFormat="1">
      <c r="A126" s="5">
        <v>45013</v>
      </c>
      <c r="B126" s="4" t="s">
        <v>1287</v>
      </c>
      <c r="C126" s="4" t="s">
        <v>1767</v>
      </c>
      <c r="D126" s="4" t="s">
        <v>1770</v>
      </c>
      <c r="E126" s="4" t="s">
        <v>1829</v>
      </c>
      <c r="F126" s="4" t="s">
        <v>1296</v>
      </c>
      <c r="G126" s="4" t="s">
        <v>1757</v>
      </c>
      <c r="H126" s="4"/>
      <c r="I126" s="4" t="s">
        <v>1759</v>
      </c>
      <c r="J126" s="4"/>
      <c r="K126" s="4"/>
    </row>
    <row r="127" ht="16" customHeight="1" s="4" customFormat="1">
      <c r="A127" s="5">
        <v>45013</v>
      </c>
      <c r="B127" s="4" t="s">
        <v>1287</v>
      </c>
      <c r="C127" s="4" t="s">
        <v>1767</v>
      </c>
      <c r="D127" s="4" t="s">
        <v>1768</v>
      </c>
      <c r="E127" s="4" t="s">
        <v>1811</v>
      </c>
      <c r="F127" s="4" t="s">
        <v>1296</v>
      </c>
      <c r="G127" s="4" t="s">
        <v>1757</v>
      </c>
      <c r="H127" s="4"/>
      <c r="I127" s="4" t="s">
        <v>1759</v>
      </c>
      <c r="J127" s="4"/>
      <c r="K127" s="4"/>
    </row>
    <row r="128" ht="16" customHeight="1" s="4" customFormat="1">
      <c r="A128" s="5">
        <v>44925</v>
      </c>
      <c r="B128" s="4" t="s">
        <v>1287</v>
      </c>
      <c r="C128" s="4" t="s">
        <v>1754</v>
      </c>
      <c r="D128" s="4" t="s">
        <v>1770</v>
      </c>
      <c r="E128" s="4" t="s">
        <v>1830</v>
      </c>
      <c r="F128" s="4" t="s">
        <v>1302</v>
      </c>
      <c r="G128" s="4" t="s">
        <v>1757</v>
      </c>
      <c r="H128" s="4" t="s">
        <v>1831</v>
      </c>
      <c r="I128" s="4" t="s">
        <v>1759</v>
      </c>
      <c r="J128" s="4"/>
      <c r="K128" s="4"/>
    </row>
    <row r="129" ht="16" customHeight="1" s="4" customFormat="1">
      <c r="A129" s="5">
        <v>44925</v>
      </c>
      <c r="B129" s="4" t="s">
        <v>1287</v>
      </c>
      <c r="C129" s="4" t="s">
        <v>1754</v>
      </c>
      <c r="D129" s="4" t="s">
        <v>1772</v>
      </c>
      <c r="E129" s="4" t="s">
        <v>1832</v>
      </c>
      <c r="F129" s="4" t="s">
        <v>1302</v>
      </c>
      <c r="G129" s="4" t="s">
        <v>1757</v>
      </c>
      <c r="H129" s="4" t="s">
        <v>1831</v>
      </c>
      <c r="I129" s="4" t="s">
        <v>1759</v>
      </c>
      <c r="J129" s="4"/>
      <c r="K129" s="4"/>
    </row>
    <row r="130" ht="16" customHeight="1" s="4" customFormat="1">
      <c r="A130" s="5">
        <v>44925</v>
      </c>
      <c r="B130" s="4" t="s">
        <v>1287</v>
      </c>
      <c r="C130" s="4" t="s">
        <v>1754</v>
      </c>
      <c r="D130" s="4" t="s">
        <v>1772</v>
      </c>
      <c r="E130" s="4" t="s">
        <v>1833</v>
      </c>
      <c r="F130" s="4" t="s">
        <v>1308</v>
      </c>
      <c r="G130" s="4" t="s">
        <v>1308</v>
      </c>
      <c r="H130" s="4"/>
      <c r="I130" s="4" t="s">
        <v>1759</v>
      </c>
      <c r="J130" s="4"/>
      <c r="K130" s="4"/>
    </row>
    <row r="131" ht="16" customHeight="1" s="4" customFormat="1">
      <c r="A131" s="5">
        <v>44925</v>
      </c>
      <c r="B131" s="4" t="s">
        <v>1287</v>
      </c>
      <c r="C131" s="4" t="s">
        <v>1767</v>
      </c>
      <c r="D131" s="4" t="s">
        <v>1770</v>
      </c>
      <c r="E131" s="4" t="s">
        <v>1834</v>
      </c>
      <c r="F131" s="4" t="s">
        <v>1296</v>
      </c>
      <c r="G131" s="4" t="s">
        <v>1757</v>
      </c>
      <c r="H131" s="4"/>
      <c r="I131" s="4" t="s">
        <v>1759</v>
      </c>
      <c r="J131" s="4"/>
      <c r="K131" s="4"/>
    </row>
    <row r="132" ht="16" customHeight="1" s="4" customFormat="1">
      <c r="A132" s="5">
        <v>44925</v>
      </c>
      <c r="B132" s="4" t="s">
        <v>1287</v>
      </c>
      <c r="C132" s="4" t="s">
        <v>1767</v>
      </c>
      <c r="D132" s="4" t="s">
        <v>1768</v>
      </c>
      <c r="E132" s="4" t="s">
        <v>1811</v>
      </c>
      <c r="F132" s="4" t="s">
        <v>1296</v>
      </c>
      <c r="G132" s="4" t="s">
        <v>1757</v>
      </c>
      <c r="H132" s="4"/>
      <c r="I132" s="4" t="s">
        <v>1759</v>
      </c>
      <c r="J132" s="4"/>
      <c r="K132" s="4"/>
    </row>
    <row r="133" ht="16" customHeight="1" s="4" customFormat="1">
      <c r="A133" s="5">
        <v>44834</v>
      </c>
      <c r="B133" s="4" t="s">
        <v>1287</v>
      </c>
      <c r="C133" s="4" t="s">
        <v>1754</v>
      </c>
      <c r="D133" s="4" t="s">
        <v>1770</v>
      </c>
      <c r="E133" s="4" t="s">
        <v>1835</v>
      </c>
      <c r="F133" s="4" t="s">
        <v>1302</v>
      </c>
      <c r="G133" s="4" t="s">
        <v>1757</v>
      </c>
      <c r="H133" s="4" t="s">
        <v>1831</v>
      </c>
      <c r="I133" s="4" t="s">
        <v>1759</v>
      </c>
      <c r="J133" s="4"/>
      <c r="K133" s="4"/>
    </row>
    <row r="134" ht="16" customHeight="1" s="4" customFormat="1">
      <c r="A134" s="5">
        <v>44834</v>
      </c>
      <c r="B134" s="4" t="s">
        <v>1287</v>
      </c>
      <c r="C134" s="4" t="s">
        <v>1754</v>
      </c>
      <c r="D134" s="4" t="s">
        <v>1772</v>
      </c>
      <c r="E134" s="4" t="s">
        <v>1836</v>
      </c>
      <c r="F134" s="4" t="s">
        <v>1302</v>
      </c>
      <c r="G134" s="4" t="s">
        <v>1757</v>
      </c>
      <c r="H134" s="4" t="s">
        <v>1831</v>
      </c>
      <c r="I134" s="4" t="s">
        <v>1759</v>
      </c>
      <c r="J134" s="4"/>
      <c r="K134" s="4"/>
    </row>
    <row r="135" ht="16" customHeight="1" s="4" customFormat="1">
      <c r="A135" s="5">
        <v>44834</v>
      </c>
      <c r="B135" s="4" t="s">
        <v>1287</v>
      </c>
      <c r="C135" s="4" t="s">
        <v>1767</v>
      </c>
      <c r="D135" s="4" t="s">
        <v>1770</v>
      </c>
      <c r="E135" s="4" t="s">
        <v>1837</v>
      </c>
      <c r="F135" s="4" t="s">
        <v>1296</v>
      </c>
      <c r="G135" s="4" t="s">
        <v>1757</v>
      </c>
      <c r="H135" s="4"/>
      <c r="I135" s="4" t="s">
        <v>1759</v>
      </c>
      <c r="J135" s="4"/>
      <c r="K135" s="4"/>
    </row>
    <row r="136" ht="16" customHeight="1" s="4" customFormat="1">
      <c r="A136" s="5">
        <v>44834</v>
      </c>
      <c r="B136" s="4" t="s">
        <v>1287</v>
      </c>
      <c r="C136" s="4" t="s">
        <v>1767</v>
      </c>
      <c r="D136" s="4" t="s">
        <v>1768</v>
      </c>
      <c r="E136" s="4" t="s">
        <v>1811</v>
      </c>
      <c r="F136" s="4" t="s">
        <v>1296</v>
      </c>
      <c r="G136" s="4" t="s">
        <v>1757</v>
      </c>
      <c r="H136" s="4"/>
      <c r="I136" s="4" t="s">
        <v>1759</v>
      </c>
      <c r="J136" s="4"/>
      <c r="K136" s="4"/>
    </row>
    <row r="137" ht="16" customHeight="1" s="4" customFormat="1">
      <c r="A137" s="5">
        <v>44785</v>
      </c>
      <c r="B137" s="4" t="s">
        <v>1287</v>
      </c>
      <c r="C137" s="4" t="s">
        <v>1754</v>
      </c>
      <c r="D137" s="4" t="s">
        <v>1770</v>
      </c>
      <c r="E137" s="4" t="s">
        <v>1838</v>
      </c>
      <c r="F137" s="4" t="s">
        <v>1302</v>
      </c>
      <c r="G137" s="4" t="s">
        <v>1757</v>
      </c>
      <c r="H137" s="4" t="s">
        <v>1831</v>
      </c>
      <c r="I137" s="4" t="s">
        <v>1759</v>
      </c>
      <c r="J137" s="4"/>
      <c r="K137" s="4"/>
    </row>
    <row r="138" ht="16" customHeight="1" s="4" customFormat="1">
      <c r="A138" s="5">
        <v>44785</v>
      </c>
      <c r="B138" s="4" t="s">
        <v>1287</v>
      </c>
      <c r="C138" s="4" t="s">
        <v>1754</v>
      </c>
      <c r="D138" s="4" t="s">
        <v>1772</v>
      </c>
      <c r="E138" s="4" t="s">
        <v>1836</v>
      </c>
      <c r="F138" s="4" t="s">
        <v>1302</v>
      </c>
      <c r="G138" s="4" t="s">
        <v>1757</v>
      </c>
      <c r="H138" s="4" t="s">
        <v>1831</v>
      </c>
      <c r="I138" s="4" t="s">
        <v>1759</v>
      </c>
      <c r="J138" s="4"/>
      <c r="K138" s="4"/>
    </row>
    <row r="139" ht="16" customHeight="1" s="4" customFormat="1">
      <c r="A139" s="5">
        <v>44785</v>
      </c>
      <c r="B139" s="4" t="s">
        <v>1287</v>
      </c>
      <c r="C139" s="4" t="s">
        <v>1767</v>
      </c>
      <c r="D139" s="4" t="s">
        <v>1770</v>
      </c>
      <c r="E139" s="4" t="s">
        <v>1839</v>
      </c>
      <c r="F139" s="4" t="s">
        <v>1296</v>
      </c>
      <c r="G139" s="4" t="s">
        <v>1757</v>
      </c>
      <c r="H139" s="4"/>
      <c r="I139" s="4" t="s">
        <v>1759</v>
      </c>
      <c r="J139" s="4"/>
      <c r="K139" s="4"/>
    </row>
    <row r="140" ht="16" customHeight="1" s="4" customFormat="1">
      <c r="A140" s="5">
        <v>44785</v>
      </c>
      <c r="B140" s="4" t="s">
        <v>1287</v>
      </c>
      <c r="C140" s="4" t="s">
        <v>1767</v>
      </c>
      <c r="D140" s="4" t="s">
        <v>1768</v>
      </c>
      <c r="E140" s="4" t="s">
        <v>1811</v>
      </c>
      <c r="F140" s="4" t="s">
        <v>1296</v>
      </c>
      <c r="G140" s="4" t="s">
        <v>1757</v>
      </c>
      <c r="H140" s="4"/>
      <c r="I140" s="4" t="s">
        <v>1759</v>
      </c>
      <c r="J140" s="4"/>
      <c r="K140" s="4"/>
    </row>
    <row r="141" ht="16" customHeight="1" s="4" customFormat="1">
      <c r="A141" s="5">
        <v>44771</v>
      </c>
      <c r="B141" s="4" t="s">
        <v>1287</v>
      </c>
      <c r="C141" s="4" t="s">
        <v>1754</v>
      </c>
      <c r="D141" s="4" t="s">
        <v>1770</v>
      </c>
      <c r="E141" s="4" t="s">
        <v>1838</v>
      </c>
      <c r="F141" s="4" t="s">
        <v>1302</v>
      </c>
      <c r="G141" s="4" t="s">
        <v>1757</v>
      </c>
      <c r="H141" s="4" t="s">
        <v>1831</v>
      </c>
      <c r="I141" s="4" t="s">
        <v>1759</v>
      </c>
      <c r="J141" s="4"/>
      <c r="K141" s="4"/>
    </row>
    <row r="142" ht="16" customHeight="1" s="4" customFormat="1">
      <c r="A142" s="5">
        <v>44771</v>
      </c>
      <c r="B142" s="4" t="s">
        <v>1287</v>
      </c>
      <c r="C142" s="4" t="s">
        <v>1754</v>
      </c>
      <c r="D142" s="4" t="s">
        <v>1772</v>
      </c>
      <c r="E142" s="4" t="s">
        <v>1761</v>
      </c>
      <c r="F142" s="4" t="s">
        <v>1302</v>
      </c>
      <c r="G142" s="4" t="s">
        <v>1757</v>
      </c>
      <c r="H142" s="4" t="s">
        <v>1831</v>
      </c>
      <c r="I142" s="4" t="s">
        <v>1759</v>
      </c>
      <c r="J142" s="4"/>
      <c r="K142" s="4"/>
    </row>
    <row r="143" ht="16" customHeight="1" s="4" customFormat="1">
      <c r="A143" s="5">
        <v>44771</v>
      </c>
      <c r="B143" s="4" t="s">
        <v>1287</v>
      </c>
      <c r="C143" s="4" t="s">
        <v>1754</v>
      </c>
      <c r="D143" s="4" t="s">
        <v>1772</v>
      </c>
      <c r="E143" s="4" t="s">
        <v>1836</v>
      </c>
      <c r="F143" s="4" t="s">
        <v>1304</v>
      </c>
      <c r="G143" s="4" t="s">
        <v>1757</v>
      </c>
      <c r="H143" s="4" t="s">
        <v>1831</v>
      </c>
      <c r="I143" s="4" t="s">
        <v>1759</v>
      </c>
      <c r="J143" s="4"/>
      <c r="K143" s="4"/>
    </row>
    <row r="144" ht="16" customHeight="1" s="4" customFormat="1">
      <c r="A144" s="5">
        <v>44771</v>
      </c>
      <c r="B144" s="4" t="s">
        <v>1287</v>
      </c>
      <c r="C144" s="4" t="s">
        <v>1754</v>
      </c>
      <c r="D144" s="4" t="s">
        <v>1772</v>
      </c>
      <c r="E144" s="4" t="s">
        <v>1840</v>
      </c>
      <c r="F144" s="4" t="s">
        <v>1308</v>
      </c>
      <c r="G144" s="4" t="s">
        <v>1308</v>
      </c>
      <c r="H144" s="4"/>
      <c r="I144" s="4" t="s">
        <v>1759</v>
      </c>
      <c r="J144" s="4"/>
      <c r="K144" s="4"/>
    </row>
    <row r="145" ht="16" customHeight="1" s="4" customFormat="1">
      <c r="A145" s="5">
        <v>44771</v>
      </c>
      <c r="B145" s="4" t="s">
        <v>1287</v>
      </c>
      <c r="C145" s="4" t="s">
        <v>1767</v>
      </c>
      <c r="D145" s="4" t="s">
        <v>1768</v>
      </c>
      <c r="E145" s="4" t="s">
        <v>1811</v>
      </c>
      <c r="F145" s="4" t="s">
        <v>1296</v>
      </c>
      <c r="G145" s="4" t="s">
        <v>1757</v>
      </c>
      <c r="H145" s="4"/>
      <c r="I145" s="4" t="s">
        <v>1759</v>
      </c>
      <c r="J145" s="4"/>
      <c r="K145" s="4"/>
    </row>
    <row r="146" ht="16" customHeight="1" s="4" customFormat="1">
      <c r="A146" s="5">
        <v>44690</v>
      </c>
      <c r="B146" s="4" t="s">
        <v>1813</v>
      </c>
      <c r="C146" s="4" t="s">
        <v>1754</v>
      </c>
      <c r="D146" s="4" t="s">
        <v>1804</v>
      </c>
      <c r="E146" s="4" t="s">
        <v>1794</v>
      </c>
      <c r="F146" s="4" t="s">
        <v>1302</v>
      </c>
      <c r="G146" s="4" t="s">
        <v>1757</v>
      </c>
      <c r="H146" s="4" t="s">
        <v>1831</v>
      </c>
      <c r="I146" s="4" t="s">
        <v>1759</v>
      </c>
      <c r="J146" s="4"/>
      <c r="K146" s="4"/>
    </row>
    <row r="147" ht="16" customHeight="1" s="4" customFormat="1">
      <c r="A147" s="5">
        <v>44690</v>
      </c>
      <c r="B147" s="4" t="s">
        <v>1813</v>
      </c>
      <c r="C147" s="4" t="s">
        <v>1754</v>
      </c>
      <c r="D147" s="4" t="s">
        <v>1805</v>
      </c>
      <c r="E147" s="4" t="s">
        <v>1841</v>
      </c>
      <c r="F147" s="4" t="s">
        <v>1302</v>
      </c>
      <c r="G147" s="4" t="s">
        <v>1757</v>
      </c>
      <c r="H147" s="4" t="s">
        <v>1831</v>
      </c>
      <c r="I147" s="4" t="s">
        <v>1759</v>
      </c>
      <c r="J147" s="4"/>
      <c r="K147" s="4"/>
    </row>
    <row r="148" ht="16" customHeight="1" s="4" customFormat="1">
      <c r="A148" s="5">
        <v>44690</v>
      </c>
      <c r="B148" s="4" t="s">
        <v>1813</v>
      </c>
      <c r="C148" s="4" t="s">
        <v>1754</v>
      </c>
      <c r="D148" s="4" t="s">
        <v>1824</v>
      </c>
      <c r="E148" s="4"/>
      <c r="F148" s="4" t="s">
        <v>1302</v>
      </c>
      <c r="G148" s="4" t="s">
        <v>1757</v>
      </c>
      <c r="H148" s="4" t="s">
        <v>1831</v>
      </c>
      <c r="I148" s="4" t="s">
        <v>1759</v>
      </c>
      <c r="J148" s="4"/>
      <c r="K148" s="4"/>
    </row>
    <row r="149" ht="16" customHeight="1" s="4" customFormat="1">
      <c r="A149" s="5">
        <v>44690</v>
      </c>
      <c r="B149" s="4" t="s">
        <v>1813</v>
      </c>
      <c r="C149" s="4" t="s">
        <v>1754</v>
      </c>
      <c r="D149" s="4" t="s">
        <v>1760</v>
      </c>
      <c r="E149" s="4" t="s">
        <v>1842</v>
      </c>
      <c r="F149" s="4" t="s">
        <v>1302</v>
      </c>
      <c r="G149" s="4" t="s">
        <v>1766</v>
      </c>
      <c r="H149" s="4" t="s">
        <v>1831</v>
      </c>
      <c r="I149" s="4" t="s">
        <v>1759</v>
      </c>
      <c r="J149" s="4"/>
      <c r="K149" s="4"/>
    </row>
    <row r="150" ht="16" customHeight="1" s="4" customFormat="1">
      <c r="A150" s="5">
        <v>44690</v>
      </c>
      <c r="B150" s="4" t="s">
        <v>1813</v>
      </c>
      <c r="C150" s="4" t="s">
        <v>1754</v>
      </c>
      <c r="D150" s="4" t="s">
        <v>1815</v>
      </c>
      <c r="E150" s="4" t="s">
        <v>1843</v>
      </c>
      <c r="F150" s="4" t="s">
        <v>1302</v>
      </c>
      <c r="G150" s="4" t="s">
        <v>1757</v>
      </c>
      <c r="H150" s="4" t="s">
        <v>1831</v>
      </c>
      <c r="I150" s="4" t="s">
        <v>1759</v>
      </c>
      <c r="J150" s="4"/>
      <c r="K150" s="4"/>
    </row>
    <row r="151" ht="16" customHeight="1" s="4" customFormat="1">
      <c r="A151" s="5">
        <v>44687</v>
      </c>
      <c r="B151" s="4" t="s">
        <v>1287</v>
      </c>
      <c r="C151" s="4" t="s">
        <v>1754</v>
      </c>
      <c r="D151" s="4" t="s">
        <v>1770</v>
      </c>
      <c r="E151" s="4" t="s">
        <v>1844</v>
      </c>
      <c r="F151" s="4" t="s">
        <v>1302</v>
      </c>
      <c r="G151" s="4" t="s">
        <v>1757</v>
      </c>
      <c r="H151" s="4" t="s">
        <v>1831</v>
      </c>
      <c r="I151" s="4" t="s">
        <v>1759</v>
      </c>
      <c r="J151" s="4"/>
      <c r="K151" s="4"/>
    </row>
    <row r="152" ht="16" customHeight="1" s="4" customFormat="1">
      <c r="A152" s="5">
        <v>44687</v>
      </c>
      <c r="B152" s="4" t="s">
        <v>1287</v>
      </c>
      <c r="C152" s="4" t="s">
        <v>1754</v>
      </c>
      <c r="D152" s="4" t="s">
        <v>1772</v>
      </c>
      <c r="E152" s="4" t="s">
        <v>1761</v>
      </c>
      <c r="F152" s="4" t="s">
        <v>1302</v>
      </c>
      <c r="G152" s="4" t="s">
        <v>1766</v>
      </c>
      <c r="H152" s="4" t="s">
        <v>1831</v>
      </c>
      <c r="I152" s="4" t="s">
        <v>1759</v>
      </c>
      <c r="J152" s="4"/>
      <c r="K152" s="4"/>
    </row>
    <row r="153" ht="16" customHeight="1" s="4" customFormat="1">
      <c r="A153" s="5">
        <v>44687</v>
      </c>
      <c r="B153" s="4" t="s">
        <v>1287</v>
      </c>
      <c r="C153" s="4" t="s">
        <v>1754</v>
      </c>
      <c r="D153" s="4" t="s">
        <v>1772</v>
      </c>
      <c r="E153" s="4" t="s">
        <v>1836</v>
      </c>
      <c r="F153" s="4" t="s">
        <v>1302</v>
      </c>
      <c r="G153" s="4" t="s">
        <v>1757</v>
      </c>
      <c r="H153" s="4" t="s">
        <v>1831</v>
      </c>
      <c r="I153" s="4" t="s">
        <v>1759</v>
      </c>
      <c r="J153" s="4"/>
      <c r="K153" s="4"/>
    </row>
    <row r="154" ht="16" customHeight="1" s="4" customFormat="1">
      <c r="A154" s="5">
        <v>44687</v>
      </c>
      <c r="B154" s="4" t="s">
        <v>1287</v>
      </c>
      <c r="C154" s="4" t="s">
        <v>1767</v>
      </c>
      <c r="D154" s="4" t="s">
        <v>1770</v>
      </c>
      <c r="E154" s="4" t="s">
        <v>1845</v>
      </c>
      <c r="F154" s="4" t="s">
        <v>1296</v>
      </c>
      <c r="G154" s="4" t="s">
        <v>1757</v>
      </c>
      <c r="H154" s="4"/>
      <c r="I154" s="4" t="s">
        <v>1759</v>
      </c>
      <c r="J154" s="4"/>
      <c r="K154" s="4"/>
    </row>
    <row r="155" ht="16" customHeight="1" s="4" customFormat="1">
      <c r="A155" s="5">
        <v>44687</v>
      </c>
      <c r="B155" s="4" t="s">
        <v>1287</v>
      </c>
      <c r="C155" s="4" t="s">
        <v>1767</v>
      </c>
      <c r="D155" s="4" t="s">
        <v>1768</v>
      </c>
      <c r="E155" s="4" t="s">
        <v>1811</v>
      </c>
      <c r="F155" s="4" t="s">
        <v>1296</v>
      </c>
      <c r="G155" s="4" t="s">
        <v>1757</v>
      </c>
      <c r="H155" s="4"/>
      <c r="I155" s="4" t="s">
        <v>1759</v>
      </c>
      <c r="J155" s="4"/>
      <c r="K155" s="4"/>
    </row>
    <row r="156" ht="16" customHeight="1" s="4" customFormat="1">
      <c r="A156" s="5">
        <v>44669</v>
      </c>
      <c r="B156" s="4" t="s">
        <v>1287</v>
      </c>
      <c r="C156" s="4" t="s">
        <v>1754</v>
      </c>
      <c r="D156" s="4" t="s">
        <v>1770</v>
      </c>
      <c r="E156" s="4" t="s">
        <v>1846</v>
      </c>
      <c r="F156" s="4" t="s">
        <v>1302</v>
      </c>
      <c r="G156" s="4" t="s">
        <v>1757</v>
      </c>
      <c r="H156" s="4" t="s">
        <v>1831</v>
      </c>
      <c r="I156" s="4" t="s">
        <v>1759</v>
      </c>
      <c r="J156" s="4"/>
      <c r="K156" s="4"/>
    </row>
    <row r="157" ht="16" customHeight="1" s="4" customFormat="1">
      <c r="A157" s="5">
        <v>44669</v>
      </c>
      <c r="B157" s="4" t="s">
        <v>1287</v>
      </c>
      <c r="C157" s="4" t="s">
        <v>1754</v>
      </c>
      <c r="D157" s="4" t="s">
        <v>1772</v>
      </c>
      <c r="E157" s="4" t="s">
        <v>1773</v>
      </c>
      <c r="F157" s="4" t="s">
        <v>1302</v>
      </c>
      <c r="G157" s="4" t="s">
        <v>1757</v>
      </c>
      <c r="H157" s="4" t="s">
        <v>1831</v>
      </c>
      <c r="I157" s="4" t="s">
        <v>1759</v>
      </c>
      <c r="J157" s="4"/>
      <c r="K157" s="4"/>
    </row>
    <row r="158" ht="16" customHeight="1" s="4" customFormat="1">
      <c r="A158" s="5">
        <v>44669</v>
      </c>
      <c r="B158" s="4" t="s">
        <v>1287</v>
      </c>
      <c r="C158" s="4" t="s">
        <v>1767</v>
      </c>
      <c r="D158" s="4" t="s">
        <v>1770</v>
      </c>
      <c r="E158" s="4" t="s">
        <v>1847</v>
      </c>
      <c r="F158" s="4" t="s">
        <v>1296</v>
      </c>
      <c r="G158" s="4" t="s">
        <v>1757</v>
      </c>
      <c r="H158" s="4"/>
      <c r="I158" s="4" t="s">
        <v>1759</v>
      </c>
      <c r="J158" s="4"/>
      <c r="K158" s="4"/>
    </row>
    <row r="159" ht="16" customHeight="1" s="4" customFormat="1">
      <c r="A159" s="5">
        <v>44669</v>
      </c>
      <c r="B159" s="4" t="s">
        <v>1287</v>
      </c>
      <c r="C159" s="4" t="s">
        <v>1767</v>
      </c>
      <c r="D159" s="4" t="s">
        <v>1768</v>
      </c>
      <c r="E159" s="4" t="s">
        <v>1811</v>
      </c>
      <c r="F159" s="4" t="s">
        <v>1296</v>
      </c>
      <c r="G159" s="4" t="s">
        <v>1757</v>
      </c>
      <c r="H159" s="4"/>
      <c r="I159" s="4" t="s">
        <v>1759</v>
      </c>
      <c r="J159" s="4"/>
      <c r="K159" s="4"/>
    </row>
    <row r="160" ht="16" customHeight="1" s="4" customFormat="1">
      <c r="A160" s="5">
        <v>44669</v>
      </c>
      <c r="B160" s="4" t="s">
        <v>1813</v>
      </c>
      <c r="C160" s="4" t="s">
        <v>1754</v>
      </c>
      <c r="D160" s="4" t="s">
        <v>1824</v>
      </c>
      <c r="E160" s="4"/>
      <c r="F160" s="4" t="s">
        <v>1302</v>
      </c>
      <c r="G160" s="4" t="s">
        <v>1757</v>
      </c>
      <c r="H160" s="4" t="s">
        <v>1831</v>
      </c>
      <c r="I160" s="4" t="s">
        <v>1759</v>
      </c>
      <c r="J160" s="4"/>
      <c r="K160" s="4"/>
    </row>
    <row r="161" ht="16" customHeight="1" s="4" customFormat="1">
      <c r="A161" s="5">
        <v>44669</v>
      </c>
      <c r="B161" s="4" t="s">
        <v>1813</v>
      </c>
      <c r="C161" s="4" t="s">
        <v>1754</v>
      </c>
      <c r="D161" s="4" t="s">
        <v>1760</v>
      </c>
      <c r="E161" s="4" t="s">
        <v>1843</v>
      </c>
      <c r="F161" s="4" t="s">
        <v>1302</v>
      </c>
      <c r="G161" s="4" t="s">
        <v>1757</v>
      </c>
      <c r="H161" s="4" t="s">
        <v>1831</v>
      </c>
      <c r="I161" s="4" t="s">
        <v>1759</v>
      </c>
      <c r="J161" s="4"/>
      <c r="K161" s="4"/>
    </row>
    <row r="162" ht="16" customHeight="1" s="4" customFormat="1">
      <c r="A162" s="5">
        <v>44669</v>
      </c>
      <c r="B162" s="4" t="s">
        <v>1813</v>
      </c>
      <c r="C162" s="4" t="s">
        <v>1754</v>
      </c>
      <c r="D162" s="4" t="s">
        <v>1805</v>
      </c>
      <c r="E162" s="4" t="s">
        <v>1841</v>
      </c>
      <c r="F162" s="4" t="s">
        <v>1302</v>
      </c>
      <c r="G162" s="4" t="s">
        <v>1757</v>
      </c>
      <c r="H162" s="4" t="s">
        <v>1831</v>
      </c>
      <c r="I162" s="4" t="s">
        <v>1759</v>
      </c>
      <c r="J162" s="4"/>
      <c r="K162" s="4"/>
    </row>
    <row r="163" ht="16" customHeight="1" s="4" customFormat="1">
      <c r="A163" s="5">
        <v>44669</v>
      </c>
      <c r="B163" s="4" t="s">
        <v>1813</v>
      </c>
      <c r="C163" s="4" t="s">
        <v>1754</v>
      </c>
      <c r="D163" s="4" t="s">
        <v>1804</v>
      </c>
      <c r="E163" s="4" t="s">
        <v>1794</v>
      </c>
      <c r="F163" s="4" t="s">
        <v>1302</v>
      </c>
      <c r="G163" s="4" t="s">
        <v>1757</v>
      </c>
      <c r="H163" s="4" t="s">
        <v>1831</v>
      </c>
      <c r="I163" s="4" t="s">
        <v>1759</v>
      </c>
      <c r="J163" s="4"/>
      <c r="K163" s="4"/>
    </row>
    <row r="164" ht="16" customHeight="1" s="4" customFormat="1">
      <c r="A164" s="5">
        <v>44669</v>
      </c>
      <c r="B164" s="4" t="s">
        <v>1813</v>
      </c>
      <c r="C164" s="4" t="s">
        <v>1767</v>
      </c>
      <c r="D164" s="4" t="s">
        <v>1768</v>
      </c>
      <c r="E164" s="4" t="s">
        <v>1848</v>
      </c>
      <c r="F164" s="4" t="s">
        <v>1296</v>
      </c>
      <c r="G164" s="4" t="s">
        <v>1766</v>
      </c>
      <c r="H164" s="4"/>
      <c r="I164" s="4" t="s">
        <v>1759</v>
      </c>
      <c r="J164" s="4"/>
      <c r="K164" s="4"/>
    </row>
    <row r="165" ht="16" customHeight="1" s="4" customFormat="1">
      <c r="A165" s="5">
        <v>44649</v>
      </c>
      <c r="B165" s="4" t="s">
        <v>1813</v>
      </c>
      <c r="C165" s="4" t="s">
        <v>1754</v>
      </c>
      <c r="D165" s="4" t="s">
        <v>1760</v>
      </c>
      <c r="E165" s="4" t="s">
        <v>1849</v>
      </c>
      <c r="F165" s="4" t="s">
        <v>1302</v>
      </c>
      <c r="G165" s="4" t="s">
        <v>1793</v>
      </c>
      <c r="H165" s="4" t="s">
        <v>1831</v>
      </c>
      <c r="I165" s="4" t="s">
        <v>1759</v>
      </c>
      <c r="J165" s="4"/>
      <c r="K165" s="4"/>
    </row>
    <row r="166" ht="16" customHeight="1" s="4" customFormat="1">
      <c r="A166" s="5">
        <v>44649</v>
      </c>
      <c r="B166" s="4" t="s">
        <v>1813</v>
      </c>
      <c r="C166" s="4" t="s">
        <v>1754</v>
      </c>
      <c r="D166" s="4" t="s">
        <v>1805</v>
      </c>
      <c r="E166" s="4" t="s">
        <v>1850</v>
      </c>
      <c r="F166" s="4" t="s">
        <v>1302</v>
      </c>
      <c r="G166" s="4" t="s">
        <v>1793</v>
      </c>
      <c r="H166" s="4" t="s">
        <v>1831</v>
      </c>
      <c r="I166" s="4" t="s">
        <v>1759</v>
      </c>
      <c r="J166" s="4"/>
      <c r="K166" s="4"/>
    </row>
    <row r="167" ht="16" customHeight="1" s="4" customFormat="1">
      <c r="A167" s="5">
        <v>44649</v>
      </c>
      <c r="B167" s="4" t="s">
        <v>1813</v>
      </c>
      <c r="C167" s="4" t="s">
        <v>1754</v>
      </c>
      <c r="D167" s="4" t="s">
        <v>1804</v>
      </c>
      <c r="E167" s="4" t="s">
        <v>1794</v>
      </c>
      <c r="F167" s="4" t="s">
        <v>1302</v>
      </c>
      <c r="G167" s="4" t="s">
        <v>1793</v>
      </c>
      <c r="H167" s="4" t="s">
        <v>1831</v>
      </c>
      <c r="I167" s="4" t="s">
        <v>1759</v>
      </c>
      <c r="J167" s="4"/>
      <c r="K167" s="4"/>
    </row>
    <row r="168" ht="16" customHeight="1" s="4" customFormat="1">
      <c r="A168" s="5">
        <v>44649</v>
      </c>
      <c r="B168" s="4" t="s">
        <v>1813</v>
      </c>
      <c r="C168" s="4" t="s">
        <v>1754</v>
      </c>
      <c r="D168" s="4" t="s">
        <v>1824</v>
      </c>
      <c r="E168" s="4"/>
      <c r="F168" s="4" t="s">
        <v>1302</v>
      </c>
      <c r="G168" s="4" t="s">
        <v>1793</v>
      </c>
      <c r="H168" s="4" t="s">
        <v>1831</v>
      </c>
      <c r="I168" s="4" t="s">
        <v>1759</v>
      </c>
      <c r="J168" s="4"/>
      <c r="K168" s="4"/>
    </row>
    <row r="169" ht="16" customHeight="1" s="4" customFormat="1">
      <c r="A169" s="5">
        <v>44649</v>
      </c>
      <c r="B169" s="4" t="s">
        <v>1813</v>
      </c>
      <c r="C169" s="4" t="s">
        <v>1767</v>
      </c>
      <c r="D169" s="4" t="s">
        <v>1768</v>
      </c>
      <c r="E169" s="4" t="s">
        <v>1851</v>
      </c>
      <c r="F169" s="4" t="s">
        <v>1296</v>
      </c>
      <c r="G169" s="4" t="s">
        <v>1757</v>
      </c>
      <c r="H169" s="4"/>
      <c r="I169" s="4" t="s">
        <v>1759</v>
      </c>
      <c r="J169" s="4"/>
      <c r="K169" s="4"/>
    </row>
    <row r="170" ht="16" customHeight="1" s="4" customFormat="1">
      <c r="A170" s="5">
        <v>44617</v>
      </c>
      <c r="B170" s="4" t="s">
        <v>1287</v>
      </c>
      <c r="C170" s="4" t="s">
        <v>1754</v>
      </c>
      <c r="D170" s="4" t="s">
        <v>1770</v>
      </c>
      <c r="E170" s="4" t="s">
        <v>1852</v>
      </c>
      <c r="F170" s="4" t="s">
        <v>1302</v>
      </c>
      <c r="G170" s="4" t="s">
        <v>1793</v>
      </c>
      <c r="H170" s="4" t="s">
        <v>1831</v>
      </c>
      <c r="I170" s="4" t="s">
        <v>1759</v>
      </c>
      <c r="J170" s="4"/>
      <c r="K170" s="4"/>
    </row>
    <row r="171" ht="16" customHeight="1" s="4" customFormat="1">
      <c r="A171" s="5">
        <v>44617</v>
      </c>
      <c r="B171" s="4" t="s">
        <v>1287</v>
      </c>
      <c r="C171" s="4" t="s">
        <v>1754</v>
      </c>
      <c r="D171" s="4" t="s">
        <v>1772</v>
      </c>
      <c r="E171" s="4" t="s">
        <v>1836</v>
      </c>
      <c r="F171" s="4" t="s">
        <v>1302</v>
      </c>
      <c r="G171" s="4" t="s">
        <v>1793</v>
      </c>
      <c r="H171" s="4" t="s">
        <v>1831</v>
      </c>
      <c r="I171" s="4" t="s">
        <v>1759</v>
      </c>
      <c r="J171" s="4"/>
      <c r="K171" s="4"/>
    </row>
    <row r="172" ht="16" customHeight="1" s="4" customFormat="1">
      <c r="A172" s="5">
        <v>44617</v>
      </c>
      <c r="B172" s="4" t="s">
        <v>1287</v>
      </c>
      <c r="C172" s="4" t="s">
        <v>1767</v>
      </c>
      <c r="D172" s="4" t="s">
        <v>1768</v>
      </c>
      <c r="E172" s="4" t="s">
        <v>1836</v>
      </c>
      <c r="F172" s="4" t="s">
        <v>1296</v>
      </c>
      <c r="G172" s="4" t="s">
        <v>1757</v>
      </c>
      <c r="H172" s="4"/>
      <c r="I172" s="4" t="s">
        <v>1759</v>
      </c>
      <c r="J172" s="4"/>
      <c r="K172" s="4"/>
    </row>
    <row r="173" ht="16" customHeight="1" s="4" customFormat="1">
      <c r="A173" s="5">
        <v>44617</v>
      </c>
      <c r="B173" s="4" t="s">
        <v>1287</v>
      </c>
      <c r="C173" s="4" t="s">
        <v>1767</v>
      </c>
      <c r="D173" s="4" t="s">
        <v>1770</v>
      </c>
      <c r="E173" s="4" t="s">
        <v>1853</v>
      </c>
      <c r="F173" s="4" t="s">
        <v>1296</v>
      </c>
      <c r="G173" s="4" t="s">
        <v>1757</v>
      </c>
      <c r="H173" s="4"/>
      <c r="I173" s="4" t="s">
        <v>1759</v>
      </c>
      <c r="J173" s="4"/>
      <c r="K173" s="4"/>
    </row>
    <row r="174" ht="16" customHeight="1" s="4" customFormat="1">
      <c r="A174" s="5">
        <v>44586</v>
      </c>
      <c r="B174" s="4" t="s">
        <v>1287</v>
      </c>
      <c r="C174" s="4" t="s">
        <v>1754</v>
      </c>
      <c r="D174" s="4" t="s">
        <v>1770</v>
      </c>
      <c r="E174" s="4" t="s">
        <v>1854</v>
      </c>
      <c r="F174" s="4" t="s">
        <v>1295</v>
      </c>
      <c r="G174" s="4" t="s">
        <v>1757</v>
      </c>
      <c r="H174" s="4" t="s">
        <v>1855</v>
      </c>
      <c r="I174" s="4" t="s">
        <v>1759</v>
      </c>
      <c r="J174" s="4"/>
      <c r="K174" s="4"/>
    </row>
    <row r="175" ht="16" customHeight="1" s="4" customFormat="1">
      <c r="A175" s="5">
        <v>44586</v>
      </c>
      <c r="B175" s="4" t="s">
        <v>1287</v>
      </c>
      <c r="C175" s="4" t="s">
        <v>1754</v>
      </c>
      <c r="D175" s="4" t="s">
        <v>1772</v>
      </c>
      <c r="E175" s="4" t="s">
        <v>1856</v>
      </c>
      <c r="F175" s="4" t="s">
        <v>1295</v>
      </c>
      <c r="G175" s="4" t="s">
        <v>1757</v>
      </c>
      <c r="H175" s="4" t="s">
        <v>1855</v>
      </c>
      <c r="I175" s="4" t="s">
        <v>1759</v>
      </c>
      <c r="J175" s="4"/>
      <c r="K175" s="4"/>
    </row>
    <row r="176" ht="16" customHeight="1" s="4" customFormat="1">
      <c r="A176" s="5">
        <v>44586</v>
      </c>
      <c r="B176" s="4" t="s">
        <v>1287</v>
      </c>
      <c r="C176" s="4" t="s">
        <v>1767</v>
      </c>
      <c r="D176" s="4" t="s">
        <v>1770</v>
      </c>
      <c r="E176" s="4" t="s">
        <v>1857</v>
      </c>
      <c r="F176" s="4" t="s">
        <v>1296</v>
      </c>
      <c r="G176" s="4" t="s">
        <v>1757</v>
      </c>
      <c r="H176" s="4"/>
      <c r="I176" s="4" t="s">
        <v>1759</v>
      </c>
      <c r="J176" s="4"/>
      <c r="K176" s="4"/>
    </row>
    <row r="177" ht="16" customHeight="1" s="4" customFormat="1">
      <c r="A177" s="5">
        <v>44586</v>
      </c>
      <c r="B177" s="4" t="s">
        <v>1287</v>
      </c>
      <c r="C177" s="4" t="s">
        <v>1767</v>
      </c>
      <c r="D177" s="4" t="s">
        <v>1768</v>
      </c>
      <c r="E177" s="4" t="s">
        <v>1836</v>
      </c>
      <c r="F177" s="4" t="s">
        <v>1296</v>
      </c>
      <c r="G177" s="4" t="s">
        <v>1757</v>
      </c>
      <c r="H177" s="4"/>
      <c r="I177" s="4" t="s">
        <v>1759</v>
      </c>
      <c r="J177" s="4"/>
      <c r="K177" s="4"/>
    </row>
    <row r="178" ht="16" customHeight="1" s="4" customFormat="1">
      <c r="A178" s="5">
        <v>44582</v>
      </c>
      <c r="B178" s="4" t="s">
        <v>1813</v>
      </c>
      <c r="C178" s="4" t="s">
        <v>1754</v>
      </c>
      <c r="D178" s="4" t="s">
        <v>1824</v>
      </c>
      <c r="E178" s="4"/>
      <c r="F178" s="4" t="s">
        <v>1295</v>
      </c>
      <c r="G178" s="4" t="s">
        <v>1757</v>
      </c>
      <c r="H178" s="4" t="s">
        <v>1855</v>
      </c>
      <c r="I178" s="4" t="s">
        <v>1759</v>
      </c>
      <c r="J178" s="4"/>
      <c r="K178" s="4"/>
    </row>
    <row r="179" ht="16" customHeight="1" s="4" customFormat="1">
      <c r="A179" s="5">
        <v>44582</v>
      </c>
      <c r="B179" s="4" t="s">
        <v>1813</v>
      </c>
      <c r="C179" s="4" t="s">
        <v>1754</v>
      </c>
      <c r="D179" s="4" t="s">
        <v>1760</v>
      </c>
      <c r="E179" s="4" t="s">
        <v>1849</v>
      </c>
      <c r="F179" s="4" t="s">
        <v>1295</v>
      </c>
      <c r="G179" s="4" t="s">
        <v>1757</v>
      </c>
      <c r="H179" s="4" t="s">
        <v>1855</v>
      </c>
      <c r="I179" s="4" t="s">
        <v>1759</v>
      </c>
      <c r="J179" s="4"/>
      <c r="K179" s="4"/>
    </row>
    <row r="180" ht="16" customHeight="1" s="4" customFormat="1">
      <c r="A180" s="5">
        <v>44582</v>
      </c>
      <c r="B180" s="4" t="s">
        <v>1813</v>
      </c>
      <c r="C180" s="4" t="s">
        <v>1754</v>
      </c>
      <c r="D180" s="4" t="s">
        <v>1805</v>
      </c>
      <c r="E180" s="4" t="s">
        <v>1850</v>
      </c>
      <c r="F180" s="4" t="s">
        <v>1295</v>
      </c>
      <c r="G180" s="4" t="s">
        <v>1757</v>
      </c>
      <c r="H180" s="4" t="s">
        <v>1855</v>
      </c>
      <c r="I180" s="4" t="s">
        <v>1759</v>
      </c>
      <c r="J180" s="4"/>
      <c r="K180" s="4"/>
    </row>
    <row r="181" ht="16" customHeight="1" s="4" customFormat="1">
      <c r="A181" s="5">
        <v>44582</v>
      </c>
      <c r="B181" s="4" t="s">
        <v>1813</v>
      </c>
      <c r="C181" s="4" t="s">
        <v>1754</v>
      </c>
      <c r="D181" s="4" t="s">
        <v>1804</v>
      </c>
      <c r="E181" s="4" t="s">
        <v>1794</v>
      </c>
      <c r="F181" s="4" t="s">
        <v>1295</v>
      </c>
      <c r="G181" s="4" t="s">
        <v>1757</v>
      </c>
      <c r="H181" s="4" t="s">
        <v>1855</v>
      </c>
      <c r="I181" s="4" t="s">
        <v>1759</v>
      </c>
      <c r="J181" s="4"/>
      <c r="K181" s="4"/>
    </row>
    <row r="182" ht="16" customHeight="1" s="4" customFormat="1">
      <c r="A182" s="5">
        <v>44582</v>
      </c>
      <c r="B182" s="4" t="s">
        <v>1813</v>
      </c>
      <c r="C182" s="4" t="s">
        <v>1767</v>
      </c>
      <c r="D182" s="4" t="s">
        <v>1768</v>
      </c>
      <c r="E182" s="4" t="s">
        <v>1803</v>
      </c>
      <c r="F182" s="4" t="s">
        <v>1296</v>
      </c>
      <c r="G182" s="4" t="s">
        <v>1766</v>
      </c>
      <c r="H182" s="4"/>
      <c r="I182" s="4" t="s">
        <v>1759</v>
      </c>
      <c r="J182" s="4"/>
      <c r="K182" s="4"/>
    </row>
    <row r="183" ht="16" customHeight="1" s="4" customFormat="1">
      <c r="A183" s="5">
        <v>44553</v>
      </c>
      <c r="B183" s="4" t="s">
        <v>1813</v>
      </c>
      <c r="C183" s="4" t="s">
        <v>1754</v>
      </c>
      <c r="D183" s="4" t="s">
        <v>1824</v>
      </c>
      <c r="E183" s="4"/>
      <c r="F183" s="4" t="s">
        <v>1295</v>
      </c>
      <c r="G183" s="4" t="s">
        <v>1757</v>
      </c>
      <c r="H183" s="4" t="s">
        <v>1855</v>
      </c>
      <c r="I183" s="4" t="s">
        <v>1759</v>
      </c>
      <c r="J183" s="4"/>
      <c r="K183" s="4"/>
    </row>
    <row r="184" ht="16" customHeight="1" s="4" customFormat="1">
      <c r="A184" s="5">
        <v>44553</v>
      </c>
      <c r="B184" s="4" t="s">
        <v>1813</v>
      </c>
      <c r="C184" s="4" t="s">
        <v>1754</v>
      </c>
      <c r="D184" s="4" t="s">
        <v>1760</v>
      </c>
      <c r="E184" s="4" t="s">
        <v>1849</v>
      </c>
      <c r="F184" s="4" t="s">
        <v>1295</v>
      </c>
      <c r="G184" s="4" t="s">
        <v>1757</v>
      </c>
      <c r="H184" s="4" t="s">
        <v>1855</v>
      </c>
      <c r="I184" s="4" t="s">
        <v>1759</v>
      </c>
      <c r="J184" s="4"/>
      <c r="K184" s="4"/>
    </row>
    <row r="185" ht="16" customHeight="1" s="4" customFormat="1">
      <c r="A185" s="5">
        <v>44553</v>
      </c>
      <c r="B185" s="4" t="s">
        <v>1813</v>
      </c>
      <c r="C185" s="4" t="s">
        <v>1754</v>
      </c>
      <c r="D185" s="4" t="s">
        <v>1805</v>
      </c>
      <c r="E185" s="4" t="s">
        <v>1850</v>
      </c>
      <c r="F185" s="4" t="s">
        <v>1295</v>
      </c>
      <c r="G185" s="4" t="s">
        <v>1757</v>
      </c>
      <c r="H185" s="4" t="s">
        <v>1855</v>
      </c>
      <c r="I185" s="4" t="s">
        <v>1759</v>
      </c>
      <c r="J185" s="4"/>
      <c r="K185" s="4"/>
    </row>
    <row r="186" ht="16" customHeight="1" s="4" customFormat="1">
      <c r="A186" s="5">
        <v>44553</v>
      </c>
      <c r="B186" s="4" t="s">
        <v>1813</v>
      </c>
      <c r="C186" s="4" t="s">
        <v>1754</v>
      </c>
      <c r="D186" s="4" t="s">
        <v>1804</v>
      </c>
      <c r="E186" s="4" t="s">
        <v>1794</v>
      </c>
      <c r="F186" s="4" t="s">
        <v>1295</v>
      </c>
      <c r="G186" s="4" t="s">
        <v>1757</v>
      </c>
      <c r="H186" s="4" t="s">
        <v>1855</v>
      </c>
      <c r="I186" s="4" t="s">
        <v>1759</v>
      </c>
      <c r="J186" s="4"/>
      <c r="K186" s="4"/>
    </row>
    <row r="187" ht="16" customHeight="1" s="4" customFormat="1">
      <c r="A187" s="5">
        <v>44553</v>
      </c>
      <c r="B187" s="4" t="s">
        <v>1813</v>
      </c>
      <c r="C187" s="4" t="s">
        <v>1767</v>
      </c>
      <c r="D187" s="4" t="s">
        <v>1768</v>
      </c>
      <c r="E187" s="4" t="s">
        <v>1858</v>
      </c>
      <c r="F187" s="4" t="s">
        <v>1296</v>
      </c>
      <c r="G187" s="4" t="s">
        <v>1757</v>
      </c>
      <c r="H187" s="4"/>
      <c r="I187" s="4" t="s">
        <v>1759</v>
      </c>
      <c r="J187" s="4"/>
      <c r="K187" s="4"/>
    </row>
    <row r="188" ht="16" customHeight="1" s="4" customFormat="1">
      <c r="A188" s="5">
        <v>44496</v>
      </c>
      <c r="B188" s="4" t="s">
        <v>1287</v>
      </c>
      <c r="C188" s="4" t="s">
        <v>1754</v>
      </c>
      <c r="D188" s="4" t="s">
        <v>1772</v>
      </c>
      <c r="E188" s="4" t="s">
        <v>1859</v>
      </c>
      <c r="F188" s="4" t="s">
        <v>1295</v>
      </c>
      <c r="G188" s="4" t="s">
        <v>1757</v>
      </c>
      <c r="H188" s="4" t="s">
        <v>1855</v>
      </c>
      <c r="I188" s="4" t="s">
        <v>1759</v>
      </c>
      <c r="J188" s="4"/>
      <c r="K188" s="4"/>
    </row>
    <row r="189" ht="16" customHeight="1" s="4" customFormat="1">
      <c r="A189" s="5">
        <v>44496</v>
      </c>
      <c r="B189" s="4" t="s">
        <v>1287</v>
      </c>
      <c r="C189" s="4" t="s">
        <v>1754</v>
      </c>
      <c r="D189" s="4" t="s">
        <v>1770</v>
      </c>
      <c r="E189" s="4" t="s">
        <v>1860</v>
      </c>
      <c r="F189" s="4" t="s">
        <v>1295</v>
      </c>
      <c r="G189" s="4" t="s">
        <v>1757</v>
      </c>
      <c r="H189" s="4" t="s">
        <v>1855</v>
      </c>
      <c r="I189" s="4" t="s">
        <v>1759</v>
      </c>
      <c r="J189" s="4"/>
      <c r="K189" s="4"/>
    </row>
    <row r="190" ht="16" customHeight="1" s="4" customFormat="1">
      <c r="A190" s="5">
        <v>44496</v>
      </c>
      <c r="B190" s="4" t="s">
        <v>1287</v>
      </c>
      <c r="C190" s="4" t="s">
        <v>1754</v>
      </c>
      <c r="D190" s="4" t="s">
        <v>1772</v>
      </c>
      <c r="E190" s="4" t="s">
        <v>1861</v>
      </c>
      <c r="F190" s="4" t="s">
        <v>1308</v>
      </c>
      <c r="G190" s="4" t="s">
        <v>1308</v>
      </c>
      <c r="H190" s="4"/>
      <c r="I190" s="4" t="s">
        <v>1759</v>
      </c>
      <c r="J190" s="4"/>
      <c r="K190" s="4"/>
    </row>
    <row r="191" ht="16" customHeight="1" s="4" customFormat="1">
      <c r="A191" s="5">
        <v>44496</v>
      </c>
      <c r="B191" s="4" t="s">
        <v>1287</v>
      </c>
      <c r="C191" s="4" t="s">
        <v>1767</v>
      </c>
      <c r="D191" s="4" t="s">
        <v>1768</v>
      </c>
      <c r="E191" s="4" t="s">
        <v>1862</v>
      </c>
      <c r="F191" s="4" t="s">
        <v>1296</v>
      </c>
      <c r="G191" s="4" t="s">
        <v>1757</v>
      </c>
      <c r="H191" s="4"/>
      <c r="I191" s="4" t="s">
        <v>1759</v>
      </c>
      <c r="J191" s="4"/>
      <c r="K191" s="4"/>
    </row>
    <row r="192" ht="16" customHeight="1" s="4" customFormat="1">
      <c r="A192" s="5">
        <v>44496</v>
      </c>
      <c r="B192" s="4" t="s">
        <v>1287</v>
      </c>
      <c r="C192" s="4" t="s">
        <v>1767</v>
      </c>
      <c r="D192" s="4" t="s">
        <v>1770</v>
      </c>
      <c r="E192" s="4" t="s">
        <v>1863</v>
      </c>
      <c r="F192" s="4" t="s">
        <v>1296</v>
      </c>
      <c r="G192" s="4" t="s">
        <v>1757</v>
      </c>
      <c r="H192" s="4"/>
      <c r="I192" s="4" t="s">
        <v>1759</v>
      </c>
      <c r="J192" s="4"/>
      <c r="K192" s="4"/>
    </row>
    <row r="193" ht="16" customHeight="1" s="4" customFormat="1">
      <c r="A193" s="5">
        <v>44326</v>
      </c>
      <c r="B193" s="4" t="s">
        <v>1813</v>
      </c>
      <c r="C193" s="4" t="s">
        <v>1754</v>
      </c>
      <c r="D193" s="4" t="s">
        <v>1760</v>
      </c>
      <c r="E193" s="4" t="s">
        <v>1842</v>
      </c>
      <c r="F193" s="4" t="s">
        <v>1295</v>
      </c>
      <c r="G193" s="4" t="s">
        <v>1766</v>
      </c>
      <c r="H193" s="4" t="s">
        <v>1831</v>
      </c>
      <c r="I193" s="4" t="s">
        <v>1759</v>
      </c>
      <c r="J193" s="4"/>
      <c r="K193" s="4"/>
    </row>
    <row r="194" ht="16" customHeight="1" s="4" customFormat="1">
      <c r="A194" s="5">
        <v>44326</v>
      </c>
      <c r="B194" s="4" t="s">
        <v>1813</v>
      </c>
      <c r="C194" s="4" t="s">
        <v>1754</v>
      </c>
      <c r="D194" s="4" t="s">
        <v>1760</v>
      </c>
      <c r="E194" s="4" t="s">
        <v>1858</v>
      </c>
      <c r="F194" s="4" t="s">
        <v>1295</v>
      </c>
      <c r="G194" s="4" t="s">
        <v>1864</v>
      </c>
      <c r="H194" s="4" t="s">
        <v>1831</v>
      </c>
      <c r="I194" s="4" t="s">
        <v>1759</v>
      </c>
      <c r="J194" s="4"/>
      <c r="K194" s="4"/>
    </row>
    <row r="195" ht="16" customHeight="1" s="4" customFormat="1">
      <c r="A195" s="5">
        <v>44326</v>
      </c>
      <c r="B195" s="4" t="s">
        <v>1813</v>
      </c>
      <c r="C195" s="4" t="s">
        <v>1754</v>
      </c>
      <c r="D195" s="4" t="s">
        <v>1805</v>
      </c>
      <c r="E195" s="4" t="s">
        <v>1865</v>
      </c>
      <c r="F195" s="4" t="s">
        <v>1295</v>
      </c>
      <c r="G195" s="4" t="s">
        <v>1864</v>
      </c>
      <c r="H195" s="4" t="s">
        <v>1831</v>
      </c>
      <c r="I195" s="4" t="s">
        <v>1759</v>
      </c>
      <c r="J195" s="4"/>
      <c r="K195" s="4"/>
    </row>
    <row r="196" ht="16" customHeight="1" s="4" customFormat="1">
      <c r="A196" s="5">
        <v>44326</v>
      </c>
      <c r="B196" s="4" t="s">
        <v>1813</v>
      </c>
      <c r="C196" s="4" t="s">
        <v>1754</v>
      </c>
      <c r="D196" s="4" t="s">
        <v>1804</v>
      </c>
      <c r="E196" s="4" t="s">
        <v>1794</v>
      </c>
      <c r="F196" s="4" t="s">
        <v>1295</v>
      </c>
      <c r="G196" s="4" t="s">
        <v>1864</v>
      </c>
      <c r="H196" s="4" t="s">
        <v>1831</v>
      </c>
      <c r="I196" s="4" t="s">
        <v>1759</v>
      </c>
      <c r="J196" s="4"/>
      <c r="K196" s="4"/>
    </row>
    <row r="197" ht="16" customHeight="1" s="4" customFormat="1">
      <c r="A197" s="5">
        <v>44326</v>
      </c>
      <c r="B197" s="4" t="s">
        <v>1813</v>
      </c>
      <c r="C197" s="4" t="s">
        <v>1754</v>
      </c>
      <c r="D197" s="4" t="s">
        <v>1824</v>
      </c>
      <c r="E197" s="4"/>
      <c r="F197" s="4" t="s">
        <v>1295</v>
      </c>
      <c r="G197" s="4" t="s">
        <v>1864</v>
      </c>
      <c r="H197" s="4" t="s">
        <v>1831</v>
      </c>
      <c r="I197" s="4" t="s">
        <v>1759</v>
      </c>
      <c r="J197" s="4"/>
      <c r="K197" s="4"/>
    </row>
    <row r="198" ht="16" customHeight="1" s="4" customFormat="1">
      <c r="A198" s="5">
        <v>44242</v>
      </c>
      <c r="B198" s="4" t="s">
        <v>1813</v>
      </c>
      <c r="C198" s="4" t="s">
        <v>1754</v>
      </c>
      <c r="D198" s="4" t="s">
        <v>1760</v>
      </c>
      <c r="E198" s="4" t="s">
        <v>1858</v>
      </c>
      <c r="F198" s="4" t="s">
        <v>1295</v>
      </c>
      <c r="G198" s="4" t="s">
        <v>1766</v>
      </c>
      <c r="H198" s="4" t="s">
        <v>1831</v>
      </c>
      <c r="I198" s="4" t="s">
        <v>1759</v>
      </c>
      <c r="J198" s="4"/>
      <c r="K198" s="4"/>
    </row>
    <row r="199" ht="16" customHeight="1" s="4" customFormat="1">
      <c r="A199" s="5">
        <v>44242</v>
      </c>
      <c r="B199" s="4" t="s">
        <v>1813</v>
      </c>
      <c r="C199" s="4" t="s">
        <v>1754</v>
      </c>
      <c r="D199" s="4" t="s">
        <v>1805</v>
      </c>
      <c r="E199" s="4" t="s">
        <v>1866</v>
      </c>
      <c r="F199" s="4" t="s">
        <v>1295</v>
      </c>
      <c r="G199" s="4" t="s">
        <v>1757</v>
      </c>
      <c r="H199" s="4" t="s">
        <v>1831</v>
      </c>
      <c r="I199" s="4" t="s">
        <v>1759</v>
      </c>
      <c r="J199" s="4"/>
      <c r="K199" s="4"/>
    </row>
    <row r="200" ht="16" customHeight="1" s="4" customFormat="1">
      <c r="A200" s="5">
        <v>44242</v>
      </c>
      <c r="B200" s="4" t="s">
        <v>1813</v>
      </c>
      <c r="C200" s="4" t="s">
        <v>1754</v>
      </c>
      <c r="D200" s="4" t="s">
        <v>1804</v>
      </c>
      <c r="E200" s="4" t="s">
        <v>1794</v>
      </c>
      <c r="F200" s="4" t="s">
        <v>1295</v>
      </c>
      <c r="G200" s="4" t="s">
        <v>1757</v>
      </c>
      <c r="H200" s="4" t="s">
        <v>1831</v>
      </c>
      <c r="I200" s="4" t="s">
        <v>1759</v>
      </c>
      <c r="J200" s="4"/>
      <c r="K200" s="4"/>
    </row>
    <row r="201" ht="16" customHeight="1" s="4" customFormat="1">
      <c r="A201" s="5">
        <v>44242</v>
      </c>
      <c r="B201" s="4" t="s">
        <v>1813</v>
      </c>
      <c r="C201" s="4" t="s">
        <v>1754</v>
      </c>
      <c r="D201" s="4" t="s">
        <v>1824</v>
      </c>
      <c r="E201" s="4"/>
      <c r="F201" s="4" t="s">
        <v>1295</v>
      </c>
      <c r="G201" s="4" t="s">
        <v>1757</v>
      </c>
      <c r="H201" s="4" t="s">
        <v>1831</v>
      </c>
      <c r="I201" s="4" t="s">
        <v>1759</v>
      </c>
      <c r="J201" s="4"/>
      <c r="K201" s="4"/>
    </row>
    <row r="202" ht="16" customHeight="1" s="4" customFormat="1">
      <c r="A202" s="5">
        <v>44242</v>
      </c>
      <c r="B202" s="4" t="s">
        <v>1813</v>
      </c>
      <c r="C202" s="4" t="s">
        <v>1767</v>
      </c>
      <c r="D202" s="4" t="s">
        <v>1768</v>
      </c>
      <c r="E202" s="4" t="s">
        <v>1858</v>
      </c>
      <c r="F202" s="4" t="s">
        <v>1296</v>
      </c>
      <c r="G202" s="4" t="s">
        <v>1757</v>
      </c>
      <c r="H202" s="4"/>
      <c r="I202" s="4" t="s">
        <v>1759</v>
      </c>
      <c r="J202" s="4"/>
      <c r="K202" s="4"/>
    </row>
    <row r="203" ht="16" customHeight="1" s="4" customFormat="1">
      <c r="A203" s="5">
        <v>44235</v>
      </c>
      <c r="B203" s="4" t="s">
        <v>1287</v>
      </c>
      <c r="C203" s="4" t="s">
        <v>1754</v>
      </c>
      <c r="D203" s="4" t="s">
        <v>1770</v>
      </c>
      <c r="E203" s="4" t="s">
        <v>1867</v>
      </c>
      <c r="F203" s="4" t="s">
        <v>1295</v>
      </c>
      <c r="G203" s="4" t="s">
        <v>1757</v>
      </c>
      <c r="H203" s="4" t="s">
        <v>1831</v>
      </c>
      <c r="I203" s="4" t="s">
        <v>1759</v>
      </c>
      <c r="J203" s="4"/>
      <c r="K203" s="4"/>
    </row>
    <row r="204" ht="16" customHeight="1" s="4" customFormat="1">
      <c r="A204" s="5">
        <v>44235</v>
      </c>
      <c r="B204" s="4" t="s">
        <v>1287</v>
      </c>
      <c r="C204" s="4" t="s">
        <v>1754</v>
      </c>
      <c r="D204" s="4" t="s">
        <v>1772</v>
      </c>
      <c r="E204" s="4" t="s">
        <v>1868</v>
      </c>
      <c r="F204" s="4" t="s">
        <v>1295</v>
      </c>
      <c r="G204" s="4" t="s">
        <v>1766</v>
      </c>
      <c r="H204" s="4" t="s">
        <v>1831</v>
      </c>
      <c r="I204" s="4" t="s">
        <v>1759</v>
      </c>
      <c r="J204" s="4"/>
      <c r="K204" s="4"/>
    </row>
    <row r="205" ht="16" customHeight="1" s="4" customFormat="1">
      <c r="A205" s="5">
        <v>44235</v>
      </c>
      <c r="B205" s="4" t="s">
        <v>1287</v>
      </c>
      <c r="C205" s="4" t="s">
        <v>1754</v>
      </c>
      <c r="D205" s="4" t="s">
        <v>1772</v>
      </c>
      <c r="E205" s="4" t="s">
        <v>1859</v>
      </c>
      <c r="F205" s="4" t="s">
        <v>1295</v>
      </c>
      <c r="G205" s="4" t="s">
        <v>1757</v>
      </c>
      <c r="H205" s="4" t="s">
        <v>1831</v>
      </c>
      <c r="I205" s="4" t="s">
        <v>1759</v>
      </c>
      <c r="J205" s="4"/>
      <c r="K205" s="4"/>
    </row>
    <row r="206" ht="16" customHeight="1" s="4" customFormat="1">
      <c r="A206" s="5">
        <v>44235</v>
      </c>
      <c r="B206" s="4" t="s">
        <v>1287</v>
      </c>
      <c r="C206" s="4" t="s">
        <v>1767</v>
      </c>
      <c r="D206" s="4" t="s">
        <v>1770</v>
      </c>
      <c r="E206" s="4" t="s">
        <v>1869</v>
      </c>
      <c r="F206" s="4" t="s">
        <v>1296</v>
      </c>
      <c r="G206" s="4" t="s">
        <v>1757</v>
      </c>
      <c r="H206" s="4"/>
      <c r="I206" s="4" t="s">
        <v>1759</v>
      </c>
      <c r="J206" s="4"/>
      <c r="K206" s="4"/>
    </row>
    <row r="207" ht="16" customHeight="1" s="4" customFormat="1">
      <c r="A207" s="5">
        <v>44235</v>
      </c>
      <c r="B207" s="4" t="s">
        <v>1287</v>
      </c>
      <c r="C207" s="4" t="s">
        <v>1767</v>
      </c>
      <c r="D207" s="4" t="s">
        <v>1768</v>
      </c>
      <c r="E207" s="4" t="s">
        <v>1862</v>
      </c>
      <c r="F207" s="4" t="s">
        <v>1296</v>
      </c>
      <c r="G207" s="4" t="s">
        <v>1757</v>
      </c>
      <c r="H207" s="4"/>
      <c r="I207" s="4" t="s">
        <v>1759</v>
      </c>
      <c r="J207" s="4"/>
      <c r="K207" s="4"/>
    </row>
    <row r="208" ht="16" customHeight="1" s="4" customFormat="1">
      <c r="A208" s="5">
        <v>44132</v>
      </c>
      <c r="B208" s="4" t="s">
        <v>1287</v>
      </c>
      <c r="C208" s="4" t="s">
        <v>1754</v>
      </c>
      <c r="D208" s="4" t="s">
        <v>1772</v>
      </c>
      <c r="E208" s="4" t="s">
        <v>1859</v>
      </c>
      <c r="F208" s="4" t="s">
        <v>1295</v>
      </c>
      <c r="G208" s="4" t="s">
        <v>1814</v>
      </c>
      <c r="H208" s="4" t="s">
        <v>1831</v>
      </c>
      <c r="I208" s="4" t="s">
        <v>1759</v>
      </c>
      <c r="J208" s="4"/>
      <c r="K208" s="4"/>
    </row>
    <row r="209" ht="16" customHeight="1" s="4" customFormat="1">
      <c r="A209" s="5">
        <v>44132</v>
      </c>
      <c r="B209" s="4" t="s">
        <v>1287</v>
      </c>
      <c r="C209" s="4" t="s">
        <v>1754</v>
      </c>
      <c r="D209" s="4" t="s">
        <v>1770</v>
      </c>
      <c r="E209" s="4" t="s">
        <v>1870</v>
      </c>
      <c r="F209" s="4" t="s">
        <v>1295</v>
      </c>
      <c r="G209" s="4" t="s">
        <v>1814</v>
      </c>
      <c r="H209" s="4" t="s">
        <v>1831</v>
      </c>
      <c r="I209" s="4" t="s">
        <v>1759</v>
      </c>
      <c r="J209" s="4"/>
      <c r="K209" s="4"/>
    </row>
    <row r="210" ht="16" customHeight="1" s="4" customFormat="1">
      <c r="A210" s="5">
        <v>44132</v>
      </c>
      <c r="B210" s="4" t="s">
        <v>1287</v>
      </c>
      <c r="C210" s="4" t="s">
        <v>1754</v>
      </c>
      <c r="D210" s="4" t="s">
        <v>1772</v>
      </c>
      <c r="E210" s="4" t="s">
        <v>1871</v>
      </c>
      <c r="F210" s="4" t="s">
        <v>1308</v>
      </c>
      <c r="G210" s="4" t="s">
        <v>1308</v>
      </c>
      <c r="H210" s="4"/>
      <c r="I210" s="4" t="s">
        <v>1759</v>
      </c>
      <c r="J210" s="4"/>
      <c r="K210" s="4"/>
    </row>
    <row r="211" ht="16" customHeight="1" s="4" customFormat="1">
      <c r="A211" s="5">
        <v>44132</v>
      </c>
      <c r="B211" s="4" t="s">
        <v>1287</v>
      </c>
      <c r="C211" s="4" t="s">
        <v>1767</v>
      </c>
      <c r="D211" s="4" t="s">
        <v>1768</v>
      </c>
      <c r="E211" s="4" t="s">
        <v>1862</v>
      </c>
      <c r="F211" s="4" t="s">
        <v>1296</v>
      </c>
      <c r="G211" s="4" t="s">
        <v>1757</v>
      </c>
      <c r="H211" s="4"/>
      <c r="I211" s="4" t="s">
        <v>1759</v>
      </c>
      <c r="J211" s="4"/>
      <c r="K211" s="4"/>
    </row>
    <row r="212" ht="16" customHeight="1" s="4" customFormat="1">
      <c r="A212" s="5">
        <v>44132</v>
      </c>
      <c r="B212" s="4" t="s">
        <v>1287</v>
      </c>
      <c r="C212" s="4" t="s">
        <v>1767</v>
      </c>
      <c r="D212" s="4" t="s">
        <v>1770</v>
      </c>
      <c r="E212" s="4" t="s">
        <v>1872</v>
      </c>
      <c r="F212" s="4" t="s">
        <v>1296</v>
      </c>
      <c r="G212" s="4" t="s">
        <v>1757</v>
      </c>
      <c r="H212" s="4"/>
      <c r="I212" s="4" t="s">
        <v>1759</v>
      </c>
      <c r="J212" s="4"/>
      <c r="K212" s="4"/>
    </row>
    <row r="213" ht="16" customHeight="1" s="4" customFormat="1">
      <c r="A213" s="5">
        <v>43999</v>
      </c>
      <c r="B213" s="4" t="s">
        <v>1287</v>
      </c>
      <c r="C213" s="4" t="s">
        <v>1754</v>
      </c>
      <c r="D213" s="4" t="s">
        <v>1770</v>
      </c>
      <c r="E213" s="4" t="s">
        <v>1873</v>
      </c>
      <c r="F213" s="4" t="s">
        <v>1302</v>
      </c>
      <c r="G213" s="4" t="s">
        <v>1757</v>
      </c>
      <c r="H213" s="4" t="s">
        <v>1826</v>
      </c>
      <c r="I213" s="4" t="s">
        <v>1759</v>
      </c>
      <c r="J213" s="4"/>
      <c r="K213" s="4"/>
    </row>
    <row r="214" ht="16" customHeight="1" s="4" customFormat="1">
      <c r="A214" s="5">
        <v>43999</v>
      </c>
      <c r="B214" s="4" t="s">
        <v>1287</v>
      </c>
      <c r="C214" s="4" t="s">
        <v>1754</v>
      </c>
      <c r="D214" s="4" t="s">
        <v>1772</v>
      </c>
      <c r="E214" s="4" t="s">
        <v>1836</v>
      </c>
      <c r="F214" s="4" t="s">
        <v>1302</v>
      </c>
      <c r="G214" s="4" t="s">
        <v>1757</v>
      </c>
      <c r="H214" s="4" t="s">
        <v>1826</v>
      </c>
      <c r="I214" s="4" t="s">
        <v>1759</v>
      </c>
      <c r="J214" s="4"/>
      <c r="K214" s="4"/>
    </row>
    <row r="215" ht="16" customHeight="1" s="4" customFormat="1">
      <c r="A215" s="5">
        <v>43999</v>
      </c>
      <c r="B215" s="4" t="s">
        <v>1287</v>
      </c>
      <c r="C215" s="4" t="s">
        <v>1754</v>
      </c>
      <c r="D215" s="4" t="s">
        <v>1772</v>
      </c>
      <c r="E215" s="4" t="s">
        <v>1874</v>
      </c>
      <c r="F215" s="4" t="s">
        <v>1308</v>
      </c>
      <c r="G215" s="4" t="s">
        <v>1308</v>
      </c>
      <c r="H215" s="4"/>
      <c r="I215" s="4" t="s">
        <v>1759</v>
      </c>
      <c r="J215" s="4"/>
      <c r="K215" s="4"/>
    </row>
    <row r="216" ht="16" customHeight="1" s="4" customFormat="1">
      <c r="A216" s="5">
        <v>43999</v>
      </c>
      <c r="B216" s="4" t="s">
        <v>1287</v>
      </c>
      <c r="C216" s="4" t="s">
        <v>1767</v>
      </c>
      <c r="D216" s="4" t="s">
        <v>1768</v>
      </c>
      <c r="E216" s="4" t="s">
        <v>1862</v>
      </c>
      <c r="F216" s="4" t="s">
        <v>1296</v>
      </c>
      <c r="G216" s="4" t="s">
        <v>1757</v>
      </c>
      <c r="H216" s="4"/>
      <c r="I216" s="4" t="s">
        <v>1759</v>
      </c>
      <c r="J216" s="4"/>
      <c r="K216" s="4"/>
    </row>
    <row r="217" ht="16" customHeight="1" s="4" customFormat="1">
      <c r="A217" s="5">
        <v>43999</v>
      </c>
      <c r="B217" s="4" t="s">
        <v>1287</v>
      </c>
      <c r="C217" s="4" t="s">
        <v>1767</v>
      </c>
      <c r="D217" s="4" t="s">
        <v>1770</v>
      </c>
      <c r="E217" s="4" t="s">
        <v>1875</v>
      </c>
      <c r="F217" s="4" t="s">
        <v>1296</v>
      </c>
      <c r="G217" s="4" t="s">
        <v>1757</v>
      </c>
      <c r="H217" s="4"/>
      <c r="I217" s="4" t="s">
        <v>1759</v>
      </c>
      <c r="J217" s="4"/>
      <c r="K217" s="4"/>
    </row>
    <row r="218" ht="16" customHeight="1" s="4" customFormat="1">
      <c r="A218" s="5">
        <v>43979</v>
      </c>
      <c r="B218" s="4" t="s">
        <v>1287</v>
      </c>
      <c r="C218" s="4" t="s">
        <v>1754</v>
      </c>
      <c r="D218" s="4" t="s">
        <v>1770</v>
      </c>
      <c r="E218" s="4" t="s">
        <v>1873</v>
      </c>
      <c r="F218" s="4" t="s">
        <v>1302</v>
      </c>
      <c r="G218" s="4" t="s">
        <v>1757</v>
      </c>
      <c r="H218" s="4" t="s">
        <v>1826</v>
      </c>
      <c r="I218" s="4" t="s">
        <v>1759</v>
      </c>
      <c r="J218" s="4"/>
      <c r="K218" s="4"/>
    </row>
    <row r="219" ht="16" customHeight="1" s="4" customFormat="1">
      <c r="A219" s="5">
        <v>43979</v>
      </c>
      <c r="B219" s="4" t="s">
        <v>1287</v>
      </c>
      <c r="C219" s="4" t="s">
        <v>1754</v>
      </c>
      <c r="D219" s="4" t="s">
        <v>1772</v>
      </c>
      <c r="E219" s="4" t="s">
        <v>1836</v>
      </c>
      <c r="F219" s="4" t="s">
        <v>1302</v>
      </c>
      <c r="G219" s="4" t="s">
        <v>1757</v>
      </c>
      <c r="H219" s="4" t="s">
        <v>1826</v>
      </c>
      <c r="I219" s="4" t="s">
        <v>1759</v>
      </c>
      <c r="J219" s="4"/>
      <c r="K219" s="4"/>
    </row>
    <row r="220" ht="16" customHeight="1" s="4" customFormat="1">
      <c r="A220" s="5">
        <v>43979</v>
      </c>
      <c r="B220" s="4" t="s">
        <v>1287</v>
      </c>
      <c r="C220" s="4" t="s">
        <v>1754</v>
      </c>
      <c r="D220" s="4" t="s">
        <v>1772</v>
      </c>
      <c r="E220" s="4" t="s">
        <v>1840</v>
      </c>
      <c r="F220" s="4" t="s">
        <v>1308</v>
      </c>
      <c r="G220" s="4" t="s">
        <v>1308</v>
      </c>
      <c r="H220" s="4"/>
      <c r="I220" s="4" t="s">
        <v>1759</v>
      </c>
      <c r="J220" s="4"/>
      <c r="K220" s="4"/>
    </row>
    <row r="221" ht="16" customHeight="1" s="4" customFormat="1">
      <c r="A221" s="5">
        <v>43979</v>
      </c>
      <c r="B221" s="4" t="s">
        <v>1287</v>
      </c>
      <c r="C221" s="4" t="s">
        <v>1767</v>
      </c>
      <c r="D221" s="4" t="s">
        <v>1768</v>
      </c>
      <c r="E221" s="4" t="s">
        <v>1876</v>
      </c>
      <c r="F221" s="4" t="s">
        <v>1296</v>
      </c>
      <c r="G221" s="4" t="s">
        <v>1757</v>
      </c>
      <c r="H221" s="4"/>
      <c r="I221" s="4" t="s">
        <v>1759</v>
      </c>
      <c r="J221" s="4"/>
      <c r="K221" s="4"/>
    </row>
    <row r="222" ht="16" customHeight="1" s="4" customFormat="1">
      <c r="A222" s="5">
        <v>43979</v>
      </c>
      <c r="B222" s="4" t="s">
        <v>1287</v>
      </c>
      <c r="C222" s="4" t="s">
        <v>1767</v>
      </c>
      <c r="D222" s="4" t="s">
        <v>1770</v>
      </c>
      <c r="E222" s="4" t="s">
        <v>1875</v>
      </c>
      <c r="F222" s="4" t="s">
        <v>1296</v>
      </c>
      <c r="G222" s="4" t="s">
        <v>1757</v>
      </c>
      <c r="H222" s="4"/>
      <c r="I222" s="4" t="s">
        <v>1759</v>
      </c>
      <c r="J222" s="4"/>
      <c r="K222" s="4"/>
    </row>
    <row r="223" ht="16" customHeight="1" s="4" customFormat="1">
      <c r="A223" s="5">
        <v>43973</v>
      </c>
      <c r="B223" s="4" t="s">
        <v>1813</v>
      </c>
      <c r="C223" s="4" t="s">
        <v>1754</v>
      </c>
      <c r="D223" s="4" t="s">
        <v>1805</v>
      </c>
      <c r="E223" s="4" t="s">
        <v>1877</v>
      </c>
      <c r="F223" s="4" t="s">
        <v>1295</v>
      </c>
      <c r="G223" s="4" t="s">
        <v>1814</v>
      </c>
      <c r="H223" s="4" t="s">
        <v>1826</v>
      </c>
      <c r="I223" s="4" t="s">
        <v>1759</v>
      </c>
      <c r="J223" s="4"/>
      <c r="K223" s="4"/>
    </row>
    <row r="224" ht="16" customHeight="1" s="4" customFormat="1">
      <c r="A224" s="5">
        <v>43973</v>
      </c>
      <c r="B224" s="4" t="s">
        <v>1813</v>
      </c>
      <c r="C224" s="4" t="s">
        <v>1754</v>
      </c>
      <c r="D224" s="4" t="s">
        <v>1804</v>
      </c>
      <c r="E224" s="4" t="s">
        <v>1794</v>
      </c>
      <c r="F224" s="4" t="s">
        <v>1295</v>
      </c>
      <c r="G224" s="4" t="s">
        <v>1814</v>
      </c>
      <c r="H224" s="4" t="s">
        <v>1826</v>
      </c>
      <c r="I224" s="4" t="s">
        <v>1759</v>
      </c>
      <c r="J224" s="4"/>
      <c r="K224" s="4"/>
    </row>
    <row r="225" ht="16" customHeight="1" s="4" customFormat="1">
      <c r="A225" s="5">
        <v>43973</v>
      </c>
      <c r="B225" s="4" t="s">
        <v>1813</v>
      </c>
      <c r="C225" s="4" t="s">
        <v>1767</v>
      </c>
      <c r="D225" s="4" t="s">
        <v>1768</v>
      </c>
      <c r="E225" s="4" t="s">
        <v>1878</v>
      </c>
      <c r="F225" s="4" t="s">
        <v>1296</v>
      </c>
      <c r="G225" s="4" t="s">
        <v>1757</v>
      </c>
      <c r="H225" s="4"/>
      <c r="I225" s="4" t="s">
        <v>1759</v>
      </c>
      <c r="J225" s="4"/>
      <c r="K225" s="4"/>
    </row>
    <row r="226" ht="16" customHeight="1" s="4" customFormat="1">
      <c r="A226" s="5">
        <v>43924</v>
      </c>
      <c r="B226" s="4" t="s">
        <v>1287</v>
      </c>
      <c r="C226" s="4" t="s">
        <v>1754</v>
      </c>
      <c r="D226" s="4" t="s">
        <v>1770</v>
      </c>
      <c r="E226" s="4" t="s">
        <v>1879</v>
      </c>
      <c r="F226" s="4" t="s">
        <v>1302</v>
      </c>
      <c r="G226" s="4" t="s">
        <v>1757</v>
      </c>
      <c r="H226" s="4" t="s">
        <v>1826</v>
      </c>
      <c r="I226" s="4" t="s">
        <v>1759</v>
      </c>
      <c r="J226" s="4"/>
      <c r="K226" s="4"/>
    </row>
    <row r="227" ht="16" customHeight="1" s="4" customFormat="1">
      <c r="A227" s="5">
        <v>43924</v>
      </c>
      <c r="B227" s="4" t="s">
        <v>1287</v>
      </c>
      <c r="C227" s="4" t="s">
        <v>1754</v>
      </c>
      <c r="D227" s="4" t="s">
        <v>1772</v>
      </c>
      <c r="E227" s="4" t="s">
        <v>1836</v>
      </c>
      <c r="F227" s="4" t="s">
        <v>1302</v>
      </c>
      <c r="G227" s="4" t="s">
        <v>1757</v>
      </c>
      <c r="H227" s="4" t="s">
        <v>1826</v>
      </c>
      <c r="I227" s="4" t="s">
        <v>1759</v>
      </c>
      <c r="J227" s="4"/>
      <c r="K227" s="4"/>
    </row>
    <row r="228" ht="16" customHeight="1" s="4" customFormat="1">
      <c r="A228" s="5">
        <v>43924</v>
      </c>
      <c r="B228" s="4" t="s">
        <v>1287</v>
      </c>
      <c r="C228" s="4" t="s">
        <v>1767</v>
      </c>
      <c r="D228" s="4" t="s">
        <v>1770</v>
      </c>
      <c r="E228" s="4" t="s">
        <v>1880</v>
      </c>
      <c r="F228" s="4" t="s">
        <v>1296</v>
      </c>
      <c r="G228" s="4" t="s">
        <v>1757</v>
      </c>
      <c r="H228" s="4"/>
      <c r="I228" s="4" t="s">
        <v>1759</v>
      </c>
      <c r="J228" s="4"/>
      <c r="K228" s="4"/>
    </row>
    <row r="229" ht="16" customHeight="1" s="4" customFormat="1">
      <c r="A229" s="5">
        <v>43924</v>
      </c>
      <c r="B229" s="4" t="s">
        <v>1287</v>
      </c>
      <c r="C229" s="4" t="s">
        <v>1767</v>
      </c>
      <c r="D229" s="4" t="s">
        <v>1768</v>
      </c>
      <c r="E229" s="4" t="s">
        <v>1876</v>
      </c>
      <c r="F229" s="4" t="s">
        <v>1296</v>
      </c>
      <c r="G229" s="4" t="s">
        <v>1757</v>
      </c>
      <c r="H229" s="4"/>
      <c r="I229" s="4" t="s">
        <v>1759</v>
      </c>
      <c r="J229" s="4"/>
      <c r="K229" s="4"/>
    </row>
    <row r="230" ht="16" customHeight="1" s="4" customFormat="1">
      <c r="A230" s="5">
        <v>43902</v>
      </c>
      <c r="B230" s="4" t="s">
        <v>1813</v>
      </c>
      <c r="C230" s="4" t="s">
        <v>1754</v>
      </c>
      <c r="D230" s="4" t="s">
        <v>1805</v>
      </c>
      <c r="E230" s="4" t="s">
        <v>1877</v>
      </c>
      <c r="F230" s="4" t="s">
        <v>1302</v>
      </c>
      <c r="G230" s="4" t="s">
        <v>1757</v>
      </c>
      <c r="H230" s="4" t="s">
        <v>1826</v>
      </c>
      <c r="I230" s="4" t="s">
        <v>1759</v>
      </c>
      <c r="J230" s="4"/>
      <c r="K230" s="4"/>
    </row>
    <row r="231" ht="16" customHeight="1" s="4" customFormat="1">
      <c r="A231" s="5">
        <v>43902</v>
      </c>
      <c r="B231" s="4" t="s">
        <v>1813</v>
      </c>
      <c r="C231" s="4" t="s">
        <v>1754</v>
      </c>
      <c r="D231" s="4" t="s">
        <v>1804</v>
      </c>
      <c r="E231" s="4" t="s">
        <v>1794</v>
      </c>
      <c r="F231" s="4" t="s">
        <v>1302</v>
      </c>
      <c r="G231" s="4" t="s">
        <v>1757</v>
      </c>
      <c r="H231" s="4" t="s">
        <v>1826</v>
      </c>
      <c r="I231" s="4" t="s">
        <v>1759</v>
      </c>
      <c r="J231" s="4"/>
      <c r="K231" s="4"/>
    </row>
    <row r="232" ht="16" customHeight="1" s="4" customFormat="1">
      <c r="A232" s="5">
        <v>43902</v>
      </c>
      <c r="B232" s="4" t="s">
        <v>1813</v>
      </c>
      <c r="C232" s="4" t="s">
        <v>1767</v>
      </c>
      <c r="D232" s="4" t="s">
        <v>1881</v>
      </c>
      <c r="E232" s="4" t="s">
        <v>1878</v>
      </c>
      <c r="F232" s="4" t="s">
        <v>1296</v>
      </c>
      <c r="G232" s="4" t="s">
        <v>1757</v>
      </c>
      <c r="H232" s="4"/>
      <c r="I232" s="4" t="s">
        <v>1759</v>
      </c>
      <c r="J232" s="4"/>
      <c r="K232" s="4"/>
    </row>
    <row r="233" ht="16" customHeight="1" s="4" customFormat="1">
      <c r="A233" s="5">
        <v>43899</v>
      </c>
      <c r="B233" s="4" t="s">
        <v>1813</v>
      </c>
      <c r="C233" s="4" t="s">
        <v>1754</v>
      </c>
      <c r="D233" s="4" t="s">
        <v>1805</v>
      </c>
      <c r="E233" s="4" t="s">
        <v>1877</v>
      </c>
      <c r="F233" s="4" t="s">
        <v>1302</v>
      </c>
      <c r="G233" s="4" t="s">
        <v>1757</v>
      </c>
      <c r="H233" s="4" t="s">
        <v>1826</v>
      </c>
      <c r="I233" s="4" t="s">
        <v>1759</v>
      </c>
      <c r="J233" s="4"/>
      <c r="K233" s="4"/>
    </row>
    <row r="234" ht="16" customHeight="1" s="4" customFormat="1">
      <c r="A234" s="5">
        <v>43899</v>
      </c>
      <c r="B234" s="4" t="s">
        <v>1813</v>
      </c>
      <c r="C234" s="4" t="s">
        <v>1754</v>
      </c>
      <c r="D234" s="4" t="s">
        <v>1804</v>
      </c>
      <c r="E234" s="4" t="s">
        <v>1794</v>
      </c>
      <c r="F234" s="4" t="s">
        <v>1302</v>
      </c>
      <c r="G234" s="4" t="s">
        <v>1757</v>
      </c>
      <c r="H234" s="4" t="s">
        <v>1826</v>
      </c>
      <c r="I234" s="4" t="s">
        <v>1759</v>
      </c>
      <c r="J234" s="4"/>
      <c r="K234" s="4"/>
    </row>
    <row r="235" ht="16" customHeight="1" s="4" customFormat="1">
      <c r="A235" s="5">
        <v>43899</v>
      </c>
      <c r="B235" s="4" t="s">
        <v>1813</v>
      </c>
      <c r="C235" s="4" t="s">
        <v>1767</v>
      </c>
      <c r="D235" s="4" t="s">
        <v>1768</v>
      </c>
      <c r="E235" s="4" t="s">
        <v>1878</v>
      </c>
      <c r="F235" s="4" t="s">
        <v>1296</v>
      </c>
      <c r="G235" s="4" t="s">
        <v>1757</v>
      </c>
      <c r="H235" s="4"/>
      <c r="I235" s="4" t="s">
        <v>1759</v>
      </c>
      <c r="J235" s="4"/>
      <c r="K235" s="4"/>
    </row>
    <row r="236" ht="16" customHeight="1" s="4" customFormat="1">
      <c r="A236" s="5">
        <v>43840</v>
      </c>
      <c r="B236" s="4" t="s">
        <v>1287</v>
      </c>
      <c r="C236" s="4" t="s">
        <v>1754</v>
      </c>
      <c r="D236" s="4" t="s">
        <v>1770</v>
      </c>
      <c r="E236" s="4" t="s">
        <v>1879</v>
      </c>
      <c r="F236" s="4" t="s">
        <v>1302</v>
      </c>
      <c r="G236" s="4" t="s">
        <v>1757</v>
      </c>
      <c r="H236" s="4" t="s">
        <v>1831</v>
      </c>
      <c r="I236" s="4" t="s">
        <v>1759</v>
      </c>
      <c r="J236" s="4"/>
      <c r="K236" s="4"/>
    </row>
    <row r="237" ht="16" customHeight="1" s="4" customFormat="1">
      <c r="A237" s="5">
        <v>43840</v>
      </c>
      <c r="B237" s="4" t="s">
        <v>1287</v>
      </c>
      <c r="C237" s="4" t="s">
        <v>1754</v>
      </c>
      <c r="D237" s="4" t="s">
        <v>1772</v>
      </c>
      <c r="E237" s="4" t="s">
        <v>1836</v>
      </c>
      <c r="F237" s="4" t="s">
        <v>1302</v>
      </c>
      <c r="G237" s="4" t="s">
        <v>1757</v>
      </c>
      <c r="H237" s="4" t="s">
        <v>1831</v>
      </c>
      <c r="I237" s="4" t="s">
        <v>1759</v>
      </c>
      <c r="J237" s="4"/>
      <c r="K237" s="4"/>
    </row>
    <row r="238" ht="16" customHeight="1" s="4" customFormat="1">
      <c r="A238" s="5">
        <v>43840</v>
      </c>
      <c r="B238" s="4" t="s">
        <v>1287</v>
      </c>
      <c r="C238" s="4" t="s">
        <v>1754</v>
      </c>
      <c r="D238" s="4" t="s">
        <v>1772</v>
      </c>
      <c r="E238" s="4" t="s">
        <v>1833</v>
      </c>
      <c r="F238" s="4" t="s">
        <v>1308</v>
      </c>
      <c r="G238" s="4" t="s">
        <v>1308</v>
      </c>
      <c r="H238" s="4"/>
      <c r="I238" s="4" t="s">
        <v>1759</v>
      </c>
      <c r="J238" s="4"/>
      <c r="K238" s="4"/>
    </row>
    <row r="239" ht="16" customHeight="1" s="4" customFormat="1">
      <c r="A239" s="5">
        <v>43840</v>
      </c>
      <c r="B239" s="4" t="s">
        <v>1287</v>
      </c>
      <c r="C239" s="4" t="s">
        <v>1767</v>
      </c>
      <c r="D239" s="4" t="s">
        <v>1770</v>
      </c>
      <c r="E239" s="4" t="s">
        <v>1880</v>
      </c>
      <c r="F239" s="4" t="s">
        <v>1296</v>
      </c>
      <c r="G239" s="4" t="s">
        <v>1757</v>
      </c>
      <c r="H239" s="4"/>
      <c r="I239" s="4" t="s">
        <v>1759</v>
      </c>
      <c r="J239" s="4"/>
      <c r="K239" s="4"/>
    </row>
    <row r="240" ht="16" customHeight="1" s="4" customFormat="1">
      <c r="A240" s="5">
        <v>43840</v>
      </c>
      <c r="B240" s="4" t="s">
        <v>1287</v>
      </c>
      <c r="C240" s="4" t="s">
        <v>1767</v>
      </c>
      <c r="D240" s="4" t="s">
        <v>1768</v>
      </c>
      <c r="E240" s="4" t="s">
        <v>1876</v>
      </c>
      <c r="F240" s="4" t="s">
        <v>1296</v>
      </c>
      <c r="G240" s="4" t="s">
        <v>1757</v>
      </c>
      <c r="H240" s="4"/>
      <c r="I240" s="4" t="s">
        <v>1759</v>
      </c>
      <c r="J240" s="4"/>
      <c r="K240" s="4"/>
    </row>
    <row r="241" ht="16" customHeight="1" s="4" customFormat="1">
      <c r="A241" s="5">
        <v>43522</v>
      </c>
      <c r="B241" s="4" t="s">
        <v>1813</v>
      </c>
      <c r="C241" s="4" t="s">
        <v>1754</v>
      </c>
      <c r="D241" s="4" t="s">
        <v>1805</v>
      </c>
      <c r="E241" s="4" t="s">
        <v>1877</v>
      </c>
      <c r="F241" s="4" t="s">
        <v>1302</v>
      </c>
      <c r="G241" s="4" t="s">
        <v>1757</v>
      </c>
      <c r="H241" s="4" t="s">
        <v>1831</v>
      </c>
      <c r="I241" s="4" t="s">
        <v>1759</v>
      </c>
      <c r="J241" s="4"/>
      <c r="K241" s="4"/>
    </row>
    <row r="242" ht="16" customHeight="1" s="4" customFormat="1">
      <c r="A242" s="5">
        <v>43522</v>
      </c>
      <c r="B242" s="4" t="s">
        <v>1813</v>
      </c>
      <c r="C242" s="4" t="s">
        <v>1754</v>
      </c>
      <c r="D242" s="4" t="s">
        <v>1804</v>
      </c>
      <c r="E242" s="4" t="s">
        <v>1794</v>
      </c>
      <c r="F242" s="4" t="s">
        <v>1302</v>
      </c>
      <c r="G242" s="4" t="s">
        <v>1757</v>
      </c>
      <c r="H242" s="4" t="s">
        <v>1831</v>
      </c>
      <c r="I242" s="4" t="s">
        <v>1759</v>
      </c>
      <c r="J242" s="4"/>
      <c r="K242" s="4"/>
    </row>
    <row r="243" ht="16" customHeight="1" s="4" customFormat="1">
      <c r="A243" s="5">
        <v>43522</v>
      </c>
      <c r="B243" s="4" t="s">
        <v>1813</v>
      </c>
      <c r="C243" s="4" t="s">
        <v>1754</v>
      </c>
      <c r="D243" s="4" t="s">
        <v>1760</v>
      </c>
      <c r="E243" s="4" t="s">
        <v>1882</v>
      </c>
      <c r="F243" s="4" t="s">
        <v>1308</v>
      </c>
      <c r="G243" s="4" t="s">
        <v>1308</v>
      </c>
      <c r="H243" s="4"/>
      <c r="I243" s="4" t="s">
        <v>1759</v>
      </c>
      <c r="J243" s="4"/>
      <c r="K243" s="4"/>
    </row>
    <row r="244" ht="16" customHeight="1" s="4" customFormat="1">
      <c r="A244" s="5">
        <v>43522</v>
      </c>
      <c r="B244" s="4" t="s">
        <v>1813</v>
      </c>
      <c r="C244" s="4" t="s">
        <v>1767</v>
      </c>
      <c r="D244" s="4" t="s">
        <v>1768</v>
      </c>
      <c r="E244" s="4" t="s">
        <v>1878</v>
      </c>
      <c r="F244" s="4" t="s">
        <v>1296</v>
      </c>
      <c r="G244" s="4" t="s">
        <v>1757</v>
      </c>
      <c r="H244" s="4"/>
      <c r="I244" s="4" t="s">
        <v>1759</v>
      </c>
      <c r="J244" s="4"/>
      <c r="K244" s="4"/>
    </row>
    <row r="245" ht="16" customHeight="1" s="4" customFormat="1">
      <c r="A245" s="5">
        <v>43515</v>
      </c>
      <c r="B245" s="4" t="s">
        <v>1287</v>
      </c>
      <c r="C245" s="4" t="s">
        <v>1754</v>
      </c>
      <c r="D245" s="4" t="s">
        <v>1770</v>
      </c>
      <c r="E245" s="4" t="s">
        <v>1883</v>
      </c>
      <c r="F245" s="4" t="s">
        <v>1302</v>
      </c>
      <c r="G245" s="4" t="s">
        <v>1757</v>
      </c>
      <c r="H245" s="4" t="s">
        <v>1831</v>
      </c>
      <c r="I245" s="4" t="s">
        <v>1759</v>
      </c>
      <c r="J245" s="4"/>
      <c r="K245" s="4"/>
    </row>
    <row r="246" ht="16" customHeight="1" s="4" customFormat="1">
      <c r="A246" s="5">
        <v>43515</v>
      </c>
      <c r="B246" s="4" t="s">
        <v>1287</v>
      </c>
      <c r="C246" s="4" t="s">
        <v>1754</v>
      </c>
      <c r="D246" s="4" t="s">
        <v>1760</v>
      </c>
      <c r="E246" s="4" t="s">
        <v>1836</v>
      </c>
      <c r="F246" s="4" t="s">
        <v>1302</v>
      </c>
      <c r="G246" s="4" t="s">
        <v>1757</v>
      </c>
      <c r="H246" s="4" t="s">
        <v>1831</v>
      </c>
      <c r="I246" s="4" t="s">
        <v>1759</v>
      </c>
      <c r="J246" s="4"/>
      <c r="K246" s="4"/>
    </row>
    <row r="247" ht="16" customHeight="1" s="4" customFormat="1">
      <c r="A247" s="5">
        <v>43515</v>
      </c>
      <c r="B247" s="4" t="s">
        <v>1287</v>
      </c>
      <c r="C247" s="4" t="s">
        <v>1754</v>
      </c>
      <c r="D247" s="4" t="s">
        <v>1357</v>
      </c>
      <c r="E247" s="4" t="s">
        <v>1884</v>
      </c>
      <c r="F247" s="4" t="s">
        <v>1308</v>
      </c>
      <c r="G247" s="4" t="s">
        <v>1308</v>
      </c>
      <c r="H247" s="4"/>
      <c r="I247" s="4" t="s">
        <v>1759</v>
      </c>
      <c r="J247" s="4"/>
      <c r="K247" s="4"/>
    </row>
    <row r="248" ht="16" customHeight="1" s="4" customFormat="1">
      <c r="A248" s="5">
        <v>43515</v>
      </c>
      <c r="B248" s="4" t="s">
        <v>1287</v>
      </c>
      <c r="C248" s="4" t="s">
        <v>1767</v>
      </c>
      <c r="D248" s="4" t="s">
        <v>1768</v>
      </c>
      <c r="E248" s="4" t="s">
        <v>1876</v>
      </c>
      <c r="F248" s="4" t="s">
        <v>1296</v>
      </c>
      <c r="G248" s="4" t="s">
        <v>1757</v>
      </c>
      <c r="H248" s="4"/>
      <c r="I248" s="4" t="s">
        <v>1759</v>
      </c>
      <c r="J248" s="4"/>
      <c r="K248" s="4"/>
    </row>
    <row r="249" ht="16" customHeight="1" s="4" customFormat="1">
      <c r="A249" s="5">
        <v>43515</v>
      </c>
      <c r="B249" s="4" t="s">
        <v>1287</v>
      </c>
      <c r="C249" s="4" t="s">
        <v>1767</v>
      </c>
      <c r="D249" s="4" t="s">
        <v>1770</v>
      </c>
      <c r="E249" s="4" t="s">
        <v>1885</v>
      </c>
      <c r="F249" s="4" t="s">
        <v>1296</v>
      </c>
      <c r="G249" s="4" t="s">
        <v>1757</v>
      </c>
      <c r="H249" s="4"/>
      <c r="I249" s="4" t="s">
        <v>1759</v>
      </c>
      <c r="J249" s="4"/>
      <c r="K249" s="4"/>
    </row>
    <row r="250" ht="16" customHeight="1" s="4" customFormat="1">
      <c r="A250" s="5">
        <v>43398</v>
      </c>
      <c r="B250" s="4" t="s">
        <v>1287</v>
      </c>
      <c r="C250" s="4" t="s">
        <v>1754</v>
      </c>
      <c r="D250" s="4" t="s">
        <v>1760</v>
      </c>
      <c r="E250" s="4" t="s">
        <v>1836</v>
      </c>
      <c r="F250" s="4" t="s">
        <v>1302</v>
      </c>
      <c r="G250" s="4" t="s">
        <v>1766</v>
      </c>
      <c r="H250" s="4" t="s">
        <v>1855</v>
      </c>
      <c r="I250" s="4" t="s">
        <v>1759</v>
      </c>
      <c r="J250" s="4"/>
      <c r="K250" s="4"/>
    </row>
    <row r="251" ht="16" customHeight="1" s="4" customFormat="1">
      <c r="A251" s="5">
        <v>43398</v>
      </c>
      <c r="B251" s="4" t="s">
        <v>1287</v>
      </c>
      <c r="C251" s="4" t="s">
        <v>1754</v>
      </c>
      <c r="D251" s="4" t="s">
        <v>1770</v>
      </c>
      <c r="E251" s="4" t="s">
        <v>1883</v>
      </c>
      <c r="F251" s="4" t="s">
        <v>1302</v>
      </c>
      <c r="G251" s="4" t="s">
        <v>1757</v>
      </c>
      <c r="H251" s="4" t="s">
        <v>1855</v>
      </c>
      <c r="I251" s="4" t="s">
        <v>1759</v>
      </c>
      <c r="J251" s="4"/>
      <c r="K251" s="4"/>
    </row>
    <row r="252" ht="16" customHeight="1" s="4" customFormat="1">
      <c r="A252" s="5">
        <v>43398</v>
      </c>
      <c r="B252" s="4" t="s">
        <v>1287</v>
      </c>
      <c r="C252" s="4" t="s">
        <v>1754</v>
      </c>
      <c r="D252" s="4" t="s">
        <v>1760</v>
      </c>
      <c r="E252" s="4" t="s">
        <v>1886</v>
      </c>
      <c r="F252" s="4" t="s">
        <v>1302</v>
      </c>
      <c r="G252" s="4" t="s">
        <v>1757</v>
      </c>
      <c r="H252" s="4" t="s">
        <v>1855</v>
      </c>
      <c r="I252" s="4" t="s">
        <v>1759</v>
      </c>
      <c r="J252" s="4"/>
      <c r="K252" s="4"/>
    </row>
    <row r="253" ht="16" customHeight="1" s="4" customFormat="1">
      <c r="A253" s="5">
        <v>43398</v>
      </c>
      <c r="B253" s="4" t="s">
        <v>1287</v>
      </c>
      <c r="C253" s="4" t="s">
        <v>1754</v>
      </c>
      <c r="D253" s="4" t="s">
        <v>1357</v>
      </c>
      <c r="E253" s="4" t="s">
        <v>1884</v>
      </c>
      <c r="F253" s="4" t="s">
        <v>1302</v>
      </c>
      <c r="G253" s="4" t="s">
        <v>1757</v>
      </c>
      <c r="H253" s="4" t="s">
        <v>1855</v>
      </c>
      <c r="I253" s="4" t="s">
        <v>1759</v>
      </c>
      <c r="J253" s="4"/>
      <c r="K253" s="4"/>
    </row>
    <row r="254" ht="16" customHeight="1" s="4" customFormat="1">
      <c r="A254" s="5">
        <v>43398</v>
      </c>
      <c r="B254" s="4" t="s">
        <v>1287</v>
      </c>
      <c r="C254" s="4" t="s">
        <v>1754</v>
      </c>
      <c r="D254" s="4" t="s">
        <v>1760</v>
      </c>
      <c r="E254" s="4" t="s">
        <v>1887</v>
      </c>
      <c r="F254" s="4" t="s">
        <v>1308</v>
      </c>
      <c r="G254" s="4" t="s">
        <v>1308</v>
      </c>
      <c r="H254" s="4"/>
      <c r="I254" s="4" t="s">
        <v>1759</v>
      </c>
      <c r="J254" s="4"/>
      <c r="K254" s="4"/>
    </row>
    <row r="255" ht="16" customHeight="1" s="4" customFormat="1">
      <c r="A255" s="5">
        <v>43343</v>
      </c>
      <c r="B255" s="4" t="s">
        <v>1287</v>
      </c>
      <c r="C255" s="4" t="s">
        <v>1754</v>
      </c>
      <c r="D255" s="4" t="s">
        <v>1357</v>
      </c>
      <c r="E255" s="4" t="s">
        <v>1884</v>
      </c>
      <c r="F255" s="4" t="s">
        <v>1302</v>
      </c>
      <c r="G255" s="4" t="s">
        <v>1757</v>
      </c>
      <c r="H255" s="4" t="s">
        <v>1855</v>
      </c>
      <c r="I255" s="4" t="s">
        <v>1759</v>
      </c>
      <c r="J255" s="4"/>
      <c r="K255" s="4"/>
    </row>
    <row r="256" ht="16" customHeight="1" s="4" customFormat="1">
      <c r="A256" s="5">
        <v>43343</v>
      </c>
      <c r="B256" s="4" t="s">
        <v>1287</v>
      </c>
      <c r="C256" s="4" t="s">
        <v>1754</v>
      </c>
      <c r="D256" s="4" t="s">
        <v>1770</v>
      </c>
      <c r="E256" s="4" t="s">
        <v>1883</v>
      </c>
      <c r="F256" s="4" t="s">
        <v>1302</v>
      </c>
      <c r="G256" s="4" t="s">
        <v>1757</v>
      </c>
      <c r="H256" s="4" t="s">
        <v>1855</v>
      </c>
      <c r="I256" s="4" t="s">
        <v>1759</v>
      </c>
      <c r="J256" s="4"/>
      <c r="K256" s="4"/>
    </row>
    <row r="257" ht="16" customHeight="1" s="4" customFormat="1">
      <c r="A257" s="5">
        <v>43343</v>
      </c>
      <c r="B257" s="4" t="s">
        <v>1287</v>
      </c>
      <c r="C257" s="4" t="s">
        <v>1754</v>
      </c>
      <c r="D257" s="4" t="s">
        <v>1760</v>
      </c>
      <c r="E257" s="4" t="s">
        <v>1886</v>
      </c>
      <c r="F257" s="4" t="s">
        <v>1302</v>
      </c>
      <c r="G257" s="4" t="s">
        <v>1757</v>
      </c>
      <c r="H257" s="4" t="s">
        <v>1855</v>
      </c>
      <c r="I257" s="4" t="s">
        <v>1759</v>
      </c>
      <c r="J257" s="4"/>
      <c r="K257" s="4"/>
    </row>
    <row r="258" ht="16" customHeight="1" s="4" customFormat="1">
      <c r="A258" s="5">
        <v>43343</v>
      </c>
      <c r="B258" s="4" t="s">
        <v>1287</v>
      </c>
      <c r="C258" s="4" t="s">
        <v>1767</v>
      </c>
      <c r="D258" s="4" t="s">
        <v>1888</v>
      </c>
      <c r="E258" s="4" t="s">
        <v>1876</v>
      </c>
      <c r="F258" s="4" t="s">
        <v>1296</v>
      </c>
      <c r="G258" s="4" t="s">
        <v>1757</v>
      </c>
      <c r="H258" s="4"/>
      <c r="I258" s="4" t="s">
        <v>1759</v>
      </c>
      <c r="J258" s="4"/>
      <c r="K258" s="4"/>
    </row>
    <row r="259" ht="16" customHeight="1" s="4" customFormat="1">
      <c r="A259" s="5">
        <v>43343</v>
      </c>
      <c r="B259" s="4" t="s">
        <v>1287</v>
      </c>
      <c r="C259" s="4" t="s">
        <v>1767</v>
      </c>
      <c r="D259" s="4" t="s">
        <v>1770</v>
      </c>
      <c r="E259" s="4" t="s">
        <v>1885</v>
      </c>
      <c r="F259" s="4" t="s">
        <v>1296</v>
      </c>
      <c r="G259" s="4" t="s">
        <v>1757</v>
      </c>
      <c r="H259" s="4"/>
      <c r="I259" s="4" t="s">
        <v>1759</v>
      </c>
      <c r="J259" s="4"/>
      <c r="K259" s="4"/>
    </row>
    <row r="260" ht="16" customHeight="1" s="4" customFormat="1">
      <c r="A260" s="5">
        <v>43283</v>
      </c>
      <c r="B260" s="4" t="s">
        <v>1287</v>
      </c>
      <c r="C260" s="4" t="s">
        <v>1754</v>
      </c>
      <c r="D260" s="4" t="s">
        <v>1770</v>
      </c>
      <c r="E260" s="4" t="s">
        <v>1883</v>
      </c>
      <c r="F260" s="4" t="s">
        <v>1302</v>
      </c>
      <c r="G260" s="4" t="s">
        <v>1757</v>
      </c>
      <c r="H260" s="4" t="s">
        <v>1855</v>
      </c>
      <c r="I260" s="4" t="s">
        <v>1759</v>
      </c>
      <c r="J260" s="4"/>
      <c r="K260" s="4"/>
    </row>
    <row r="261" ht="16" customHeight="1" s="4" customFormat="1">
      <c r="A261" s="5">
        <v>43283</v>
      </c>
      <c r="B261" s="4" t="s">
        <v>1287</v>
      </c>
      <c r="C261" s="4" t="s">
        <v>1754</v>
      </c>
      <c r="D261" s="4" t="s">
        <v>1772</v>
      </c>
      <c r="E261" s="4" t="s">
        <v>1889</v>
      </c>
      <c r="F261" s="4" t="s">
        <v>1302</v>
      </c>
      <c r="G261" s="4" t="s">
        <v>1766</v>
      </c>
      <c r="H261" s="4" t="s">
        <v>1855</v>
      </c>
      <c r="I261" s="4" t="s">
        <v>1759</v>
      </c>
      <c r="J261" s="4"/>
      <c r="K261" s="4"/>
    </row>
    <row r="262" ht="16" customHeight="1" s="4" customFormat="1">
      <c r="A262" s="5">
        <v>43283</v>
      </c>
      <c r="B262" s="4" t="s">
        <v>1287</v>
      </c>
      <c r="C262" s="4" t="s">
        <v>1754</v>
      </c>
      <c r="D262" s="4" t="s">
        <v>1772</v>
      </c>
      <c r="E262" s="4" t="s">
        <v>1886</v>
      </c>
      <c r="F262" s="4" t="s">
        <v>1302</v>
      </c>
      <c r="G262" s="4" t="s">
        <v>1757</v>
      </c>
      <c r="H262" s="4" t="s">
        <v>1855</v>
      </c>
      <c r="I262" s="4" t="s">
        <v>1759</v>
      </c>
      <c r="J262" s="4"/>
      <c r="K262" s="4"/>
    </row>
    <row r="263" ht="16" customHeight="1" s="4" customFormat="1">
      <c r="A263" s="5">
        <v>43283</v>
      </c>
      <c r="B263" s="4" t="s">
        <v>1287</v>
      </c>
      <c r="C263" s="4" t="s">
        <v>1754</v>
      </c>
      <c r="D263" s="4" t="s">
        <v>1357</v>
      </c>
      <c r="E263" s="4" t="s">
        <v>1884</v>
      </c>
      <c r="F263" s="4" t="s">
        <v>1302</v>
      </c>
      <c r="G263" s="4" t="s">
        <v>1757</v>
      </c>
      <c r="H263" s="4" t="s">
        <v>1855</v>
      </c>
      <c r="I263" s="4" t="s">
        <v>1759</v>
      </c>
      <c r="J263" s="4"/>
      <c r="K263" s="4"/>
    </row>
    <row r="264" ht="16" customHeight="1" s="4" customFormat="1">
      <c r="A264" s="5">
        <v>43283</v>
      </c>
      <c r="B264" s="4" t="s">
        <v>1287</v>
      </c>
      <c r="C264" s="4" t="s">
        <v>1767</v>
      </c>
      <c r="D264" s="4" t="s">
        <v>1770</v>
      </c>
      <c r="E264" s="4" t="s">
        <v>1885</v>
      </c>
      <c r="F264" s="4" t="s">
        <v>1296</v>
      </c>
      <c r="G264" s="4" t="s">
        <v>1757</v>
      </c>
      <c r="H264" s="4"/>
      <c r="I264" s="4" t="s">
        <v>1759</v>
      </c>
      <c r="J264" s="4"/>
      <c r="K264" s="4"/>
    </row>
    <row r="265" ht="16" customHeight="1" s="4" customFormat="1">
      <c r="A265" s="5">
        <v>43271</v>
      </c>
      <c r="B265" s="4" t="s">
        <v>1287</v>
      </c>
      <c r="C265" s="4" t="s">
        <v>1754</v>
      </c>
      <c r="D265" s="4" t="s">
        <v>1770</v>
      </c>
      <c r="E265" s="4" t="s">
        <v>1890</v>
      </c>
      <c r="F265" s="4" t="s">
        <v>1302</v>
      </c>
      <c r="G265" s="4" t="s">
        <v>1757</v>
      </c>
      <c r="H265" s="4" t="s">
        <v>1855</v>
      </c>
      <c r="I265" s="4" t="s">
        <v>1759</v>
      </c>
      <c r="J265" s="4"/>
      <c r="K265" s="4"/>
    </row>
    <row r="266" ht="16" customHeight="1" s="4" customFormat="1">
      <c r="A266" s="5">
        <v>43271</v>
      </c>
      <c r="B266" s="4" t="s">
        <v>1287</v>
      </c>
      <c r="C266" s="4" t="s">
        <v>1754</v>
      </c>
      <c r="D266" s="4" t="s">
        <v>1357</v>
      </c>
      <c r="E266" s="4" t="s">
        <v>1884</v>
      </c>
      <c r="F266" s="4" t="s">
        <v>1302</v>
      </c>
      <c r="G266" s="4" t="s">
        <v>1757</v>
      </c>
      <c r="H266" s="4" t="s">
        <v>1855</v>
      </c>
      <c r="I266" s="4" t="s">
        <v>1759</v>
      </c>
      <c r="J266" s="4"/>
      <c r="K266" s="4"/>
    </row>
    <row r="267" ht="16" customHeight="1" s="4" customFormat="1">
      <c r="A267" s="5">
        <v>43271</v>
      </c>
      <c r="B267" s="4" t="s">
        <v>1287</v>
      </c>
      <c r="C267" s="4" t="s">
        <v>1754</v>
      </c>
      <c r="D267" s="4" t="s">
        <v>1772</v>
      </c>
      <c r="E267" s="4" t="s">
        <v>1886</v>
      </c>
      <c r="F267" s="4" t="s">
        <v>1302</v>
      </c>
      <c r="G267" s="4" t="s">
        <v>1757</v>
      </c>
      <c r="H267" s="4" t="s">
        <v>1855</v>
      </c>
      <c r="I267" s="4" t="s">
        <v>1759</v>
      </c>
      <c r="J267" s="4"/>
      <c r="K267" s="4"/>
    </row>
    <row r="268" ht="16" customHeight="1" s="4" customFormat="1">
      <c r="A268" s="5">
        <v>43271</v>
      </c>
      <c r="B268" s="4" t="s">
        <v>1287</v>
      </c>
      <c r="C268" s="4" t="s">
        <v>1754</v>
      </c>
      <c r="D268" s="4" t="s">
        <v>1772</v>
      </c>
      <c r="E268" s="4" t="s">
        <v>1792</v>
      </c>
      <c r="F268" s="4" t="s">
        <v>1308</v>
      </c>
      <c r="G268" s="4" t="s">
        <v>1308</v>
      </c>
      <c r="H268" s="4"/>
      <c r="I268" s="4" t="s">
        <v>1759</v>
      </c>
      <c r="J268" s="4"/>
      <c r="K268" s="4"/>
    </row>
    <row r="269" ht="16" customHeight="1" s="4" customFormat="1">
      <c r="A269" s="5">
        <v>43271</v>
      </c>
      <c r="B269" s="4" t="s">
        <v>1287</v>
      </c>
      <c r="C269" s="4" t="s">
        <v>1767</v>
      </c>
      <c r="D269" s="4" t="s">
        <v>1770</v>
      </c>
      <c r="E269" s="4" t="s">
        <v>1885</v>
      </c>
      <c r="F269" s="4" t="s">
        <v>1296</v>
      </c>
      <c r="G269" s="4" t="s">
        <v>1757</v>
      </c>
      <c r="H269" s="4"/>
      <c r="I269" s="4" t="s">
        <v>1759</v>
      </c>
      <c r="J269" s="4"/>
      <c r="K269" s="4"/>
    </row>
    <row r="270" ht="16" customHeight="1" s="4" customFormat="1">
      <c r="A270" s="5">
        <v>43202</v>
      </c>
      <c r="B270" s="4" t="s">
        <v>1287</v>
      </c>
      <c r="C270" s="4" t="s">
        <v>1754</v>
      </c>
      <c r="D270" s="4" t="s">
        <v>1770</v>
      </c>
      <c r="E270" s="4" t="s">
        <v>1891</v>
      </c>
      <c r="F270" s="4" t="s">
        <v>1302</v>
      </c>
      <c r="G270" s="4" t="s">
        <v>1757</v>
      </c>
      <c r="H270" s="4" t="s">
        <v>1855</v>
      </c>
      <c r="I270" s="4" t="s">
        <v>1759</v>
      </c>
      <c r="J270" s="4"/>
      <c r="K270" s="4"/>
    </row>
    <row r="271" ht="16" customHeight="1" s="4" customFormat="1">
      <c r="A271" s="5">
        <v>43202</v>
      </c>
      <c r="B271" s="4" t="s">
        <v>1287</v>
      </c>
      <c r="C271" s="4" t="s">
        <v>1754</v>
      </c>
      <c r="D271" s="4" t="s">
        <v>1357</v>
      </c>
      <c r="E271" s="4" t="s">
        <v>1884</v>
      </c>
      <c r="F271" s="4" t="s">
        <v>1302</v>
      </c>
      <c r="G271" s="4" t="s">
        <v>1757</v>
      </c>
      <c r="H271" s="4" t="s">
        <v>1855</v>
      </c>
      <c r="I271" s="4" t="s">
        <v>1759</v>
      </c>
      <c r="J271" s="4"/>
      <c r="K271" s="4"/>
    </row>
    <row r="272" ht="16" customHeight="1" s="4" customFormat="1">
      <c r="A272" s="5">
        <v>43202</v>
      </c>
      <c r="B272" s="4" t="s">
        <v>1287</v>
      </c>
      <c r="C272" s="4" t="s">
        <v>1754</v>
      </c>
      <c r="D272" s="4" t="s">
        <v>1772</v>
      </c>
      <c r="E272" s="4" t="s">
        <v>1886</v>
      </c>
      <c r="F272" s="4" t="s">
        <v>1302</v>
      </c>
      <c r="G272" s="4" t="s">
        <v>1757</v>
      </c>
      <c r="H272" s="4" t="s">
        <v>1855</v>
      </c>
      <c r="I272" s="4" t="s">
        <v>1759</v>
      </c>
      <c r="J272" s="4"/>
      <c r="K272" s="4"/>
    </row>
    <row r="273" ht="16" customHeight="1" s="4" customFormat="1">
      <c r="A273" s="5">
        <v>43202</v>
      </c>
      <c r="B273" s="4" t="s">
        <v>1287</v>
      </c>
      <c r="C273" s="4" t="s">
        <v>1767</v>
      </c>
      <c r="D273" s="4" t="s">
        <v>1770</v>
      </c>
      <c r="E273" s="4" t="s">
        <v>1892</v>
      </c>
      <c r="F273" s="4" t="s">
        <v>1296</v>
      </c>
      <c r="G273" s="4" t="s">
        <v>1757</v>
      </c>
      <c r="H273" s="4"/>
      <c r="I273" s="4" t="s">
        <v>1759</v>
      </c>
      <c r="J273" s="4"/>
      <c r="K273" s="4"/>
    </row>
    <row r="274" ht="16" customHeight="1" s="4" customFormat="1">
      <c r="A274" s="5">
        <v>43202</v>
      </c>
      <c r="B274" s="4" t="s">
        <v>1287</v>
      </c>
      <c r="C274" s="4" t="s">
        <v>1767</v>
      </c>
      <c r="D274" s="4" t="s">
        <v>1768</v>
      </c>
      <c r="E274" s="4" t="s">
        <v>1876</v>
      </c>
      <c r="F274" s="4" t="s">
        <v>1296</v>
      </c>
      <c r="G274" s="4" t="s">
        <v>1757</v>
      </c>
      <c r="H274" s="4"/>
      <c r="I274" s="4" t="s">
        <v>1759</v>
      </c>
      <c r="J274" s="4"/>
      <c r="K274" s="4"/>
    </row>
    <row r="275" ht="16" customHeight="1" s="4" customFormat="1">
      <c r="A275" s="5">
        <v>43182</v>
      </c>
      <c r="B275" s="4" t="s">
        <v>1287</v>
      </c>
      <c r="C275" s="4" t="s">
        <v>1754</v>
      </c>
      <c r="D275" s="4" t="s">
        <v>1770</v>
      </c>
      <c r="E275" s="4" t="s">
        <v>1891</v>
      </c>
      <c r="F275" s="4" t="s">
        <v>1302</v>
      </c>
      <c r="G275" s="4" t="s">
        <v>1757</v>
      </c>
      <c r="H275" s="4" t="s">
        <v>1855</v>
      </c>
      <c r="I275" s="4" t="s">
        <v>1759</v>
      </c>
      <c r="J275" s="4"/>
      <c r="K275" s="4"/>
    </row>
    <row r="276" ht="16" customHeight="1" s="4" customFormat="1">
      <c r="A276" s="5">
        <v>43182</v>
      </c>
      <c r="B276" s="4" t="s">
        <v>1287</v>
      </c>
      <c r="C276" s="4" t="s">
        <v>1754</v>
      </c>
      <c r="D276" s="4" t="s">
        <v>1357</v>
      </c>
      <c r="E276" s="4" t="s">
        <v>1884</v>
      </c>
      <c r="F276" s="4" t="s">
        <v>1302</v>
      </c>
      <c r="G276" s="4" t="s">
        <v>1757</v>
      </c>
      <c r="H276" s="4" t="s">
        <v>1855</v>
      </c>
      <c r="I276" s="4" t="s">
        <v>1759</v>
      </c>
      <c r="J276" s="4"/>
      <c r="K276" s="4"/>
    </row>
    <row r="277" ht="16" customHeight="1" s="4" customFormat="1">
      <c r="A277" s="5">
        <v>43182</v>
      </c>
      <c r="B277" s="4" t="s">
        <v>1287</v>
      </c>
      <c r="C277" s="4" t="s">
        <v>1754</v>
      </c>
      <c r="D277" s="4" t="s">
        <v>1772</v>
      </c>
      <c r="E277" s="4" t="s">
        <v>1893</v>
      </c>
      <c r="F277" s="4" t="s">
        <v>1302</v>
      </c>
      <c r="G277" s="4" t="s">
        <v>1766</v>
      </c>
      <c r="H277" s="4" t="s">
        <v>1855</v>
      </c>
      <c r="I277" s="4" t="s">
        <v>1759</v>
      </c>
      <c r="J277" s="4"/>
      <c r="K277" s="4"/>
    </row>
    <row r="278" ht="16" customHeight="1" s="4" customFormat="1">
      <c r="A278" s="5">
        <v>43182</v>
      </c>
      <c r="B278" s="4" t="s">
        <v>1287</v>
      </c>
      <c r="C278" s="4" t="s">
        <v>1754</v>
      </c>
      <c r="D278" s="4" t="s">
        <v>1772</v>
      </c>
      <c r="E278" s="4" t="s">
        <v>1886</v>
      </c>
      <c r="F278" s="4" t="s">
        <v>1302</v>
      </c>
      <c r="G278" s="4" t="s">
        <v>1757</v>
      </c>
      <c r="H278" s="4" t="s">
        <v>1855</v>
      </c>
      <c r="I278" s="4" t="s">
        <v>1759</v>
      </c>
      <c r="J278" s="4"/>
      <c r="K278" s="4"/>
    </row>
    <row r="279" ht="16" customHeight="1" s="4" customFormat="1">
      <c r="A279" s="5">
        <v>43182</v>
      </c>
      <c r="B279" s="4" t="s">
        <v>1287</v>
      </c>
      <c r="C279" s="4" t="s">
        <v>1767</v>
      </c>
      <c r="D279" s="4" t="s">
        <v>1770</v>
      </c>
      <c r="E279" s="4" t="s">
        <v>1892</v>
      </c>
      <c r="F279" s="4" t="s">
        <v>1296</v>
      </c>
      <c r="G279" s="4" t="s">
        <v>1757</v>
      </c>
      <c r="H279" s="4"/>
      <c r="I279" s="4" t="s">
        <v>1759</v>
      </c>
      <c r="J279" s="4"/>
      <c r="K279" s="4"/>
    </row>
    <row r="280" ht="16" customHeight="1" s="4" customFormat="1">
      <c r="A280" s="5">
        <v>43174</v>
      </c>
      <c r="B280" s="4" t="s">
        <v>1287</v>
      </c>
      <c r="C280" s="4" t="s">
        <v>1754</v>
      </c>
      <c r="D280" s="4" t="s">
        <v>1770</v>
      </c>
      <c r="E280" s="4" t="s">
        <v>1891</v>
      </c>
      <c r="F280" s="4" t="s">
        <v>1302</v>
      </c>
      <c r="G280" s="4" t="s">
        <v>1757</v>
      </c>
      <c r="H280" s="4" t="s">
        <v>1855</v>
      </c>
      <c r="I280" s="4" t="s">
        <v>1759</v>
      </c>
      <c r="J280" s="4"/>
      <c r="K280" s="4"/>
    </row>
    <row r="281" ht="16" customHeight="1" s="4" customFormat="1">
      <c r="A281" s="5">
        <v>43174</v>
      </c>
      <c r="B281" s="4" t="s">
        <v>1287</v>
      </c>
      <c r="C281" s="4" t="s">
        <v>1754</v>
      </c>
      <c r="D281" s="4" t="s">
        <v>1357</v>
      </c>
      <c r="E281" s="4" t="s">
        <v>1884</v>
      </c>
      <c r="F281" s="4" t="s">
        <v>1302</v>
      </c>
      <c r="G281" s="4" t="s">
        <v>1757</v>
      </c>
      <c r="H281" s="4" t="s">
        <v>1855</v>
      </c>
      <c r="I281" s="4" t="s">
        <v>1759</v>
      </c>
      <c r="J281" s="4"/>
      <c r="K281" s="4"/>
    </row>
    <row r="282" ht="16" customHeight="1" s="4" customFormat="1">
      <c r="A282" s="5">
        <v>43174</v>
      </c>
      <c r="B282" s="4" t="s">
        <v>1287</v>
      </c>
      <c r="C282" s="4" t="s">
        <v>1754</v>
      </c>
      <c r="D282" s="4" t="s">
        <v>1779</v>
      </c>
      <c r="E282" s="4" t="s">
        <v>1886</v>
      </c>
      <c r="F282" s="4" t="s">
        <v>1302</v>
      </c>
      <c r="G282" s="4" t="s">
        <v>1757</v>
      </c>
      <c r="H282" s="4" t="s">
        <v>1855</v>
      </c>
      <c r="I282" s="4" t="s">
        <v>1759</v>
      </c>
      <c r="J282" s="4"/>
      <c r="K282" s="4"/>
    </row>
    <row r="283" ht="16" customHeight="1" s="4" customFormat="1">
      <c r="A283" s="5">
        <v>43174</v>
      </c>
      <c r="B283" s="4" t="s">
        <v>1287</v>
      </c>
      <c r="C283" s="4" t="s">
        <v>1767</v>
      </c>
      <c r="D283" s="4" t="s">
        <v>1768</v>
      </c>
      <c r="E283" s="4" t="s">
        <v>1876</v>
      </c>
      <c r="F283" s="4" t="s">
        <v>1296</v>
      </c>
      <c r="G283" s="4" t="s">
        <v>1757</v>
      </c>
      <c r="H283" s="4"/>
      <c r="I283" s="4" t="s">
        <v>1759</v>
      </c>
      <c r="J283" s="4"/>
      <c r="K283" s="4"/>
    </row>
    <row r="284" ht="16" customHeight="1" s="4" customFormat="1">
      <c r="A284" s="5">
        <v>43174</v>
      </c>
      <c r="B284" s="4" t="s">
        <v>1287</v>
      </c>
      <c r="C284" s="4" t="s">
        <v>1767</v>
      </c>
      <c r="D284" s="4" t="s">
        <v>1770</v>
      </c>
      <c r="E284" s="4" t="s">
        <v>1892</v>
      </c>
      <c r="F284" s="4" t="s">
        <v>1296</v>
      </c>
      <c r="G284" s="4" t="s">
        <v>1757</v>
      </c>
      <c r="H284" s="4"/>
      <c r="I284" s="4" t="s">
        <v>1759</v>
      </c>
      <c r="J284" s="4"/>
      <c r="K284" s="4"/>
    </row>
    <row r="285" ht="16" customHeight="1" s="4" customFormat="1">
      <c r="A285" s="5">
        <v>43174</v>
      </c>
      <c r="B285" s="4" t="s">
        <v>1813</v>
      </c>
      <c r="C285" s="4" t="s">
        <v>1767</v>
      </c>
      <c r="D285" s="4" t="s">
        <v>1768</v>
      </c>
      <c r="E285" s="4" t="s">
        <v>1803</v>
      </c>
      <c r="F285" s="4" t="s">
        <v>1296</v>
      </c>
      <c r="G285" s="4" t="s">
        <v>1766</v>
      </c>
      <c r="H285" s="4"/>
      <c r="I285" s="4" t="s">
        <v>1759</v>
      </c>
      <c r="J285" s="4"/>
      <c r="K285" s="4"/>
    </row>
    <row r="286" ht="16" customHeight="1" s="4" customFormat="1">
      <c r="A286" s="5">
        <v>43171</v>
      </c>
      <c r="B286" s="4" t="s">
        <v>1287</v>
      </c>
      <c r="C286" s="4" t="s">
        <v>1754</v>
      </c>
      <c r="D286" s="4" t="s">
        <v>1770</v>
      </c>
      <c r="E286" s="4" t="s">
        <v>1891</v>
      </c>
      <c r="F286" s="4" t="s">
        <v>1302</v>
      </c>
      <c r="G286" s="4" t="s">
        <v>1757</v>
      </c>
      <c r="H286" s="4" t="s">
        <v>1855</v>
      </c>
      <c r="I286" s="4" t="s">
        <v>1759</v>
      </c>
      <c r="J286" s="4"/>
      <c r="K286" s="4"/>
    </row>
    <row r="287" ht="16" customHeight="1" s="4" customFormat="1">
      <c r="A287" s="5">
        <v>43171</v>
      </c>
      <c r="B287" s="4" t="s">
        <v>1287</v>
      </c>
      <c r="C287" s="4" t="s">
        <v>1754</v>
      </c>
      <c r="D287" s="4" t="s">
        <v>1357</v>
      </c>
      <c r="E287" s="4" t="s">
        <v>1884</v>
      </c>
      <c r="F287" s="4" t="s">
        <v>1302</v>
      </c>
      <c r="G287" s="4" t="s">
        <v>1757</v>
      </c>
      <c r="H287" s="4" t="s">
        <v>1855</v>
      </c>
      <c r="I287" s="4" t="s">
        <v>1759</v>
      </c>
      <c r="J287" s="4"/>
      <c r="K287" s="4"/>
    </row>
    <row r="288" ht="16" customHeight="1" s="4" customFormat="1">
      <c r="A288" s="5">
        <v>43171</v>
      </c>
      <c r="B288" s="4" t="s">
        <v>1287</v>
      </c>
      <c r="C288" s="4" t="s">
        <v>1754</v>
      </c>
      <c r="D288" s="4" t="s">
        <v>1772</v>
      </c>
      <c r="E288" s="4" t="s">
        <v>1886</v>
      </c>
      <c r="F288" s="4" t="s">
        <v>1302</v>
      </c>
      <c r="G288" s="4" t="s">
        <v>1757</v>
      </c>
      <c r="H288" s="4" t="s">
        <v>1855</v>
      </c>
      <c r="I288" s="4" t="s">
        <v>1759</v>
      </c>
      <c r="J288" s="4"/>
      <c r="K288" s="4"/>
    </row>
    <row r="289" ht="16" customHeight="1" s="4" customFormat="1">
      <c r="A289" s="5">
        <v>43171</v>
      </c>
      <c r="B289" s="4" t="s">
        <v>1287</v>
      </c>
      <c r="C289" s="4" t="s">
        <v>1754</v>
      </c>
      <c r="D289" s="4" t="s">
        <v>1770</v>
      </c>
      <c r="E289" s="4" t="s">
        <v>1894</v>
      </c>
      <c r="F289" s="4" t="s">
        <v>1308</v>
      </c>
      <c r="G289" s="4" t="s">
        <v>1308</v>
      </c>
      <c r="H289" s="4" t="s">
        <v>1855</v>
      </c>
      <c r="I289" s="4" t="s">
        <v>1759</v>
      </c>
      <c r="J289" s="4"/>
      <c r="K289" s="4"/>
    </row>
    <row r="290" ht="16" customHeight="1" s="4" customFormat="1">
      <c r="A290" s="5">
        <v>43171</v>
      </c>
      <c r="B290" s="4" t="s">
        <v>1287</v>
      </c>
      <c r="C290" s="4" t="s">
        <v>1767</v>
      </c>
      <c r="D290" s="4" t="s">
        <v>1770</v>
      </c>
      <c r="E290" s="4" t="s">
        <v>1892</v>
      </c>
      <c r="F290" s="4" t="s">
        <v>1296</v>
      </c>
      <c r="G290" s="4" t="s">
        <v>1757</v>
      </c>
      <c r="H290" s="4"/>
      <c r="I290" s="4" t="s">
        <v>1759</v>
      </c>
      <c r="J290" s="4"/>
      <c r="K290" s="4"/>
    </row>
    <row r="291" ht="16" customHeight="1" s="4" customFormat="1">
      <c r="A291" s="5">
        <v>43105</v>
      </c>
      <c r="B291" s="4" t="s">
        <v>1287</v>
      </c>
      <c r="C291" s="4" t="s">
        <v>1754</v>
      </c>
      <c r="D291" s="4" t="s">
        <v>1770</v>
      </c>
      <c r="E291" s="4"/>
      <c r="F291" s="4" t="s">
        <v>1302</v>
      </c>
      <c r="G291" s="4"/>
      <c r="H291" s="4"/>
      <c r="I291" s="4" t="s">
        <v>1759</v>
      </c>
      <c r="J291" s="4"/>
      <c r="K291" s="4"/>
    </row>
    <row r="292" ht="16" customHeight="1" s="4" customFormat="1">
      <c r="A292" s="5">
        <v>43105</v>
      </c>
      <c r="B292" s="4" t="s">
        <v>1287</v>
      </c>
      <c r="C292" s="4" t="s">
        <v>1767</v>
      </c>
      <c r="D292" s="4" t="s">
        <v>1770</v>
      </c>
      <c r="E292" s="4"/>
      <c r="F292" s="4" t="s">
        <v>1296</v>
      </c>
      <c r="G292" s="4"/>
      <c r="H292" s="4"/>
      <c r="I292" s="4" t="s">
        <v>1759</v>
      </c>
      <c r="J292" s="4"/>
      <c r="K292" s="4"/>
    </row>
    <row r="293" ht="16" customHeight="1" s="4" customFormat="1">
      <c r="A293" s="5">
        <v>43088</v>
      </c>
      <c r="B293" s="4" t="s">
        <v>1287</v>
      </c>
      <c r="C293" s="4" t="s">
        <v>1754</v>
      </c>
      <c r="D293" s="4" t="s">
        <v>1770</v>
      </c>
      <c r="E293" s="4"/>
      <c r="F293" s="4" t="s">
        <v>1302</v>
      </c>
      <c r="G293" s="4"/>
      <c r="H293" s="4"/>
      <c r="I293" s="4" t="s">
        <v>1759</v>
      </c>
      <c r="J293" s="4"/>
      <c r="K293" s="4"/>
    </row>
    <row r="294" ht="16" customHeight="1" s="4" customFormat="1">
      <c r="A294" s="5">
        <v>43088</v>
      </c>
      <c r="B294" s="4" t="s">
        <v>1287</v>
      </c>
      <c r="C294" s="4" t="s">
        <v>1767</v>
      </c>
      <c r="D294" s="4" t="s">
        <v>1770</v>
      </c>
      <c r="E294" s="4"/>
      <c r="F294" s="4" t="s">
        <v>1296</v>
      </c>
      <c r="G294" s="4"/>
      <c r="H294" s="4"/>
      <c r="I294" s="4" t="s">
        <v>1759</v>
      </c>
      <c r="J294" s="4"/>
      <c r="K294" s="4"/>
    </row>
    <row r="295" ht="16" customHeight="1" s="4" customFormat="1">
      <c r="A295" s="5">
        <v>43039</v>
      </c>
      <c r="B295" s="4" t="s">
        <v>1813</v>
      </c>
      <c r="C295" s="4" t="s">
        <v>1754</v>
      </c>
      <c r="D295" s="4" t="s">
        <v>1772</v>
      </c>
      <c r="E295" s="4"/>
      <c r="F295" s="4" t="s">
        <v>1302</v>
      </c>
      <c r="G295" s="4"/>
      <c r="H295" s="4"/>
      <c r="I295" s="4" t="s">
        <v>1759</v>
      </c>
      <c r="J295" s="4"/>
      <c r="K295" s="4"/>
    </row>
    <row r="296" ht="16" customHeight="1" s="4" customFormat="1">
      <c r="A296" s="5">
        <v>43039</v>
      </c>
      <c r="B296" s="4" t="s">
        <v>1813</v>
      </c>
      <c r="C296" s="4" t="s">
        <v>1754</v>
      </c>
      <c r="D296" s="4" t="s">
        <v>1895</v>
      </c>
      <c r="E296" s="4"/>
      <c r="F296" s="4" t="s">
        <v>1302</v>
      </c>
      <c r="G296" s="4"/>
      <c r="H296" s="4"/>
      <c r="I296" s="4" t="s">
        <v>1759</v>
      </c>
      <c r="J296" s="4"/>
      <c r="K296" s="4"/>
    </row>
    <row r="297" ht="16" customHeight="1" s="4" customFormat="1">
      <c r="A297" s="5">
        <v>43039</v>
      </c>
      <c r="B297" s="4" t="s">
        <v>1813</v>
      </c>
      <c r="C297" s="4" t="s">
        <v>1754</v>
      </c>
      <c r="D297" s="4" t="s">
        <v>1799</v>
      </c>
      <c r="E297" s="4"/>
      <c r="F297" s="4" t="s">
        <v>1302</v>
      </c>
      <c r="G297" s="4"/>
      <c r="H297" s="4"/>
      <c r="I297" s="4" t="s">
        <v>1759</v>
      </c>
      <c r="J297" s="4"/>
      <c r="K297" s="4"/>
    </row>
    <row r="298" ht="16" customHeight="1" s="4" customFormat="1">
      <c r="A298" s="5">
        <v>43039</v>
      </c>
      <c r="B298" s="4" t="s">
        <v>1813</v>
      </c>
      <c r="C298" s="4" t="s">
        <v>1767</v>
      </c>
      <c r="D298" s="4" t="s">
        <v>1768</v>
      </c>
      <c r="E298" s="4"/>
      <c r="F298" s="4" t="s">
        <v>1296</v>
      </c>
      <c r="G298" s="4"/>
      <c r="H298" s="4"/>
      <c r="I298" s="4" t="s">
        <v>1759</v>
      </c>
      <c r="J298" s="4"/>
      <c r="K298" s="4"/>
    </row>
    <row r="299" ht="16" customHeight="1" s="4" customFormat="1">
      <c r="A299" s="5">
        <v>43017</v>
      </c>
      <c r="B299" s="4" t="s">
        <v>1813</v>
      </c>
      <c r="C299" s="4" t="s">
        <v>1767</v>
      </c>
      <c r="D299" s="4" t="s">
        <v>1768</v>
      </c>
      <c r="E299" s="4"/>
      <c r="F299" s="4" t="s">
        <v>1296</v>
      </c>
      <c r="G299" s="4"/>
      <c r="H299" s="4"/>
      <c r="I299" s="4" t="s">
        <v>1759</v>
      </c>
      <c r="J299" s="4"/>
      <c r="K299" s="4"/>
    </row>
    <row r="300" ht="16" customHeight="1" s="4" customFormat="1">
      <c r="A300" s="5">
        <v>42996</v>
      </c>
      <c r="B300" s="4" t="s">
        <v>1287</v>
      </c>
      <c r="C300" s="4" t="s">
        <v>1754</v>
      </c>
      <c r="D300" s="4" t="s">
        <v>1770</v>
      </c>
      <c r="E300" s="4"/>
      <c r="F300" s="4" t="s">
        <v>1308</v>
      </c>
      <c r="G300" s="4"/>
      <c r="H300" s="4"/>
      <c r="I300" s="4" t="s">
        <v>1759</v>
      </c>
      <c r="J300" s="4"/>
      <c r="K300" s="4"/>
    </row>
    <row r="301" ht="16" customHeight="1" s="4" customFormat="1">
      <c r="A301" s="5">
        <v>42996</v>
      </c>
      <c r="B301" s="4" t="s">
        <v>1287</v>
      </c>
      <c r="C301" s="4" t="s">
        <v>1767</v>
      </c>
      <c r="D301" s="4" t="s">
        <v>1770</v>
      </c>
      <c r="E301" s="4"/>
      <c r="F301" s="4" t="s">
        <v>1296</v>
      </c>
      <c r="G301" s="4"/>
      <c r="H301" s="4"/>
      <c r="I301" s="4" t="s">
        <v>1759</v>
      </c>
      <c r="J301" s="4"/>
      <c r="K301" s="4"/>
    </row>
    <row r="302" ht="16" customHeight="1" s="4" customFormat="1">
      <c r="A302" s="5">
        <v>42934</v>
      </c>
      <c r="B302" s="4" t="s">
        <v>1287</v>
      </c>
      <c r="C302" s="4" t="s">
        <v>1754</v>
      </c>
      <c r="D302" s="4" t="s">
        <v>1770</v>
      </c>
      <c r="E302" s="4"/>
      <c r="F302" s="4" t="s">
        <v>1302</v>
      </c>
      <c r="G302" s="4"/>
      <c r="H302" s="4"/>
      <c r="I302" s="4" t="s">
        <v>1759</v>
      </c>
      <c r="J302" s="4"/>
      <c r="K302" s="4"/>
    </row>
    <row r="303" ht="16" customHeight="1" s="4" customFormat="1">
      <c r="A303" s="5">
        <v>42934</v>
      </c>
      <c r="B303" s="4" t="s">
        <v>1287</v>
      </c>
      <c r="C303" s="4" t="s">
        <v>1767</v>
      </c>
      <c r="D303" s="4" t="s">
        <v>1770</v>
      </c>
      <c r="E303" s="4"/>
      <c r="F303" s="4" t="s">
        <v>1296</v>
      </c>
      <c r="G303" s="4"/>
      <c r="H303" s="4"/>
      <c r="I303" s="4" t="s">
        <v>1759</v>
      </c>
      <c r="J303" s="4"/>
      <c r="K303" s="4"/>
    </row>
    <row r="304" ht="16" customHeight="1" s="4" customFormat="1">
      <c r="A304" s="5">
        <v>42888</v>
      </c>
      <c r="B304" s="4" t="s">
        <v>1813</v>
      </c>
      <c r="C304" s="4" t="s">
        <v>1754</v>
      </c>
      <c r="D304" s="4" t="s">
        <v>1760</v>
      </c>
      <c r="E304" s="4"/>
      <c r="F304" s="4" t="s">
        <v>1302</v>
      </c>
      <c r="G304" s="4"/>
      <c r="H304" s="4"/>
      <c r="I304" s="4" t="s">
        <v>1759</v>
      </c>
      <c r="J304" s="4"/>
      <c r="K304" s="4"/>
    </row>
    <row r="305" ht="16" customHeight="1" s="4" customFormat="1">
      <c r="A305" s="5">
        <v>42888</v>
      </c>
      <c r="B305" s="4" t="s">
        <v>1813</v>
      </c>
      <c r="C305" s="4" t="s">
        <v>1754</v>
      </c>
      <c r="D305" s="4" t="s">
        <v>1895</v>
      </c>
      <c r="E305" s="4"/>
      <c r="F305" s="4" t="s">
        <v>1302</v>
      </c>
      <c r="G305" s="4"/>
      <c r="H305" s="4"/>
      <c r="I305" s="4" t="s">
        <v>1759</v>
      </c>
      <c r="J305" s="4"/>
      <c r="K305" s="4"/>
    </row>
    <row r="306" ht="16" customHeight="1" s="4" customFormat="1">
      <c r="A306" s="5">
        <v>42888</v>
      </c>
      <c r="B306" s="4" t="s">
        <v>1813</v>
      </c>
      <c r="C306" s="4" t="s">
        <v>1754</v>
      </c>
      <c r="D306" s="4" t="s">
        <v>1799</v>
      </c>
      <c r="E306" s="4"/>
      <c r="F306" s="4" t="s">
        <v>1302</v>
      </c>
      <c r="G306" s="4"/>
      <c r="H306" s="4"/>
      <c r="I306" s="4" t="s">
        <v>1759</v>
      </c>
      <c r="J306" s="4"/>
      <c r="K306" s="4"/>
    </row>
    <row r="307" ht="16" customHeight="1" s="4" customFormat="1">
      <c r="A307" s="5">
        <v>42881</v>
      </c>
      <c r="B307" s="4" t="s">
        <v>1287</v>
      </c>
      <c r="C307" s="4" t="s">
        <v>1754</v>
      </c>
      <c r="D307" s="4" t="s">
        <v>1770</v>
      </c>
      <c r="E307" s="4"/>
      <c r="F307" s="4" t="s">
        <v>1302</v>
      </c>
      <c r="G307" s="4"/>
      <c r="H307" s="4"/>
      <c r="I307" s="4" t="s">
        <v>1759</v>
      </c>
      <c r="J307" s="4"/>
      <c r="K307" s="4"/>
    </row>
    <row r="308" ht="16" customHeight="1" s="4" customFormat="1">
      <c r="A308" s="5">
        <v>42881</v>
      </c>
      <c r="B308" s="4" t="s">
        <v>1287</v>
      </c>
      <c r="C308" s="4" t="s">
        <v>1754</v>
      </c>
      <c r="D308" s="4" t="s">
        <v>1760</v>
      </c>
      <c r="E308" s="4"/>
      <c r="F308" s="4" t="s">
        <v>1302</v>
      </c>
      <c r="G308" s="4"/>
      <c r="H308" s="4"/>
      <c r="I308" s="4" t="s">
        <v>1759</v>
      </c>
      <c r="J308" s="4"/>
      <c r="K308" s="4"/>
    </row>
    <row r="309" ht="16" customHeight="1" s="4" customFormat="1">
      <c r="A309" s="5">
        <v>42881</v>
      </c>
      <c r="B309" s="4" t="s">
        <v>1287</v>
      </c>
      <c r="C309" s="4" t="s">
        <v>1754</v>
      </c>
      <c r="D309" s="4" t="s">
        <v>1357</v>
      </c>
      <c r="E309" s="4"/>
      <c r="F309" s="4" t="s">
        <v>1302</v>
      </c>
      <c r="G309" s="4"/>
      <c r="H309" s="4"/>
      <c r="I309" s="4" t="s">
        <v>1759</v>
      </c>
      <c r="J309" s="4"/>
      <c r="K309" s="4"/>
    </row>
    <row r="310" ht="16" customHeight="1" s="4" customFormat="1">
      <c r="A310" s="5">
        <v>42881</v>
      </c>
      <c r="B310" s="4" t="s">
        <v>1287</v>
      </c>
      <c r="C310" s="4" t="s">
        <v>1767</v>
      </c>
      <c r="D310" s="4" t="s">
        <v>1770</v>
      </c>
      <c r="E310" s="4"/>
      <c r="F310" s="4" t="s">
        <v>1296</v>
      </c>
      <c r="G310" s="4"/>
      <c r="H310" s="4"/>
      <c r="I310" s="4" t="s">
        <v>1759</v>
      </c>
      <c r="J310" s="4"/>
      <c r="K310" s="4"/>
    </row>
    <row r="311" ht="16" customHeight="1" s="4" customFormat="1">
      <c r="A311" s="5">
        <v>42881</v>
      </c>
      <c r="B311" s="4" t="s">
        <v>1287</v>
      </c>
      <c r="C311" s="4" t="s">
        <v>1767</v>
      </c>
      <c r="D311" s="4" t="s">
        <v>1896</v>
      </c>
      <c r="E311" s="4"/>
      <c r="F311" s="4" t="s">
        <v>1296</v>
      </c>
      <c r="G311" s="4"/>
      <c r="H311" s="4"/>
      <c r="I311" s="4" t="s">
        <v>1759</v>
      </c>
      <c r="J311" s="4"/>
      <c r="K311" s="4"/>
    </row>
    <row r="312" ht="16" customHeight="1" s="4" customFormat="1">
      <c r="A312" s="5">
        <v>42816</v>
      </c>
      <c r="B312" s="4" t="s">
        <v>1287</v>
      </c>
      <c r="C312" s="4" t="s">
        <v>1754</v>
      </c>
      <c r="D312" s="4" t="s">
        <v>1770</v>
      </c>
      <c r="E312" s="4"/>
      <c r="F312" s="4" t="s">
        <v>1295</v>
      </c>
      <c r="G312" s="4"/>
      <c r="H312" s="4"/>
      <c r="I312" s="4" t="s">
        <v>1759</v>
      </c>
      <c r="J312" s="4"/>
      <c r="K312" s="4"/>
    </row>
    <row r="313" ht="16" customHeight="1" s="4" customFormat="1">
      <c r="A313" s="5">
        <v>42816</v>
      </c>
      <c r="B313" s="4" t="s">
        <v>1287</v>
      </c>
      <c r="C313" s="4" t="s">
        <v>1754</v>
      </c>
      <c r="D313" s="4" t="s">
        <v>1897</v>
      </c>
      <c r="E313" s="4"/>
      <c r="F313" s="4" t="s">
        <v>1295</v>
      </c>
      <c r="G313" s="4"/>
      <c r="H313" s="4"/>
      <c r="I313" s="4" t="s">
        <v>1759</v>
      </c>
      <c r="J313" s="4"/>
      <c r="K313" s="4"/>
    </row>
    <row r="314" ht="16" customHeight="1" s="4" customFormat="1">
      <c r="A314" s="5">
        <v>42816</v>
      </c>
      <c r="B314" s="4" t="s">
        <v>1287</v>
      </c>
      <c r="C314" s="4" t="s">
        <v>1754</v>
      </c>
      <c r="D314" s="4" t="s">
        <v>1770</v>
      </c>
      <c r="E314" s="4"/>
      <c r="F314" s="4" t="s">
        <v>1308</v>
      </c>
      <c r="G314" s="4"/>
      <c r="H314" s="4"/>
      <c r="I314" s="4" t="s">
        <v>1759</v>
      </c>
      <c r="J314" s="4"/>
      <c r="K314" s="4"/>
    </row>
    <row r="315" ht="16" customHeight="1" s="4" customFormat="1">
      <c r="A315" s="5">
        <v>42816</v>
      </c>
      <c r="B315" s="4" t="s">
        <v>1287</v>
      </c>
      <c r="C315" s="4" t="s">
        <v>1767</v>
      </c>
      <c r="D315" s="4" t="s">
        <v>1770</v>
      </c>
      <c r="E315" s="4"/>
      <c r="F315" s="4" t="s">
        <v>1296</v>
      </c>
      <c r="G315" s="4"/>
      <c r="H315" s="4"/>
      <c r="I315" s="4" t="s">
        <v>1759</v>
      </c>
      <c r="J315" s="4"/>
      <c r="K315" s="4"/>
    </row>
    <row r="316" ht="16" customHeight="1" s="4" customFormat="1">
      <c r="A316" s="5">
        <v>42816</v>
      </c>
      <c r="B316" s="4" t="s">
        <v>1287</v>
      </c>
      <c r="C316" s="4" t="s">
        <v>1767</v>
      </c>
      <c r="D316" s="4" t="s">
        <v>1896</v>
      </c>
      <c r="E316" s="4"/>
      <c r="F316" s="4" t="s">
        <v>1296</v>
      </c>
      <c r="G316" s="4"/>
      <c r="H316" s="4"/>
      <c r="I316" s="4" t="s">
        <v>1759</v>
      </c>
      <c r="J316" s="4"/>
      <c r="K316" s="4"/>
    </row>
    <row r="317" ht="16" customHeight="1" s="4" customFormat="1">
      <c r="A317" s="5">
        <v>42724</v>
      </c>
      <c r="B317" s="4" t="s">
        <v>1813</v>
      </c>
      <c r="C317" s="4" t="s">
        <v>1754</v>
      </c>
      <c r="D317" s="4" t="s">
        <v>1770</v>
      </c>
      <c r="E317" s="4"/>
      <c r="F317" s="4" t="s">
        <v>1302</v>
      </c>
      <c r="G317" s="4"/>
      <c r="H317" s="4"/>
      <c r="I317" s="4"/>
      <c r="J317" s="4"/>
      <c r="K317" s="4"/>
    </row>
    <row r="318" ht="16" customHeight="1" s="4" customFormat="1">
      <c r="A318" s="5">
        <v>42724</v>
      </c>
      <c r="B318" s="4" t="s">
        <v>1813</v>
      </c>
      <c r="C318" s="4" t="s">
        <v>1754</v>
      </c>
      <c r="D318" s="4" t="s">
        <v>1824</v>
      </c>
      <c r="E318" s="4"/>
      <c r="F318" s="4" t="s">
        <v>1302</v>
      </c>
      <c r="G318" s="4"/>
      <c r="H318" s="4"/>
      <c r="I318" s="4"/>
      <c r="J318" s="4"/>
      <c r="K318" s="4"/>
    </row>
    <row r="319" ht="16" customHeight="1" s="4" customFormat="1">
      <c r="A319" s="5">
        <v>42724</v>
      </c>
      <c r="B319" s="4" t="s">
        <v>1813</v>
      </c>
      <c r="C319" s="4" t="s">
        <v>1754</v>
      </c>
      <c r="D319" s="4" t="s">
        <v>1779</v>
      </c>
      <c r="E319" s="4"/>
      <c r="F319" s="4" t="s">
        <v>1302</v>
      </c>
      <c r="G319" s="4"/>
      <c r="H319" s="4"/>
      <c r="I319" s="4"/>
      <c r="J319" s="4"/>
      <c r="K319" s="4"/>
    </row>
    <row r="320" ht="16" customHeight="1" s="4" customFormat="1">
      <c r="A320" s="5">
        <v>42724</v>
      </c>
      <c r="B320" s="4" t="s">
        <v>1813</v>
      </c>
      <c r="C320" s="4" t="s">
        <v>1754</v>
      </c>
      <c r="D320" s="4" t="s">
        <v>1799</v>
      </c>
      <c r="E320" s="4"/>
      <c r="F320" s="4" t="s">
        <v>1302</v>
      </c>
      <c r="G320" s="4"/>
      <c r="H320" s="4"/>
      <c r="I320" s="4"/>
      <c r="J320" s="4"/>
      <c r="K320" s="4"/>
    </row>
    <row r="321" ht="16" customHeight="1" s="4" customFormat="1">
      <c r="A321" s="5">
        <v>42724</v>
      </c>
      <c r="B321" s="4" t="s">
        <v>1813</v>
      </c>
      <c r="C321" s="4" t="s">
        <v>1754</v>
      </c>
      <c r="D321" s="4" t="s">
        <v>1799</v>
      </c>
      <c r="E321" s="4"/>
      <c r="F321" s="4" t="s">
        <v>1308</v>
      </c>
      <c r="G321" s="4"/>
      <c r="H321" s="4"/>
      <c r="I321" s="4"/>
      <c r="J321" s="4"/>
      <c r="K321" s="4"/>
    </row>
    <row r="322" ht="16" customHeight="1" s="4" customFormat="1">
      <c r="A322" s="5">
        <v>42703</v>
      </c>
      <c r="B322" s="4" t="s">
        <v>1287</v>
      </c>
      <c r="C322" s="4" t="s">
        <v>1754</v>
      </c>
      <c r="D322" s="4" t="s">
        <v>1770</v>
      </c>
      <c r="E322" s="4"/>
      <c r="F322" s="4" t="s">
        <v>1295</v>
      </c>
      <c r="G322" s="4"/>
      <c r="H322" s="4"/>
      <c r="I322" s="4" t="s">
        <v>1759</v>
      </c>
      <c r="J322" s="4"/>
      <c r="K322" s="4"/>
    </row>
    <row r="323" ht="16" customHeight="1" s="4" customFormat="1">
      <c r="A323" s="5">
        <v>42703</v>
      </c>
      <c r="B323" s="4" t="s">
        <v>1287</v>
      </c>
      <c r="C323" s="4" t="s">
        <v>1767</v>
      </c>
      <c r="D323" s="4" t="s">
        <v>1770</v>
      </c>
      <c r="E323" s="4"/>
      <c r="F323" s="4" t="s">
        <v>1296</v>
      </c>
      <c r="G323" s="4"/>
      <c r="H323" s="4"/>
      <c r="I323" s="4" t="s">
        <v>1759</v>
      </c>
      <c r="J323" s="4"/>
      <c r="K323" s="4"/>
    </row>
    <row r="324" ht="16" customHeight="1" s="4" customFormat="1">
      <c r="A324" s="5">
        <v>42695</v>
      </c>
      <c r="B324" s="4" t="s">
        <v>1287</v>
      </c>
      <c r="C324" s="4" t="s">
        <v>1754</v>
      </c>
      <c r="D324" s="4" t="s">
        <v>1770</v>
      </c>
      <c r="E324" s="4"/>
      <c r="F324" s="4" t="s">
        <v>1295</v>
      </c>
      <c r="G324" s="4"/>
      <c r="H324" s="4"/>
      <c r="I324" s="4" t="s">
        <v>1759</v>
      </c>
      <c r="J324" s="4"/>
      <c r="K324" s="4"/>
    </row>
    <row r="325" ht="16" customHeight="1" s="4" customFormat="1">
      <c r="A325" s="5">
        <v>42695</v>
      </c>
      <c r="B325" s="4" t="s">
        <v>1287</v>
      </c>
      <c r="C325" s="4" t="s">
        <v>1767</v>
      </c>
      <c r="D325" s="4" t="s">
        <v>1770</v>
      </c>
      <c r="E325" s="4"/>
      <c r="F325" s="4" t="s">
        <v>1296</v>
      </c>
      <c r="G325" s="4"/>
      <c r="H325" s="4"/>
      <c r="I325" s="4" t="s">
        <v>1759</v>
      </c>
      <c r="J325" s="4"/>
      <c r="K325" s="4"/>
    </row>
    <row r="326" ht="16" customHeight="1" s="4" customFormat="1">
      <c r="A326" s="5">
        <v>42669</v>
      </c>
      <c r="B326" s="4" t="s">
        <v>1287</v>
      </c>
      <c r="C326" s="4" t="s">
        <v>1754</v>
      </c>
      <c r="D326" s="4" t="s">
        <v>1770</v>
      </c>
      <c r="E326" s="4"/>
      <c r="F326" s="4" t="s">
        <v>1295</v>
      </c>
      <c r="G326" s="4"/>
      <c r="H326" s="4"/>
      <c r="I326" s="4" t="s">
        <v>1759</v>
      </c>
      <c r="J326" s="4"/>
      <c r="K326" s="4"/>
    </row>
    <row r="327" ht="16" customHeight="1" s="4" customFormat="1">
      <c r="A327" s="5">
        <v>42669</v>
      </c>
      <c r="B327" s="4" t="s">
        <v>1287</v>
      </c>
      <c r="C327" s="4" t="s">
        <v>1767</v>
      </c>
      <c r="D327" s="4" t="s">
        <v>1770</v>
      </c>
      <c r="E327" s="4"/>
      <c r="F327" s="4" t="s">
        <v>1296</v>
      </c>
      <c r="G327" s="4"/>
      <c r="H327" s="4"/>
      <c r="I327" s="4" t="s">
        <v>1759</v>
      </c>
      <c r="J327" s="4"/>
      <c r="K327" s="4"/>
    </row>
    <row r="328" ht="16" customHeight="1" s="4" customFormat="1">
      <c r="A328" s="5">
        <v>42664</v>
      </c>
      <c r="B328" s="4" t="s">
        <v>1287</v>
      </c>
      <c r="C328" s="4" t="s">
        <v>1754</v>
      </c>
      <c r="D328" s="4" t="s">
        <v>1770</v>
      </c>
      <c r="E328" s="4"/>
      <c r="F328" s="4" t="s">
        <v>1295</v>
      </c>
      <c r="G328" s="4"/>
      <c r="H328" s="4"/>
      <c r="I328" s="4" t="s">
        <v>1759</v>
      </c>
      <c r="J328" s="4"/>
      <c r="K328" s="4"/>
    </row>
    <row r="329" ht="16" customHeight="1" s="4" customFormat="1">
      <c r="A329" s="5">
        <v>42664</v>
      </c>
      <c r="B329" s="4" t="s">
        <v>1287</v>
      </c>
      <c r="C329" s="4" t="s">
        <v>1767</v>
      </c>
      <c r="D329" s="4" t="s">
        <v>1770</v>
      </c>
      <c r="E329" s="4"/>
      <c r="F329" s="4" t="s">
        <v>1296</v>
      </c>
      <c r="G329" s="4"/>
      <c r="H329" s="4"/>
      <c r="I329" s="4" t="s">
        <v>1759</v>
      </c>
      <c r="J329" s="4"/>
      <c r="K329" s="4"/>
    </row>
    <row r="330" ht="16" customHeight="1" s="4" customFormat="1">
      <c r="A330" s="5">
        <v>42655</v>
      </c>
      <c r="B330" s="4" t="s">
        <v>1287</v>
      </c>
      <c r="C330" s="4" t="s">
        <v>1754</v>
      </c>
      <c r="D330" s="4" t="s">
        <v>1770</v>
      </c>
      <c r="E330" s="4"/>
      <c r="F330" s="4" t="s">
        <v>1295</v>
      </c>
      <c r="G330" s="4"/>
      <c r="H330" s="4"/>
      <c r="I330" s="4" t="s">
        <v>1759</v>
      </c>
      <c r="J330" s="4"/>
      <c r="K330" s="4"/>
    </row>
    <row r="331" ht="16" customHeight="1" s="4" customFormat="1">
      <c r="A331" s="5">
        <v>42655</v>
      </c>
      <c r="B331" s="4" t="s">
        <v>1287</v>
      </c>
      <c r="C331" s="4" t="s">
        <v>1767</v>
      </c>
      <c r="D331" s="4" t="s">
        <v>1770</v>
      </c>
      <c r="E331" s="4"/>
      <c r="F331" s="4" t="s">
        <v>1296</v>
      </c>
      <c r="G331" s="4"/>
      <c r="H331" s="4"/>
      <c r="I331" s="4" t="s">
        <v>1759</v>
      </c>
      <c r="J331" s="4"/>
      <c r="K331" s="4"/>
    </row>
    <row r="332" ht="16" customHeight="1" s="4" customFormat="1">
      <c r="A332" s="5">
        <v>42641</v>
      </c>
      <c r="B332" s="4" t="s">
        <v>1287</v>
      </c>
      <c r="C332" s="4" t="s">
        <v>1754</v>
      </c>
      <c r="D332" s="4" t="s">
        <v>1770</v>
      </c>
      <c r="E332" s="4"/>
      <c r="F332" s="4" t="s">
        <v>1295</v>
      </c>
      <c r="G332" s="4"/>
      <c r="H332" s="4"/>
      <c r="I332" s="4" t="s">
        <v>1759</v>
      </c>
      <c r="J332" s="4"/>
      <c r="K332" s="4"/>
    </row>
    <row r="333" ht="16" customHeight="1" s="4" customFormat="1">
      <c r="A333" s="5">
        <v>42641</v>
      </c>
      <c r="B333" s="4" t="s">
        <v>1287</v>
      </c>
      <c r="C333" s="4" t="s">
        <v>1767</v>
      </c>
      <c r="D333" s="4" t="s">
        <v>1770</v>
      </c>
      <c r="E333" s="4"/>
      <c r="F333" s="4" t="s">
        <v>1296</v>
      </c>
      <c r="G333" s="4"/>
      <c r="H333" s="4"/>
      <c r="I333" s="4" t="s">
        <v>1759</v>
      </c>
      <c r="J333" s="4"/>
      <c r="K333" s="4"/>
    </row>
    <row r="334" ht="16" customHeight="1" s="4" customFormat="1">
      <c r="A334" s="5">
        <v>42171</v>
      </c>
      <c r="B334" s="4" t="s">
        <v>1287</v>
      </c>
      <c r="C334" s="4" t="s">
        <v>1754</v>
      </c>
      <c r="D334" s="4" t="s">
        <v>1898</v>
      </c>
      <c r="E334" s="4"/>
      <c r="F334" s="4" t="s">
        <v>1330</v>
      </c>
      <c r="G334" s="4"/>
      <c r="H334" s="4"/>
      <c r="I334" s="4" t="s">
        <v>1759</v>
      </c>
      <c r="J334" s="4"/>
      <c r="K334" s="4"/>
    </row>
    <row r="335" ht="16" customHeight="1" s="4" customFormat="1">
      <c r="A335" s="5">
        <v>42171</v>
      </c>
      <c r="B335" s="4" t="s">
        <v>1287</v>
      </c>
      <c r="C335" s="4" t="s">
        <v>1754</v>
      </c>
      <c r="D335" s="4" t="s">
        <v>1770</v>
      </c>
      <c r="E335" s="4"/>
      <c r="F335" s="4" t="s">
        <v>1330</v>
      </c>
      <c r="G335" s="4"/>
      <c r="H335" s="4"/>
      <c r="I335" s="4" t="s">
        <v>1759</v>
      </c>
      <c r="J335" s="4"/>
      <c r="K335" s="4"/>
    </row>
    <row r="336" ht="16" customHeight="1" s="4" customFormat="1">
      <c r="A336" s="5">
        <v>42171</v>
      </c>
      <c r="B336" s="4" t="s">
        <v>1287</v>
      </c>
      <c r="C336" s="4" t="s">
        <v>1754</v>
      </c>
      <c r="D336" s="4" t="s">
        <v>1899</v>
      </c>
      <c r="E336" s="4"/>
      <c r="F336" s="4" t="s">
        <v>1330</v>
      </c>
      <c r="G336" s="4"/>
      <c r="H336" s="4"/>
      <c r="I336" s="4" t="s">
        <v>1759</v>
      </c>
      <c r="J336" s="4"/>
      <c r="K336" s="4"/>
    </row>
    <row r="337" ht="16" customHeight="1" s="4" customFormat="1">
      <c r="A337" s="5">
        <v>42171</v>
      </c>
      <c r="B337" s="4" t="s">
        <v>1287</v>
      </c>
      <c r="C337" s="4" t="s">
        <v>1754</v>
      </c>
      <c r="D337" s="4" t="s">
        <v>1900</v>
      </c>
      <c r="E337" s="4"/>
      <c r="F337" s="4" t="s">
        <v>1330</v>
      </c>
      <c r="G337" s="4"/>
      <c r="H337" s="4"/>
      <c r="I337" s="4" t="s">
        <v>1759</v>
      </c>
      <c r="J337" s="4"/>
      <c r="K337" s="4"/>
    </row>
    <row r="338" ht="16" customHeight="1" s="4" customFormat="1">
      <c r="A338" s="5">
        <v>42171</v>
      </c>
      <c r="B338" s="4" t="s">
        <v>1287</v>
      </c>
      <c r="C338" s="4" t="s">
        <v>1754</v>
      </c>
      <c r="D338" s="4" t="s">
        <v>1901</v>
      </c>
      <c r="E338" s="4"/>
      <c r="F338" s="4" t="s">
        <v>1330</v>
      </c>
      <c r="G338" s="4"/>
      <c r="H338" s="4"/>
      <c r="I338" s="4" t="s">
        <v>1759</v>
      </c>
      <c r="J338" s="4"/>
      <c r="K338" s="4"/>
    </row>
    <row r="339" ht="16" customHeight="1" s="4" customFormat="1">
      <c r="A339" s="5">
        <v>41934</v>
      </c>
      <c r="B339" s="4" t="s">
        <v>1287</v>
      </c>
      <c r="C339" s="4" t="s">
        <v>1754</v>
      </c>
      <c r="D339" s="4" t="s">
        <v>1770</v>
      </c>
      <c r="E339" s="4"/>
      <c r="F339" s="4" t="s">
        <v>1330</v>
      </c>
      <c r="G339" s="4"/>
      <c r="H339" s="4"/>
      <c r="I339" s="4" t="s">
        <v>1759</v>
      </c>
      <c r="J339" s="4"/>
      <c r="K339" s="4"/>
    </row>
    <row r="340" ht="16" customHeight="1" s="4" customFormat="1">
      <c r="A340" s="5">
        <v>41934</v>
      </c>
      <c r="B340" s="4" t="s">
        <v>1287</v>
      </c>
      <c r="C340" s="4" t="s">
        <v>1767</v>
      </c>
      <c r="D340" s="4" t="s">
        <v>1770</v>
      </c>
      <c r="E340" s="4"/>
      <c r="F340" s="4" t="s">
        <v>1296</v>
      </c>
      <c r="G340" s="4"/>
      <c r="H340" s="4"/>
      <c r="I340" s="4" t="s">
        <v>1759</v>
      </c>
      <c r="J340" s="4"/>
      <c r="K340" s="4"/>
    </row>
    <row r="341" ht="16" customHeight="1" s="4" customFormat="1">
      <c r="A341" s="5">
        <v>41564</v>
      </c>
      <c r="B341" s="4" t="s">
        <v>1287</v>
      </c>
      <c r="C341" s="4" t="s">
        <v>1754</v>
      </c>
      <c r="D341" s="4" t="s">
        <v>1770</v>
      </c>
      <c r="E341" s="4"/>
      <c r="F341" s="4" t="s">
        <v>1330</v>
      </c>
      <c r="G341" s="4"/>
      <c r="H341" s="4"/>
      <c r="I341" s="4" t="s">
        <v>1759</v>
      </c>
      <c r="J341" s="4"/>
      <c r="K341" s="4"/>
    </row>
    <row r="342" ht="16" customHeight="1">
      <c r="A342" s="6">
        <v>41564</v>
      </c>
      <c r="B342" s="3" t="s">
        <v>1287</v>
      </c>
      <c r="C342" s="3" t="s">
        <v>1767</v>
      </c>
      <c r="D342" s="3" t="s">
        <v>1770</v>
      </c>
      <c r="E342" s="3"/>
      <c r="F342" s="3" t="s">
        <v>1296</v>
      </c>
      <c r="G342" s="3"/>
      <c r="H342" s="3"/>
      <c r="I342" s="3" t="s">
        <v>1759</v>
      </c>
    </row>
  </sheetData>
  <headerFooter/>
</worksheet>
</file>

<file path=xl/worksheets/sheet25.xml><?xml version="1.0" encoding="utf-8"?>
<worksheet xmlns:r="http://schemas.openxmlformats.org/officeDocument/2006/relationships" xmlns="http://schemas.openxmlformats.org/spreadsheetml/2006/main">
  <dimension ref="A1:K12"/>
  <sheetViews>
    <sheetView workbookViewId="0"/>
  </sheetViews>
  <sheetFormatPr defaultRowHeight="15"/>
  <cols>
    <col min="1" max="1" width="171.689605712891" customWidth="1" style="3"/>
    <col min="2" max="2" width="11.4448766708374" customWidth="1" style="3"/>
    <col min="3" max="3" width="50.5709838867188" customWidth="1" style="3"/>
    <col min="4" max="4" width="9.140625" customWidth="1" style="3"/>
    <col min="5" max="5" width="9.140625" customWidth="1" style="3"/>
    <col min="6" max="6" width="9.140625" customWidth="1" style="3"/>
    <col min="7" max="7" width="14.0382223129272" customWidth="1" style="3"/>
    <col min="8" max="8" width="9.91740894317627" customWidth="1" style="3"/>
    <col min="9" max="16384" width="11.2801637649536" customWidth="1" style="3"/>
    <col min="10" max="16384" width="9.140625" customWidth="1" style="3"/>
    <col min="11" max="16384" width="9.140625" customWidth="1" style="3"/>
  </cols>
  <sheetData>
    <row r="1" ht="20" customHeight="1" s="1" customFormat="1">
      <c r="A1" s="2" t="s">
        <v>1902</v>
      </c>
      <c r="B1" s="2" t="s">
        <v>1903</v>
      </c>
      <c r="C1" s="2" t="s">
        <v>1904</v>
      </c>
      <c r="D1" s="2" t="s">
        <v>1905</v>
      </c>
      <c r="E1" s="2" t="s">
        <v>1048</v>
      </c>
      <c r="F1" s="2" t="s">
        <v>1050</v>
      </c>
      <c r="G1" s="2" t="s">
        <v>1052</v>
      </c>
      <c r="H1" s="2" t="s">
        <v>1906</v>
      </c>
      <c r="I1" s="2" t="s">
        <v>1907</v>
      </c>
    </row>
    <row r="2" ht="16" customHeight="1" s="4" customFormat="1">
      <c r="A2" s="4" t="s">
        <v>10</v>
      </c>
      <c r="B2" s="4" t="s">
        <v>1908</v>
      </c>
      <c r="C2" s="4" t="s">
        <v>1283</v>
      </c>
      <c r="D2" s="4">
        <v>61</v>
      </c>
      <c r="E2" s="4">
        <v>156643</v>
      </c>
      <c r="F2" s="4">
        <v>46018</v>
      </c>
      <c r="G2" s="4">
        <v>14988</v>
      </c>
      <c r="H2" s="4">
        <v>73852</v>
      </c>
      <c r="I2" s="4" t="s">
        <v>1302</v>
      </c>
      <c r="J2" s="4"/>
      <c r="K2" s="4"/>
    </row>
    <row r="3" ht="16" customHeight="1" s="4" customFormat="1">
      <c r="A3" s="4" t="s">
        <v>94</v>
      </c>
      <c r="B3" s="4" t="s">
        <v>1909</v>
      </c>
      <c r="C3" s="4" t="s">
        <v>1283</v>
      </c>
      <c r="D3" s="4">
        <v>60</v>
      </c>
      <c r="E3" s="4">
        <v>35066</v>
      </c>
      <c r="F3" s="4">
        <v>18371</v>
      </c>
      <c r="G3" s="4">
        <v>10353</v>
      </c>
      <c r="H3" s="4">
        <v>11220</v>
      </c>
      <c r="I3" s="4" t="s">
        <v>1296</v>
      </c>
      <c r="J3" s="4"/>
      <c r="K3" s="4"/>
    </row>
    <row r="4" ht="16" customHeight="1" s="4" customFormat="1">
      <c r="A4" s="4" t="s">
        <v>1910</v>
      </c>
      <c r="B4" s="4" t="s">
        <v>1911</v>
      </c>
      <c r="C4" s="4" t="s">
        <v>1283</v>
      </c>
      <c r="D4" s="4">
        <v>22</v>
      </c>
      <c r="E4" s="4">
        <v>5316</v>
      </c>
      <c r="F4" s="4">
        <v>577</v>
      </c>
      <c r="G4" s="4">
        <v>161</v>
      </c>
      <c r="H4" s="4">
        <v>2496</v>
      </c>
      <c r="I4" s="4" t="s">
        <v>1308</v>
      </c>
      <c r="J4" s="4"/>
      <c r="K4" s="4"/>
    </row>
    <row r="5" ht="16" customHeight="1" s="4" customFormat="1">
      <c r="A5" s="4" t="s">
        <v>1912</v>
      </c>
      <c r="B5" s="4" t="s">
        <v>1908</v>
      </c>
      <c r="C5" s="4" t="s">
        <v>1283</v>
      </c>
      <c r="D5" s="4">
        <v>34</v>
      </c>
      <c r="E5" s="4">
        <v>3641</v>
      </c>
      <c r="F5" s="4">
        <v>171</v>
      </c>
      <c r="G5" s="4">
        <v>71.7</v>
      </c>
      <c r="H5" s="4">
        <v>279</v>
      </c>
      <c r="I5" s="4" t="s">
        <v>1913</v>
      </c>
      <c r="J5" s="4"/>
      <c r="K5" s="4"/>
    </row>
    <row r="6" ht="16" customHeight="1" s="4" customFormat="1">
      <c r="A6" s="4" t="s">
        <v>1914</v>
      </c>
      <c r="B6" s="4" t="s">
        <v>1915</v>
      </c>
      <c r="C6" s="4" t="s">
        <v>1283</v>
      </c>
      <c r="D6" s="4">
        <v>81</v>
      </c>
      <c r="E6" s="4">
        <v>2523</v>
      </c>
      <c r="F6" s="4">
        <v>164</v>
      </c>
      <c r="G6" s="4">
        <v>81.8</v>
      </c>
      <c r="H6" s="4">
        <v>394</v>
      </c>
      <c r="I6" s="4" t="s">
        <v>1916</v>
      </c>
      <c r="J6" s="4"/>
      <c r="K6" s="4"/>
    </row>
    <row r="7" ht="16" customHeight="1" s="4" customFormat="1">
      <c r="A7" s="4" t="s">
        <v>1917</v>
      </c>
      <c r="B7" s="4" t="s">
        <v>1918</v>
      </c>
      <c r="C7" s="4" t="s">
        <v>1283</v>
      </c>
      <c r="D7" s="4">
        <v>59</v>
      </c>
      <c r="E7" s="4">
        <v>2149</v>
      </c>
      <c r="F7" s="4">
        <v>817</v>
      </c>
      <c r="G7" s="4">
        <v>469</v>
      </c>
      <c r="H7" s="4">
        <v>166</v>
      </c>
      <c r="I7" s="4" t="s">
        <v>1330</v>
      </c>
      <c r="J7" s="4"/>
      <c r="K7" s="4"/>
    </row>
    <row r="8" ht="16" customHeight="1" s="4" customFormat="1">
      <c r="A8" s="4" t="s">
        <v>1919</v>
      </c>
      <c r="B8" s="4" t="s">
        <v>1920</v>
      </c>
      <c r="C8" s="4" t="s">
        <v>1283</v>
      </c>
      <c r="D8" s="4">
        <v>31</v>
      </c>
      <c r="E8" s="4">
        <v>2059</v>
      </c>
      <c r="F8" s="4">
        <v>108</v>
      </c>
      <c r="G8" s="4">
        <v>58.1</v>
      </c>
      <c r="H8" s="4">
        <v>112</v>
      </c>
      <c r="I8" s="4" t="s">
        <v>1916</v>
      </c>
      <c r="J8" s="4"/>
      <c r="K8" s="4"/>
    </row>
    <row r="9" ht="16" customHeight="1" s="4" customFormat="1">
      <c r="A9" s="4" t="s">
        <v>1921</v>
      </c>
      <c r="B9" s="4" t="s">
        <v>1922</v>
      </c>
      <c r="C9" s="4" t="s">
        <v>1283</v>
      </c>
      <c r="D9" s="4">
        <v>41</v>
      </c>
      <c r="E9" s="4">
        <v>1631</v>
      </c>
      <c r="F9" s="4">
        <v>42.7</v>
      </c>
      <c r="G9" s="4">
        <v>14</v>
      </c>
      <c r="H9" s="4">
        <v>275</v>
      </c>
      <c r="I9" s="4" t="s">
        <v>1308</v>
      </c>
      <c r="J9" s="4"/>
      <c r="K9" s="4"/>
    </row>
    <row r="10" ht="16" customHeight="1" s="4" customFormat="1">
      <c r="A10" s="4" t="s">
        <v>1923</v>
      </c>
      <c r="B10" s="4" t="s">
        <v>1908</v>
      </c>
      <c r="C10" s="4" t="s">
        <v>1283</v>
      </c>
      <c r="D10" s="4">
        <v>21</v>
      </c>
      <c r="E10" s="4">
        <v>1617</v>
      </c>
      <c r="F10" s="4">
        <v>66.2</v>
      </c>
      <c r="G10" s="4">
        <v>18.6</v>
      </c>
      <c r="H10" s="4">
        <v>102</v>
      </c>
      <c r="I10" s="4" t="s">
        <v>1924</v>
      </c>
      <c r="J10" s="4"/>
      <c r="K10" s="4"/>
    </row>
    <row r="11" ht="16" customHeight="1" s="4" customFormat="1">
      <c r="A11" s="4" t="s">
        <v>1925</v>
      </c>
      <c r="B11" s="4" t="s">
        <v>1926</v>
      </c>
      <c r="C11" s="4" t="s">
        <v>1283</v>
      </c>
      <c r="D11" s="4">
        <v>26</v>
      </c>
      <c r="E11" s="4">
        <v>1577</v>
      </c>
      <c r="F11" s="4">
        <v>36.9</v>
      </c>
      <c r="G11" s="4">
        <v>25.6</v>
      </c>
      <c r="H11" s="4">
        <v>1.6</v>
      </c>
      <c r="I11" s="4" t="s">
        <v>1927</v>
      </c>
      <c r="J11" s="4"/>
      <c r="K11" s="4"/>
    </row>
    <row r="12" ht="16" customHeight="1">
      <c r="A12" s="3" t="s">
        <v>1928</v>
      </c>
      <c r="B12" s="3" t="s">
        <v>1920</v>
      </c>
      <c r="C12" s="3" t="s">
        <v>1283</v>
      </c>
      <c r="D12" s="3">
        <v>38</v>
      </c>
      <c r="E12" s="3">
        <v>1451</v>
      </c>
      <c r="F12" s="3">
        <v>64.8</v>
      </c>
      <c r="G12" s="3">
        <v>31.2</v>
      </c>
      <c r="H12" s="3">
        <v>105</v>
      </c>
      <c r="I12" s="3" t="s">
        <v>1929</v>
      </c>
    </row>
  </sheetData>
  <headerFooter/>
</worksheet>
</file>

<file path=xl/worksheets/sheet26.xml><?xml version="1.0" encoding="utf-8"?>
<worksheet xmlns:r="http://schemas.openxmlformats.org/officeDocument/2006/relationships" xmlns="http://schemas.openxmlformats.org/spreadsheetml/2006/main">
  <dimension ref="A1:J14"/>
  <sheetViews>
    <sheetView workbookViewId="0"/>
  </sheetViews>
  <sheetFormatPr defaultRowHeight="15"/>
  <cols>
    <col min="1" max="1" width="171.689605712891" customWidth="1" style="3"/>
    <col min="2" max="2" width="9.140625" customWidth="1" style="3"/>
    <col min="3" max="3" width="9.140625" customWidth="1" style="3"/>
    <col min="4" max="4" width="9.140625" customWidth="1" style="3"/>
    <col min="5" max="5" width="12.2712020874023" customWidth="1" style="3"/>
    <col min="6" max="6" width="11.0959787368774" customWidth="1" style="3"/>
    <col min="7" max="7" width="12.5666818618774" customWidth="1" style="3"/>
    <col min="8" max="16384" width="9.140625" customWidth="1" style="3"/>
    <col min="9" max="16384" width="9.140625" customWidth="1" style="3"/>
    <col min="10" max="16384" width="9.140625" customWidth="1" style="3"/>
  </cols>
  <sheetData>
    <row r="1" ht="20" customHeight="1" s="1" customFormat="1">
      <c r="A1" s="2" t="s">
        <v>1902</v>
      </c>
      <c r="B1" s="2" t="s">
        <v>1904</v>
      </c>
      <c r="C1" s="2" t="s">
        <v>1048</v>
      </c>
      <c r="D1" s="2" t="s">
        <v>1050</v>
      </c>
      <c r="E1" s="2" t="s">
        <v>1930</v>
      </c>
      <c r="F1" s="2" t="s">
        <v>1931</v>
      </c>
      <c r="G1" s="2" t="s">
        <v>1133</v>
      </c>
      <c r="H1" s="2" t="s">
        <v>1932</v>
      </c>
    </row>
    <row r="2" ht="16" customHeight="1" s="4" customFormat="1">
      <c r="A2" s="4" t="s">
        <v>10</v>
      </c>
      <c r="B2" s="4" t="s">
        <v>1283</v>
      </c>
      <c r="C2" s="4">
        <v>156643</v>
      </c>
      <c r="D2" s="4">
        <v>46018</v>
      </c>
      <c r="E2" s="4">
        <v>1.6</v>
      </c>
      <c r="F2" s="4">
        <v>9.8</v>
      </c>
      <c r="G2" s="4">
        <v>0.69</v>
      </c>
      <c r="H2" s="4">
        <v>1.4</v>
      </c>
      <c r="I2" s="4"/>
      <c r="J2" s="4"/>
    </row>
    <row r="3" ht="16" customHeight="1" s="4" customFormat="1">
      <c r="A3" s="4" t="s">
        <v>1933</v>
      </c>
      <c r="B3" s="4"/>
      <c r="C3" s="4"/>
      <c r="D3" s="4"/>
      <c r="E3" s="4"/>
      <c r="F3" s="4"/>
      <c r="G3" s="4"/>
      <c r="H3" s="4"/>
      <c r="I3" s="4"/>
      <c r="J3" s="4"/>
    </row>
    <row r="4" ht="16" customHeight="1" s="4" customFormat="1">
      <c r="A4" s="4" t="s">
        <v>1917</v>
      </c>
      <c r="B4" s="4" t="s">
        <v>1283</v>
      </c>
      <c r="C4" s="4">
        <v>6</v>
      </c>
      <c r="D4" s="4">
        <v>3</v>
      </c>
      <c r="E4" s="4">
        <v>2</v>
      </c>
      <c r="F4" s="4">
        <v>2</v>
      </c>
      <c r="G4" s="4">
        <v>7</v>
      </c>
      <c r="H4" s="4">
        <v>2</v>
      </c>
      <c r="I4" s="4"/>
      <c r="J4" s="4"/>
    </row>
    <row r="5" ht="16" customHeight="1" s="4" customFormat="1">
      <c r="A5" s="4" t="s">
        <v>94</v>
      </c>
      <c r="B5" s="4" t="s">
        <v>1283</v>
      </c>
      <c r="C5" s="4">
        <v>2</v>
      </c>
      <c r="D5" s="4">
        <v>2</v>
      </c>
      <c r="E5" s="4">
        <v>3</v>
      </c>
      <c r="F5" s="4">
        <v>1</v>
      </c>
      <c r="G5" s="4">
        <v>10</v>
      </c>
      <c r="H5" s="4">
        <v>7</v>
      </c>
      <c r="I5" s="4"/>
      <c r="J5" s="4"/>
    </row>
    <row r="6" ht="16" customHeight="1" s="4" customFormat="1">
      <c r="A6" s="4" t="s">
        <v>1919</v>
      </c>
      <c r="B6" s="4" t="s">
        <v>1283</v>
      </c>
      <c r="C6" s="4">
        <v>7</v>
      </c>
      <c r="D6" s="4">
        <v>7</v>
      </c>
      <c r="E6" s="4">
        <v>4</v>
      </c>
      <c r="F6" s="4">
        <v>6</v>
      </c>
      <c r="G6" s="4">
        <v>2</v>
      </c>
      <c r="H6" s="4">
        <v>3</v>
      </c>
      <c r="I6" s="4"/>
      <c r="J6" s="4"/>
    </row>
    <row r="7" ht="16" customHeight="1" s="4" customFormat="1">
      <c r="A7" s="4" t="s">
        <v>10</v>
      </c>
      <c r="B7" s="4" t="s">
        <v>1283</v>
      </c>
      <c r="C7" s="4">
        <v>1</v>
      </c>
      <c r="D7" s="4">
        <v>1</v>
      </c>
      <c r="E7" s="4">
        <v>6</v>
      </c>
      <c r="F7" s="4">
        <v>3</v>
      </c>
      <c r="G7" s="4">
        <v>11</v>
      </c>
      <c r="H7" s="4">
        <v>11</v>
      </c>
      <c r="I7" s="4"/>
      <c r="J7" s="4"/>
    </row>
    <row r="8" ht="16" customHeight="1" s="4" customFormat="1">
      <c r="A8" s="4" t="s">
        <v>1925</v>
      </c>
      <c r="B8" s="4" t="s">
        <v>1283</v>
      </c>
      <c r="C8" s="4">
        <v>10</v>
      </c>
      <c r="D8" s="4">
        <v>11</v>
      </c>
      <c r="E8" s="4">
        <v>1</v>
      </c>
      <c r="F8" s="4">
        <v>9</v>
      </c>
      <c r="G8" s="4">
        <v>1</v>
      </c>
      <c r="H8" s="4">
        <v>1</v>
      </c>
      <c r="I8" s="4"/>
      <c r="J8" s="4"/>
    </row>
    <row r="9" ht="16" customHeight="1" s="4" customFormat="1">
      <c r="A9" s="4" t="s">
        <v>1914</v>
      </c>
      <c r="B9" s="4" t="s">
        <v>1283</v>
      </c>
      <c r="C9" s="4">
        <v>5</v>
      </c>
      <c r="D9" s="4">
        <v>6</v>
      </c>
      <c r="E9" s="4">
        <v>9</v>
      </c>
      <c r="F9" s="4">
        <v>4</v>
      </c>
      <c r="G9" s="4">
        <v>6</v>
      </c>
      <c r="H9" s="4">
        <v>6</v>
      </c>
      <c r="I9" s="4"/>
      <c r="J9" s="4"/>
    </row>
    <row r="10" ht="16" customHeight="1" s="4" customFormat="1">
      <c r="A10" s="4" t="s">
        <v>1912</v>
      </c>
      <c r="B10" s="4" t="s">
        <v>1283</v>
      </c>
      <c r="C10" s="4">
        <v>4</v>
      </c>
      <c r="D10" s="4">
        <v>5</v>
      </c>
      <c r="E10" s="4">
        <v>7</v>
      </c>
      <c r="F10" s="4">
        <v>8</v>
      </c>
      <c r="G10" s="4">
        <v>9</v>
      </c>
      <c r="H10" s="4">
        <v>4</v>
      </c>
      <c r="I10" s="4"/>
      <c r="J10" s="4"/>
    </row>
    <row r="11" ht="16" customHeight="1" s="4" customFormat="1">
      <c r="A11" s="4" t="s">
        <v>1910</v>
      </c>
      <c r="B11" s="4" t="s">
        <v>1283</v>
      </c>
      <c r="C11" s="4">
        <v>3</v>
      </c>
      <c r="D11" s="4">
        <v>4</v>
      </c>
      <c r="E11" s="4">
        <v>10</v>
      </c>
      <c r="F11" s="4">
        <v>5</v>
      </c>
      <c r="G11" s="4">
        <v>8</v>
      </c>
      <c r="H11" s="4">
        <v>9</v>
      </c>
      <c r="I11" s="4"/>
      <c r="J11" s="4"/>
    </row>
    <row r="12" ht="16" customHeight="1" s="4" customFormat="1">
      <c r="A12" s="4" t="s">
        <v>1923</v>
      </c>
      <c r="B12" s="4" t="s">
        <v>1283</v>
      </c>
      <c r="C12" s="4">
        <v>9</v>
      </c>
      <c r="D12" s="4">
        <v>8</v>
      </c>
      <c r="E12" s="4">
        <v>5</v>
      </c>
      <c r="F12" s="4">
        <v>10</v>
      </c>
      <c r="G12" s="4">
        <v>3</v>
      </c>
      <c r="H12" s="4">
        <v>5</v>
      </c>
      <c r="I12" s="4"/>
      <c r="J12" s="4"/>
    </row>
    <row r="13" ht="16" customHeight="1" s="4" customFormat="1">
      <c r="A13" s="4" t="s">
        <v>1928</v>
      </c>
      <c r="B13" s="4" t="s">
        <v>1283</v>
      </c>
      <c r="C13" s="4">
        <v>11</v>
      </c>
      <c r="D13" s="4">
        <v>9</v>
      </c>
      <c r="E13" s="4">
        <v>8</v>
      </c>
      <c r="F13" s="4">
        <v>7</v>
      </c>
      <c r="G13" s="4">
        <v>5</v>
      </c>
      <c r="H13" s="4">
        <v>8</v>
      </c>
      <c r="I13" s="4"/>
      <c r="J13" s="4"/>
    </row>
    <row r="14" ht="16" customHeight="1">
      <c r="A14" s="3" t="s">
        <v>1921</v>
      </c>
      <c r="B14" s="3" t="s">
        <v>1283</v>
      </c>
      <c r="C14" s="3">
        <v>8</v>
      </c>
      <c r="D14" s="3">
        <v>10</v>
      </c>
      <c r="E14" s="3">
        <v>11</v>
      </c>
      <c r="F14" s="3">
        <v>11</v>
      </c>
      <c r="G14" s="3">
        <v>4</v>
      </c>
      <c r="H14" s="3">
        <v>10</v>
      </c>
    </row>
  </sheetData>
  <headerFooter/>
</worksheet>
</file>

<file path=xl/worksheets/sheet27.xml><?xml version="1.0" encoding="utf-8"?>
<worksheet xmlns:r="http://schemas.openxmlformats.org/officeDocument/2006/relationships" xmlns="http://schemas.openxmlformats.org/spreadsheetml/2006/main">
  <dimension ref="A1:F51"/>
  <sheetViews>
    <sheetView workbookViewId="0"/>
  </sheetViews>
  <sheetFormatPr defaultRowHeight="15"/>
  <cols>
    <col min="1" max="1" width="118.121932983398" customWidth="1" style="3"/>
    <col min="2" max="2" width="12.0853147506714" customWidth="1" style="3"/>
    <col min="3" max="3" width="1297.02355957031" customWidth="1" style="3"/>
    <col min="4" max="16384" width="934.809387207031" customWidth="1" style="3"/>
    <col min="5" max="16384" width="9.140625" customWidth="1" style="3"/>
    <col min="6" max="16384" width="9.140625" customWidth="1" style="3"/>
  </cols>
  <sheetData>
    <row r="1" ht="20" customHeight="1" s="1" customFormat="1">
      <c r="A1" s="2" t="s">
        <v>1934</v>
      </c>
      <c r="B1" s="2" t="s">
        <v>1935</v>
      </c>
      <c r="C1" s="2" t="s">
        <v>3</v>
      </c>
      <c r="D1" s="2" t="s">
        <v>1936</v>
      </c>
    </row>
    <row r="2" ht="16" customHeight="1" s="4" customFormat="1">
      <c r="A2" s="4" t="s">
        <v>1937</v>
      </c>
      <c r="B2" s="5">
        <v>46136</v>
      </c>
      <c r="C2" s="4" t="s">
        <v>1938</v>
      </c>
      <c r="D2" s="4" t="s">
        <v>1939</v>
      </c>
      <c r="E2" s="4"/>
      <c r="F2" s="4"/>
    </row>
    <row r="3" ht="16" customHeight="1" s="4" customFormat="1">
      <c r="A3" s="4" t="s">
        <v>1940</v>
      </c>
      <c r="B3" s="5">
        <v>46136</v>
      </c>
      <c r="C3" s="4" t="s">
        <v>1941</v>
      </c>
      <c r="D3" s="4" t="s">
        <v>1942</v>
      </c>
      <c r="E3" s="4"/>
      <c r="F3" s="4"/>
    </row>
    <row r="4" ht="16" customHeight="1" s="4" customFormat="1">
      <c r="A4" s="4" t="s">
        <v>1943</v>
      </c>
      <c r="B4" s="5">
        <v>46136</v>
      </c>
      <c r="C4" s="4" t="s">
        <v>1944</v>
      </c>
      <c r="D4" s="4" t="s">
        <v>1945</v>
      </c>
      <c r="E4" s="4"/>
      <c r="F4" s="4"/>
    </row>
    <row r="5" ht="16" customHeight="1" s="4" customFormat="1">
      <c r="A5" s="4" t="s">
        <v>1946</v>
      </c>
      <c r="B5" s="5">
        <v>46136</v>
      </c>
      <c r="C5" s="4" t="s">
        <v>1947</v>
      </c>
      <c r="D5" s="4" t="s">
        <v>1948</v>
      </c>
      <c r="E5" s="4"/>
      <c r="F5" s="4"/>
    </row>
    <row r="6" ht="16" customHeight="1" s="4" customFormat="1">
      <c r="A6" s="4" t="s">
        <v>1949</v>
      </c>
      <c r="B6" s="5">
        <v>46136</v>
      </c>
      <c r="C6" s="4" t="s">
        <v>1950</v>
      </c>
      <c r="D6" s="4" t="s">
        <v>1951</v>
      </c>
      <c r="E6" s="4"/>
      <c r="F6" s="4"/>
    </row>
    <row r="7" ht="16" customHeight="1" s="4" customFormat="1">
      <c r="A7" s="4" t="s">
        <v>1952</v>
      </c>
      <c r="B7" s="5">
        <v>46136</v>
      </c>
      <c r="C7" s="4" t="s">
        <v>1953</v>
      </c>
      <c r="D7" s="4" t="s">
        <v>1954</v>
      </c>
      <c r="E7" s="4"/>
      <c r="F7" s="4"/>
    </row>
    <row r="8" ht="16" customHeight="1" s="4" customFormat="1">
      <c r="A8" s="4" t="s">
        <v>1955</v>
      </c>
      <c r="B8" s="5">
        <v>46136</v>
      </c>
      <c r="C8" s="4" t="s">
        <v>1956</v>
      </c>
      <c r="D8" s="4" t="s">
        <v>1957</v>
      </c>
      <c r="E8" s="4"/>
      <c r="F8" s="4"/>
    </row>
    <row r="9" ht="16" customHeight="1" s="4" customFormat="1">
      <c r="A9" s="4" t="s">
        <v>1958</v>
      </c>
      <c r="B9" s="5">
        <v>46136</v>
      </c>
      <c r="C9" s="4" t="s">
        <v>1959</v>
      </c>
      <c r="D9" s="4" t="s">
        <v>1960</v>
      </c>
      <c r="E9" s="4"/>
      <c r="F9" s="4"/>
    </row>
    <row r="10" ht="16" customHeight="1" s="4" customFormat="1">
      <c r="A10" s="4" t="s">
        <v>1961</v>
      </c>
      <c r="B10" s="5">
        <v>46136</v>
      </c>
      <c r="C10" s="4" t="s">
        <v>1962</v>
      </c>
      <c r="D10" s="4" t="s">
        <v>1963</v>
      </c>
      <c r="E10" s="4"/>
      <c r="F10" s="4"/>
    </row>
    <row r="11" ht="16" customHeight="1" s="4" customFormat="1">
      <c r="A11" s="4" t="s">
        <v>1964</v>
      </c>
      <c r="B11" s="5">
        <v>46135</v>
      </c>
      <c r="C11" s="4" t="s">
        <v>1965</v>
      </c>
      <c r="D11" s="4" t="s">
        <v>1966</v>
      </c>
      <c r="E11" s="4"/>
      <c r="F11" s="4"/>
    </row>
    <row r="12" ht="16" customHeight="1" s="4" customFormat="1">
      <c r="A12" s="4" t="s">
        <v>1967</v>
      </c>
      <c r="B12" s="5">
        <v>46135</v>
      </c>
      <c r="C12" s="4" t="s">
        <v>1968</v>
      </c>
      <c r="D12" s="4" t="s">
        <v>1969</v>
      </c>
      <c r="E12" s="4"/>
      <c r="F12" s="4"/>
    </row>
    <row r="13" ht="16" customHeight="1" s="4" customFormat="1">
      <c r="A13" s="4" t="s">
        <v>1970</v>
      </c>
      <c r="B13" s="5">
        <v>46135</v>
      </c>
      <c r="C13" s="4" t="s">
        <v>1971</v>
      </c>
      <c r="D13" s="4" t="s">
        <v>1972</v>
      </c>
      <c r="E13" s="4"/>
      <c r="F13" s="4"/>
    </row>
    <row r="14" ht="16" customHeight="1" s="4" customFormat="1">
      <c r="A14" s="4" t="s">
        <v>1973</v>
      </c>
      <c r="B14" s="5">
        <v>46135</v>
      </c>
      <c r="C14" s="4" t="s">
        <v>1974</v>
      </c>
      <c r="D14" s="4" t="s">
        <v>1975</v>
      </c>
      <c r="E14" s="4"/>
      <c r="F14" s="4"/>
    </row>
    <row r="15" ht="16" customHeight="1" s="4" customFormat="1">
      <c r="A15" s="4" t="s">
        <v>1976</v>
      </c>
      <c r="B15" s="5">
        <v>46135</v>
      </c>
      <c r="C15" s="4" t="s">
        <v>1977</v>
      </c>
      <c r="D15" s="4" t="s">
        <v>1978</v>
      </c>
      <c r="E15" s="4"/>
      <c r="F15" s="4"/>
    </row>
    <row r="16" ht="16" customHeight="1" s="4" customFormat="1">
      <c r="A16" s="4" t="s">
        <v>1979</v>
      </c>
      <c r="B16" s="5">
        <v>46135</v>
      </c>
      <c r="C16" s="4" t="s">
        <v>1980</v>
      </c>
      <c r="D16" s="4" t="s">
        <v>1981</v>
      </c>
      <c r="E16" s="4"/>
      <c r="F16" s="4"/>
    </row>
    <row r="17" ht="16" customHeight="1" s="4" customFormat="1">
      <c r="A17" s="4" t="s">
        <v>1982</v>
      </c>
      <c r="B17" s="5">
        <v>46135</v>
      </c>
      <c r="C17" s="4" t="s">
        <v>1983</v>
      </c>
      <c r="D17" s="4" t="s">
        <v>1984</v>
      </c>
      <c r="E17" s="4"/>
      <c r="F17" s="4"/>
    </row>
    <row r="18" ht="16" customHeight="1" s="4" customFormat="1">
      <c r="A18" s="4" t="s">
        <v>1985</v>
      </c>
      <c r="B18" s="5">
        <v>46135</v>
      </c>
      <c r="C18" s="4" t="s">
        <v>1986</v>
      </c>
      <c r="D18" s="4" t="s">
        <v>1987</v>
      </c>
      <c r="E18" s="4"/>
      <c r="F18" s="4"/>
    </row>
    <row r="19" ht="16" customHeight="1" s="4" customFormat="1">
      <c r="A19" s="4" t="s">
        <v>1988</v>
      </c>
      <c r="B19" s="5">
        <v>46135</v>
      </c>
      <c r="C19" s="4" t="s">
        <v>1989</v>
      </c>
      <c r="D19" s="4" t="s">
        <v>1990</v>
      </c>
      <c r="E19" s="4"/>
      <c r="F19" s="4"/>
    </row>
    <row r="20" ht="16" customHeight="1" s="4" customFormat="1">
      <c r="A20" s="4" t="s">
        <v>1991</v>
      </c>
      <c r="B20" s="5">
        <v>46135</v>
      </c>
      <c r="C20" s="4" t="s">
        <v>1992</v>
      </c>
      <c r="D20" s="4" t="s">
        <v>1993</v>
      </c>
      <c r="E20" s="4"/>
      <c r="F20" s="4"/>
    </row>
    <row r="21" ht="16" customHeight="1" s="4" customFormat="1">
      <c r="A21" s="4" t="s">
        <v>1994</v>
      </c>
      <c r="B21" s="5">
        <v>46135</v>
      </c>
      <c r="C21" s="4" t="s">
        <v>1995</v>
      </c>
      <c r="D21" s="4" t="s">
        <v>1996</v>
      </c>
      <c r="E21" s="4"/>
      <c r="F21" s="4"/>
    </row>
    <row r="22" ht="16" customHeight="1" s="4" customFormat="1">
      <c r="A22" s="4" t="s">
        <v>1997</v>
      </c>
      <c r="B22" s="5">
        <v>46135</v>
      </c>
      <c r="C22" s="4" t="s">
        <v>1998</v>
      </c>
      <c r="D22" s="4" t="s">
        <v>1999</v>
      </c>
      <c r="E22" s="4"/>
      <c r="F22" s="4"/>
    </row>
    <row r="23" ht="16" customHeight="1" s="4" customFormat="1">
      <c r="A23" s="4" t="s">
        <v>2000</v>
      </c>
      <c r="B23" s="5">
        <v>46135</v>
      </c>
      <c r="C23" s="4" t="s">
        <v>2001</v>
      </c>
      <c r="D23" s="4" t="s">
        <v>2002</v>
      </c>
      <c r="E23" s="4"/>
      <c r="F23" s="4"/>
    </row>
    <row r="24" ht="16" customHeight="1" s="4" customFormat="1">
      <c r="A24" s="4" t="s">
        <v>2003</v>
      </c>
      <c r="B24" s="5">
        <v>46135</v>
      </c>
      <c r="C24" s="4" t="s">
        <v>2004</v>
      </c>
      <c r="D24" s="4" t="s">
        <v>2005</v>
      </c>
      <c r="E24" s="4"/>
      <c r="F24" s="4"/>
    </row>
    <row r="25" ht="16" customHeight="1" s="4" customFormat="1">
      <c r="A25" s="4" t="s">
        <v>2006</v>
      </c>
      <c r="B25" s="5">
        <v>46135</v>
      </c>
      <c r="C25" s="4" t="s">
        <v>2007</v>
      </c>
      <c r="D25" s="4" t="s">
        <v>2008</v>
      </c>
      <c r="E25" s="4"/>
      <c r="F25" s="4"/>
    </row>
    <row r="26" ht="16" customHeight="1" s="4" customFormat="1">
      <c r="A26" s="4" t="s">
        <v>2009</v>
      </c>
      <c r="B26" s="5">
        <v>46134</v>
      </c>
      <c r="C26" s="4" t="s">
        <v>1956</v>
      </c>
      <c r="D26" s="4" t="s">
        <v>2010</v>
      </c>
      <c r="E26" s="4"/>
      <c r="F26" s="4"/>
    </row>
    <row r="27" ht="16" customHeight="1" s="4" customFormat="1">
      <c r="A27" s="4" t="s">
        <v>2011</v>
      </c>
      <c r="B27" s="5">
        <v>46134</v>
      </c>
      <c r="C27" s="4" t="s">
        <v>2012</v>
      </c>
      <c r="D27" s="4" t="s">
        <v>2013</v>
      </c>
      <c r="E27" s="4"/>
      <c r="F27" s="4"/>
    </row>
    <row r="28" ht="16" customHeight="1" s="4" customFormat="1">
      <c r="A28" s="4" t="s">
        <v>2014</v>
      </c>
      <c r="B28" s="5">
        <v>46134</v>
      </c>
      <c r="C28" s="4" t="s">
        <v>2015</v>
      </c>
      <c r="D28" s="4" t="s">
        <v>2016</v>
      </c>
      <c r="E28" s="4"/>
      <c r="F28" s="4"/>
    </row>
    <row r="29" ht="16" customHeight="1" s="4" customFormat="1">
      <c r="A29" s="4" t="s">
        <v>2017</v>
      </c>
      <c r="B29" s="5">
        <v>46134</v>
      </c>
      <c r="C29" s="4" t="s">
        <v>2018</v>
      </c>
      <c r="D29" s="4" t="s">
        <v>2019</v>
      </c>
      <c r="E29" s="4"/>
      <c r="F29" s="4"/>
    </row>
    <row r="30" ht="16" customHeight="1" s="4" customFormat="1">
      <c r="A30" s="4" t="s">
        <v>2020</v>
      </c>
      <c r="B30" s="5">
        <v>46134</v>
      </c>
      <c r="C30" s="4" t="s">
        <v>2015</v>
      </c>
      <c r="D30" s="4" t="s">
        <v>2021</v>
      </c>
      <c r="E30" s="4"/>
      <c r="F30" s="4"/>
    </row>
    <row r="31" ht="16" customHeight="1" s="4" customFormat="1">
      <c r="A31" s="4" t="s">
        <v>2022</v>
      </c>
      <c r="B31" s="5">
        <v>46134</v>
      </c>
      <c r="C31" s="4" t="s">
        <v>2023</v>
      </c>
      <c r="D31" s="4" t="s">
        <v>2024</v>
      </c>
      <c r="E31" s="4"/>
      <c r="F31" s="4"/>
    </row>
    <row r="32" ht="16" customHeight="1" s="4" customFormat="1">
      <c r="A32" s="4" t="s">
        <v>2025</v>
      </c>
      <c r="B32" s="5">
        <v>46134</v>
      </c>
      <c r="C32" s="4" t="s">
        <v>2026</v>
      </c>
      <c r="D32" s="4" t="s">
        <v>2027</v>
      </c>
      <c r="E32" s="4"/>
      <c r="F32" s="4"/>
    </row>
    <row r="33" ht="16" customHeight="1" s="4" customFormat="1">
      <c r="A33" s="4" t="s">
        <v>2028</v>
      </c>
      <c r="B33" s="5">
        <v>46134</v>
      </c>
      <c r="C33" s="4" t="s">
        <v>2029</v>
      </c>
      <c r="D33" s="4" t="s">
        <v>2030</v>
      </c>
      <c r="E33" s="4"/>
      <c r="F33" s="4"/>
    </row>
    <row r="34" ht="16" customHeight="1" s="4" customFormat="1">
      <c r="A34" s="4" t="s">
        <v>2031</v>
      </c>
      <c r="B34" s="5">
        <v>46134</v>
      </c>
      <c r="C34" s="4" t="s">
        <v>2015</v>
      </c>
      <c r="D34" s="4" t="s">
        <v>2032</v>
      </c>
      <c r="E34" s="4"/>
      <c r="F34" s="4"/>
    </row>
    <row r="35" ht="16" customHeight="1" s="4" customFormat="1">
      <c r="A35" s="4" t="s">
        <v>2033</v>
      </c>
      <c r="B35" s="5">
        <v>46134</v>
      </c>
      <c r="C35" s="4" t="s">
        <v>2034</v>
      </c>
      <c r="D35" s="4" t="s">
        <v>2035</v>
      </c>
      <c r="E35" s="4"/>
      <c r="F35" s="4"/>
    </row>
    <row r="36" ht="16" customHeight="1" s="4" customFormat="1">
      <c r="A36" s="4" t="s">
        <v>2036</v>
      </c>
      <c r="B36" s="5">
        <v>46134</v>
      </c>
      <c r="C36" s="4" t="s">
        <v>1992</v>
      </c>
      <c r="D36" s="4" t="s">
        <v>2037</v>
      </c>
      <c r="E36" s="4"/>
      <c r="F36" s="4"/>
    </row>
    <row r="37" ht="16" customHeight="1" s="4" customFormat="1">
      <c r="A37" s="4" t="s">
        <v>2038</v>
      </c>
      <c r="B37" s="5">
        <v>46134</v>
      </c>
      <c r="C37" s="4" t="s">
        <v>2015</v>
      </c>
      <c r="D37" s="4" t="s">
        <v>2039</v>
      </c>
      <c r="E37" s="4"/>
      <c r="F37" s="4"/>
    </row>
    <row r="38" ht="16" customHeight="1" s="4" customFormat="1">
      <c r="A38" s="4" t="s">
        <v>2040</v>
      </c>
      <c r="B38" s="5">
        <v>46134</v>
      </c>
      <c r="C38" s="4" t="s">
        <v>2041</v>
      </c>
      <c r="D38" s="4" t="s">
        <v>2042</v>
      </c>
      <c r="E38" s="4"/>
      <c r="F38" s="4"/>
    </row>
    <row r="39" ht="16" customHeight="1" s="4" customFormat="1">
      <c r="A39" s="4" t="s">
        <v>2043</v>
      </c>
      <c r="B39" s="5">
        <v>46134</v>
      </c>
      <c r="C39" s="4" t="s">
        <v>2044</v>
      </c>
      <c r="D39" s="4" t="s">
        <v>2045</v>
      </c>
      <c r="E39" s="4"/>
      <c r="F39" s="4"/>
    </row>
    <row r="40" ht="16" customHeight="1" s="4" customFormat="1">
      <c r="A40" s="4" t="s">
        <v>2046</v>
      </c>
      <c r="B40" s="5">
        <v>46134</v>
      </c>
      <c r="C40" s="4" t="s">
        <v>1950</v>
      </c>
      <c r="D40" s="4" t="s">
        <v>2047</v>
      </c>
      <c r="E40" s="4"/>
      <c r="F40" s="4"/>
    </row>
    <row r="41" ht="16" customHeight="1" s="4" customFormat="1">
      <c r="A41" s="4" t="s">
        <v>2048</v>
      </c>
      <c r="B41" s="5">
        <v>46134</v>
      </c>
      <c r="C41" s="4" t="s">
        <v>2049</v>
      </c>
      <c r="D41" s="4" t="s">
        <v>2050</v>
      </c>
      <c r="E41" s="4"/>
      <c r="F41" s="4"/>
    </row>
    <row r="42" ht="16" customHeight="1" s="4" customFormat="1">
      <c r="A42" s="4" t="s">
        <v>2051</v>
      </c>
      <c r="B42" s="5">
        <v>46134</v>
      </c>
      <c r="C42" s="4" t="s">
        <v>2052</v>
      </c>
      <c r="D42" s="4" t="s">
        <v>2053</v>
      </c>
      <c r="E42" s="4"/>
      <c r="F42" s="4"/>
    </row>
    <row r="43" ht="16" customHeight="1" s="4" customFormat="1">
      <c r="A43" s="4" t="s">
        <v>2054</v>
      </c>
      <c r="B43" s="5">
        <v>46134</v>
      </c>
      <c r="C43" s="4" t="s">
        <v>2055</v>
      </c>
      <c r="D43" s="4" t="s">
        <v>2056</v>
      </c>
      <c r="E43" s="4"/>
      <c r="F43" s="4"/>
    </row>
    <row r="44" ht="16" customHeight="1" s="4" customFormat="1">
      <c r="A44" s="4" t="s">
        <v>2057</v>
      </c>
      <c r="B44" s="5">
        <v>46134</v>
      </c>
      <c r="C44" s="4" t="s">
        <v>2058</v>
      </c>
      <c r="D44" s="4" t="s">
        <v>2059</v>
      </c>
      <c r="E44" s="4"/>
      <c r="F44" s="4"/>
    </row>
    <row r="45" ht="16" customHeight="1" s="4" customFormat="1">
      <c r="A45" s="4" t="s">
        <v>2060</v>
      </c>
      <c r="B45" s="5">
        <v>46134</v>
      </c>
      <c r="C45" s="4" t="s">
        <v>2052</v>
      </c>
      <c r="D45" s="4" t="s">
        <v>2061</v>
      </c>
      <c r="E45" s="4"/>
      <c r="F45" s="4"/>
    </row>
    <row r="46" ht="16" customHeight="1" s="4" customFormat="1">
      <c r="A46" s="4" t="s">
        <v>2062</v>
      </c>
      <c r="B46" s="5">
        <v>46134</v>
      </c>
      <c r="C46" s="4" t="s">
        <v>2063</v>
      </c>
      <c r="D46" s="4" t="s">
        <v>2064</v>
      </c>
      <c r="E46" s="4"/>
      <c r="F46" s="4"/>
    </row>
    <row r="47" ht="16" customHeight="1" s="4" customFormat="1">
      <c r="A47" s="4" t="s">
        <v>2065</v>
      </c>
      <c r="B47" s="5">
        <v>46134</v>
      </c>
      <c r="C47" s="4" t="s">
        <v>2066</v>
      </c>
      <c r="D47" s="4" t="s">
        <v>2067</v>
      </c>
      <c r="E47" s="4"/>
      <c r="F47" s="4"/>
    </row>
    <row r="48" ht="16" customHeight="1" s="4" customFormat="1">
      <c r="A48" s="4" t="s">
        <v>2068</v>
      </c>
      <c r="B48" s="5">
        <v>46134</v>
      </c>
      <c r="C48" s="4" t="s">
        <v>2023</v>
      </c>
      <c r="D48" s="4" t="s">
        <v>2069</v>
      </c>
      <c r="E48" s="4"/>
      <c r="F48" s="4"/>
    </row>
    <row r="49" ht="16" customHeight="1" s="4" customFormat="1">
      <c r="A49" s="4" t="s">
        <v>2070</v>
      </c>
      <c r="B49" s="5">
        <v>46134</v>
      </c>
      <c r="C49" s="4" t="s">
        <v>1956</v>
      </c>
      <c r="D49" s="4" t="s">
        <v>2071</v>
      </c>
      <c r="E49" s="4"/>
      <c r="F49" s="4"/>
    </row>
    <row r="50" ht="16" customHeight="1">
      <c r="A50" s="3" t="s">
        <v>2072</v>
      </c>
      <c r="B50" s="6">
        <v>46134</v>
      </c>
      <c r="C50" s="3" t="s">
        <v>2007</v>
      </c>
      <c r="D50" s="3" t="s">
        <v>2073</v>
      </c>
    </row>
    <row r="51" ht="16" customHeight="1">
      <c r="A51" s="3" t="s">
        <v>2072</v>
      </c>
      <c r="B51" s="6">
        <v>46134</v>
      </c>
      <c r="C51" s="3" t="s">
        <v>2007</v>
      </c>
      <c r="D51" s="3" t="s">
        <v>2074</v>
      </c>
    </row>
  </sheetData>
  <headerFooter/>
</worksheet>
</file>

<file path=xl/worksheets/sheet28.xml><?xml version="1.0" encoding="utf-8"?>
<worksheet xmlns:r="http://schemas.openxmlformats.org/officeDocument/2006/relationships" xmlns="http://schemas.openxmlformats.org/spreadsheetml/2006/main">
  <dimension ref="A1:C2"/>
  <sheetViews>
    <sheetView workbookViewId="0"/>
  </sheetViews>
  <sheetFormatPr defaultRowHeight="15"/>
  <cols>
    <col min="1" max="1" width="17.7234287261963" customWidth="1" style="3"/>
    <col min="2" max="2" width="24.5094203948975" customWidth="1" style="3"/>
    <col min="3" max="16384" width="15.7089796066284" customWidth="1" style="3"/>
    <col min="4" max="16384" width="9.140625" customWidth="1" style="3"/>
    <col min="5" max="16384" width="9.140625" customWidth="1" style="3"/>
  </cols>
  <sheetData>
    <row r="1" ht="16" customHeight="1" s="1" customFormat="1">
      <c r="A1" s="2" t="s">
        <v>9</v>
      </c>
      <c r="B1" s="2" t="s">
        <v>2075</v>
      </c>
      <c r="C1" s="2" t="s">
        <v>2076</v>
      </c>
    </row>
    <row r="2" ht="16" customHeight="1">
      <c r="A2" s="3" t="s">
        <v>10</v>
      </c>
      <c r="B2" s="3" t="s">
        <v>2077</v>
      </c>
      <c r="C2" s="3" t="s">
        <v>2078</v>
      </c>
    </row>
  </sheetData>
  <headerFooter/>
</worksheet>
</file>

<file path=xl/worksheets/sheet29.xml><?xml version="1.0" encoding="utf-8"?>
<worksheet xmlns:r="http://schemas.openxmlformats.org/officeDocument/2006/relationships" xmlns="http://schemas.openxmlformats.org/spreadsheetml/2006/main">
  <dimension ref="A1:F2"/>
  <sheetViews>
    <sheetView workbookViewId="0"/>
  </sheetViews>
  <sheetFormatPr defaultRowHeight="15"/>
  <cols>
    <col min="1" max="1" width="48.0378723144531" customWidth="1" style="3"/>
    <col min="2" max="2" width="12.870005607605" customWidth="1" style="3"/>
    <col min="3" max="3" width="15.218466758728" customWidth="1" style="3"/>
    <col min="4" max="4" width="15.8069152832031" customWidth="1" style="3"/>
    <col min="5" max="5" width="14.416880607605" customWidth="1" style="3"/>
    <col min="6" max="16384" width="9.140625" customWidth="1" style="3"/>
    <col min="7" max="16384" width="9.140625" customWidth="1" style="3"/>
    <col min="8" max="16384" width="9.140625" customWidth="1" style="3"/>
  </cols>
  <sheetData>
    <row r="1" ht="16" customHeight="1" s="1" customFormat="1">
      <c r="A1" s="2" t="s">
        <v>75</v>
      </c>
      <c r="B1" s="2" t="s">
        <v>2079</v>
      </c>
      <c r="C1" s="2" t="s">
        <v>2080</v>
      </c>
      <c r="D1" s="2" t="s">
        <v>2081</v>
      </c>
      <c r="E1" s="2" t="s">
        <v>18</v>
      </c>
      <c r="F1" s="2" t="s">
        <v>1907</v>
      </c>
    </row>
    <row r="2" ht="16" customHeight="1">
      <c r="A2" s="3" t="s">
        <v>2082</v>
      </c>
      <c r="B2" s="3">
        <v>345969258</v>
      </c>
      <c r="C2" s="3"/>
      <c r="D2" s="6">
        <v>43612</v>
      </c>
      <c r="E2" s="3" t="s">
        <v>19</v>
      </c>
      <c r="F2" s="3" t="s">
        <v>1296</v>
      </c>
    </row>
  </sheetData>
  <headerFooter/>
</worksheet>
</file>

<file path=xl/worksheets/sheet30.xml><?xml version="1.0" encoding="utf-8"?>
<worksheet xmlns:r="http://schemas.openxmlformats.org/officeDocument/2006/relationships" xmlns="http://schemas.openxmlformats.org/spreadsheetml/2006/main">
  <dimension ref="A1:Q19"/>
  <sheetViews>
    <sheetView workbookViewId="0"/>
  </sheetViews>
  <sheetFormatPr defaultRowHeight="15"/>
  <cols>
    <col min="1" max="1" width="15.8060779571533" customWidth="1" style="3"/>
    <col min="2" max="2" width="74.1280899047852" customWidth="1" style="3"/>
    <col min="3" max="3" width="17.4911918640137" customWidth="1" style="3"/>
    <col min="4" max="4" width="11.7763500213623" customWidth="1" style="3"/>
    <col min="5" max="5" width="12.870005607605" customWidth="1" style="3"/>
    <col min="6" max="6" width="12.870005607605" customWidth="1" style="3"/>
    <col min="7" max="7" width="12.870005607605" customWidth="1" style="3"/>
    <col min="8" max="8" width="12.870005607605" customWidth="1" style="3"/>
    <col min="9" max="9" width="12.870005607605" customWidth="1" style="3"/>
    <col min="10" max="10" width="12.870005607605" customWidth="1" style="3"/>
    <col min="11" max="11" width="12.870005607605" customWidth="1" style="3"/>
    <col min="12" max="12" width="12.870005607605" customWidth="1" style="3"/>
    <col min="13" max="13" width="12.870005607605" customWidth="1" style="3"/>
    <col min="14" max="14" width="12.870005607605" customWidth="1" style="3"/>
    <col min="15" max="16384" width="12.870005607605" customWidth="1" style="3"/>
    <col min="16" max="16384" width="9.140625" customWidth="1" style="3"/>
    <col min="17" max="16384" width="9.140625" customWidth="1" style="3"/>
  </cols>
  <sheetData>
    <row r="1" ht="20" customHeight="1" s="1" customFormat="1">
      <c r="A1" s="2" t="s">
        <v>2083</v>
      </c>
      <c r="B1" s="2" t="s">
        <v>2084</v>
      </c>
      <c r="C1" s="2" t="s">
        <v>2085</v>
      </c>
      <c r="D1" s="2" t="s">
        <v>2086</v>
      </c>
      <c r="E1" s="2" t="s">
        <v>2087</v>
      </c>
      <c r="F1" s="2" t="s">
        <v>2088</v>
      </c>
      <c r="G1" s="2" t="s">
        <v>2089</v>
      </c>
      <c r="H1" s="2" t="s">
        <v>2090</v>
      </c>
      <c r="I1" s="2" t="s">
        <v>2091</v>
      </c>
      <c r="J1" s="2" t="s">
        <v>2092</v>
      </c>
      <c r="K1" s="2" t="s">
        <v>2093</v>
      </c>
      <c r="L1" s="2" t="s">
        <v>2094</v>
      </c>
      <c r="M1" s="2" t="s">
        <v>2095</v>
      </c>
      <c r="N1" s="2" t="s">
        <v>266</v>
      </c>
      <c r="O1" s="2" t="s">
        <v>2096</v>
      </c>
    </row>
    <row r="2" ht="16" customHeight="1" s="4" customFormat="1">
      <c r="A2" s="4"/>
      <c r="B2" s="4"/>
      <c r="C2" s="4" t="s">
        <v>2097</v>
      </c>
      <c r="D2" s="4">
        <v>12964700</v>
      </c>
      <c r="E2" s="4">
        <v>110972455</v>
      </c>
      <c r="F2" s="4">
        <v>110017465</v>
      </c>
      <c r="G2" s="4">
        <v>110643329</v>
      </c>
      <c r="H2" s="4">
        <v>114024173</v>
      </c>
      <c r="I2" s="4">
        <v>115303101</v>
      </c>
      <c r="J2" s="4">
        <v>115284556</v>
      </c>
      <c r="K2" s="4">
        <v>118520225</v>
      </c>
      <c r="L2" s="4">
        <v>125666644</v>
      </c>
      <c r="M2" s="4">
        <v>120004839</v>
      </c>
      <c r="N2" s="4">
        <v>121871649</v>
      </c>
      <c r="O2" s="4">
        <v>121270180</v>
      </c>
      <c r="P2" s="4"/>
      <c r="Q2" s="4"/>
    </row>
    <row r="3" ht="16" customHeight="1" s="4" customFormat="1">
      <c r="A3" s="4"/>
      <c r="B3" s="4"/>
      <c r="C3" s="4" t="s">
        <v>2098</v>
      </c>
      <c r="D3" s="4">
        <v>1178</v>
      </c>
      <c r="E3" s="4">
        <v>7847</v>
      </c>
      <c r="F3" s="4">
        <v>7699</v>
      </c>
      <c r="G3" s="4">
        <v>7958</v>
      </c>
      <c r="H3" s="4">
        <v>8022</v>
      </c>
      <c r="I3" s="4">
        <v>8040</v>
      </c>
      <c r="J3" s="4">
        <v>8069</v>
      </c>
      <c r="K3" s="4">
        <v>8439</v>
      </c>
      <c r="L3" s="4">
        <v>8358</v>
      </c>
      <c r="M3" s="4">
        <v>8608</v>
      </c>
      <c r="N3" s="4">
        <v>8624</v>
      </c>
      <c r="O3" s="4">
        <v>9650</v>
      </c>
      <c r="P3" s="4"/>
      <c r="Q3" s="4"/>
    </row>
    <row r="4" ht="16" customHeight="1" s="4" customFormat="1">
      <c r="A4" s="4" t="s">
        <v>2099</v>
      </c>
      <c r="B4" s="4" t="s">
        <v>2100</v>
      </c>
      <c r="C4" s="4" t="s">
        <v>1749</v>
      </c>
      <c r="D4" s="4">
        <v>12964700</v>
      </c>
      <c r="E4" s="4">
        <v>12929400</v>
      </c>
      <c r="F4" s="4">
        <v>13135300</v>
      </c>
      <c r="G4" s="4">
        <v>13109700</v>
      </c>
      <c r="H4" s="4">
        <v>13452600</v>
      </c>
      <c r="I4" s="4">
        <v>13427500</v>
      </c>
      <c r="J4" s="4">
        <v>12447200</v>
      </c>
      <c r="K4" s="4">
        <v>12984400</v>
      </c>
      <c r="L4" s="4">
        <v>13792800</v>
      </c>
      <c r="M4" s="4">
        <v>12308600</v>
      </c>
      <c r="N4" s="4">
        <v>12647900</v>
      </c>
      <c r="O4" s="4">
        <v>12506800</v>
      </c>
      <c r="P4" s="4"/>
      <c r="Q4" s="4"/>
    </row>
    <row r="5" ht="16" customHeight="1" s="4" customFormat="1">
      <c r="A5" s="4" t="s">
        <v>2099</v>
      </c>
      <c r="B5" s="4" t="s">
        <v>2100</v>
      </c>
      <c r="C5" s="4" t="s">
        <v>2101</v>
      </c>
      <c r="D5" s="4">
        <v>1178</v>
      </c>
      <c r="E5" s="4">
        <v>1183</v>
      </c>
      <c r="F5" s="4">
        <v>1188</v>
      </c>
      <c r="G5" s="4">
        <v>1203</v>
      </c>
      <c r="H5" s="4">
        <v>1215</v>
      </c>
      <c r="I5" s="4">
        <v>1229</v>
      </c>
      <c r="J5" s="4">
        <v>1172</v>
      </c>
      <c r="K5" s="4">
        <v>1273</v>
      </c>
      <c r="L5" s="4">
        <v>1231</v>
      </c>
      <c r="M5" s="4">
        <v>1203</v>
      </c>
      <c r="N5" s="4">
        <v>1219</v>
      </c>
      <c r="O5" s="4">
        <v>1220</v>
      </c>
      <c r="P5" s="4"/>
      <c r="Q5" s="4"/>
    </row>
    <row r="6" ht="16" customHeight="1" s="4" customFormat="1">
      <c r="A6" s="4" t="s">
        <v>2102</v>
      </c>
      <c r="B6" s="4" t="s">
        <v>2103</v>
      </c>
      <c r="C6" s="4" t="s">
        <v>1749</v>
      </c>
      <c r="D6" s="4"/>
      <c r="E6" s="4">
        <v>38501900</v>
      </c>
      <c r="F6" s="4">
        <v>37143100</v>
      </c>
      <c r="G6" s="4">
        <v>37400100</v>
      </c>
      <c r="H6" s="4">
        <v>40663000</v>
      </c>
      <c r="I6" s="4">
        <v>41687700</v>
      </c>
      <c r="J6" s="4">
        <v>41754800</v>
      </c>
      <c r="K6" s="4">
        <v>43170300</v>
      </c>
      <c r="L6" s="4">
        <v>45094500</v>
      </c>
      <c r="M6" s="4">
        <v>45236300</v>
      </c>
      <c r="N6" s="4">
        <v>45595800</v>
      </c>
      <c r="O6" s="4">
        <v>45148500</v>
      </c>
      <c r="P6" s="4"/>
      <c r="Q6" s="4"/>
    </row>
    <row r="7" ht="16" customHeight="1" s="4" customFormat="1">
      <c r="A7" s="4" t="s">
        <v>2102</v>
      </c>
      <c r="B7" s="4" t="s">
        <v>2103</v>
      </c>
      <c r="C7" s="4" t="s">
        <v>2101</v>
      </c>
      <c r="D7" s="4"/>
      <c r="E7" s="4">
        <v>992</v>
      </c>
      <c r="F7" s="4">
        <v>1008</v>
      </c>
      <c r="G7" s="4">
        <v>1030</v>
      </c>
      <c r="H7" s="4">
        <v>1055</v>
      </c>
      <c r="I7" s="4">
        <v>1068</v>
      </c>
      <c r="J7" s="4">
        <v>1058</v>
      </c>
      <c r="K7" s="4">
        <v>1079</v>
      </c>
      <c r="L7" s="4">
        <v>1122</v>
      </c>
      <c r="M7" s="4">
        <v>1191</v>
      </c>
      <c r="N7" s="4">
        <v>1223</v>
      </c>
      <c r="O7" s="4">
        <v>2215</v>
      </c>
      <c r="P7" s="4"/>
      <c r="Q7" s="4"/>
    </row>
    <row r="8" ht="16" customHeight="1" s="4" customFormat="1">
      <c r="A8" s="4" t="s">
        <v>2104</v>
      </c>
      <c r="B8" s="4" t="s">
        <v>2105</v>
      </c>
      <c r="C8" s="4" t="s">
        <v>1749</v>
      </c>
      <c r="D8" s="4"/>
      <c r="E8" s="4">
        <v>12895300</v>
      </c>
      <c r="F8" s="4">
        <v>12780600</v>
      </c>
      <c r="G8" s="4">
        <v>13113100</v>
      </c>
      <c r="H8" s="4">
        <v>12985300</v>
      </c>
      <c r="I8" s="4">
        <v>12741400</v>
      </c>
      <c r="J8" s="4">
        <v>12857600</v>
      </c>
      <c r="K8" s="4">
        <v>13503900</v>
      </c>
      <c r="L8" s="4">
        <v>13969400</v>
      </c>
      <c r="M8" s="4">
        <v>13496400</v>
      </c>
      <c r="N8" s="4">
        <v>13707700</v>
      </c>
      <c r="O8" s="4">
        <v>14515900</v>
      </c>
      <c r="P8" s="4"/>
      <c r="Q8" s="4"/>
    </row>
    <row r="9" ht="16" customHeight="1" s="4" customFormat="1">
      <c r="A9" s="4" t="s">
        <v>2104</v>
      </c>
      <c r="B9" s="4" t="s">
        <v>2105</v>
      </c>
      <c r="C9" s="4" t="s">
        <v>2101</v>
      </c>
      <c r="D9" s="4"/>
      <c r="E9" s="4">
        <v>563</v>
      </c>
      <c r="F9" s="4">
        <v>568</v>
      </c>
      <c r="G9" s="4">
        <v>562</v>
      </c>
      <c r="H9" s="4">
        <v>562</v>
      </c>
      <c r="I9" s="4">
        <v>546</v>
      </c>
      <c r="J9" s="4">
        <v>561</v>
      </c>
      <c r="K9" s="4">
        <v>581</v>
      </c>
      <c r="L9" s="4">
        <v>573</v>
      </c>
      <c r="M9" s="4">
        <v>778</v>
      </c>
      <c r="N9" s="4">
        <v>789</v>
      </c>
      <c r="O9" s="4">
        <v>790</v>
      </c>
      <c r="P9" s="4"/>
      <c r="Q9" s="4"/>
    </row>
    <row r="10" ht="16" customHeight="1" s="4" customFormat="1">
      <c r="A10" s="4" t="s">
        <v>2106</v>
      </c>
      <c r="B10" s="4" t="s">
        <v>2107</v>
      </c>
      <c r="C10" s="4" t="s">
        <v>1749</v>
      </c>
      <c r="D10" s="4"/>
      <c r="E10" s="4">
        <v>4069860</v>
      </c>
      <c r="F10" s="4">
        <v>4099870</v>
      </c>
      <c r="G10" s="4">
        <v>4051810</v>
      </c>
      <c r="H10" s="4">
        <v>4109320</v>
      </c>
      <c r="I10" s="4">
        <v>4166590</v>
      </c>
      <c r="J10" s="4">
        <v>4072010</v>
      </c>
      <c r="K10" s="4">
        <v>4154940</v>
      </c>
      <c r="L10" s="4">
        <v>4235000</v>
      </c>
      <c r="M10" s="4">
        <v>4245630</v>
      </c>
      <c r="N10" s="4">
        <v>4239950</v>
      </c>
      <c r="O10" s="4">
        <v>4262620</v>
      </c>
      <c r="P10" s="4"/>
      <c r="Q10" s="4"/>
    </row>
    <row r="11" ht="16" customHeight="1" s="4" customFormat="1">
      <c r="A11" s="4" t="s">
        <v>2106</v>
      </c>
      <c r="B11" s="4" t="s">
        <v>2107</v>
      </c>
      <c r="C11" s="4" t="s">
        <v>2101</v>
      </c>
      <c r="D11" s="4"/>
      <c r="E11" s="4">
        <v>278</v>
      </c>
      <c r="F11" s="4">
        <v>279</v>
      </c>
      <c r="G11" s="4">
        <v>281</v>
      </c>
      <c r="H11" s="4">
        <v>285</v>
      </c>
      <c r="I11" s="4">
        <v>283</v>
      </c>
      <c r="J11" s="4">
        <v>283</v>
      </c>
      <c r="K11" s="4">
        <v>271</v>
      </c>
      <c r="L11" s="4">
        <v>275</v>
      </c>
      <c r="M11" s="4">
        <v>282</v>
      </c>
      <c r="N11" s="4">
        <v>278</v>
      </c>
      <c r="O11" s="4">
        <v>283</v>
      </c>
      <c r="P11" s="4"/>
      <c r="Q11" s="4"/>
    </row>
    <row r="12" ht="16" customHeight="1" s="4" customFormat="1">
      <c r="A12" s="4" t="s">
        <v>2108</v>
      </c>
      <c r="B12" s="4" t="s">
        <v>2109</v>
      </c>
      <c r="C12" s="4" t="s">
        <v>1749</v>
      </c>
      <c r="D12" s="4"/>
      <c r="E12" s="4">
        <v>38610300</v>
      </c>
      <c r="F12" s="4">
        <v>38885500</v>
      </c>
      <c r="G12" s="4">
        <v>38998400</v>
      </c>
      <c r="H12" s="4">
        <v>38871600</v>
      </c>
      <c r="I12" s="4">
        <v>39314800</v>
      </c>
      <c r="J12" s="4">
        <v>40188300</v>
      </c>
      <c r="K12" s="4">
        <v>40726500</v>
      </c>
      <c r="L12" s="4">
        <v>44542000</v>
      </c>
      <c r="M12" s="4">
        <v>40978300</v>
      </c>
      <c r="N12" s="4">
        <v>41899800</v>
      </c>
      <c r="O12" s="4">
        <v>41115300</v>
      </c>
      <c r="P12" s="4"/>
      <c r="Q12" s="4"/>
    </row>
    <row r="13" ht="16" customHeight="1" s="4" customFormat="1">
      <c r="A13" s="4" t="s">
        <v>2108</v>
      </c>
      <c r="B13" s="4" t="s">
        <v>2109</v>
      </c>
      <c r="C13" s="4" t="s">
        <v>2101</v>
      </c>
      <c r="D13" s="4"/>
      <c r="E13" s="4">
        <v>3071</v>
      </c>
      <c r="F13" s="4">
        <v>3084</v>
      </c>
      <c r="G13" s="4">
        <v>3110</v>
      </c>
      <c r="H13" s="4">
        <v>3127</v>
      </c>
      <c r="I13" s="4">
        <v>3136</v>
      </c>
      <c r="J13" s="4">
        <v>3210</v>
      </c>
      <c r="K13" s="4">
        <v>3428</v>
      </c>
      <c r="L13" s="4">
        <v>3325</v>
      </c>
      <c r="M13" s="4">
        <v>3252</v>
      </c>
      <c r="N13" s="4">
        <v>3270</v>
      </c>
      <c r="O13" s="4">
        <v>3294</v>
      </c>
      <c r="P13" s="4"/>
      <c r="Q13" s="4"/>
    </row>
    <row r="14" ht="16" customHeight="1" s="4" customFormat="1">
      <c r="A14" s="4" t="s">
        <v>2110</v>
      </c>
      <c r="B14" s="4" t="s">
        <v>2111</v>
      </c>
      <c r="C14" s="4" t="s">
        <v>1749</v>
      </c>
      <c r="D14" s="4"/>
      <c r="E14" s="4">
        <v>2069310</v>
      </c>
      <c r="F14" s="4">
        <v>2085970</v>
      </c>
      <c r="G14" s="4">
        <v>2092480</v>
      </c>
      <c r="H14" s="4">
        <v>2090470</v>
      </c>
      <c r="I14" s="4">
        <v>2092120</v>
      </c>
      <c r="J14" s="4">
        <v>2100140</v>
      </c>
      <c r="K14" s="4">
        <v>2104230</v>
      </c>
      <c r="L14" s="4">
        <v>2141440</v>
      </c>
      <c r="M14" s="4">
        <v>2190510</v>
      </c>
      <c r="N14" s="4">
        <v>2231580</v>
      </c>
      <c r="O14" s="4">
        <v>2212610</v>
      </c>
      <c r="P14" s="4"/>
      <c r="Q14" s="4"/>
    </row>
    <row r="15" ht="16" customHeight="1" s="4" customFormat="1">
      <c r="A15" s="4" t="s">
        <v>2110</v>
      </c>
      <c r="B15" s="4" t="s">
        <v>2111</v>
      </c>
      <c r="C15" s="4" t="s">
        <v>2101</v>
      </c>
      <c r="D15" s="4"/>
      <c r="E15" s="4">
        <v>1651</v>
      </c>
      <c r="F15" s="4">
        <v>1466</v>
      </c>
      <c r="G15" s="4">
        <v>1665</v>
      </c>
      <c r="H15" s="4">
        <v>1671</v>
      </c>
      <c r="I15" s="4">
        <v>1673</v>
      </c>
      <c r="J15" s="4">
        <v>1678</v>
      </c>
      <c r="K15" s="4">
        <v>1702</v>
      </c>
      <c r="L15" s="4">
        <v>1727</v>
      </c>
      <c r="M15" s="4">
        <v>1802</v>
      </c>
      <c r="N15" s="4">
        <v>1746</v>
      </c>
      <c r="O15" s="4">
        <v>1751</v>
      </c>
      <c r="P15" s="4"/>
      <c r="Q15" s="4"/>
    </row>
    <row r="16" ht="16" customHeight="1" s="4" customFormat="1">
      <c r="A16" s="4" t="s">
        <v>2112</v>
      </c>
      <c r="B16" s="4" t="s">
        <v>2113</v>
      </c>
      <c r="C16" s="4" t="s">
        <v>1749</v>
      </c>
      <c r="D16" s="4"/>
      <c r="E16" s="4">
        <v>186285</v>
      </c>
      <c r="F16" s="4">
        <v>186285</v>
      </c>
      <c r="G16" s="4">
        <v>184649</v>
      </c>
      <c r="H16" s="4">
        <v>178913</v>
      </c>
      <c r="I16" s="4">
        <v>181311</v>
      </c>
      <c r="J16" s="4">
        <v>180336</v>
      </c>
      <c r="K16" s="4">
        <v>181425</v>
      </c>
      <c r="L16" s="4">
        <v>187164</v>
      </c>
      <c r="M16" s="4">
        <v>185719</v>
      </c>
      <c r="N16" s="4">
        <v>187659</v>
      </c>
      <c r="O16" s="4">
        <v>190160</v>
      </c>
      <c r="P16" s="4"/>
      <c r="Q16" s="4"/>
    </row>
    <row r="17" ht="16" customHeight="1" s="4" customFormat="1">
      <c r="A17" s="4" t="s">
        <v>2112</v>
      </c>
      <c r="B17" s="4" t="s">
        <v>2113</v>
      </c>
      <c r="C17" s="4" t="s">
        <v>2101</v>
      </c>
      <c r="D17" s="4"/>
      <c r="E17" s="4">
        <v>17</v>
      </c>
      <c r="F17" s="4">
        <v>17</v>
      </c>
      <c r="G17" s="4">
        <v>17</v>
      </c>
      <c r="H17" s="4">
        <v>16</v>
      </c>
      <c r="I17" s="4">
        <v>16</v>
      </c>
      <c r="J17" s="4">
        <v>16</v>
      </c>
      <c r="K17" s="4">
        <v>16</v>
      </c>
      <c r="L17" s="4">
        <v>17</v>
      </c>
      <c r="M17" s="4">
        <v>21</v>
      </c>
      <c r="N17" s="4">
        <v>22</v>
      </c>
      <c r="O17" s="4">
        <v>22</v>
      </c>
      <c r="P17" s="4"/>
      <c r="Q17" s="4"/>
    </row>
    <row r="18" ht="16" customHeight="1">
      <c r="A18" s="3" t="s">
        <v>2114</v>
      </c>
      <c r="B18" s="3" t="s">
        <v>2115</v>
      </c>
      <c r="C18" s="3" t="s">
        <v>1749</v>
      </c>
      <c r="D18" s="3"/>
      <c r="E18" s="3">
        <v>1710100</v>
      </c>
      <c r="F18" s="3">
        <v>1700840</v>
      </c>
      <c r="G18" s="3">
        <v>1693090</v>
      </c>
      <c r="H18" s="3">
        <v>1672970</v>
      </c>
      <c r="I18" s="3">
        <v>1691680</v>
      </c>
      <c r="J18" s="3">
        <v>1684170</v>
      </c>
      <c r="K18" s="3">
        <v>1694530</v>
      </c>
      <c r="L18" s="3">
        <v>1704340</v>
      </c>
      <c r="M18" s="3">
        <v>1363380</v>
      </c>
      <c r="N18" s="3">
        <v>1361260</v>
      </c>
      <c r="O18" s="3">
        <v>1318290</v>
      </c>
    </row>
    <row r="19" ht="16" customHeight="1">
      <c r="A19" s="3" t="s">
        <v>2114</v>
      </c>
      <c r="B19" s="3" t="s">
        <v>2115</v>
      </c>
      <c r="C19" s="3" t="s">
        <v>2101</v>
      </c>
      <c r="D19" s="3"/>
      <c r="E19" s="3">
        <v>92</v>
      </c>
      <c r="F19" s="3">
        <v>89</v>
      </c>
      <c r="G19" s="3">
        <v>90</v>
      </c>
      <c r="H19" s="3">
        <v>91</v>
      </c>
      <c r="I19" s="3">
        <v>89</v>
      </c>
      <c r="J19" s="3">
        <v>91</v>
      </c>
      <c r="K19" s="3">
        <v>89</v>
      </c>
      <c r="L19" s="3">
        <v>88</v>
      </c>
      <c r="M19" s="3">
        <v>79</v>
      </c>
      <c r="N19" s="3">
        <v>77</v>
      </c>
      <c r="O19" s="3">
        <v>75</v>
      </c>
    </row>
  </sheetData>
  <headerFooter/>
</worksheet>
</file>

<file path=xl/worksheets/sheet31.xml><?xml version="1.0" encoding="utf-8"?>
<worksheet xmlns:r="http://schemas.openxmlformats.org/officeDocument/2006/relationships" xmlns="http://schemas.openxmlformats.org/spreadsheetml/2006/main">
  <dimension ref="A1:C3"/>
  <sheetViews>
    <sheetView workbookViewId="0"/>
  </sheetViews>
  <sheetFormatPr defaultRowHeight="15"/>
  <cols>
    <col min="1" max="1" width="11.4837522506714" customWidth="1" style="3"/>
    <col min="2" max="2" width="140.013473510742" customWidth="1" style="3"/>
    <col min="3" max="16384" width="23.3588104248047" customWidth="1" style="3"/>
    <col min="4" max="16384" width="9.140625" customWidth="1" style="3"/>
    <col min="5" max="16384" width="9.140625" customWidth="1" style="3"/>
  </cols>
  <sheetData>
    <row r="1" ht="20" customHeight="1" s="1" customFormat="1">
      <c r="A1" s="2" t="s">
        <v>2116</v>
      </c>
      <c r="B1" s="2" t="s">
        <v>2117</v>
      </c>
      <c r="C1" s="2" t="s">
        <v>2118</v>
      </c>
    </row>
    <row r="2" ht="16" customHeight="1">
      <c r="A2" s="3" t="s">
        <v>2119</v>
      </c>
      <c r="B2" s="3" t="s">
        <v>2120</v>
      </c>
      <c r="C2" s="3">
        <v>8000</v>
      </c>
    </row>
    <row r="3" ht="16" customHeight="1">
      <c r="A3" s="3" t="s">
        <v>2121</v>
      </c>
      <c r="B3" s="3" t="s">
        <v>2122</v>
      </c>
      <c r="C3" s="3">
        <v>7500</v>
      </c>
    </row>
  </sheetData>
  <headerFooter/>
</worksheet>
</file>

<file path=xl/worksheets/sheet32.xml><?xml version="1.0" encoding="utf-8"?>
<worksheet xmlns:r="http://schemas.openxmlformats.org/officeDocument/2006/relationships" xmlns="http://schemas.openxmlformats.org/spreadsheetml/2006/main">
  <dimension ref="A1:H21"/>
  <sheetViews>
    <sheetView workbookViewId="0"/>
  </sheetViews>
  <sheetFormatPr defaultRowHeight="15"/>
  <cols>
    <col min="1" max="1" width="12.8065767288208" customWidth="1" style="3"/>
    <col min="2" max="2" width="26.7957515716553" customWidth="1" style="3"/>
    <col min="3" max="3" width="236.425094604492" customWidth="1" style="3"/>
    <col min="4" max="4" width="214.510009765625" customWidth="1" style="3"/>
    <col min="5" max="5" width="221.76252746582" customWidth="1" style="3"/>
    <col min="6" max="16384" width="12.4812412261963" customWidth="1" style="3"/>
    <col min="7" max="16384" width="9.140625" customWidth="1" style="3"/>
    <col min="8" max="16384" width="9.140625" customWidth="1" style="3"/>
  </cols>
  <sheetData>
    <row r="1" ht="20" customHeight="1" s="1" customFormat="1">
      <c r="A1" s="2" t="s">
        <v>2123</v>
      </c>
      <c r="B1" s="2" t="s">
        <v>2124</v>
      </c>
      <c r="C1" s="2" t="s">
        <v>2125</v>
      </c>
      <c r="D1" s="2" t="s">
        <v>2126</v>
      </c>
      <c r="E1" s="2" t="s">
        <v>2127</v>
      </c>
      <c r="F1" s="2" t="s">
        <v>2128</v>
      </c>
    </row>
    <row r="2" ht="16" customHeight="1" s="4" customFormat="1">
      <c r="A2" s="5">
        <v>45233</v>
      </c>
      <c r="B2" s="4">
        <v>10375</v>
      </c>
      <c r="C2" s="4" t="s">
        <v>10</v>
      </c>
      <c r="D2" s="4" t="s">
        <v>2129</v>
      </c>
      <c r="E2" s="4" t="s">
        <v>2130</v>
      </c>
      <c r="F2" s="4" t="s">
        <v>2131</v>
      </c>
      <c r="G2" s="4"/>
      <c r="H2" s="4"/>
    </row>
    <row r="3" ht="16" customHeight="1" s="4" customFormat="1">
      <c r="A3" s="5">
        <v>45154</v>
      </c>
      <c r="B3" s="4" t="s">
        <v>2132</v>
      </c>
      <c r="C3" s="4" t="s">
        <v>1285</v>
      </c>
      <c r="D3" s="4" t="s">
        <v>10</v>
      </c>
      <c r="E3" s="4" t="s">
        <v>2133</v>
      </c>
      <c r="F3" s="4" t="s">
        <v>2134</v>
      </c>
      <c r="G3" s="4"/>
      <c r="H3" s="4"/>
    </row>
    <row r="4" ht="16" customHeight="1" s="4" customFormat="1">
      <c r="A4" s="5">
        <v>44721</v>
      </c>
      <c r="B4" s="4">
        <v>8000</v>
      </c>
      <c r="C4" s="4" t="s">
        <v>10</v>
      </c>
      <c r="D4" s="4" t="s">
        <v>1270</v>
      </c>
      <c r="E4" s="4" t="s">
        <v>2135</v>
      </c>
      <c r="F4" s="4" t="s">
        <v>2131</v>
      </c>
      <c r="G4" s="4"/>
      <c r="H4" s="4"/>
    </row>
    <row r="5" ht="16" customHeight="1" s="4" customFormat="1">
      <c r="A5" s="5">
        <v>44716</v>
      </c>
      <c r="B5" s="4">
        <v>4089</v>
      </c>
      <c r="C5" s="4" t="s">
        <v>10</v>
      </c>
      <c r="D5" s="4" t="s">
        <v>1270</v>
      </c>
      <c r="E5" s="4" t="s">
        <v>2136</v>
      </c>
      <c r="F5" s="4" t="s">
        <v>2131</v>
      </c>
      <c r="G5" s="4"/>
      <c r="H5" s="4"/>
    </row>
    <row r="6" ht="16" customHeight="1" s="4" customFormat="1">
      <c r="A6" s="5">
        <v>44688</v>
      </c>
      <c r="B6" s="4">
        <v>565</v>
      </c>
      <c r="C6" s="4" t="s">
        <v>2137</v>
      </c>
      <c r="D6" s="4" t="s">
        <v>10</v>
      </c>
      <c r="E6" s="4" t="s">
        <v>2138</v>
      </c>
      <c r="F6" s="4" t="s">
        <v>2134</v>
      </c>
      <c r="G6" s="4"/>
      <c r="H6" s="4"/>
    </row>
    <row r="7" ht="16" customHeight="1" s="4" customFormat="1">
      <c r="A7" s="5">
        <v>44681</v>
      </c>
      <c r="B7" s="4">
        <v>22800</v>
      </c>
      <c r="C7" s="4" t="s">
        <v>10</v>
      </c>
      <c r="D7" s="4" t="s">
        <v>2139</v>
      </c>
      <c r="E7" s="4" t="s">
        <v>2140</v>
      </c>
      <c r="F7" s="4" t="s">
        <v>2131</v>
      </c>
      <c r="G7" s="4"/>
      <c r="H7" s="4"/>
    </row>
    <row r="8" ht="16" customHeight="1" s="4" customFormat="1">
      <c r="A8" s="5">
        <v>44611</v>
      </c>
      <c r="B8" s="4">
        <v>55500</v>
      </c>
      <c r="C8" s="4" t="s">
        <v>2141</v>
      </c>
      <c r="D8" s="4" t="s">
        <v>10</v>
      </c>
      <c r="E8" s="4" t="s">
        <v>2142</v>
      </c>
      <c r="F8" s="4" t="s">
        <v>2131</v>
      </c>
      <c r="G8" s="4"/>
      <c r="H8" s="4"/>
    </row>
    <row r="9" ht="16" customHeight="1" s="4" customFormat="1">
      <c r="A9" s="5">
        <v>44573</v>
      </c>
      <c r="B9" s="4">
        <v>7500</v>
      </c>
      <c r="C9" s="4" t="s">
        <v>10</v>
      </c>
      <c r="D9" s="4" t="s">
        <v>2143</v>
      </c>
      <c r="E9" s="4" t="s">
        <v>2144</v>
      </c>
      <c r="F9" s="4" t="s">
        <v>2131</v>
      </c>
      <c r="G9" s="4"/>
      <c r="H9" s="4"/>
    </row>
    <row r="10" ht="16" customHeight="1" s="4" customFormat="1">
      <c r="A10" s="5">
        <v>44557</v>
      </c>
      <c r="B10" s="4">
        <v>1000</v>
      </c>
      <c r="C10" s="4" t="s">
        <v>10</v>
      </c>
      <c r="D10" s="4" t="s">
        <v>1270</v>
      </c>
      <c r="E10" s="4" t="s">
        <v>2145</v>
      </c>
      <c r="F10" s="4" t="s">
        <v>2131</v>
      </c>
      <c r="G10" s="4"/>
      <c r="H10" s="4"/>
    </row>
    <row r="11" ht="16" customHeight="1" s="4" customFormat="1">
      <c r="A11" s="5">
        <v>44553</v>
      </c>
      <c r="B11" s="4">
        <v>2800</v>
      </c>
      <c r="C11" s="4" t="s">
        <v>2146</v>
      </c>
      <c r="D11" s="4" t="s">
        <v>10</v>
      </c>
      <c r="E11" s="4" t="s">
        <v>2147</v>
      </c>
      <c r="F11" s="4" t="s">
        <v>2134</v>
      </c>
      <c r="G11" s="4"/>
      <c r="H11" s="4"/>
    </row>
    <row r="12" ht="16" customHeight="1" s="4" customFormat="1">
      <c r="A12" s="5">
        <v>44552</v>
      </c>
      <c r="B12" s="4">
        <v>1000</v>
      </c>
      <c r="C12" s="4" t="s">
        <v>10</v>
      </c>
      <c r="D12" s="4" t="s">
        <v>1270</v>
      </c>
      <c r="E12" s="4" t="s">
        <v>2148</v>
      </c>
      <c r="F12" s="4" t="s">
        <v>2131</v>
      </c>
      <c r="G12" s="4"/>
      <c r="H12" s="4"/>
    </row>
    <row r="13" ht="16" customHeight="1" s="4" customFormat="1">
      <c r="A13" s="5">
        <v>44550</v>
      </c>
      <c r="B13" s="4" t="s">
        <v>2132</v>
      </c>
      <c r="C13" s="4" t="s">
        <v>2149</v>
      </c>
      <c r="D13" s="4" t="s">
        <v>10</v>
      </c>
      <c r="E13" s="4" t="s">
        <v>2150</v>
      </c>
      <c r="F13" s="4" t="s">
        <v>2134</v>
      </c>
      <c r="G13" s="4"/>
      <c r="H13" s="4"/>
    </row>
    <row r="14" ht="16" customHeight="1" s="4" customFormat="1">
      <c r="A14" s="5">
        <v>44523</v>
      </c>
      <c r="B14" s="4">
        <v>5950</v>
      </c>
      <c r="C14" s="4" t="s">
        <v>10</v>
      </c>
      <c r="D14" s="4" t="s">
        <v>2151</v>
      </c>
      <c r="E14" s="4" t="s">
        <v>2152</v>
      </c>
      <c r="F14" s="4" t="s">
        <v>2131</v>
      </c>
      <c r="G14" s="4"/>
      <c r="H14" s="4"/>
    </row>
    <row r="15" ht="16" customHeight="1" s="4" customFormat="1">
      <c r="A15" s="5">
        <v>44508</v>
      </c>
      <c r="B15" s="4" t="s">
        <v>2132</v>
      </c>
      <c r="C15" s="4" t="s">
        <v>1281</v>
      </c>
      <c r="D15" s="4" t="s">
        <v>10</v>
      </c>
      <c r="E15" s="4" t="s">
        <v>2153</v>
      </c>
      <c r="F15" s="4" t="s">
        <v>2134</v>
      </c>
      <c r="G15" s="4"/>
      <c r="H15" s="4"/>
    </row>
    <row r="16" ht="16" customHeight="1" s="4" customFormat="1">
      <c r="A16" s="5">
        <v>44474</v>
      </c>
      <c r="B16" s="4" t="s">
        <v>2132</v>
      </c>
      <c r="C16" s="4" t="s">
        <v>1917</v>
      </c>
      <c r="D16" s="4" t="s">
        <v>10</v>
      </c>
      <c r="E16" s="4" t="s">
        <v>2154</v>
      </c>
      <c r="F16" s="4" t="s">
        <v>2134</v>
      </c>
      <c r="G16" s="4"/>
      <c r="H16" s="4"/>
    </row>
    <row r="17" ht="16" customHeight="1" s="4" customFormat="1">
      <c r="A17" s="5">
        <v>44182</v>
      </c>
      <c r="B17" s="4" t="s">
        <v>2132</v>
      </c>
      <c r="C17" s="4" t="s">
        <v>2155</v>
      </c>
      <c r="D17" s="4" t="s">
        <v>10</v>
      </c>
      <c r="E17" s="4" t="s">
        <v>2156</v>
      </c>
      <c r="F17" s="4" t="s">
        <v>2134</v>
      </c>
      <c r="G17" s="4"/>
      <c r="H17" s="4"/>
    </row>
    <row r="18" ht="16" customHeight="1" s="4" customFormat="1">
      <c r="A18" s="5">
        <v>44181</v>
      </c>
      <c r="B18" s="4">
        <v>60000</v>
      </c>
      <c r="C18" s="4" t="s">
        <v>10</v>
      </c>
      <c r="D18" s="4" t="s">
        <v>2157</v>
      </c>
      <c r="E18" s="4" t="s">
        <v>2158</v>
      </c>
      <c r="F18" s="4" t="s">
        <v>2131</v>
      </c>
      <c r="G18" s="4"/>
      <c r="H18" s="4"/>
    </row>
    <row r="19" ht="16" customHeight="1" s="4" customFormat="1">
      <c r="A19" s="5">
        <v>44153</v>
      </c>
      <c r="B19" s="4" t="s">
        <v>2132</v>
      </c>
      <c r="C19" s="4" t="s">
        <v>2159</v>
      </c>
      <c r="D19" s="4" t="s">
        <v>10</v>
      </c>
      <c r="E19" s="4" t="s">
        <v>2160</v>
      </c>
      <c r="F19" s="4" t="s">
        <v>2131</v>
      </c>
      <c r="G19" s="4"/>
      <c r="H19" s="4"/>
    </row>
    <row r="20" ht="16" customHeight="1">
      <c r="A20" s="6">
        <v>43963</v>
      </c>
      <c r="B20" s="3">
        <v>16200</v>
      </c>
      <c r="C20" s="3" t="s">
        <v>10</v>
      </c>
      <c r="D20" s="3" t="s">
        <v>66</v>
      </c>
      <c r="E20" s="3" t="s">
        <v>2161</v>
      </c>
      <c r="F20" s="3" t="s">
        <v>2134</v>
      </c>
    </row>
    <row r="21" ht="16" customHeight="1">
      <c r="A21" s="6">
        <v>42573</v>
      </c>
      <c r="B21" s="3"/>
      <c r="C21" s="3" t="s">
        <v>10</v>
      </c>
      <c r="D21" s="3" t="s">
        <v>120</v>
      </c>
      <c r="E21" s="3" t="s">
        <v>2162</v>
      </c>
      <c r="F21" s="3" t="s">
        <v>2163</v>
      </c>
    </row>
  </sheetData>
  <headerFooter/>
</worksheet>
</file>

<file path=xl/worksheets/sheet33.xml><?xml version="1.0" encoding="utf-8"?>
<worksheet xmlns:r="http://schemas.openxmlformats.org/officeDocument/2006/relationships" xmlns="http://schemas.openxmlformats.org/spreadsheetml/2006/main">
  <dimension ref="A1:K51"/>
  <sheetViews>
    <sheetView workbookViewId="0"/>
  </sheetViews>
  <sheetFormatPr defaultRowHeight="15"/>
  <cols>
    <col min="1" max="1" width="10.6192626953125" customWidth="1" style="3"/>
    <col min="2" max="2" width="43.572193145752" customWidth="1" style="3"/>
    <col min="3" max="3" width="10.4013500213623" customWidth="1" style="3"/>
    <col min="4" max="4" width="26.7038974761963" customWidth="1" style="3"/>
    <col min="5" max="5" width="56.675609588623" customWidth="1" style="3"/>
    <col min="6" max="6" width="9.140625" customWidth="1" style="3"/>
    <col min="7" max="7" width="9.140625" customWidth="1" style="3"/>
    <col min="8" max="8" width="16.1040687561035" customWidth="1" style="3"/>
    <col min="9" max="16384" width="9.140625" customWidth="1" style="3"/>
    <col min="10" max="16384" width="9.140625" customWidth="1" style="3"/>
    <col min="11" max="16384" width="9.140625" customWidth="1" style="3"/>
  </cols>
  <sheetData>
    <row r="1" ht="20" customHeight="1" s="1" customFormat="1">
      <c r="A1" s="2" t="s">
        <v>2164</v>
      </c>
      <c r="B1" s="2" t="s">
        <v>2165</v>
      </c>
      <c r="C1" s="2" t="s">
        <v>826</v>
      </c>
      <c r="D1" s="2" t="s">
        <v>2166</v>
      </c>
      <c r="E1" s="2" t="s">
        <v>2167</v>
      </c>
      <c r="F1" s="2" t="s">
        <v>2168</v>
      </c>
      <c r="G1" s="2" t="s">
        <v>2169</v>
      </c>
      <c r="H1" s="2" t="s">
        <v>2170</v>
      </c>
      <c r="I1" s="2" t="s">
        <v>2171</v>
      </c>
    </row>
    <row r="2" ht="16" customHeight="1" s="4" customFormat="1">
      <c r="A2" s="4" t="s">
        <v>2172</v>
      </c>
      <c r="B2" s="4" t="s">
        <v>1536</v>
      </c>
      <c r="C2" s="4" t="s">
        <v>2173</v>
      </c>
      <c r="D2" s="4" t="s">
        <v>2174</v>
      </c>
      <c r="E2" s="4" t="s">
        <v>2175</v>
      </c>
      <c r="F2" s="4">
        <v>0</v>
      </c>
      <c r="G2" s="4">
        <v>0</v>
      </c>
      <c r="H2" s="4">
        <v>57.5</v>
      </c>
      <c r="I2" s="4">
        <v>57.5</v>
      </c>
      <c r="J2" s="4"/>
      <c r="K2" s="4"/>
    </row>
    <row r="3" ht="16" customHeight="1" s="4" customFormat="1">
      <c r="A3" s="4" t="s">
        <v>2176</v>
      </c>
      <c r="B3" s="4" t="s">
        <v>1536</v>
      </c>
      <c r="C3" s="4" t="s">
        <v>2173</v>
      </c>
      <c r="D3" s="4" t="s">
        <v>2174</v>
      </c>
      <c r="E3" s="4" t="s">
        <v>2175</v>
      </c>
      <c r="F3" s="4">
        <v>25</v>
      </c>
      <c r="G3" s="4">
        <v>0</v>
      </c>
      <c r="H3" s="4">
        <v>0</v>
      </c>
      <c r="I3" s="4">
        <v>25</v>
      </c>
      <c r="J3" s="4"/>
      <c r="K3" s="4"/>
    </row>
    <row r="4" ht="16" customHeight="1" s="4" customFormat="1">
      <c r="A4" s="4" t="s">
        <v>2177</v>
      </c>
      <c r="B4" s="4" t="s">
        <v>1536</v>
      </c>
      <c r="C4" s="4" t="s">
        <v>2173</v>
      </c>
      <c r="D4" s="4" t="s">
        <v>2174</v>
      </c>
      <c r="E4" s="4" t="s">
        <v>2175</v>
      </c>
      <c r="F4" s="4">
        <v>160</v>
      </c>
      <c r="G4" s="4">
        <v>0</v>
      </c>
      <c r="H4" s="4">
        <v>0</v>
      </c>
      <c r="I4" s="4">
        <v>160</v>
      </c>
      <c r="J4" s="4"/>
      <c r="K4" s="4"/>
    </row>
    <row r="5" ht="16" customHeight="1" s="4" customFormat="1">
      <c r="A5" s="4" t="s">
        <v>2177</v>
      </c>
      <c r="B5" s="4" t="s">
        <v>2178</v>
      </c>
      <c r="C5" s="4" t="s">
        <v>2173</v>
      </c>
      <c r="D5" s="4" t="s">
        <v>2179</v>
      </c>
      <c r="E5" s="4" t="s">
        <v>19</v>
      </c>
      <c r="F5" s="4">
        <v>5.22</v>
      </c>
      <c r="G5" s="4">
        <v>0</v>
      </c>
      <c r="H5" s="4">
        <v>0</v>
      </c>
      <c r="I5" s="4">
        <v>5.22</v>
      </c>
      <c r="J5" s="4"/>
      <c r="K5" s="4"/>
    </row>
    <row r="6" ht="16" customHeight="1" s="4" customFormat="1">
      <c r="A6" s="4" t="s">
        <v>2180</v>
      </c>
      <c r="B6" s="4" t="s">
        <v>1536</v>
      </c>
      <c r="C6" s="4" t="s">
        <v>2173</v>
      </c>
      <c r="D6" s="4" t="s">
        <v>2174</v>
      </c>
      <c r="E6" s="4" t="s">
        <v>2175</v>
      </c>
      <c r="F6" s="4">
        <v>0</v>
      </c>
      <c r="G6" s="4">
        <v>0</v>
      </c>
      <c r="H6" s="4">
        <v>369</v>
      </c>
      <c r="I6" s="4">
        <v>369</v>
      </c>
      <c r="J6" s="4"/>
      <c r="K6" s="4"/>
    </row>
    <row r="7" ht="16" customHeight="1" s="4" customFormat="1">
      <c r="A7" s="4" t="s">
        <v>2180</v>
      </c>
      <c r="B7" s="4" t="s">
        <v>2178</v>
      </c>
      <c r="C7" s="4" t="s">
        <v>2173</v>
      </c>
      <c r="D7" s="4" t="s">
        <v>2179</v>
      </c>
      <c r="E7" s="4" t="s">
        <v>19</v>
      </c>
      <c r="F7" s="4">
        <v>0</v>
      </c>
      <c r="G7" s="4">
        <v>1.75</v>
      </c>
      <c r="H7" s="4">
        <v>6.4</v>
      </c>
      <c r="I7" s="4">
        <v>8.15</v>
      </c>
      <c r="J7" s="4"/>
      <c r="K7" s="4"/>
    </row>
    <row r="8" ht="16" customHeight="1" s="4" customFormat="1">
      <c r="A8" s="4" t="s">
        <v>2181</v>
      </c>
      <c r="B8" s="4" t="s">
        <v>2178</v>
      </c>
      <c r="C8" s="4" t="s">
        <v>2173</v>
      </c>
      <c r="D8" s="4" t="s">
        <v>2179</v>
      </c>
      <c r="E8" s="4" t="s">
        <v>19</v>
      </c>
      <c r="F8" s="4">
        <v>0.03</v>
      </c>
      <c r="G8" s="4">
        <v>0</v>
      </c>
      <c r="H8" s="4">
        <v>0</v>
      </c>
      <c r="I8" s="4">
        <v>0.03</v>
      </c>
      <c r="J8" s="4"/>
      <c r="K8" s="4"/>
    </row>
    <row r="9" ht="16" customHeight="1" s="4" customFormat="1">
      <c r="A9" s="4" t="s">
        <v>2182</v>
      </c>
      <c r="B9" s="4" t="s">
        <v>1536</v>
      </c>
      <c r="C9" s="4" t="s">
        <v>2173</v>
      </c>
      <c r="D9" s="4" t="s">
        <v>2174</v>
      </c>
      <c r="E9" s="4" t="s">
        <v>2175</v>
      </c>
      <c r="F9" s="4">
        <v>600</v>
      </c>
      <c r="G9" s="4">
        <v>0</v>
      </c>
      <c r="H9" s="4">
        <v>381.11</v>
      </c>
      <c r="I9" s="4">
        <v>981.11</v>
      </c>
      <c r="J9" s="4"/>
      <c r="K9" s="4"/>
    </row>
    <row r="10" ht="16" customHeight="1" s="4" customFormat="1">
      <c r="A10" s="4" t="s">
        <v>2183</v>
      </c>
      <c r="B10" s="4" t="s">
        <v>1536</v>
      </c>
      <c r="C10" s="4" t="s">
        <v>2173</v>
      </c>
      <c r="D10" s="4" t="s">
        <v>2174</v>
      </c>
      <c r="E10" s="4" t="s">
        <v>2175</v>
      </c>
      <c r="F10" s="4">
        <v>0</v>
      </c>
      <c r="G10" s="4">
        <v>31</v>
      </c>
      <c r="H10" s="4">
        <v>0</v>
      </c>
      <c r="I10" s="4">
        <v>31</v>
      </c>
      <c r="J10" s="4"/>
      <c r="K10" s="4"/>
    </row>
    <row r="11" ht="16" customHeight="1" s="4" customFormat="1">
      <c r="A11" s="4" t="s">
        <v>2184</v>
      </c>
      <c r="B11" s="4" t="s">
        <v>1536</v>
      </c>
      <c r="C11" s="4" t="s">
        <v>2173</v>
      </c>
      <c r="D11" s="4" t="s">
        <v>2174</v>
      </c>
      <c r="E11" s="4" t="s">
        <v>2175</v>
      </c>
      <c r="F11" s="4">
        <v>0</v>
      </c>
      <c r="G11" s="4">
        <v>700</v>
      </c>
      <c r="H11" s="4">
        <v>0</v>
      </c>
      <c r="I11" s="4">
        <v>700</v>
      </c>
      <c r="J11" s="4"/>
      <c r="K11" s="4"/>
    </row>
    <row r="12" ht="16" customHeight="1" s="4" customFormat="1">
      <c r="A12" s="4" t="s">
        <v>2185</v>
      </c>
      <c r="B12" s="4" t="s">
        <v>1536</v>
      </c>
      <c r="C12" s="4" t="s">
        <v>2173</v>
      </c>
      <c r="D12" s="4" t="s">
        <v>2174</v>
      </c>
      <c r="E12" s="4" t="s">
        <v>2175</v>
      </c>
      <c r="F12" s="4">
        <v>0</v>
      </c>
      <c r="G12" s="4">
        <v>31</v>
      </c>
      <c r="H12" s="4">
        <v>0</v>
      </c>
      <c r="I12" s="4">
        <v>31</v>
      </c>
      <c r="J12" s="4"/>
      <c r="K12" s="4"/>
    </row>
    <row r="13" ht="16" customHeight="1" s="4" customFormat="1">
      <c r="A13" s="4" t="s">
        <v>2186</v>
      </c>
      <c r="B13" s="4" t="s">
        <v>1536</v>
      </c>
      <c r="C13" s="4" t="s">
        <v>2173</v>
      </c>
      <c r="D13" s="4" t="s">
        <v>2174</v>
      </c>
      <c r="E13" s="4" t="s">
        <v>2175</v>
      </c>
      <c r="F13" s="4">
        <v>0</v>
      </c>
      <c r="G13" s="4">
        <v>32</v>
      </c>
      <c r="H13" s="4">
        <v>0</v>
      </c>
      <c r="I13" s="4">
        <v>32</v>
      </c>
      <c r="J13" s="4"/>
      <c r="K13" s="4"/>
    </row>
    <row r="14" ht="16" customHeight="1" s="4" customFormat="1">
      <c r="A14" s="4" t="s">
        <v>2187</v>
      </c>
      <c r="B14" s="4" t="s">
        <v>1536</v>
      </c>
      <c r="C14" s="4" t="s">
        <v>2173</v>
      </c>
      <c r="D14" s="4" t="s">
        <v>2174</v>
      </c>
      <c r="E14" s="4" t="s">
        <v>2175</v>
      </c>
      <c r="F14" s="4">
        <v>0</v>
      </c>
      <c r="G14" s="4">
        <v>35</v>
      </c>
      <c r="H14" s="4">
        <v>0</v>
      </c>
      <c r="I14" s="4">
        <v>35</v>
      </c>
      <c r="J14" s="4"/>
      <c r="K14" s="4"/>
    </row>
    <row r="15" ht="16" customHeight="1" s="4" customFormat="1">
      <c r="A15" s="4" t="s">
        <v>2188</v>
      </c>
      <c r="B15" s="4" t="s">
        <v>2189</v>
      </c>
      <c r="C15" s="4" t="s">
        <v>2173</v>
      </c>
      <c r="D15" s="4" t="s">
        <v>2190</v>
      </c>
      <c r="E15" s="4" t="s">
        <v>2175</v>
      </c>
      <c r="F15" s="4">
        <v>0</v>
      </c>
      <c r="G15" s="4">
        <v>0</v>
      </c>
      <c r="H15" s="4">
        <v>110</v>
      </c>
      <c r="I15" s="4">
        <v>110</v>
      </c>
      <c r="J15" s="4"/>
      <c r="K15" s="4"/>
    </row>
    <row r="16" ht="16" customHeight="1" s="4" customFormat="1">
      <c r="A16" s="4" t="s">
        <v>2191</v>
      </c>
      <c r="B16" s="4" t="s">
        <v>1536</v>
      </c>
      <c r="C16" s="4" t="s">
        <v>2173</v>
      </c>
      <c r="D16" s="4" t="s">
        <v>2174</v>
      </c>
      <c r="E16" s="4" t="s">
        <v>2192</v>
      </c>
      <c r="F16" s="4">
        <v>0</v>
      </c>
      <c r="G16" s="4">
        <v>0</v>
      </c>
      <c r="H16" s="4">
        <v>172.5</v>
      </c>
      <c r="I16" s="4">
        <v>172.5</v>
      </c>
      <c r="J16" s="4"/>
      <c r="K16" s="4"/>
    </row>
    <row r="17" ht="16" customHeight="1" s="4" customFormat="1">
      <c r="A17" s="4" t="s">
        <v>2193</v>
      </c>
      <c r="B17" s="4" t="s">
        <v>1466</v>
      </c>
      <c r="C17" s="4" t="s">
        <v>2173</v>
      </c>
      <c r="D17" s="4" t="s">
        <v>2174</v>
      </c>
      <c r="E17" s="4" t="s">
        <v>2192</v>
      </c>
      <c r="F17" s="4">
        <v>45</v>
      </c>
      <c r="G17" s="4">
        <v>0</v>
      </c>
      <c r="H17" s="4">
        <v>0</v>
      </c>
      <c r="I17" s="4">
        <v>45</v>
      </c>
      <c r="J17" s="4"/>
      <c r="K17" s="4"/>
    </row>
    <row r="18" ht="16" customHeight="1" s="4" customFormat="1">
      <c r="A18" s="4" t="s">
        <v>2194</v>
      </c>
      <c r="B18" s="4" t="s">
        <v>1466</v>
      </c>
      <c r="C18" s="4" t="s">
        <v>2173</v>
      </c>
      <c r="D18" s="4" t="s">
        <v>2174</v>
      </c>
      <c r="E18" s="4" t="s">
        <v>2192</v>
      </c>
      <c r="F18" s="4">
        <v>160</v>
      </c>
      <c r="G18" s="4">
        <v>0</v>
      </c>
      <c r="H18" s="4">
        <v>0</v>
      </c>
      <c r="I18" s="4">
        <v>160</v>
      </c>
      <c r="J18" s="4"/>
      <c r="K18" s="4"/>
    </row>
    <row r="19" ht="16" customHeight="1" s="4" customFormat="1">
      <c r="A19" s="4" t="s">
        <v>2195</v>
      </c>
      <c r="B19" s="4" t="s">
        <v>1466</v>
      </c>
      <c r="C19" s="4" t="s">
        <v>2173</v>
      </c>
      <c r="D19" s="4" t="s">
        <v>2174</v>
      </c>
      <c r="E19" s="4" t="s">
        <v>2192</v>
      </c>
      <c r="F19" s="4">
        <v>100</v>
      </c>
      <c r="G19" s="4">
        <v>0</v>
      </c>
      <c r="H19" s="4">
        <v>0</v>
      </c>
      <c r="I19" s="4">
        <v>100</v>
      </c>
      <c r="J19" s="4"/>
      <c r="K19" s="4"/>
    </row>
    <row r="20" ht="16" customHeight="1" s="4" customFormat="1">
      <c r="A20" s="4" t="s">
        <v>2196</v>
      </c>
      <c r="B20" s="4" t="s">
        <v>1466</v>
      </c>
      <c r="C20" s="4" t="s">
        <v>2173</v>
      </c>
      <c r="D20" s="4" t="s">
        <v>2174</v>
      </c>
      <c r="E20" s="4" t="s">
        <v>2192</v>
      </c>
      <c r="F20" s="4">
        <v>610</v>
      </c>
      <c r="G20" s="4">
        <v>0</v>
      </c>
      <c r="H20" s="4">
        <v>0</v>
      </c>
      <c r="I20" s="4">
        <v>610</v>
      </c>
      <c r="J20" s="4"/>
      <c r="K20" s="4"/>
    </row>
    <row r="21" ht="16" customHeight="1" s="4" customFormat="1">
      <c r="A21" s="4" t="s">
        <v>2197</v>
      </c>
      <c r="B21" s="4" t="s">
        <v>1466</v>
      </c>
      <c r="C21" s="4" t="s">
        <v>2173</v>
      </c>
      <c r="D21" s="4" t="s">
        <v>2174</v>
      </c>
      <c r="E21" s="4" t="s">
        <v>2192</v>
      </c>
      <c r="F21" s="4">
        <v>320</v>
      </c>
      <c r="G21" s="4">
        <v>0</v>
      </c>
      <c r="H21" s="4">
        <v>0</v>
      </c>
      <c r="I21" s="4">
        <v>320</v>
      </c>
      <c r="J21" s="4"/>
      <c r="K21" s="4"/>
    </row>
    <row r="22" ht="16" customHeight="1" s="4" customFormat="1">
      <c r="A22" s="4" t="s">
        <v>2198</v>
      </c>
      <c r="B22" s="4" t="s">
        <v>1466</v>
      </c>
      <c r="C22" s="4" t="s">
        <v>2173</v>
      </c>
      <c r="D22" s="4" t="s">
        <v>2174</v>
      </c>
      <c r="E22" s="4" t="s">
        <v>2192</v>
      </c>
      <c r="F22" s="4">
        <v>950</v>
      </c>
      <c r="G22" s="4">
        <v>0</v>
      </c>
      <c r="H22" s="4">
        <v>0</v>
      </c>
      <c r="I22" s="4">
        <v>950</v>
      </c>
      <c r="J22" s="4"/>
      <c r="K22" s="4"/>
    </row>
    <row r="23" ht="16" customHeight="1" s="4" customFormat="1">
      <c r="A23" s="4" t="s">
        <v>2199</v>
      </c>
      <c r="B23" s="4" t="s">
        <v>1466</v>
      </c>
      <c r="C23" s="4" t="s">
        <v>2173</v>
      </c>
      <c r="D23" s="4" t="s">
        <v>2174</v>
      </c>
      <c r="E23" s="4" t="s">
        <v>2192</v>
      </c>
      <c r="F23" s="4">
        <v>0</v>
      </c>
      <c r="G23" s="4">
        <v>0.3</v>
      </c>
      <c r="H23" s="4">
        <v>0</v>
      </c>
      <c r="I23" s="4">
        <v>0.3</v>
      </c>
      <c r="J23" s="4"/>
      <c r="K23" s="4"/>
    </row>
    <row r="24" ht="16" customHeight="1" s="4" customFormat="1">
      <c r="A24" s="4" t="s">
        <v>2200</v>
      </c>
      <c r="B24" s="4" t="s">
        <v>2201</v>
      </c>
      <c r="C24" s="4" t="s">
        <v>2173</v>
      </c>
      <c r="D24" s="4" t="s">
        <v>2202</v>
      </c>
      <c r="E24" s="4" t="s">
        <v>19</v>
      </c>
      <c r="F24" s="4">
        <v>0</v>
      </c>
      <c r="G24" s="4">
        <v>0</v>
      </c>
      <c r="H24" s="4">
        <v>0</v>
      </c>
      <c r="I24" s="4">
        <v>0</v>
      </c>
      <c r="J24" s="4"/>
      <c r="K24" s="4"/>
    </row>
    <row r="25" ht="16" customHeight="1" s="4" customFormat="1">
      <c r="A25" s="4" t="s">
        <v>2200</v>
      </c>
      <c r="B25" s="4" t="s">
        <v>1466</v>
      </c>
      <c r="C25" s="4" t="s">
        <v>2173</v>
      </c>
      <c r="D25" s="4" t="s">
        <v>2174</v>
      </c>
      <c r="E25" s="4" t="s">
        <v>2192</v>
      </c>
      <c r="F25" s="4">
        <v>0</v>
      </c>
      <c r="G25" s="4">
        <v>2.8</v>
      </c>
      <c r="H25" s="4">
        <v>0</v>
      </c>
      <c r="I25" s="4">
        <v>2.8</v>
      </c>
      <c r="J25" s="4"/>
      <c r="K25" s="4"/>
    </row>
    <row r="26" ht="16" customHeight="1" s="4" customFormat="1">
      <c r="A26" s="4" t="s">
        <v>2203</v>
      </c>
      <c r="B26" s="4" t="s">
        <v>1466</v>
      </c>
      <c r="C26" s="4" t="s">
        <v>2173</v>
      </c>
      <c r="D26" s="4" t="s">
        <v>2174</v>
      </c>
      <c r="E26" s="4" t="s">
        <v>2192</v>
      </c>
      <c r="F26" s="4">
        <v>0</v>
      </c>
      <c r="G26" s="4">
        <v>1.2</v>
      </c>
      <c r="H26" s="4">
        <v>0</v>
      </c>
      <c r="I26" s="4">
        <v>1.2</v>
      </c>
      <c r="J26" s="4"/>
      <c r="K26" s="4"/>
    </row>
    <row r="27" ht="16" customHeight="1" s="4" customFormat="1">
      <c r="A27" s="4" t="s">
        <v>2204</v>
      </c>
      <c r="B27" s="4" t="s">
        <v>1466</v>
      </c>
      <c r="C27" s="4" t="s">
        <v>2173</v>
      </c>
      <c r="D27" s="4" t="s">
        <v>2174</v>
      </c>
      <c r="E27" s="4" t="s">
        <v>2192</v>
      </c>
      <c r="F27" s="4">
        <v>0</v>
      </c>
      <c r="G27" s="4">
        <v>1</v>
      </c>
      <c r="H27" s="4">
        <v>0</v>
      </c>
      <c r="I27" s="4">
        <v>1</v>
      </c>
      <c r="J27" s="4"/>
      <c r="K27" s="4"/>
    </row>
    <row r="28" ht="16" customHeight="1" s="4" customFormat="1">
      <c r="A28" s="4" t="s">
        <v>2205</v>
      </c>
      <c r="B28" s="4" t="s">
        <v>1466</v>
      </c>
      <c r="C28" s="4" t="s">
        <v>2173</v>
      </c>
      <c r="D28" s="4" t="s">
        <v>2174</v>
      </c>
      <c r="E28" s="4" t="s">
        <v>2192</v>
      </c>
      <c r="F28" s="4">
        <v>0</v>
      </c>
      <c r="G28" s="4">
        <v>1.4</v>
      </c>
      <c r="H28" s="4">
        <v>0</v>
      </c>
      <c r="I28" s="4">
        <v>1.4</v>
      </c>
      <c r="J28" s="4"/>
      <c r="K28" s="4"/>
    </row>
    <row r="29" ht="16" customHeight="1" s="4" customFormat="1">
      <c r="A29" s="4" t="s">
        <v>2206</v>
      </c>
      <c r="B29" s="4" t="s">
        <v>1466</v>
      </c>
      <c r="C29" s="4" t="s">
        <v>2173</v>
      </c>
      <c r="D29" s="4" t="s">
        <v>2174</v>
      </c>
      <c r="E29" s="4" t="s">
        <v>2192</v>
      </c>
      <c r="F29" s="4">
        <v>0</v>
      </c>
      <c r="G29" s="4">
        <v>2</v>
      </c>
      <c r="H29" s="4">
        <v>0</v>
      </c>
      <c r="I29" s="4">
        <v>2</v>
      </c>
      <c r="J29" s="4"/>
      <c r="K29" s="4"/>
    </row>
    <row r="30" ht="16" customHeight="1" s="4" customFormat="1">
      <c r="A30" s="4" t="s">
        <v>2207</v>
      </c>
      <c r="B30" s="4" t="s">
        <v>1466</v>
      </c>
      <c r="C30" s="4" t="s">
        <v>2173</v>
      </c>
      <c r="D30" s="4" t="s">
        <v>2174</v>
      </c>
      <c r="E30" s="4" t="s">
        <v>2192</v>
      </c>
      <c r="F30" s="4">
        <v>0</v>
      </c>
      <c r="G30" s="4">
        <v>2</v>
      </c>
      <c r="H30" s="4">
        <v>0</v>
      </c>
      <c r="I30" s="4">
        <v>2</v>
      </c>
      <c r="J30" s="4"/>
      <c r="K30" s="4"/>
    </row>
    <row r="31" ht="16" customHeight="1" s="4" customFormat="1">
      <c r="A31" s="4" t="s">
        <v>2208</v>
      </c>
      <c r="B31" s="4" t="s">
        <v>1466</v>
      </c>
      <c r="C31" s="4" t="s">
        <v>2173</v>
      </c>
      <c r="D31" s="4" t="s">
        <v>2174</v>
      </c>
      <c r="E31" s="4" t="s">
        <v>2192</v>
      </c>
      <c r="F31" s="4">
        <v>0</v>
      </c>
      <c r="G31" s="4">
        <v>2</v>
      </c>
      <c r="H31" s="4">
        <v>0</v>
      </c>
      <c r="I31" s="4">
        <v>2</v>
      </c>
      <c r="J31" s="4"/>
      <c r="K31" s="4"/>
    </row>
    <row r="32" ht="16" customHeight="1" s="4" customFormat="1">
      <c r="A32" s="4" t="s">
        <v>2209</v>
      </c>
      <c r="B32" s="4" t="s">
        <v>1466</v>
      </c>
      <c r="C32" s="4" t="s">
        <v>2173</v>
      </c>
      <c r="D32" s="4" t="s">
        <v>2174</v>
      </c>
      <c r="E32" s="4" t="s">
        <v>2192</v>
      </c>
      <c r="F32" s="4">
        <v>0</v>
      </c>
      <c r="G32" s="4">
        <v>3.1</v>
      </c>
      <c r="H32" s="4">
        <v>0</v>
      </c>
      <c r="I32" s="4">
        <v>3.1</v>
      </c>
      <c r="J32" s="4"/>
      <c r="K32" s="4"/>
    </row>
    <row r="33" ht="16" customHeight="1" s="4" customFormat="1">
      <c r="A33" s="4" t="s">
        <v>2210</v>
      </c>
      <c r="B33" s="4" t="s">
        <v>1466</v>
      </c>
      <c r="C33" s="4" t="s">
        <v>2173</v>
      </c>
      <c r="D33" s="4" t="s">
        <v>2174</v>
      </c>
      <c r="E33" s="4" t="s">
        <v>2192</v>
      </c>
      <c r="F33" s="4">
        <v>0</v>
      </c>
      <c r="G33" s="4">
        <v>5.5</v>
      </c>
      <c r="H33" s="4">
        <v>0</v>
      </c>
      <c r="I33" s="4">
        <v>5.5</v>
      </c>
      <c r="J33" s="4"/>
      <c r="K33" s="4"/>
    </row>
    <row r="34" ht="16" customHeight="1" s="4" customFormat="1">
      <c r="A34" s="4" t="s">
        <v>2211</v>
      </c>
      <c r="B34" s="4" t="s">
        <v>1466</v>
      </c>
      <c r="C34" s="4" t="s">
        <v>2173</v>
      </c>
      <c r="D34" s="4" t="s">
        <v>2174</v>
      </c>
      <c r="E34" s="4" t="s">
        <v>2192</v>
      </c>
      <c r="F34" s="4">
        <v>0</v>
      </c>
      <c r="G34" s="4">
        <v>2.75</v>
      </c>
      <c r="H34" s="4">
        <v>0</v>
      </c>
      <c r="I34" s="4">
        <v>2.75</v>
      </c>
      <c r="J34" s="4"/>
      <c r="K34" s="4"/>
    </row>
    <row r="35" ht="16" customHeight="1" s="4" customFormat="1">
      <c r="A35" s="4" t="s">
        <v>2212</v>
      </c>
      <c r="B35" s="4" t="s">
        <v>1466</v>
      </c>
      <c r="C35" s="4" t="s">
        <v>2173</v>
      </c>
      <c r="D35" s="4" t="s">
        <v>2174</v>
      </c>
      <c r="E35" s="4" t="s">
        <v>2192</v>
      </c>
      <c r="F35" s="4">
        <v>0</v>
      </c>
      <c r="G35" s="4">
        <v>5</v>
      </c>
      <c r="H35" s="4">
        <v>0</v>
      </c>
      <c r="I35" s="4">
        <v>5</v>
      </c>
      <c r="J35" s="4"/>
      <c r="K35" s="4"/>
    </row>
    <row r="36" ht="16" customHeight="1" s="4" customFormat="1">
      <c r="A36" s="4" t="s">
        <v>2213</v>
      </c>
      <c r="B36" s="4" t="s">
        <v>1466</v>
      </c>
      <c r="C36" s="4" t="s">
        <v>2173</v>
      </c>
      <c r="D36" s="4" t="s">
        <v>2174</v>
      </c>
      <c r="E36" s="4" t="s">
        <v>2192</v>
      </c>
      <c r="F36" s="4">
        <v>0</v>
      </c>
      <c r="G36" s="4">
        <v>7</v>
      </c>
      <c r="H36" s="4">
        <v>0</v>
      </c>
      <c r="I36" s="4">
        <v>7</v>
      </c>
      <c r="J36" s="4"/>
      <c r="K36" s="4"/>
    </row>
    <row r="37" ht="16" customHeight="1" s="4" customFormat="1">
      <c r="A37" s="4" t="s">
        <v>2214</v>
      </c>
      <c r="B37" s="4" t="s">
        <v>1466</v>
      </c>
      <c r="C37" s="4" t="s">
        <v>2173</v>
      </c>
      <c r="D37" s="4" t="s">
        <v>2174</v>
      </c>
      <c r="E37" s="4" t="s">
        <v>2192</v>
      </c>
      <c r="F37" s="4">
        <v>0</v>
      </c>
      <c r="G37" s="4">
        <v>2.8</v>
      </c>
      <c r="H37" s="4">
        <v>0</v>
      </c>
      <c r="I37" s="4">
        <v>2.8</v>
      </c>
      <c r="J37" s="4"/>
      <c r="K37" s="4"/>
    </row>
    <row r="38" ht="16" customHeight="1" s="4" customFormat="1">
      <c r="A38" s="4" t="s">
        <v>2215</v>
      </c>
      <c r="B38" s="4" t="s">
        <v>1466</v>
      </c>
      <c r="C38" s="4" t="s">
        <v>2173</v>
      </c>
      <c r="D38" s="4" t="s">
        <v>2174</v>
      </c>
      <c r="E38" s="4" t="s">
        <v>2192</v>
      </c>
      <c r="F38" s="4">
        <v>0</v>
      </c>
      <c r="G38" s="4">
        <v>3</v>
      </c>
      <c r="H38" s="4">
        <v>0</v>
      </c>
      <c r="I38" s="4">
        <v>3</v>
      </c>
      <c r="J38" s="4"/>
      <c r="K38" s="4"/>
    </row>
    <row r="39" ht="16" customHeight="1" s="4" customFormat="1">
      <c r="A39" s="4" t="s">
        <v>2216</v>
      </c>
      <c r="B39" s="4" t="s">
        <v>1466</v>
      </c>
      <c r="C39" s="4" t="s">
        <v>2173</v>
      </c>
      <c r="D39" s="4" t="s">
        <v>2174</v>
      </c>
      <c r="E39" s="4" t="s">
        <v>2192</v>
      </c>
      <c r="F39" s="4">
        <v>0</v>
      </c>
      <c r="G39" s="4">
        <v>4</v>
      </c>
      <c r="H39" s="4">
        <v>0</v>
      </c>
      <c r="I39" s="4">
        <v>4</v>
      </c>
      <c r="J39" s="4"/>
      <c r="K39" s="4"/>
    </row>
    <row r="40" ht="16" customHeight="1" s="4" customFormat="1">
      <c r="A40" s="4" t="s">
        <v>2217</v>
      </c>
      <c r="B40" s="4" t="s">
        <v>1466</v>
      </c>
      <c r="C40" s="4" t="s">
        <v>2173</v>
      </c>
      <c r="D40" s="4" t="s">
        <v>2174</v>
      </c>
      <c r="E40" s="4" t="s">
        <v>2192</v>
      </c>
      <c r="F40" s="4">
        <v>0</v>
      </c>
      <c r="G40" s="4">
        <v>4</v>
      </c>
      <c r="H40" s="4">
        <v>0</v>
      </c>
      <c r="I40" s="4">
        <v>4</v>
      </c>
      <c r="J40" s="4"/>
      <c r="K40" s="4"/>
    </row>
    <row r="41" ht="16" customHeight="1" s="4" customFormat="1">
      <c r="A41" s="4" t="s">
        <v>2218</v>
      </c>
      <c r="B41" s="4" t="s">
        <v>1466</v>
      </c>
      <c r="C41" s="4" t="s">
        <v>2173</v>
      </c>
      <c r="D41" s="4" t="s">
        <v>2174</v>
      </c>
      <c r="E41" s="4" t="s">
        <v>2219</v>
      </c>
      <c r="F41" s="4">
        <v>0</v>
      </c>
      <c r="G41" s="4">
        <v>35.5</v>
      </c>
      <c r="H41" s="4">
        <v>0</v>
      </c>
      <c r="I41" s="4">
        <v>35.5</v>
      </c>
      <c r="J41" s="4"/>
      <c r="K41" s="4"/>
    </row>
    <row r="42" ht="16" customHeight="1" s="4" customFormat="1">
      <c r="A42" s="4" t="s">
        <v>2220</v>
      </c>
      <c r="B42" s="4" t="s">
        <v>1466</v>
      </c>
      <c r="C42" s="4" t="s">
        <v>2173</v>
      </c>
      <c r="D42" s="4" t="s">
        <v>2174</v>
      </c>
      <c r="E42" s="4" t="s">
        <v>2219</v>
      </c>
      <c r="F42" s="4">
        <v>0</v>
      </c>
      <c r="G42" s="4">
        <v>2</v>
      </c>
      <c r="H42" s="4">
        <v>0</v>
      </c>
      <c r="I42" s="4">
        <v>2</v>
      </c>
      <c r="J42" s="4"/>
      <c r="K42" s="4"/>
    </row>
    <row r="43" ht="16" customHeight="1" s="4" customFormat="1">
      <c r="A43" s="4" t="s">
        <v>2221</v>
      </c>
      <c r="B43" s="4" t="s">
        <v>1466</v>
      </c>
      <c r="C43" s="4" t="s">
        <v>2173</v>
      </c>
      <c r="D43" s="4" t="s">
        <v>2174</v>
      </c>
      <c r="E43" s="4" t="s">
        <v>2219</v>
      </c>
      <c r="F43" s="4">
        <v>0</v>
      </c>
      <c r="G43" s="4">
        <v>5.6</v>
      </c>
      <c r="H43" s="4">
        <v>5</v>
      </c>
      <c r="I43" s="4">
        <v>10.6</v>
      </c>
      <c r="J43" s="4"/>
      <c r="K43" s="4"/>
    </row>
    <row r="44" ht="16" customHeight="1" s="4" customFormat="1">
      <c r="A44" s="4" t="s">
        <v>2222</v>
      </c>
      <c r="B44" s="4" t="s">
        <v>1466</v>
      </c>
      <c r="C44" s="4" t="s">
        <v>2173</v>
      </c>
      <c r="D44" s="4" t="s">
        <v>2174</v>
      </c>
      <c r="E44" s="4" t="s">
        <v>2219</v>
      </c>
      <c r="F44" s="4">
        <v>0</v>
      </c>
      <c r="G44" s="4">
        <v>8.37</v>
      </c>
      <c r="H44" s="4">
        <v>0</v>
      </c>
      <c r="I44" s="4">
        <v>8.37</v>
      </c>
      <c r="J44" s="4"/>
      <c r="K44" s="4"/>
    </row>
    <row r="45" ht="16" customHeight="1" s="4" customFormat="1">
      <c r="A45" s="4" t="s">
        <v>2223</v>
      </c>
      <c r="B45" s="4" t="s">
        <v>1466</v>
      </c>
      <c r="C45" s="4" t="s">
        <v>2173</v>
      </c>
      <c r="D45" s="4" t="s">
        <v>2174</v>
      </c>
      <c r="E45" s="4" t="s">
        <v>2219</v>
      </c>
      <c r="F45" s="4">
        <v>0</v>
      </c>
      <c r="G45" s="4">
        <v>1</v>
      </c>
      <c r="H45" s="4">
        <v>0</v>
      </c>
      <c r="I45" s="4">
        <v>1</v>
      </c>
      <c r="J45" s="4"/>
      <c r="K45" s="4"/>
    </row>
    <row r="46" ht="16" customHeight="1" s="4" customFormat="1">
      <c r="A46" s="4" t="s">
        <v>2224</v>
      </c>
      <c r="B46" s="4" t="s">
        <v>1466</v>
      </c>
      <c r="C46" s="4" t="s">
        <v>2173</v>
      </c>
      <c r="D46" s="4" t="s">
        <v>2174</v>
      </c>
      <c r="E46" s="4" t="s">
        <v>2219</v>
      </c>
      <c r="F46" s="4">
        <v>0</v>
      </c>
      <c r="G46" s="4">
        <v>2.07</v>
      </c>
      <c r="H46" s="4">
        <v>0</v>
      </c>
      <c r="I46" s="4">
        <v>2.07</v>
      </c>
      <c r="J46" s="4"/>
      <c r="K46" s="4"/>
    </row>
    <row r="47" ht="16" customHeight="1" s="4" customFormat="1">
      <c r="A47" s="4" t="s">
        <v>2225</v>
      </c>
      <c r="B47" s="4" t="s">
        <v>1466</v>
      </c>
      <c r="C47" s="4" t="s">
        <v>2173</v>
      </c>
      <c r="D47" s="4" t="s">
        <v>2174</v>
      </c>
      <c r="E47" s="4" t="s">
        <v>2219</v>
      </c>
      <c r="F47" s="4">
        <v>0.9</v>
      </c>
      <c r="G47" s="4">
        <v>0</v>
      </c>
      <c r="H47" s="4">
        <v>0</v>
      </c>
      <c r="I47" s="4">
        <v>0.9</v>
      </c>
      <c r="J47" s="4"/>
      <c r="K47" s="4"/>
    </row>
    <row r="48" ht="16" customHeight="1" s="4" customFormat="1">
      <c r="A48" s="4" t="s">
        <v>2226</v>
      </c>
      <c r="B48" s="4" t="s">
        <v>1466</v>
      </c>
      <c r="C48" s="4" t="s">
        <v>2173</v>
      </c>
      <c r="D48" s="4" t="s">
        <v>2174</v>
      </c>
      <c r="E48" s="4" t="s">
        <v>2219</v>
      </c>
      <c r="F48" s="4">
        <v>12.25</v>
      </c>
      <c r="G48" s="4">
        <v>0</v>
      </c>
      <c r="H48" s="4">
        <v>0</v>
      </c>
      <c r="I48" s="4">
        <v>12.25</v>
      </c>
      <c r="J48" s="4"/>
      <c r="K48" s="4"/>
    </row>
    <row r="49" ht="16" customHeight="1" s="4" customFormat="1">
      <c r="A49" s="4" t="s">
        <v>2227</v>
      </c>
      <c r="B49" s="4" t="s">
        <v>1466</v>
      </c>
      <c r="C49" s="4" t="s">
        <v>2173</v>
      </c>
      <c r="D49" s="4" t="s">
        <v>2174</v>
      </c>
      <c r="E49" s="4" t="s">
        <v>2219</v>
      </c>
      <c r="F49" s="4">
        <v>2.5</v>
      </c>
      <c r="G49" s="4">
        <v>0</v>
      </c>
      <c r="H49" s="4">
        <v>0</v>
      </c>
      <c r="I49" s="4">
        <v>2.5</v>
      </c>
      <c r="J49" s="4"/>
      <c r="K49" s="4"/>
    </row>
    <row r="50" ht="16" customHeight="1">
      <c r="A50" s="3" t="s">
        <v>2228</v>
      </c>
      <c r="B50" s="3" t="s">
        <v>1466</v>
      </c>
      <c r="C50" s="3" t="s">
        <v>2173</v>
      </c>
      <c r="D50" s="3" t="s">
        <v>2174</v>
      </c>
      <c r="E50" s="3" t="s">
        <v>2219</v>
      </c>
      <c r="F50" s="3">
        <v>0</v>
      </c>
      <c r="G50" s="3">
        <v>0</v>
      </c>
      <c r="H50" s="3">
        <v>25</v>
      </c>
      <c r="I50" s="3">
        <v>25</v>
      </c>
    </row>
    <row r="51" ht="16" customHeight="1">
      <c r="A51" s="3" t="s">
        <v>2229</v>
      </c>
      <c r="B51" s="3" t="s">
        <v>1466</v>
      </c>
      <c r="C51" s="3" t="s">
        <v>2173</v>
      </c>
      <c r="D51" s="3" t="s">
        <v>2174</v>
      </c>
      <c r="E51" s="3" t="s">
        <v>2219</v>
      </c>
      <c r="F51" s="3">
        <v>1</v>
      </c>
      <c r="G51" s="3">
        <v>102</v>
      </c>
      <c r="H51" s="3">
        <v>0</v>
      </c>
      <c r="I51" s="3">
        <v>103</v>
      </c>
    </row>
  </sheetData>
  <headerFooter/>
</worksheet>
</file>

<file path=xl/worksheets/sheet34.xml><?xml version="1.0" encoding="utf-8"?>
<worksheet xmlns:r="http://schemas.openxmlformats.org/officeDocument/2006/relationships" xmlns="http://schemas.openxmlformats.org/spreadsheetml/2006/main">
  <dimension ref="A1:I148"/>
  <sheetViews>
    <sheetView workbookViewId="0"/>
  </sheetViews>
  <sheetFormatPr defaultRowHeight="15"/>
  <cols>
    <col min="1" max="1" width="12.8065767288208" customWidth="1" style="3"/>
    <col min="2" max="2" width="35.2966232299805" customWidth="1" style="3"/>
    <col min="3" max="3" width="15.6056833267212" customWidth="1" style="3"/>
    <col min="4" max="4" width="32.2591400146484" customWidth="1" style="3"/>
    <col min="5" max="5" width="90.8971405029297" customWidth="1" style="3"/>
    <col min="6" max="6" width="18.8429088592529" customWidth="1" style="3"/>
    <col min="7" max="16384" width="23.6367454528809" customWidth="1" style="3"/>
    <col min="8" max="16384" width="9.140625" customWidth="1" style="3"/>
    <col min="9" max="16384" width="9.140625" customWidth="1" style="3"/>
  </cols>
  <sheetData>
    <row r="1" ht="20" customHeight="1" s="1" customFormat="1">
      <c r="A1" s="2" t="s">
        <v>1935</v>
      </c>
      <c r="B1" s="2" t="s">
        <v>2230</v>
      </c>
      <c r="C1" s="2" t="s">
        <v>2166</v>
      </c>
      <c r="D1" s="2" t="s">
        <v>2231</v>
      </c>
      <c r="E1" s="2" t="s">
        <v>2232</v>
      </c>
      <c r="F1" s="2" t="s">
        <v>2233</v>
      </c>
      <c r="G1" s="2" t="s">
        <v>2234</v>
      </c>
    </row>
    <row r="2" ht="16" customHeight="1" s="4" customFormat="1">
      <c r="A2" s="4" t="s">
        <v>2235</v>
      </c>
      <c r="B2" s="4" t="s">
        <v>1546</v>
      </c>
      <c r="C2" s="4" t="s">
        <v>2174</v>
      </c>
      <c r="D2" s="4" t="s">
        <v>2236</v>
      </c>
      <c r="E2" s="4" t="s">
        <v>2237</v>
      </c>
      <c r="F2" s="4">
        <v>488.53</v>
      </c>
      <c r="G2" s="4" t="s">
        <v>2238</v>
      </c>
      <c r="H2" s="4"/>
      <c r="I2" s="4"/>
    </row>
    <row r="3" ht="16" customHeight="1" s="4" customFormat="1">
      <c r="A3" s="4" t="s">
        <v>2235</v>
      </c>
      <c r="B3" s="4" t="s">
        <v>2239</v>
      </c>
      <c r="C3" s="4" t="s">
        <v>2240</v>
      </c>
      <c r="D3" s="4" t="s">
        <v>2236</v>
      </c>
      <c r="E3" s="4" t="s">
        <v>2241</v>
      </c>
      <c r="F3" s="4">
        <v>298.38</v>
      </c>
      <c r="G3" s="4" t="s">
        <v>2238</v>
      </c>
      <c r="H3" s="4"/>
      <c r="I3" s="4"/>
    </row>
    <row r="4" ht="16" customHeight="1" s="4" customFormat="1">
      <c r="A4" s="4" t="s">
        <v>2242</v>
      </c>
      <c r="B4" s="4" t="s">
        <v>1377</v>
      </c>
      <c r="C4" s="4" t="s">
        <v>2174</v>
      </c>
      <c r="D4" s="4" t="s">
        <v>2236</v>
      </c>
      <c r="E4" s="4" t="s">
        <v>2243</v>
      </c>
      <c r="F4" s="4">
        <v>81.61</v>
      </c>
      <c r="G4" s="4" t="s">
        <v>2238</v>
      </c>
      <c r="H4" s="4"/>
      <c r="I4" s="4"/>
    </row>
    <row r="5" ht="16" customHeight="1" s="4" customFormat="1">
      <c r="A5" s="4" t="s">
        <v>2242</v>
      </c>
      <c r="B5" s="4" t="s">
        <v>1546</v>
      </c>
      <c r="C5" s="4" t="s">
        <v>2174</v>
      </c>
      <c r="D5" s="4" t="s">
        <v>2236</v>
      </c>
      <c r="E5" s="4" t="s">
        <v>2244</v>
      </c>
      <c r="F5" s="4">
        <v>774.41</v>
      </c>
      <c r="G5" s="4" t="s">
        <v>2238</v>
      </c>
      <c r="H5" s="4"/>
      <c r="I5" s="4"/>
    </row>
    <row r="6" ht="16" customHeight="1" s="4" customFormat="1">
      <c r="A6" s="4" t="s">
        <v>2242</v>
      </c>
      <c r="B6" s="4" t="s">
        <v>1383</v>
      </c>
      <c r="C6" s="4" t="s">
        <v>2174</v>
      </c>
      <c r="D6" s="4" t="s">
        <v>2236</v>
      </c>
      <c r="E6" s="4" t="s">
        <v>2245</v>
      </c>
      <c r="F6" s="4">
        <v>344.29</v>
      </c>
      <c r="G6" s="4" t="s">
        <v>2238</v>
      </c>
      <c r="H6" s="4"/>
      <c r="I6" s="4"/>
    </row>
    <row r="7" ht="16" customHeight="1" s="4" customFormat="1">
      <c r="A7" s="4" t="s">
        <v>2246</v>
      </c>
      <c r="B7" s="4" t="s">
        <v>1377</v>
      </c>
      <c r="C7" s="4" t="s">
        <v>2174</v>
      </c>
      <c r="D7" s="4" t="s">
        <v>2236</v>
      </c>
      <c r="E7" s="4" t="s">
        <v>2247</v>
      </c>
      <c r="F7" s="4">
        <v>406.69</v>
      </c>
      <c r="G7" s="4" t="s">
        <v>2238</v>
      </c>
      <c r="H7" s="4"/>
      <c r="I7" s="4"/>
    </row>
    <row r="8" ht="16" customHeight="1" s="4" customFormat="1">
      <c r="A8" s="4" t="s">
        <v>2248</v>
      </c>
      <c r="B8" s="4" t="s">
        <v>2249</v>
      </c>
      <c r="C8" s="4" t="s">
        <v>2174</v>
      </c>
      <c r="D8" s="4" t="s">
        <v>2236</v>
      </c>
      <c r="E8" s="4" t="s">
        <v>2250</v>
      </c>
      <c r="F8" s="4">
        <v>39.88</v>
      </c>
      <c r="G8" s="4"/>
      <c r="H8" s="4"/>
      <c r="I8" s="4"/>
    </row>
    <row r="9" ht="16" customHeight="1" s="4" customFormat="1">
      <c r="A9" s="4" t="s">
        <v>2251</v>
      </c>
      <c r="B9" s="4" t="s">
        <v>2252</v>
      </c>
      <c r="C9" s="4" t="s">
        <v>2174</v>
      </c>
      <c r="D9" s="4" t="s">
        <v>2236</v>
      </c>
      <c r="E9" s="4" t="s">
        <v>2250</v>
      </c>
      <c r="F9" s="4">
        <v>158.81</v>
      </c>
      <c r="G9" s="4"/>
      <c r="H9" s="4"/>
      <c r="I9" s="4"/>
    </row>
    <row r="10" ht="16" customHeight="1" s="4" customFormat="1">
      <c r="A10" s="4" t="s">
        <v>2253</v>
      </c>
      <c r="B10" s="4" t="s">
        <v>2249</v>
      </c>
      <c r="C10" s="4" t="s">
        <v>2174</v>
      </c>
      <c r="D10" s="4" t="s">
        <v>2236</v>
      </c>
      <c r="E10" s="4" t="s">
        <v>2250</v>
      </c>
      <c r="F10" s="4">
        <v>0.24</v>
      </c>
      <c r="G10" s="4"/>
      <c r="H10" s="4"/>
      <c r="I10" s="4"/>
    </row>
    <row r="11" ht="16" customHeight="1" s="4" customFormat="1">
      <c r="A11" s="4" t="s">
        <v>2253</v>
      </c>
      <c r="B11" s="4" t="s">
        <v>2249</v>
      </c>
      <c r="C11" s="4" t="s">
        <v>2174</v>
      </c>
      <c r="D11" s="4" t="s">
        <v>2236</v>
      </c>
      <c r="E11" s="4" t="s">
        <v>2250</v>
      </c>
      <c r="F11" s="4">
        <v>2.89</v>
      </c>
      <c r="G11" s="4"/>
      <c r="H11" s="4"/>
      <c r="I11" s="4"/>
    </row>
    <row r="12" ht="16" customHeight="1" s="4" customFormat="1">
      <c r="A12" s="4" t="s">
        <v>2253</v>
      </c>
      <c r="B12" s="4" t="s">
        <v>2249</v>
      </c>
      <c r="C12" s="4" t="s">
        <v>2174</v>
      </c>
      <c r="D12" s="4" t="s">
        <v>2236</v>
      </c>
      <c r="E12" s="4" t="s">
        <v>2250</v>
      </c>
      <c r="F12" s="4">
        <v>4.84</v>
      </c>
      <c r="G12" s="4"/>
      <c r="H12" s="4"/>
      <c r="I12" s="4"/>
    </row>
    <row r="13" ht="16" customHeight="1" s="4" customFormat="1">
      <c r="A13" s="4" t="s">
        <v>2253</v>
      </c>
      <c r="B13" s="4" t="s">
        <v>2249</v>
      </c>
      <c r="C13" s="4" t="s">
        <v>2174</v>
      </c>
      <c r="D13" s="4" t="s">
        <v>2236</v>
      </c>
      <c r="E13" s="4" t="s">
        <v>2250</v>
      </c>
      <c r="F13" s="4">
        <v>8.36</v>
      </c>
      <c r="G13" s="4"/>
      <c r="H13" s="4"/>
      <c r="I13" s="4"/>
    </row>
    <row r="14" ht="16" customHeight="1" s="4" customFormat="1">
      <c r="A14" s="4" t="s">
        <v>2253</v>
      </c>
      <c r="B14" s="4" t="s">
        <v>2249</v>
      </c>
      <c r="C14" s="4" t="s">
        <v>2174</v>
      </c>
      <c r="D14" s="4" t="s">
        <v>2236</v>
      </c>
      <c r="E14" s="4" t="s">
        <v>2250</v>
      </c>
      <c r="F14" s="4">
        <v>0.04</v>
      </c>
      <c r="G14" s="4"/>
      <c r="H14" s="4"/>
      <c r="I14" s="4"/>
    </row>
    <row r="15" ht="16" customHeight="1" s="4" customFormat="1">
      <c r="A15" s="4" t="s">
        <v>2253</v>
      </c>
      <c r="B15" s="4" t="s">
        <v>2249</v>
      </c>
      <c r="C15" s="4" t="s">
        <v>2174</v>
      </c>
      <c r="D15" s="4" t="s">
        <v>2236</v>
      </c>
      <c r="E15" s="4" t="s">
        <v>2250</v>
      </c>
      <c r="F15" s="4">
        <v>0.13</v>
      </c>
      <c r="G15" s="4"/>
      <c r="H15" s="4"/>
      <c r="I15" s="4"/>
    </row>
    <row r="16" ht="16" customHeight="1" s="4" customFormat="1">
      <c r="A16" s="4" t="s">
        <v>2253</v>
      </c>
      <c r="B16" s="4" t="s">
        <v>2249</v>
      </c>
      <c r="C16" s="4" t="s">
        <v>2174</v>
      </c>
      <c r="D16" s="4" t="s">
        <v>2236</v>
      </c>
      <c r="E16" s="4" t="s">
        <v>2250</v>
      </c>
      <c r="F16" s="4">
        <v>2.31</v>
      </c>
      <c r="G16" s="4"/>
      <c r="H16" s="4"/>
      <c r="I16" s="4"/>
    </row>
    <row r="17" ht="16" customHeight="1" s="4" customFormat="1">
      <c r="A17" s="4" t="s">
        <v>2253</v>
      </c>
      <c r="B17" s="4" t="s">
        <v>2249</v>
      </c>
      <c r="C17" s="4" t="s">
        <v>2174</v>
      </c>
      <c r="D17" s="4" t="s">
        <v>2236</v>
      </c>
      <c r="E17" s="4" t="s">
        <v>2250</v>
      </c>
      <c r="F17" s="4">
        <v>5.69</v>
      </c>
      <c r="G17" s="4"/>
      <c r="H17" s="4"/>
      <c r="I17" s="4"/>
    </row>
    <row r="18" ht="16" customHeight="1" s="4" customFormat="1">
      <c r="A18" s="4" t="s">
        <v>2253</v>
      </c>
      <c r="B18" s="4" t="s">
        <v>2249</v>
      </c>
      <c r="C18" s="4" t="s">
        <v>2174</v>
      </c>
      <c r="D18" s="4" t="s">
        <v>2236</v>
      </c>
      <c r="E18" s="4" t="s">
        <v>2250</v>
      </c>
      <c r="F18" s="4">
        <v>9.65</v>
      </c>
      <c r="G18" s="4"/>
      <c r="H18" s="4"/>
      <c r="I18" s="4"/>
    </row>
    <row r="19" ht="16" customHeight="1" s="4" customFormat="1">
      <c r="A19" s="4" t="s">
        <v>2253</v>
      </c>
      <c r="B19" s="4" t="s">
        <v>2249</v>
      </c>
      <c r="C19" s="4" t="s">
        <v>2174</v>
      </c>
      <c r="D19" s="4" t="s">
        <v>2236</v>
      </c>
      <c r="E19" s="4" t="s">
        <v>2250</v>
      </c>
      <c r="F19" s="4">
        <v>14.7</v>
      </c>
      <c r="G19" s="4"/>
      <c r="H19" s="4"/>
      <c r="I19" s="4"/>
    </row>
    <row r="20" ht="16" customHeight="1" s="4" customFormat="1">
      <c r="A20" s="4" t="s">
        <v>2253</v>
      </c>
      <c r="B20" s="4" t="s">
        <v>2249</v>
      </c>
      <c r="C20" s="4" t="s">
        <v>2174</v>
      </c>
      <c r="D20" s="4" t="s">
        <v>2236</v>
      </c>
      <c r="E20" s="4" t="s">
        <v>2250</v>
      </c>
      <c r="F20" s="4">
        <v>28.39</v>
      </c>
      <c r="G20" s="4"/>
      <c r="H20" s="4"/>
      <c r="I20" s="4"/>
    </row>
    <row r="21" ht="16" customHeight="1" s="4" customFormat="1">
      <c r="A21" s="4" t="s">
        <v>2253</v>
      </c>
      <c r="B21" s="4" t="s">
        <v>2249</v>
      </c>
      <c r="C21" s="4" t="s">
        <v>2174</v>
      </c>
      <c r="D21" s="4" t="s">
        <v>2236</v>
      </c>
      <c r="E21" s="4" t="s">
        <v>2250</v>
      </c>
      <c r="F21" s="4">
        <v>12.63</v>
      </c>
      <c r="G21" s="4"/>
      <c r="H21" s="4"/>
      <c r="I21" s="4"/>
    </row>
    <row r="22" ht="16" customHeight="1" s="4" customFormat="1">
      <c r="A22" s="4" t="s">
        <v>2253</v>
      </c>
      <c r="B22" s="4" t="s">
        <v>2249</v>
      </c>
      <c r="C22" s="4" t="s">
        <v>2174</v>
      </c>
      <c r="D22" s="4" t="s">
        <v>2236</v>
      </c>
      <c r="E22" s="4" t="s">
        <v>2250</v>
      </c>
      <c r="F22" s="4">
        <v>17.11</v>
      </c>
      <c r="G22" s="4"/>
      <c r="H22" s="4"/>
      <c r="I22" s="4"/>
    </row>
    <row r="23" ht="16" customHeight="1" s="4" customFormat="1">
      <c r="A23" s="4" t="s">
        <v>2253</v>
      </c>
      <c r="B23" s="4" t="s">
        <v>2249</v>
      </c>
      <c r="C23" s="4" t="s">
        <v>2174</v>
      </c>
      <c r="D23" s="4" t="s">
        <v>2236</v>
      </c>
      <c r="E23" s="4" t="s">
        <v>2250</v>
      </c>
      <c r="F23" s="4">
        <v>0.07</v>
      </c>
      <c r="G23" s="4"/>
      <c r="H23" s="4"/>
      <c r="I23" s="4"/>
    </row>
    <row r="24" ht="16" customHeight="1" s="4" customFormat="1">
      <c r="A24" s="4" t="s">
        <v>2253</v>
      </c>
      <c r="B24" s="4" t="s">
        <v>2249</v>
      </c>
      <c r="C24" s="4" t="s">
        <v>2174</v>
      </c>
      <c r="D24" s="4" t="s">
        <v>2236</v>
      </c>
      <c r="E24" s="4" t="s">
        <v>2250</v>
      </c>
      <c r="F24" s="4">
        <v>0.18</v>
      </c>
      <c r="G24" s="4"/>
      <c r="H24" s="4"/>
      <c r="I24" s="4"/>
    </row>
    <row r="25" ht="16" customHeight="1" s="4" customFormat="1">
      <c r="A25" s="4" t="s">
        <v>2253</v>
      </c>
      <c r="B25" s="4" t="s">
        <v>2249</v>
      </c>
      <c r="C25" s="4" t="s">
        <v>2174</v>
      </c>
      <c r="D25" s="4" t="s">
        <v>2236</v>
      </c>
      <c r="E25" s="4" t="s">
        <v>2250</v>
      </c>
      <c r="F25" s="4">
        <v>0.65</v>
      </c>
      <c r="G25" s="4"/>
      <c r="H25" s="4"/>
      <c r="I25" s="4"/>
    </row>
    <row r="26" ht="16" customHeight="1" s="4" customFormat="1">
      <c r="A26" s="4" t="s">
        <v>2253</v>
      </c>
      <c r="B26" s="4" t="s">
        <v>2249</v>
      </c>
      <c r="C26" s="4" t="s">
        <v>2174</v>
      </c>
      <c r="D26" s="4" t="s">
        <v>2236</v>
      </c>
      <c r="E26" s="4" t="s">
        <v>2250</v>
      </c>
      <c r="F26" s="4">
        <v>1.09</v>
      </c>
      <c r="G26" s="4"/>
      <c r="H26" s="4"/>
      <c r="I26" s="4"/>
    </row>
    <row r="27" ht="16" customHeight="1" s="4" customFormat="1">
      <c r="A27" s="4" t="s">
        <v>2253</v>
      </c>
      <c r="B27" s="4" t="s">
        <v>2249</v>
      </c>
      <c r="C27" s="4" t="s">
        <v>2174</v>
      </c>
      <c r="D27" s="4" t="s">
        <v>2236</v>
      </c>
      <c r="E27" s="4" t="s">
        <v>2250</v>
      </c>
      <c r="F27" s="4">
        <v>1.23</v>
      </c>
      <c r="G27" s="4"/>
      <c r="H27" s="4"/>
      <c r="I27" s="4"/>
    </row>
    <row r="28" ht="16" customHeight="1" s="4" customFormat="1">
      <c r="A28" s="4" t="s">
        <v>2253</v>
      </c>
      <c r="B28" s="4" t="s">
        <v>2249</v>
      </c>
      <c r="C28" s="4" t="s">
        <v>2174</v>
      </c>
      <c r="D28" s="4" t="s">
        <v>2236</v>
      </c>
      <c r="E28" s="4" t="s">
        <v>2250</v>
      </c>
      <c r="F28" s="4">
        <v>1.5</v>
      </c>
      <c r="G28" s="4"/>
      <c r="H28" s="4"/>
      <c r="I28" s="4"/>
    </row>
    <row r="29" ht="16" customHeight="1" s="4" customFormat="1">
      <c r="A29" s="4" t="s">
        <v>2253</v>
      </c>
      <c r="B29" s="4" t="s">
        <v>2249</v>
      </c>
      <c r="C29" s="4" t="s">
        <v>2174</v>
      </c>
      <c r="D29" s="4" t="s">
        <v>2236</v>
      </c>
      <c r="E29" s="4" t="s">
        <v>2250</v>
      </c>
      <c r="F29" s="4">
        <v>1.91</v>
      </c>
      <c r="G29" s="4"/>
      <c r="H29" s="4"/>
      <c r="I29" s="4"/>
    </row>
    <row r="30" ht="16" customHeight="1" s="4" customFormat="1">
      <c r="A30" s="4" t="s">
        <v>2253</v>
      </c>
      <c r="B30" s="4" t="s">
        <v>2249</v>
      </c>
      <c r="C30" s="4" t="s">
        <v>2174</v>
      </c>
      <c r="D30" s="4" t="s">
        <v>2236</v>
      </c>
      <c r="E30" s="4" t="s">
        <v>2250</v>
      </c>
      <c r="F30" s="4">
        <v>2.24</v>
      </c>
      <c r="G30" s="4"/>
      <c r="H30" s="4"/>
      <c r="I30" s="4"/>
    </row>
    <row r="31" ht="16" customHeight="1" s="4" customFormat="1">
      <c r="A31" s="4" t="s">
        <v>2253</v>
      </c>
      <c r="B31" s="4" t="s">
        <v>2249</v>
      </c>
      <c r="C31" s="4" t="s">
        <v>2174</v>
      </c>
      <c r="D31" s="4" t="s">
        <v>2236</v>
      </c>
      <c r="E31" s="4" t="s">
        <v>2250</v>
      </c>
      <c r="F31" s="4">
        <v>3.82</v>
      </c>
      <c r="G31" s="4"/>
      <c r="H31" s="4"/>
      <c r="I31" s="4"/>
    </row>
    <row r="32" ht="16" customHeight="1" s="4" customFormat="1">
      <c r="A32" s="4" t="s">
        <v>2253</v>
      </c>
      <c r="B32" s="4" t="s">
        <v>2249</v>
      </c>
      <c r="C32" s="4" t="s">
        <v>2174</v>
      </c>
      <c r="D32" s="4" t="s">
        <v>2236</v>
      </c>
      <c r="E32" s="4" t="s">
        <v>2250</v>
      </c>
      <c r="F32" s="4">
        <v>4.97</v>
      </c>
      <c r="G32" s="4"/>
      <c r="H32" s="4"/>
      <c r="I32" s="4"/>
    </row>
    <row r="33" ht="16" customHeight="1" s="4" customFormat="1">
      <c r="A33" s="4" t="s">
        <v>2253</v>
      </c>
      <c r="B33" s="4" t="s">
        <v>2249</v>
      </c>
      <c r="C33" s="4" t="s">
        <v>2174</v>
      </c>
      <c r="D33" s="4" t="s">
        <v>2236</v>
      </c>
      <c r="E33" s="4" t="s">
        <v>2250</v>
      </c>
      <c r="F33" s="4">
        <v>7.85</v>
      </c>
      <c r="G33" s="4"/>
      <c r="H33" s="4"/>
      <c r="I33" s="4"/>
    </row>
    <row r="34" ht="16" customHeight="1" s="4" customFormat="1">
      <c r="A34" s="4" t="s">
        <v>2253</v>
      </c>
      <c r="B34" s="4" t="s">
        <v>2249</v>
      </c>
      <c r="C34" s="4" t="s">
        <v>2174</v>
      </c>
      <c r="D34" s="4" t="s">
        <v>2236</v>
      </c>
      <c r="E34" s="4" t="s">
        <v>2250</v>
      </c>
      <c r="F34" s="4">
        <v>8.29</v>
      </c>
      <c r="G34" s="4"/>
      <c r="H34" s="4"/>
      <c r="I34" s="4"/>
    </row>
    <row r="35" ht="16" customHeight="1" s="4" customFormat="1">
      <c r="A35" s="4" t="s">
        <v>2253</v>
      </c>
      <c r="B35" s="4" t="s">
        <v>2249</v>
      </c>
      <c r="C35" s="4" t="s">
        <v>2174</v>
      </c>
      <c r="D35" s="4" t="s">
        <v>2236</v>
      </c>
      <c r="E35" s="4" t="s">
        <v>2250</v>
      </c>
      <c r="F35" s="4">
        <v>12.21</v>
      </c>
      <c r="G35" s="4"/>
      <c r="H35" s="4"/>
      <c r="I35" s="4"/>
    </row>
    <row r="36" ht="16" customHeight="1" s="4" customFormat="1">
      <c r="A36" s="4" t="s">
        <v>2253</v>
      </c>
      <c r="B36" s="4" t="s">
        <v>2249</v>
      </c>
      <c r="C36" s="4" t="s">
        <v>2174</v>
      </c>
      <c r="D36" s="4" t="s">
        <v>2236</v>
      </c>
      <c r="E36" s="4" t="s">
        <v>2250</v>
      </c>
      <c r="F36" s="4">
        <v>0.58</v>
      </c>
      <c r="G36" s="4"/>
      <c r="H36" s="4"/>
      <c r="I36" s="4"/>
    </row>
    <row r="37" ht="16" customHeight="1" s="4" customFormat="1">
      <c r="A37" s="4" t="s">
        <v>2253</v>
      </c>
      <c r="B37" s="4" t="s">
        <v>2249</v>
      </c>
      <c r="C37" s="4" t="s">
        <v>2174</v>
      </c>
      <c r="D37" s="4" t="s">
        <v>2236</v>
      </c>
      <c r="E37" s="4" t="s">
        <v>2250</v>
      </c>
      <c r="F37" s="4">
        <v>0.68</v>
      </c>
      <c r="G37" s="4"/>
      <c r="H37" s="4"/>
      <c r="I37" s="4"/>
    </row>
    <row r="38" ht="16" customHeight="1" s="4" customFormat="1">
      <c r="A38" s="4" t="s">
        <v>2253</v>
      </c>
      <c r="B38" s="4" t="s">
        <v>2249</v>
      </c>
      <c r="C38" s="4" t="s">
        <v>2174</v>
      </c>
      <c r="D38" s="4" t="s">
        <v>2236</v>
      </c>
      <c r="E38" s="4" t="s">
        <v>2250</v>
      </c>
      <c r="F38" s="4">
        <v>0.78</v>
      </c>
      <c r="G38" s="4"/>
      <c r="H38" s="4"/>
      <c r="I38" s="4"/>
    </row>
    <row r="39" ht="16" customHeight="1" s="4" customFormat="1">
      <c r="A39" s="4" t="s">
        <v>2253</v>
      </c>
      <c r="B39" s="4" t="s">
        <v>2249</v>
      </c>
      <c r="C39" s="4" t="s">
        <v>2174</v>
      </c>
      <c r="D39" s="4" t="s">
        <v>2236</v>
      </c>
      <c r="E39" s="4" t="s">
        <v>2250</v>
      </c>
      <c r="F39" s="4">
        <v>1.15</v>
      </c>
      <c r="G39" s="4"/>
      <c r="H39" s="4"/>
      <c r="I39" s="4"/>
    </row>
    <row r="40" ht="16" customHeight="1" s="4" customFormat="1">
      <c r="A40" s="4" t="s">
        <v>2253</v>
      </c>
      <c r="B40" s="4" t="s">
        <v>2249</v>
      </c>
      <c r="C40" s="4" t="s">
        <v>2174</v>
      </c>
      <c r="D40" s="4" t="s">
        <v>2236</v>
      </c>
      <c r="E40" s="4" t="s">
        <v>2250</v>
      </c>
      <c r="F40" s="4">
        <v>3.04</v>
      </c>
      <c r="G40" s="4"/>
      <c r="H40" s="4"/>
      <c r="I40" s="4"/>
    </row>
    <row r="41" ht="16" customHeight="1" s="4" customFormat="1">
      <c r="A41" s="4" t="s">
        <v>2253</v>
      </c>
      <c r="B41" s="4" t="s">
        <v>2249</v>
      </c>
      <c r="C41" s="4" t="s">
        <v>2174</v>
      </c>
      <c r="D41" s="4" t="s">
        <v>2236</v>
      </c>
      <c r="E41" s="4" t="s">
        <v>2250</v>
      </c>
      <c r="F41" s="4">
        <v>7.85</v>
      </c>
      <c r="G41" s="4"/>
      <c r="H41" s="4"/>
      <c r="I41" s="4"/>
    </row>
    <row r="42" ht="16" customHeight="1" s="4" customFormat="1">
      <c r="A42" s="4" t="s">
        <v>2253</v>
      </c>
      <c r="B42" s="4" t="s">
        <v>2249</v>
      </c>
      <c r="C42" s="4" t="s">
        <v>2174</v>
      </c>
      <c r="D42" s="4" t="s">
        <v>2236</v>
      </c>
      <c r="E42" s="4" t="s">
        <v>2250</v>
      </c>
      <c r="F42" s="4">
        <v>11.67</v>
      </c>
      <c r="G42" s="4"/>
      <c r="H42" s="4"/>
      <c r="I42" s="4"/>
    </row>
    <row r="43" ht="16" customHeight="1" s="4" customFormat="1">
      <c r="A43" s="4" t="s">
        <v>2253</v>
      </c>
      <c r="B43" s="4" t="s">
        <v>2249</v>
      </c>
      <c r="C43" s="4" t="s">
        <v>2174</v>
      </c>
      <c r="D43" s="4" t="s">
        <v>2236</v>
      </c>
      <c r="E43" s="4" t="s">
        <v>2250</v>
      </c>
      <c r="F43" s="4">
        <v>12.39</v>
      </c>
      <c r="G43" s="4"/>
      <c r="H43" s="4"/>
      <c r="I43" s="4"/>
    </row>
    <row r="44" ht="16" customHeight="1" s="4" customFormat="1">
      <c r="A44" s="4" t="s">
        <v>2253</v>
      </c>
      <c r="B44" s="4" t="s">
        <v>2249</v>
      </c>
      <c r="C44" s="4" t="s">
        <v>2174</v>
      </c>
      <c r="D44" s="4" t="s">
        <v>2236</v>
      </c>
      <c r="E44" s="4" t="s">
        <v>2250</v>
      </c>
      <c r="F44" s="4">
        <v>13.17</v>
      </c>
      <c r="G44" s="4"/>
      <c r="H44" s="4"/>
      <c r="I44" s="4"/>
    </row>
    <row r="45" ht="16" customHeight="1" s="4" customFormat="1">
      <c r="A45" s="4" t="s">
        <v>2253</v>
      </c>
      <c r="B45" s="4" t="s">
        <v>2249</v>
      </c>
      <c r="C45" s="4" t="s">
        <v>2174</v>
      </c>
      <c r="D45" s="4" t="s">
        <v>2236</v>
      </c>
      <c r="E45" s="4" t="s">
        <v>2250</v>
      </c>
      <c r="F45" s="4">
        <v>14.62</v>
      </c>
      <c r="G45" s="4"/>
      <c r="H45" s="4"/>
      <c r="I45" s="4"/>
    </row>
    <row r="46" ht="16" customHeight="1" s="4" customFormat="1">
      <c r="A46" s="4" t="s">
        <v>2253</v>
      </c>
      <c r="B46" s="4" t="s">
        <v>2249</v>
      </c>
      <c r="C46" s="4" t="s">
        <v>2174</v>
      </c>
      <c r="D46" s="4" t="s">
        <v>2236</v>
      </c>
      <c r="E46" s="4" t="s">
        <v>2250</v>
      </c>
      <c r="F46" s="4">
        <v>14.19</v>
      </c>
      <c r="G46" s="4"/>
      <c r="H46" s="4"/>
      <c r="I46" s="4"/>
    </row>
    <row r="47" ht="16" customHeight="1" s="4" customFormat="1">
      <c r="A47" s="4" t="s">
        <v>2253</v>
      </c>
      <c r="B47" s="4" t="s">
        <v>2249</v>
      </c>
      <c r="C47" s="4" t="s">
        <v>2174</v>
      </c>
      <c r="D47" s="4" t="s">
        <v>2236</v>
      </c>
      <c r="E47" s="4" t="s">
        <v>2250</v>
      </c>
      <c r="F47" s="4">
        <v>14.85</v>
      </c>
      <c r="G47" s="4"/>
      <c r="H47" s="4"/>
      <c r="I47" s="4"/>
    </row>
    <row r="48" ht="16" customHeight="1" s="4" customFormat="1">
      <c r="A48" s="4" t="s">
        <v>2253</v>
      </c>
      <c r="B48" s="4" t="s">
        <v>2249</v>
      </c>
      <c r="C48" s="4" t="s">
        <v>2174</v>
      </c>
      <c r="D48" s="4" t="s">
        <v>2236</v>
      </c>
      <c r="E48" s="4" t="s">
        <v>2250</v>
      </c>
      <c r="F48" s="4">
        <v>17.89</v>
      </c>
      <c r="G48" s="4"/>
      <c r="H48" s="4"/>
      <c r="I48" s="4"/>
    </row>
    <row r="49" ht="16" customHeight="1" s="4" customFormat="1">
      <c r="A49" s="4" t="s">
        <v>2253</v>
      </c>
      <c r="B49" s="4" t="s">
        <v>2249</v>
      </c>
      <c r="C49" s="4" t="s">
        <v>2174</v>
      </c>
      <c r="D49" s="4" t="s">
        <v>2236</v>
      </c>
      <c r="E49" s="4" t="s">
        <v>2250</v>
      </c>
      <c r="F49" s="4">
        <v>21.65</v>
      </c>
      <c r="G49" s="4"/>
      <c r="H49" s="4"/>
      <c r="I49" s="4"/>
    </row>
    <row r="50" ht="16" customHeight="1" s="4" customFormat="1">
      <c r="A50" s="4" t="s">
        <v>2253</v>
      </c>
      <c r="B50" s="4" t="s">
        <v>2249</v>
      </c>
      <c r="C50" s="4" t="s">
        <v>2174</v>
      </c>
      <c r="D50" s="4" t="s">
        <v>2236</v>
      </c>
      <c r="E50" s="4" t="s">
        <v>2250</v>
      </c>
      <c r="F50" s="4">
        <v>29.55</v>
      </c>
      <c r="G50" s="4"/>
      <c r="H50" s="4"/>
      <c r="I50" s="4"/>
    </row>
    <row r="51" ht="16" customHeight="1" s="4" customFormat="1">
      <c r="A51" s="4" t="s">
        <v>2253</v>
      </c>
      <c r="B51" s="4" t="s">
        <v>2249</v>
      </c>
      <c r="C51" s="4" t="s">
        <v>2174</v>
      </c>
      <c r="D51" s="4" t="s">
        <v>2236</v>
      </c>
      <c r="E51" s="4" t="s">
        <v>2250</v>
      </c>
      <c r="F51" s="4">
        <v>32.46</v>
      </c>
      <c r="G51" s="4"/>
      <c r="H51" s="4"/>
      <c r="I51" s="4"/>
    </row>
    <row r="52" ht="16" customHeight="1" s="4" customFormat="1">
      <c r="A52" s="4" t="s">
        <v>2253</v>
      </c>
      <c r="B52" s="4" t="s">
        <v>2249</v>
      </c>
      <c r="C52" s="4" t="s">
        <v>2174</v>
      </c>
      <c r="D52" s="4" t="s">
        <v>2236</v>
      </c>
      <c r="E52" s="4" t="s">
        <v>2250</v>
      </c>
      <c r="F52" s="4">
        <v>0.2</v>
      </c>
      <c r="G52" s="4"/>
      <c r="H52" s="4"/>
      <c r="I52" s="4"/>
    </row>
    <row r="53" ht="16" customHeight="1" s="4" customFormat="1">
      <c r="A53" s="4" t="s">
        <v>2253</v>
      </c>
      <c r="B53" s="4" t="s">
        <v>2249</v>
      </c>
      <c r="C53" s="4" t="s">
        <v>2174</v>
      </c>
      <c r="D53" s="4" t="s">
        <v>2236</v>
      </c>
      <c r="E53" s="4" t="s">
        <v>2250</v>
      </c>
      <c r="F53" s="4">
        <v>1.07</v>
      </c>
      <c r="G53" s="4"/>
      <c r="H53" s="4"/>
      <c r="I53" s="4"/>
    </row>
    <row r="54" ht="16" customHeight="1" s="4" customFormat="1">
      <c r="A54" s="4" t="s">
        <v>2253</v>
      </c>
      <c r="B54" s="4" t="s">
        <v>2249</v>
      </c>
      <c r="C54" s="4" t="s">
        <v>2174</v>
      </c>
      <c r="D54" s="4" t="s">
        <v>2236</v>
      </c>
      <c r="E54" s="4" t="s">
        <v>2250</v>
      </c>
      <c r="F54" s="4">
        <v>1.43</v>
      </c>
      <c r="G54" s="4"/>
      <c r="H54" s="4"/>
      <c r="I54" s="4"/>
    </row>
    <row r="55" ht="16" customHeight="1" s="4" customFormat="1">
      <c r="A55" s="4" t="s">
        <v>2253</v>
      </c>
      <c r="B55" s="4" t="s">
        <v>2249</v>
      </c>
      <c r="C55" s="4" t="s">
        <v>2174</v>
      </c>
      <c r="D55" s="4" t="s">
        <v>2236</v>
      </c>
      <c r="E55" s="4" t="s">
        <v>2250</v>
      </c>
      <c r="F55" s="4">
        <v>2.14</v>
      </c>
      <c r="G55" s="4"/>
      <c r="H55" s="4"/>
      <c r="I55" s="4"/>
    </row>
    <row r="56" ht="16" customHeight="1" s="4" customFormat="1">
      <c r="A56" s="4" t="s">
        <v>2253</v>
      </c>
      <c r="B56" s="4" t="s">
        <v>2249</v>
      </c>
      <c r="C56" s="4" t="s">
        <v>2174</v>
      </c>
      <c r="D56" s="4" t="s">
        <v>2236</v>
      </c>
      <c r="E56" s="4" t="s">
        <v>2250</v>
      </c>
      <c r="F56" s="4">
        <v>3.57</v>
      </c>
      <c r="G56" s="4"/>
      <c r="H56" s="4"/>
      <c r="I56" s="4"/>
    </row>
    <row r="57" ht="16" customHeight="1" s="4" customFormat="1">
      <c r="A57" s="4" t="s">
        <v>2253</v>
      </c>
      <c r="B57" s="4" t="s">
        <v>2249</v>
      </c>
      <c r="C57" s="4" t="s">
        <v>2174</v>
      </c>
      <c r="D57" s="4" t="s">
        <v>2236</v>
      </c>
      <c r="E57" s="4" t="s">
        <v>2250</v>
      </c>
      <c r="F57" s="4">
        <v>5.82</v>
      </c>
      <c r="G57" s="4"/>
      <c r="H57" s="4"/>
      <c r="I57" s="4"/>
    </row>
    <row r="58" ht="16" customHeight="1" s="4" customFormat="1">
      <c r="A58" s="4" t="s">
        <v>2253</v>
      </c>
      <c r="B58" s="4" t="s">
        <v>2249</v>
      </c>
      <c r="C58" s="4" t="s">
        <v>2174</v>
      </c>
      <c r="D58" s="4" t="s">
        <v>2236</v>
      </c>
      <c r="E58" s="4" t="s">
        <v>2250</v>
      </c>
      <c r="F58" s="4">
        <v>6.86</v>
      </c>
      <c r="G58" s="4"/>
      <c r="H58" s="4"/>
      <c r="I58" s="4"/>
    </row>
    <row r="59" ht="16" customHeight="1" s="4" customFormat="1">
      <c r="A59" s="4" t="s">
        <v>2253</v>
      </c>
      <c r="B59" s="4" t="s">
        <v>2249</v>
      </c>
      <c r="C59" s="4" t="s">
        <v>2174</v>
      </c>
      <c r="D59" s="4" t="s">
        <v>2236</v>
      </c>
      <c r="E59" s="4" t="s">
        <v>2250</v>
      </c>
      <c r="F59" s="4">
        <v>11.29</v>
      </c>
      <c r="G59" s="4"/>
      <c r="H59" s="4"/>
      <c r="I59" s="4"/>
    </row>
    <row r="60" ht="16" customHeight="1" s="4" customFormat="1">
      <c r="A60" s="4" t="s">
        <v>2253</v>
      </c>
      <c r="B60" s="4" t="s">
        <v>2249</v>
      </c>
      <c r="C60" s="4" t="s">
        <v>2174</v>
      </c>
      <c r="D60" s="4" t="s">
        <v>2236</v>
      </c>
      <c r="E60" s="4" t="s">
        <v>2250</v>
      </c>
      <c r="F60" s="4">
        <v>35.46</v>
      </c>
      <c r="G60" s="4"/>
      <c r="H60" s="4"/>
      <c r="I60" s="4"/>
    </row>
    <row r="61" ht="16" customHeight="1" s="4" customFormat="1">
      <c r="A61" s="4" t="s">
        <v>2254</v>
      </c>
      <c r="B61" s="4" t="s">
        <v>2255</v>
      </c>
      <c r="C61" s="4" t="s">
        <v>2174</v>
      </c>
      <c r="D61" s="4" t="s">
        <v>2256</v>
      </c>
      <c r="E61" s="4" t="s">
        <v>2257</v>
      </c>
      <c r="F61" s="4">
        <v>2.06</v>
      </c>
      <c r="G61" s="4"/>
      <c r="H61" s="4"/>
      <c r="I61" s="4"/>
    </row>
    <row r="62" ht="16" customHeight="1" s="4" customFormat="1">
      <c r="A62" s="4" t="s">
        <v>2254</v>
      </c>
      <c r="B62" s="4" t="s">
        <v>2258</v>
      </c>
      <c r="C62" s="4" t="s">
        <v>2174</v>
      </c>
      <c r="D62" s="4" t="s">
        <v>2256</v>
      </c>
      <c r="E62" s="4" t="s">
        <v>2257</v>
      </c>
      <c r="F62" s="4">
        <v>3.09</v>
      </c>
      <c r="G62" s="4"/>
      <c r="H62" s="4"/>
      <c r="I62" s="4"/>
    </row>
    <row r="63" ht="16" customHeight="1" s="4" customFormat="1">
      <c r="A63" s="4" t="s">
        <v>2254</v>
      </c>
      <c r="B63" s="4" t="s">
        <v>2259</v>
      </c>
      <c r="C63" s="4" t="s">
        <v>2260</v>
      </c>
      <c r="D63" s="4" t="s">
        <v>2256</v>
      </c>
      <c r="E63" s="4" t="s">
        <v>2257</v>
      </c>
      <c r="F63" s="4">
        <v>0.41</v>
      </c>
      <c r="G63" s="4"/>
      <c r="H63" s="4"/>
      <c r="I63" s="4"/>
    </row>
    <row r="64" ht="16" customHeight="1" s="4" customFormat="1">
      <c r="A64" s="4" t="s">
        <v>2254</v>
      </c>
      <c r="B64" s="4" t="s">
        <v>2261</v>
      </c>
      <c r="C64" s="4" t="s">
        <v>2260</v>
      </c>
      <c r="D64" s="4" t="s">
        <v>2256</v>
      </c>
      <c r="E64" s="4" t="s">
        <v>2257</v>
      </c>
      <c r="F64" s="4">
        <v>5.26</v>
      </c>
      <c r="G64" s="4"/>
      <c r="H64" s="4"/>
      <c r="I64" s="4"/>
    </row>
    <row r="65" ht="16" customHeight="1" s="4" customFormat="1">
      <c r="A65" s="4" t="s">
        <v>2254</v>
      </c>
      <c r="B65" s="4" t="s">
        <v>2262</v>
      </c>
      <c r="C65" s="4" t="s">
        <v>2263</v>
      </c>
      <c r="D65" s="4" t="s">
        <v>2256</v>
      </c>
      <c r="E65" s="4" t="s">
        <v>2257</v>
      </c>
      <c r="F65" s="4">
        <v>0.72</v>
      </c>
      <c r="G65" s="4"/>
      <c r="H65" s="4"/>
      <c r="I65" s="4"/>
    </row>
    <row r="66" ht="16" customHeight="1" s="4" customFormat="1">
      <c r="A66" s="4" t="s">
        <v>2264</v>
      </c>
      <c r="B66" s="4" t="s">
        <v>2265</v>
      </c>
      <c r="C66" s="4" t="s">
        <v>2263</v>
      </c>
      <c r="D66" s="4" t="s">
        <v>2256</v>
      </c>
      <c r="E66" s="4" t="s">
        <v>2266</v>
      </c>
      <c r="F66" s="4">
        <v>25.04</v>
      </c>
      <c r="G66" s="4"/>
      <c r="H66" s="4"/>
      <c r="I66" s="4"/>
    </row>
    <row r="67" ht="16" customHeight="1" s="4" customFormat="1">
      <c r="A67" s="4" t="s">
        <v>2264</v>
      </c>
      <c r="B67" s="4" t="s">
        <v>2267</v>
      </c>
      <c r="C67" s="4" t="s">
        <v>2260</v>
      </c>
      <c r="D67" s="4" t="s">
        <v>2256</v>
      </c>
      <c r="E67" s="4" t="s">
        <v>2266</v>
      </c>
      <c r="F67" s="4">
        <v>5.66</v>
      </c>
      <c r="G67" s="4"/>
      <c r="H67" s="4"/>
      <c r="I67" s="4"/>
    </row>
    <row r="68" ht="16" customHeight="1" s="4" customFormat="1">
      <c r="A68" s="4" t="s">
        <v>2264</v>
      </c>
      <c r="B68" s="4" t="s">
        <v>2268</v>
      </c>
      <c r="C68" s="4" t="s">
        <v>2260</v>
      </c>
      <c r="D68" s="4" t="s">
        <v>2256</v>
      </c>
      <c r="E68" s="4" t="s">
        <v>2266</v>
      </c>
      <c r="F68" s="4">
        <v>3.98</v>
      </c>
      <c r="G68" s="4"/>
      <c r="H68" s="4"/>
      <c r="I68" s="4"/>
    </row>
    <row r="69" ht="16" customHeight="1" s="4" customFormat="1">
      <c r="A69" s="4" t="s">
        <v>2264</v>
      </c>
      <c r="B69" s="4" t="s">
        <v>2269</v>
      </c>
      <c r="C69" s="4" t="s">
        <v>2260</v>
      </c>
      <c r="D69" s="4" t="s">
        <v>2256</v>
      </c>
      <c r="E69" s="4" t="s">
        <v>2266</v>
      </c>
      <c r="F69" s="4">
        <v>13.52</v>
      </c>
      <c r="G69" s="4"/>
      <c r="H69" s="4"/>
      <c r="I69" s="4"/>
    </row>
    <row r="70" ht="16" customHeight="1" s="4" customFormat="1">
      <c r="A70" s="4" t="s">
        <v>2264</v>
      </c>
      <c r="B70" s="4" t="s">
        <v>2270</v>
      </c>
      <c r="C70" s="4" t="s">
        <v>2260</v>
      </c>
      <c r="D70" s="4" t="s">
        <v>2256</v>
      </c>
      <c r="E70" s="4" t="s">
        <v>2266</v>
      </c>
      <c r="F70" s="4">
        <v>2.93</v>
      </c>
      <c r="G70" s="4"/>
      <c r="H70" s="4"/>
      <c r="I70" s="4"/>
    </row>
    <row r="71" ht="16" customHeight="1" s="4" customFormat="1">
      <c r="A71" s="4" t="s">
        <v>2264</v>
      </c>
      <c r="B71" s="4" t="s">
        <v>2267</v>
      </c>
      <c r="C71" s="4" t="s">
        <v>2260</v>
      </c>
      <c r="D71" s="4" t="s">
        <v>2256</v>
      </c>
      <c r="E71" s="4" t="s">
        <v>2266</v>
      </c>
      <c r="F71" s="4">
        <v>18.23</v>
      </c>
      <c r="G71" s="4"/>
      <c r="H71" s="4"/>
      <c r="I71" s="4"/>
    </row>
    <row r="72" ht="16" customHeight="1" s="4" customFormat="1">
      <c r="A72" s="4" t="s">
        <v>2264</v>
      </c>
      <c r="B72" s="4" t="s">
        <v>2271</v>
      </c>
      <c r="C72" s="4" t="s">
        <v>2260</v>
      </c>
      <c r="D72" s="4" t="s">
        <v>2256</v>
      </c>
      <c r="E72" s="4" t="s">
        <v>2266</v>
      </c>
      <c r="F72" s="4">
        <v>0.52</v>
      </c>
      <c r="G72" s="4"/>
      <c r="H72" s="4"/>
      <c r="I72" s="4"/>
    </row>
    <row r="73" ht="16" customHeight="1" s="4" customFormat="1">
      <c r="A73" s="4" t="s">
        <v>2264</v>
      </c>
      <c r="B73" s="4" t="s">
        <v>2272</v>
      </c>
      <c r="C73" s="4" t="s">
        <v>2273</v>
      </c>
      <c r="D73" s="4" t="s">
        <v>2256</v>
      </c>
      <c r="E73" s="4" t="s">
        <v>2266</v>
      </c>
      <c r="F73" s="4">
        <v>0.1</v>
      </c>
      <c r="G73" s="4"/>
      <c r="H73" s="4"/>
      <c r="I73" s="4"/>
    </row>
    <row r="74" ht="16" customHeight="1" s="4" customFormat="1">
      <c r="A74" s="4" t="s">
        <v>2264</v>
      </c>
      <c r="B74" s="4" t="s">
        <v>2274</v>
      </c>
      <c r="C74" s="4" t="s">
        <v>2273</v>
      </c>
      <c r="D74" s="4" t="s">
        <v>2256</v>
      </c>
      <c r="E74" s="4" t="s">
        <v>2266</v>
      </c>
      <c r="F74" s="4">
        <v>1.05</v>
      </c>
      <c r="G74" s="4"/>
      <c r="H74" s="4"/>
      <c r="I74" s="4"/>
    </row>
    <row r="75" ht="16" customHeight="1" s="4" customFormat="1">
      <c r="A75" s="4" t="s">
        <v>2264</v>
      </c>
      <c r="B75" s="4" t="s">
        <v>2275</v>
      </c>
      <c r="C75" s="4" t="s">
        <v>2273</v>
      </c>
      <c r="D75" s="4" t="s">
        <v>2256</v>
      </c>
      <c r="E75" s="4" t="s">
        <v>2266</v>
      </c>
      <c r="F75" s="4">
        <v>2.51</v>
      </c>
      <c r="G75" s="4"/>
      <c r="H75" s="4"/>
      <c r="I75" s="4"/>
    </row>
    <row r="76" ht="16" customHeight="1" s="4" customFormat="1">
      <c r="A76" s="4" t="s">
        <v>2264</v>
      </c>
      <c r="B76" s="4" t="s">
        <v>2276</v>
      </c>
      <c r="C76" s="4" t="s">
        <v>2174</v>
      </c>
      <c r="D76" s="4" t="s">
        <v>2256</v>
      </c>
      <c r="E76" s="4" t="s">
        <v>2266</v>
      </c>
      <c r="F76" s="4">
        <v>1.57</v>
      </c>
      <c r="G76" s="4"/>
      <c r="H76" s="4"/>
      <c r="I76" s="4"/>
    </row>
    <row r="77" ht="16" customHeight="1" s="4" customFormat="1">
      <c r="A77" s="4" t="s">
        <v>2264</v>
      </c>
      <c r="B77" s="4" t="s">
        <v>2277</v>
      </c>
      <c r="C77" s="4" t="s">
        <v>2174</v>
      </c>
      <c r="D77" s="4" t="s">
        <v>2256</v>
      </c>
      <c r="E77" s="4" t="s">
        <v>2266</v>
      </c>
      <c r="F77" s="4">
        <v>0.31</v>
      </c>
      <c r="G77" s="4"/>
      <c r="H77" s="4"/>
      <c r="I77" s="4"/>
    </row>
    <row r="78" ht="16" customHeight="1" s="4" customFormat="1">
      <c r="A78" s="4" t="s">
        <v>2264</v>
      </c>
      <c r="B78" s="4" t="s">
        <v>2278</v>
      </c>
      <c r="C78" s="4" t="s">
        <v>2174</v>
      </c>
      <c r="D78" s="4" t="s">
        <v>2256</v>
      </c>
      <c r="E78" s="4" t="s">
        <v>2266</v>
      </c>
      <c r="F78" s="4">
        <v>1.36</v>
      </c>
      <c r="G78" s="4"/>
      <c r="H78" s="4"/>
      <c r="I78" s="4"/>
    </row>
    <row r="79" ht="16" customHeight="1" s="4" customFormat="1">
      <c r="A79" s="4" t="s">
        <v>2264</v>
      </c>
      <c r="B79" s="4" t="s">
        <v>2279</v>
      </c>
      <c r="C79" s="4" t="s">
        <v>2174</v>
      </c>
      <c r="D79" s="4" t="s">
        <v>2256</v>
      </c>
      <c r="E79" s="4" t="s">
        <v>2266</v>
      </c>
      <c r="F79" s="4">
        <v>3.14</v>
      </c>
      <c r="G79" s="4"/>
      <c r="H79" s="4"/>
      <c r="I79" s="4"/>
    </row>
    <row r="80" ht="16" customHeight="1" s="4" customFormat="1">
      <c r="A80" s="4" t="s">
        <v>2264</v>
      </c>
      <c r="B80" s="4" t="s">
        <v>2271</v>
      </c>
      <c r="C80" s="4" t="s">
        <v>2174</v>
      </c>
      <c r="D80" s="4" t="s">
        <v>2256</v>
      </c>
      <c r="E80" s="4" t="s">
        <v>2266</v>
      </c>
      <c r="F80" s="4">
        <v>0.52</v>
      </c>
      <c r="G80" s="4"/>
      <c r="H80" s="4"/>
      <c r="I80" s="4"/>
    </row>
    <row r="81" ht="16" customHeight="1" s="4" customFormat="1">
      <c r="A81" s="4" t="s">
        <v>2264</v>
      </c>
      <c r="B81" s="4" t="s">
        <v>2280</v>
      </c>
      <c r="C81" s="4" t="s">
        <v>2174</v>
      </c>
      <c r="D81" s="4" t="s">
        <v>2256</v>
      </c>
      <c r="E81" s="4" t="s">
        <v>2266</v>
      </c>
      <c r="F81" s="4">
        <v>1.05</v>
      </c>
      <c r="G81" s="4"/>
      <c r="H81" s="4"/>
      <c r="I81" s="4"/>
    </row>
    <row r="82" ht="16" customHeight="1" s="4" customFormat="1">
      <c r="A82" s="4" t="s">
        <v>2264</v>
      </c>
      <c r="B82" s="4" t="s">
        <v>2281</v>
      </c>
      <c r="C82" s="4" t="s">
        <v>2174</v>
      </c>
      <c r="D82" s="4" t="s">
        <v>2256</v>
      </c>
      <c r="E82" s="4" t="s">
        <v>2266</v>
      </c>
      <c r="F82" s="4">
        <v>12.26</v>
      </c>
      <c r="G82" s="4"/>
      <c r="H82" s="4"/>
      <c r="I82" s="4"/>
    </row>
    <row r="83" ht="16" customHeight="1" s="4" customFormat="1">
      <c r="A83" s="4" t="s">
        <v>2264</v>
      </c>
      <c r="B83" s="4" t="s">
        <v>2279</v>
      </c>
      <c r="C83" s="4" t="s">
        <v>2174</v>
      </c>
      <c r="D83" s="4" t="s">
        <v>2256</v>
      </c>
      <c r="E83" s="4" t="s">
        <v>2266</v>
      </c>
      <c r="F83" s="4">
        <v>5.24</v>
      </c>
      <c r="G83" s="4"/>
      <c r="H83" s="4"/>
      <c r="I83" s="4"/>
    </row>
    <row r="84" ht="16" customHeight="1" s="4" customFormat="1">
      <c r="A84" s="4" t="s">
        <v>2264</v>
      </c>
      <c r="B84" s="4" t="s">
        <v>2282</v>
      </c>
      <c r="C84" s="4" t="s">
        <v>2240</v>
      </c>
      <c r="D84" s="4" t="s">
        <v>2256</v>
      </c>
      <c r="E84" s="4" t="s">
        <v>2266</v>
      </c>
      <c r="F84" s="4">
        <v>104.78</v>
      </c>
      <c r="G84" s="4"/>
      <c r="H84" s="4"/>
      <c r="I84" s="4"/>
    </row>
    <row r="85" ht="16" customHeight="1" s="4" customFormat="1">
      <c r="A85" s="4" t="s">
        <v>2264</v>
      </c>
      <c r="B85" s="4" t="s">
        <v>2283</v>
      </c>
      <c r="C85" s="4" t="s">
        <v>2284</v>
      </c>
      <c r="D85" s="4" t="s">
        <v>2256</v>
      </c>
      <c r="E85" s="4" t="s">
        <v>2266</v>
      </c>
      <c r="F85" s="4">
        <v>2.1</v>
      </c>
      <c r="G85" s="4"/>
      <c r="H85" s="4"/>
      <c r="I85" s="4"/>
    </row>
    <row r="86" ht="16" customHeight="1" s="4" customFormat="1">
      <c r="A86" s="4" t="s">
        <v>2264</v>
      </c>
      <c r="B86" s="4" t="s">
        <v>2285</v>
      </c>
      <c r="C86" s="4" t="s">
        <v>2286</v>
      </c>
      <c r="D86" s="4" t="s">
        <v>2236</v>
      </c>
      <c r="E86" s="4" t="s">
        <v>19</v>
      </c>
      <c r="F86" s="4">
        <v>3.51</v>
      </c>
      <c r="G86" s="4"/>
      <c r="H86" s="4"/>
      <c r="I86" s="4"/>
    </row>
    <row r="87" ht="16" customHeight="1" s="4" customFormat="1">
      <c r="A87" s="4" t="s">
        <v>2264</v>
      </c>
      <c r="B87" s="4" t="s">
        <v>2285</v>
      </c>
      <c r="C87" s="4" t="s">
        <v>2286</v>
      </c>
      <c r="D87" s="4" t="s">
        <v>2236</v>
      </c>
      <c r="E87" s="4" t="s">
        <v>19</v>
      </c>
      <c r="F87" s="4">
        <v>0.68</v>
      </c>
      <c r="G87" s="4"/>
      <c r="H87" s="4"/>
      <c r="I87" s="4"/>
    </row>
    <row r="88" ht="16" customHeight="1" s="4" customFormat="1">
      <c r="A88" s="4" t="s">
        <v>2264</v>
      </c>
      <c r="B88" s="4" t="s">
        <v>2285</v>
      </c>
      <c r="C88" s="4" t="s">
        <v>2286</v>
      </c>
      <c r="D88" s="4" t="s">
        <v>2236</v>
      </c>
      <c r="E88" s="4" t="s">
        <v>19</v>
      </c>
      <c r="F88" s="4">
        <v>7.17</v>
      </c>
      <c r="G88" s="4"/>
      <c r="H88" s="4"/>
      <c r="I88" s="4"/>
    </row>
    <row r="89" ht="16" customHeight="1" s="4" customFormat="1">
      <c r="A89" s="4" t="s">
        <v>2264</v>
      </c>
      <c r="B89" s="4" t="s">
        <v>2285</v>
      </c>
      <c r="C89" s="4" t="s">
        <v>2286</v>
      </c>
      <c r="D89" s="4" t="s">
        <v>2236</v>
      </c>
      <c r="E89" s="4" t="s">
        <v>19</v>
      </c>
      <c r="F89" s="4">
        <v>1.57</v>
      </c>
      <c r="G89" s="4"/>
      <c r="H89" s="4"/>
      <c r="I89" s="4"/>
    </row>
    <row r="90" ht="16" customHeight="1" s="4" customFormat="1">
      <c r="A90" s="4" t="s">
        <v>2264</v>
      </c>
      <c r="B90" s="4" t="s">
        <v>2287</v>
      </c>
      <c r="C90" s="4" t="s">
        <v>2286</v>
      </c>
      <c r="D90" s="4" t="s">
        <v>2236</v>
      </c>
      <c r="E90" s="4" t="s">
        <v>19</v>
      </c>
      <c r="F90" s="4">
        <v>17.95</v>
      </c>
      <c r="G90" s="4"/>
      <c r="H90" s="4"/>
      <c r="I90" s="4"/>
    </row>
    <row r="91" ht="16" customHeight="1" s="4" customFormat="1">
      <c r="A91" s="4" t="s">
        <v>2264</v>
      </c>
      <c r="B91" s="4" t="s">
        <v>2287</v>
      </c>
      <c r="C91" s="4" t="s">
        <v>2286</v>
      </c>
      <c r="D91" s="4" t="s">
        <v>2236</v>
      </c>
      <c r="E91" s="4" t="s">
        <v>19</v>
      </c>
      <c r="F91" s="4">
        <v>3.99</v>
      </c>
      <c r="G91" s="4"/>
      <c r="H91" s="4"/>
      <c r="I91" s="4"/>
    </row>
    <row r="92" ht="16" customHeight="1" s="4" customFormat="1">
      <c r="A92" s="4" t="s">
        <v>2264</v>
      </c>
      <c r="B92" s="4" t="s">
        <v>2288</v>
      </c>
      <c r="C92" s="4" t="s">
        <v>2286</v>
      </c>
      <c r="D92" s="4" t="s">
        <v>2236</v>
      </c>
      <c r="E92" s="4" t="s">
        <v>19</v>
      </c>
      <c r="F92" s="4">
        <v>2.31</v>
      </c>
      <c r="G92" s="4"/>
      <c r="H92" s="4"/>
      <c r="I92" s="4"/>
    </row>
    <row r="93" ht="16" customHeight="1" s="4" customFormat="1">
      <c r="A93" s="4" t="s">
        <v>2264</v>
      </c>
      <c r="B93" s="4" t="s">
        <v>2287</v>
      </c>
      <c r="C93" s="4" t="s">
        <v>2286</v>
      </c>
      <c r="D93" s="4" t="s">
        <v>2236</v>
      </c>
      <c r="E93" s="4" t="s">
        <v>19</v>
      </c>
      <c r="F93" s="4">
        <v>0.67</v>
      </c>
      <c r="G93" s="4"/>
      <c r="H93" s="4"/>
      <c r="I93" s="4"/>
    </row>
    <row r="94" ht="16" customHeight="1" s="4" customFormat="1">
      <c r="A94" s="4" t="s">
        <v>2264</v>
      </c>
      <c r="B94" s="4" t="s">
        <v>2288</v>
      </c>
      <c r="C94" s="4" t="s">
        <v>2286</v>
      </c>
      <c r="D94" s="4" t="s">
        <v>2236</v>
      </c>
      <c r="E94" s="4" t="s">
        <v>19</v>
      </c>
      <c r="F94" s="4">
        <v>2.19</v>
      </c>
      <c r="G94" s="4"/>
      <c r="H94" s="4"/>
      <c r="I94" s="4"/>
    </row>
    <row r="95" ht="16" customHeight="1" s="4" customFormat="1">
      <c r="A95" s="4" t="s">
        <v>2264</v>
      </c>
      <c r="B95" s="4" t="s">
        <v>2287</v>
      </c>
      <c r="C95" s="4" t="s">
        <v>2286</v>
      </c>
      <c r="D95" s="4" t="s">
        <v>2236</v>
      </c>
      <c r="E95" s="4" t="s">
        <v>19</v>
      </c>
      <c r="F95" s="4">
        <v>0.87</v>
      </c>
      <c r="G95" s="4"/>
      <c r="H95" s="4"/>
      <c r="I95" s="4"/>
    </row>
    <row r="96" ht="16" customHeight="1" s="4" customFormat="1">
      <c r="A96" s="4" t="s">
        <v>2264</v>
      </c>
      <c r="B96" s="4" t="s">
        <v>2287</v>
      </c>
      <c r="C96" s="4" t="s">
        <v>2286</v>
      </c>
      <c r="D96" s="4" t="s">
        <v>2236</v>
      </c>
      <c r="E96" s="4" t="s">
        <v>19</v>
      </c>
      <c r="F96" s="4">
        <v>7.94</v>
      </c>
      <c r="G96" s="4"/>
      <c r="H96" s="4"/>
      <c r="I96" s="4"/>
    </row>
    <row r="97" ht="16" customHeight="1" s="4" customFormat="1">
      <c r="A97" s="4" t="s">
        <v>2264</v>
      </c>
      <c r="B97" s="4" t="s">
        <v>2287</v>
      </c>
      <c r="C97" s="4" t="s">
        <v>2286</v>
      </c>
      <c r="D97" s="4" t="s">
        <v>2236</v>
      </c>
      <c r="E97" s="4" t="s">
        <v>2289</v>
      </c>
      <c r="F97" s="4">
        <v>3.95</v>
      </c>
      <c r="G97" s="4"/>
      <c r="H97" s="4"/>
      <c r="I97" s="4"/>
    </row>
    <row r="98" ht="16" customHeight="1" s="4" customFormat="1">
      <c r="A98" s="4" t="s">
        <v>2264</v>
      </c>
      <c r="B98" s="4" t="s">
        <v>2287</v>
      </c>
      <c r="C98" s="4" t="s">
        <v>2286</v>
      </c>
      <c r="D98" s="4" t="s">
        <v>2236</v>
      </c>
      <c r="E98" s="4" t="s">
        <v>19</v>
      </c>
      <c r="F98" s="4">
        <v>0.27</v>
      </c>
      <c r="G98" s="4"/>
      <c r="H98" s="4"/>
      <c r="I98" s="4"/>
    </row>
    <row r="99" ht="16" customHeight="1" s="4" customFormat="1">
      <c r="A99" s="4" t="s">
        <v>2264</v>
      </c>
      <c r="B99" s="4" t="s">
        <v>2287</v>
      </c>
      <c r="C99" s="4" t="s">
        <v>2286</v>
      </c>
      <c r="D99" s="4" t="s">
        <v>2236</v>
      </c>
      <c r="E99" s="4" t="s">
        <v>19</v>
      </c>
      <c r="F99" s="4">
        <v>0.5</v>
      </c>
      <c r="G99" s="4"/>
      <c r="H99" s="4"/>
      <c r="I99" s="4"/>
    </row>
    <row r="100" ht="16" customHeight="1" s="4" customFormat="1">
      <c r="A100" s="4" t="s">
        <v>2290</v>
      </c>
      <c r="B100" s="4" t="s">
        <v>2291</v>
      </c>
      <c r="C100" s="4" t="s">
        <v>2260</v>
      </c>
      <c r="D100" s="4" t="s">
        <v>2256</v>
      </c>
      <c r="E100" s="4" t="s">
        <v>2257</v>
      </c>
      <c r="F100" s="4">
        <v>23.62</v>
      </c>
      <c r="G100" s="4"/>
      <c r="H100" s="4"/>
      <c r="I100" s="4"/>
    </row>
    <row r="101" ht="16" customHeight="1" s="4" customFormat="1">
      <c r="A101" s="4" t="s">
        <v>2290</v>
      </c>
      <c r="B101" s="4" t="s">
        <v>2292</v>
      </c>
      <c r="C101" s="4" t="s">
        <v>2260</v>
      </c>
      <c r="D101" s="4" t="s">
        <v>2256</v>
      </c>
      <c r="E101" s="4" t="s">
        <v>2257</v>
      </c>
      <c r="F101" s="4">
        <v>0.11</v>
      </c>
      <c r="G101" s="4"/>
      <c r="H101" s="4"/>
      <c r="I101" s="4"/>
    </row>
    <row r="102" ht="16" customHeight="1" s="4" customFormat="1">
      <c r="A102" s="4" t="s">
        <v>2290</v>
      </c>
      <c r="B102" s="4" t="s">
        <v>2293</v>
      </c>
      <c r="C102" s="4" t="s">
        <v>2260</v>
      </c>
      <c r="D102" s="4" t="s">
        <v>2256</v>
      </c>
      <c r="E102" s="4" t="s">
        <v>2257</v>
      </c>
      <c r="F102" s="4">
        <v>2.16</v>
      </c>
      <c r="G102" s="4"/>
      <c r="H102" s="4"/>
      <c r="I102" s="4"/>
    </row>
    <row r="103" ht="16" customHeight="1" s="4" customFormat="1">
      <c r="A103" s="4" t="s">
        <v>2290</v>
      </c>
      <c r="B103" s="4" t="s">
        <v>2294</v>
      </c>
      <c r="C103" s="4" t="s">
        <v>2174</v>
      </c>
      <c r="D103" s="4" t="s">
        <v>2256</v>
      </c>
      <c r="E103" s="4" t="s">
        <v>2257</v>
      </c>
      <c r="F103" s="4">
        <v>2.48</v>
      </c>
      <c r="G103" s="4"/>
      <c r="H103" s="4"/>
      <c r="I103" s="4"/>
    </row>
    <row r="104" ht="16" customHeight="1" s="4" customFormat="1">
      <c r="A104" s="4" t="s">
        <v>2290</v>
      </c>
      <c r="B104" s="4" t="s">
        <v>2295</v>
      </c>
      <c r="C104" s="4" t="s">
        <v>2174</v>
      </c>
      <c r="D104" s="4" t="s">
        <v>2256</v>
      </c>
      <c r="E104" s="4" t="s">
        <v>2257</v>
      </c>
      <c r="F104" s="4">
        <v>1.08</v>
      </c>
      <c r="G104" s="4"/>
      <c r="H104" s="4"/>
      <c r="I104" s="4"/>
    </row>
    <row r="105" ht="16" customHeight="1" s="4" customFormat="1">
      <c r="A105" s="4" t="s">
        <v>2290</v>
      </c>
      <c r="B105" s="4" t="s">
        <v>2296</v>
      </c>
      <c r="C105" s="4" t="s">
        <v>2174</v>
      </c>
      <c r="D105" s="4" t="s">
        <v>2256</v>
      </c>
      <c r="E105" s="4" t="s">
        <v>2257</v>
      </c>
      <c r="F105" s="4">
        <v>19.42</v>
      </c>
      <c r="G105" s="4"/>
      <c r="H105" s="4"/>
      <c r="I105" s="4"/>
    </row>
    <row r="106" ht="16" customHeight="1" s="4" customFormat="1">
      <c r="A106" s="4" t="s">
        <v>2290</v>
      </c>
      <c r="B106" s="4" t="s">
        <v>2297</v>
      </c>
      <c r="C106" s="4" t="s">
        <v>2298</v>
      </c>
      <c r="D106" s="4" t="s">
        <v>2256</v>
      </c>
      <c r="E106" s="4" t="s">
        <v>2257</v>
      </c>
      <c r="F106" s="4">
        <v>1.08</v>
      </c>
      <c r="G106" s="4"/>
      <c r="H106" s="4"/>
      <c r="I106" s="4"/>
    </row>
    <row r="107" ht="16" customHeight="1" s="4" customFormat="1">
      <c r="A107" s="4" t="s">
        <v>2290</v>
      </c>
      <c r="B107" s="4" t="s">
        <v>2262</v>
      </c>
      <c r="C107" s="4" t="s">
        <v>2263</v>
      </c>
      <c r="D107" s="4" t="s">
        <v>2256</v>
      </c>
      <c r="E107" s="4" t="s">
        <v>2257</v>
      </c>
      <c r="F107" s="4">
        <v>5.39</v>
      </c>
      <c r="G107" s="4"/>
      <c r="H107" s="4"/>
      <c r="I107" s="4"/>
    </row>
    <row r="108" ht="16" customHeight="1" s="4" customFormat="1">
      <c r="A108" s="4" t="s">
        <v>2290</v>
      </c>
      <c r="B108" s="4" t="s">
        <v>2299</v>
      </c>
      <c r="C108" s="4" t="s">
        <v>2260</v>
      </c>
      <c r="D108" s="4" t="s">
        <v>2256</v>
      </c>
      <c r="E108" s="4" t="s">
        <v>2257</v>
      </c>
      <c r="F108" s="4">
        <v>10.25</v>
      </c>
      <c r="G108" s="4"/>
      <c r="H108" s="4"/>
      <c r="I108" s="4"/>
    </row>
    <row r="109" ht="16" customHeight="1" s="4" customFormat="1">
      <c r="A109" s="4" t="s">
        <v>2300</v>
      </c>
      <c r="B109" s="4" t="s">
        <v>2301</v>
      </c>
      <c r="C109" s="4" t="s">
        <v>2174</v>
      </c>
      <c r="D109" s="4" t="s">
        <v>2256</v>
      </c>
      <c r="E109" s="4" t="s">
        <v>2266</v>
      </c>
      <c r="F109" s="4">
        <v>6.54</v>
      </c>
      <c r="G109" s="4"/>
      <c r="H109" s="4"/>
      <c r="I109" s="4"/>
    </row>
    <row r="110" ht="16" customHeight="1" s="4" customFormat="1">
      <c r="A110" s="4" t="s">
        <v>2300</v>
      </c>
      <c r="B110" s="4" t="s">
        <v>2258</v>
      </c>
      <c r="C110" s="4" t="s">
        <v>2174</v>
      </c>
      <c r="D110" s="4" t="s">
        <v>2256</v>
      </c>
      <c r="E110" s="4" t="s">
        <v>2266</v>
      </c>
      <c r="F110" s="4">
        <v>1.16</v>
      </c>
      <c r="G110" s="4"/>
      <c r="H110" s="4"/>
      <c r="I110" s="4"/>
    </row>
    <row r="111" ht="16" customHeight="1" s="4" customFormat="1">
      <c r="A111" s="4" t="s">
        <v>2300</v>
      </c>
      <c r="B111" s="4" t="s">
        <v>2302</v>
      </c>
      <c r="C111" s="4" t="s">
        <v>2263</v>
      </c>
      <c r="D111" s="4" t="s">
        <v>2256</v>
      </c>
      <c r="E111" s="4" t="s">
        <v>2266</v>
      </c>
      <c r="F111" s="4">
        <v>7.7</v>
      </c>
      <c r="G111" s="4"/>
      <c r="H111" s="4"/>
      <c r="I111" s="4"/>
    </row>
    <row r="112" ht="16" customHeight="1" s="4" customFormat="1">
      <c r="A112" s="4" t="s">
        <v>2300</v>
      </c>
      <c r="B112" s="4" t="s">
        <v>2303</v>
      </c>
      <c r="C112" s="4" t="s">
        <v>2260</v>
      </c>
      <c r="D112" s="4" t="s">
        <v>2256</v>
      </c>
      <c r="E112" s="4" t="s">
        <v>2266</v>
      </c>
      <c r="F112" s="4">
        <v>0.11</v>
      </c>
      <c r="G112" s="4"/>
      <c r="H112" s="4"/>
      <c r="I112" s="4"/>
    </row>
    <row r="113" ht="16" customHeight="1" s="4" customFormat="1">
      <c r="A113" s="4" t="s">
        <v>2304</v>
      </c>
      <c r="B113" s="4" t="s">
        <v>2285</v>
      </c>
      <c r="C113" s="4" t="s">
        <v>2286</v>
      </c>
      <c r="D113" s="4" t="s">
        <v>2236</v>
      </c>
      <c r="E113" s="4" t="s">
        <v>2305</v>
      </c>
      <c r="F113" s="4">
        <v>1</v>
      </c>
      <c r="G113" s="4"/>
      <c r="H113" s="4"/>
      <c r="I113" s="4"/>
    </row>
    <row r="114" ht="16" customHeight="1" s="4" customFormat="1">
      <c r="A114" s="4" t="s">
        <v>2304</v>
      </c>
      <c r="B114" s="4" t="s">
        <v>2285</v>
      </c>
      <c r="C114" s="4" t="s">
        <v>2286</v>
      </c>
      <c r="D114" s="4" t="s">
        <v>2236</v>
      </c>
      <c r="E114" s="4" t="s">
        <v>2305</v>
      </c>
      <c r="F114" s="4">
        <v>12.5</v>
      </c>
      <c r="G114" s="4"/>
      <c r="H114" s="4"/>
      <c r="I114" s="4"/>
    </row>
    <row r="115" ht="16" customHeight="1" s="4" customFormat="1">
      <c r="A115" s="4" t="s">
        <v>2304</v>
      </c>
      <c r="B115" s="4" t="s">
        <v>2287</v>
      </c>
      <c r="C115" s="4" t="s">
        <v>2286</v>
      </c>
      <c r="D115" s="4" t="s">
        <v>2236</v>
      </c>
      <c r="E115" s="4" t="s">
        <v>2305</v>
      </c>
      <c r="F115" s="4">
        <v>4.98</v>
      </c>
      <c r="G115" s="4"/>
      <c r="H115" s="4"/>
      <c r="I115" s="4"/>
    </row>
    <row r="116" ht="16" customHeight="1" s="4" customFormat="1">
      <c r="A116" s="4" t="s">
        <v>2306</v>
      </c>
      <c r="B116" s="4" t="s">
        <v>2285</v>
      </c>
      <c r="C116" s="4" t="s">
        <v>2286</v>
      </c>
      <c r="D116" s="4" t="s">
        <v>2236</v>
      </c>
      <c r="E116" s="4" t="s">
        <v>2305</v>
      </c>
      <c r="F116" s="4">
        <v>1.89</v>
      </c>
      <c r="G116" s="4"/>
      <c r="H116" s="4"/>
      <c r="I116" s="4"/>
    </row>
    <row r="117" ht="16" customHeight="1" s="4" customFormat="1">
      <c r="A117" s="4" t="s">
        <v>2306</v>
      </c>
      <c r="B117" s="4" t="s">
        <v>2285</v>
      </c>
      <c r="C117" s="4" t="s">
        <v>2286</v>
      </c>
      <c r="D117" s="4" t="s">
        <v>2236</v>
      </c>
      <c r="E117" s="4" t="s">
        <v>2305</v>
      </c>
      <c r="F117" s="4">
        <v>0.67</v>
      </c>
      <c r="G117" s="4"/>
      <c r="H117" s="4"/>
      <c r="I117" s="4"/>
    </row>
    <row r="118" ht="16" customHeight="1" s="4" customFormat="1">
      <c r="A118" s="4" t="s">
        <v>2306</v>
      </c>
      <c r="B118" s="4" t="s">
        <v>2285</v>
      </c>
      <c r="C118" s="4" t="s">
        <v>2286</v>
      </c>
      <c r="D118" s="4" t="s">
        <v>2236</v>
      </c>
      <c r="E118" s="4" t="s">
        <v>2307</v>
      </c>
      <c r="F118" s="4">
        <v>9.08</v>
      </c>
      <c r="G118" s="4"/>
      <c r="H118" s="4"/>
      <c r="I118" s="4"/>
    </row>
    <row r="119" ht="16" customHeight="1" s="4" customFormat="1">
      <c r="A119" s="4" t="s">
        <v>2306</v>
      </c>
      <c r="B119" s="4" t="s">
        <v>2285</v>
      </c>
      <c r="C119" s="4" t="s">
        <v>2286</v>
      </c>
      <c r="D119" s="4" t="s">
        <v>2236</v>
      </c>
      <c r="E119" s="4" t="s">
        <v>2308</v>
      </c>
      <c r="F119" s="4">
        <v>3.8</v>
      </c>
      <c r="G119" s="4"/>
      <c r="H119" s="4"/>
      <c r="I119" s="4"/>
    </row>
    <row r="120" ht="16" customHeight="1" s="4" customFormat="1">
      <c r="A120" s="4" t="s">
        <v>2306</v>
      </c>
      <c r="B120" s="4" t="s">
        <v>2285</v>
      </c>
      <c r="C120" s="4" t="s">
        <v>2286</v>
      </c>
      <c r="D120" s="4" t="s">
        <v>2236</v>
      </c>
      <c r="E120" s="4" t="s">
        <v>2308</v>
      </c>
      <c r="F120" s="4">
        <v>0.18</v>
      </c>
      <c r="G120" s="4"/>
      <c r="H120" s="4"/>
      <c r="I120" s="4"/>
    </row>
    <row r="121" ht="16" customHeight="1" s="4" customFormat="1">
      <c r="A121" s="4" t="s">
        <v>2306</v>
      </c>
      <c r="B121" s="4" t="s">
        <v>2285</v>
      </c>
      <c r="C121" s="4" t="s">
        <v>2286</v>
      </c>
      <c r="D121" s="4" t="s">
        <v>2236</v>
      </c>
      <c r="E121" s="4" t="s">
        <v>2308</v>
      </c>
      <c r="F121" s="4">
        <v>3.34</v>
      </c>
      <c r="G121" s="4"/>
      <c r="H121" s="4"/>
      <c r="I121" s="4"/>
    </row>
    <row r="122" ht="16" customHeight="1" s="4" customFormat="1">
      <c r="A122" s="4" t="s">
        <v>2309</v>
      </c>
      <c r="B122" s="4" t="s">
        <v>2285</v>
      </c>
      <c r="C122" s="4"/>
      <c r="D122" s="4" t="s">
        <v>2236</v>
      </c>
      <c r="E122" s="4" t="s">
        <v>19</v>
      </c>
      <c r="F122" s="4">
        <v>19.33</v>
      </c>
      <c r="G122" s="4"/>
      <c r="H122" s="4"/>
      <c r="I122" s="4"/>
    </row>
    <row r="123" ht="16" customHeight="1" s="4" customFormat="1">
      <c r="A123" s="4" t="s">
        <v>2309</v>
      </c>
      <c r="B123" s="4" t="s">
        <v>2285</v>
      </c>
      <c r="C123" s="4"/>
      <c r="D123" s="4" t="s">
        <v>2236</v>
      </c>
      <c r="E123" s="4" t="s">
        <v>19</v>
      </c>
      <c r="F123" s="4">
        <v>11.24</v>
      </c>
      <c r="G123" s="4"/>
      <c r="H123" s="4"/>
      <c r="I123" s="4"/>
    </row>
    <row r="124" ht="16" customHeight="1" s="4" customFormat="1">
      <c r="A124" s="4" t="s">
        <v>2309</v>
      </c>
      <c r="B124" s="4" t="s">
        <v>2287</v>
      </c>
      <c r="C124" s="4"/>
      <c r="D124" s="4" t="s">
        <v>2236</v>
      </c>
      <c r="E124" s="4" t="s">
        <v>19</v>
      </c>
      <c r="F124" s="4">
        <v>0</v>
      </c>
      <c r="G124" s="4"/>
      <c r="H124" s="4"/>
      <c r="I124" s="4"/>
    </row>
    <row r="125" ht="16" customHeight="1" s="4" customFormat="1">
      <c r="A125" s="4" t="s">
        <v>2309</v>
      </c>
      <c r="B125" s="4" t="s">
        <v>2285</v>
      </c>
      <c r="C125" s="4"/>
      <c r="D125" s="4" t="s">
        <v>2236</v>
      </c>
      <c r="E125" s="4" t="s">
        <v>19</v>
      </c>
      <c r="F125" s="4">
        <v>10.95</v>
      </c>
      <c r="G125" s="4"/>
      <c r="H125" s="4"/>
      <c r="I125" s="4"/>
    </row>
    <row r="126" ht="16" customHeight="1" s="4" customFormat="1">
      <c r="A126" s="4" t="s">
        <v>2309</v>
      </c>
      <c r="B126" s="4" t="s">
        <v>2285</v>
      </c>
      <c r="C126" s="4"/>
      <c r="D126" s="4" t="s">
        <v>2236</v>
      </c>
      <c r="E126" s="4" t="s">
        <v>19</v>
      </c>
      <c r="F126" s="4">
        <v>1.95</v>
      </c>
      <c r="G126" s="4"/>
      <c r="H126" s="4"/>
      <c r="I126" s="4"/>
    </row>
    <row r="127" ht="16" customHeight="1" s="4" customFormat="1">
      <c r="A127" s="4" t="s">
        <v>2309</v>
      </c>
      <c r="B127" s="4" t="s">
        <v>2285</v>
      </c>
      <c r="C127" s="4"/>
      <c r="D127" s="4" t="s">
        <v>2236</v>
      </c>
      <c r="E127" s="4" t="s">
        <v>19</v>
      </c>
      <c r="F127" s="4">
        <v>8.17</v>
      </c>
      <c r="G127" s="4"/>
      <c r="H127" s="4"/>
      <c r="I127" s="4"/>
    </row>
    <row r="128" ht="16" customHeight="1" s="4" customFormat="1">
      <c r="A128" s="4" t="s">
        <v>2309</v>
      </c>
      <c r="B128" s="4" t="s">
        <v>2285</v>
      </c>
      <c r="C128" s="4"/>
      <c r="D128" s="4" t="s">
        <v>2236</v>
      </c>
      <c r="E128" s="4" t="s">
        <v>19</v>
      </c>
      <c r="F128" s="4">
        <v>2.09</v>
      </c>
      <c r="G128" s="4"/>
      <c r="H128" s="4"/>
      <c r="I128" s="4"/>
    </row>
    <row r="129" ht="16" customHeight="1" s="4" customFormat="1">
      <c r="A129" s="4" t="s">
        <v>2309</v>
      </c>
      <c r="B129" s="4" t="s">
        <v>2285</v>
      </c>
      <c r="C129" s="4"/>
      <c r="D129" s="4" t="s">
        <v>2236</v>
      </c>
      <c r="E129" s="4" t="s">
        <v>19</v>
      </c>
      <c r="F129" s="4">
        <v>8.36</v>
      </c>
      <c r="G129" s="4"/>
      <c r="H129" s="4"/>
      <c r="I129" s="4"/>
    </row>
    <row r="130" ht="16" customHeight="1" s="4" customFormat="1">
      <c r="A130" s="4" t="s">
        <v>2309</v>
      </c>
      <c r="B130" s="4" t="s">
        <v>2285</v>
      </c>
      <c r="C130" s="4"/>
      <c r="D130" s="4" t="s">
        <v>2236</v>
      </c>
      <c r="E130" s="4" t="s">
        <v>19</v>
      </c>
      <c r="F130" s="4">
        <v>3.3</v>
      </c>
      <c r="G130" s="4"/>
      <c r="H130" s="4"/>
      <c r="I130" s="4"/>
    </row>
    <row r="131" ht="16" customHeight="1" s="4" customFormat="1">
      <c r="A131" s="4" t="s">
        <v>2309</v>
      </c>
      <c r="B131" s="4" t="s">
        <v>2285</v>
      </c>
      <c r="C131" s="4"/>
      <c r="D131" s="4" t="s">
        <v>2236</v>
      </c>
      <c r="E131" s="4" t="s">
        <v>19</v>
      </c>
      <c r="F131" s="4">
        <v>3.13</v>
      </c>
      <c r="G131" s="4"/>
      <c r="H131" s="4"/>
      <c r="I131" s="4"/>
    </row>
    <row r="132" ht="16" customHeight="1" s="4" customFormat="1">
      <c r="A132" s="4" t="s">
        <v>2309</v>
      </c>
      <c r="B132" s="4" t="s">
        <v>2285</v>
      </c>
      <c r="C132" s="4"/>
      <c r="D132" s="4" t="s">
        <v>2236</v>
      </c>
      <c r="E132" s="4" t="s">
        <v>19</v>
      </c>
      <c r="F132" s="4">
        <v>10.95</v>
      </c>
      <c r="G132" s="4"/>
      <c r="H132" s="4"/>
      <c r="I132" s="4"/>
    </row>
    <row r="133" ht="16" customHeight="1" s="4" customFormat="1">
      <c r="A133" s="4" t="s">
        <v>2309</v>
      </c>
      <c r="B133" s="4" t="s">
        <v>2285</v>
      </c>
      <c r="C133" s="4"/>
      <c r="D133" s="4" t="s">
        <v>2236</v>
      </c>
      <c r="E133" s="4" t="s">
        <v>19</v>
      </c>
      <c r="F133" s="4">
        <v>9.84</v>
      </c>
      <c r="G133" s="4"/>
      <c r="H133" s="4"/>
      <c r="I133" s="4"/>
    </row>
    <row r="134" ht="16" customHeight="1" s="4" customFormat="1">
      <c r="A134" s="4" t="s">
        <v>2309</v>
      </c>
      <c r="B134" s="4" t="s">
        <v>2285</v>
      </c>
      <c r="C134" s="4"/>
      <c r="D134" s="4" t="s">
        <v>2236</v>
      </c>
      <c r="E134" s="4" t="s">
        <v>19</v>
      </c>
      <c r="F134" s="4">
        <v>4.17</v>
      </c>
      <c r="G134" s="4"/>
      <c r="H134" s="4"/>
      <c r="I134" s="4"/>
    </row>
    <row r="135" ht="16" customHeight="1" s="4" customFormat="1">
      <c r="A135" s="4" t="s">
        <v>2310</v>
      </c>
      <c r="B135" s="4" t="s">
        <v>1371</v>
      </c>
      <c r="C135" s="4" t="s">
        <v>2174</v>
      </c>
      <c r="D135" s="4" t="s">
        <v>2256</v>
      </c>
      <c r="E135" s="4" t="s">
        <v>2266</v>
      </c>
      <c r="F135" s="4">
        <v>111.15</v>
      </c>
      <c r="G135" s="4"/>
      <c r="H135" s="4"/>
      <c r="I135" s="4"/>
    </row>
    <row r="136" ht="16" customHeight="1" s="4" customFormat="1">
      <c r="A136" s="4" t="s">
        <v>2311</v>
      </c>
      <c r="B136" s="4" t="s">
        <v>2287</v>
      </c>
      <c r="C136" s="4"/>
      <c r="D136" s="4" t="s">
        <v>2236</v>
      </c>
      <c r="E136" s="4" t="s">
        <v>19</v>
      </c>
      <c r="F136" s="4">
        <v>3.59</v>
      </c>
      <c r="G136" s="4"/>
      <c r="H136" s="4"/>
      <c r="I136" s="4"/>
    </row>
    <row r="137" ht="16" customHeight="1" s="4" customFormat="1">
      <c r="A137" s="4" t="s">
        <v>2311</v>
      </c>
      <c r="B137" s="4" t="s">
        <v>2287</v>
      </c>
      <c r="C137" s="4"/>
      <c r="D137" s="4" t="s">
        <v>2236</v>
      </c>
      <c r="E137" s="4" t="s">
        <v>19</v>
      </c>
      <c r="F137" s="4">
        <v>1.84</v>
      </c>
      <c r="G137" s="4"/>
      <c r="H137" s="4"/>
      <c r="I137" s="4"/>
    </row>
    <row r="138" ht="16" customHeight="1" s="4" customFormat="1">
      <c r="A138" s="4" t="s">
        <v>2311</v>
      </c>
      <c r="B138" s="4" t="s">
        <v>2287</v>
      </c>
      <c r="C138" s="4"/>
      <c r="D138" s="4" t="s">
        <v>2236</v>
      </c>
      <c r="E138" s="4" t="s">
        <v>19</v>
      </c>
      <c r="F138" s="4">
        <v>1.22</v>
      </c>
      <c r="G138" s="4"/>
      <c r="H138" s="4"/>
      <c r="I138" s="4"/>
    </row>
    <row r="139" ht="16" customHeight="1" s="4" customFormat="1">
      <c r="A139" s="4" t="s">
        <v>2311</v>
      </c>
      <c r="B139" s="4" t="s">
        <v>2287</v>
      </c>
      <c r="C139" s="4"/>
      <c r="D139" s="4" t="s">
        <v>2236</v>
      </c>
      <c r="E139" s="4" t="s">
        <v>19</v>
      </c>
      <c r="F139" s="4">
        <v>0.46</v>
      </c>
      <c r="G139" s="4"/>
      <c r="H139" s="4"/>
      <c r="I139" s="4"/>
    </row>
    <row r="140" ht="16" customHeight="1" s="4" customFormat="1">
      <c r="A140" s="4" t="s">
        <v>2312</v>
      </c>
      <c r="B140" s="4" t="s">
        <v>2287</v>
      </c>
      <c r="C140" s="4"/>
      <c r="D140" s="4" t="s">
        <v>2236</v>
      </c>
      <c r="E140" s="4" t="s">
        <v>19</v>
      </c>
      <c r="F140" s="4">
        <v>8.2</v>
      </c>
      <c r="G140" s="4"/>
      <c r="H140" s="4"/>
      <c r="I140" s="4"/>
    </row>
    <row r="141" ht="16" customHeight="1" s="4" customFormat="1">
      <c r="A141" s="4" t="s">
        <v>2312</v>
      </c>
      <c r="B141" s="4" t="s">
        <v>2287</v>
      </c>
      <c r="C141" s="4"/>
      <c r="D141" s="4" t="s">
        <v>2236</v>
      </c>
      <c r="E141" s="4" t="s">
        <v>19</v>
      </c>
      <c r="F141" s="4">
        <v>0.1</v>
      </c>
      <c r="G141" s="4"/>
      <c r="H141" s="4"/>
      <c r="I141" s="4"/>
    </row>
    <row r="142" ht="16" customHeight="1" s="4" customFormat="1">
      <c r="A142" s="4" t="s">
        <v>2312</v>
      </c>
      <c r="B142" s="4" t="s">
        <v>2287</v>
      </c>
      <c r="C142" s="4"/>
      <c r="D142" s="4" t="s">
        <v>2236</v>
      </c>
      <c r="E142" s="4" t="s">
        <v>19</v>
      </c>
      <c r="F142" s="4">
        <v>1.48</v>
      </c>
      <c r="G142" s="4"/>
      <c r="H142" s="4"/>
      <c r="I142" s="4"/>
    </row>
    <row r="143" ht="16" customHeight="1" s="4" customFormat="1">
      <c r="A143" s="4" t="s">
        <v>2312</v>
      </c>
      <c r="B143" s="4" t="s">
        <v>2287</v>
      </c>
      <c r="C143" s="4"/>
      <c r="D143" s="4" t="s">
        <v>2236</v>
      </c>
      <c r="E143" s="4" t="s">
        <v>19</v>
      </c>
      <c r="F143" s="4">
        <v>8.17</v>
      </c>
      <c r="G143" s="4"/>
      <c r="H143" s="4"/>
      <c r="I143" s="4"/>
    </row>
    <row r="144" ht="16" customHeight="1" s="4" customFormat="1">
      <c r="A144" s="4" t="s">
        <v>2312</v>
      </c>
      <c r="B144" s="4" t="s">
        <v>2287</v>
      </c>
      <c r="C144" s="4"/>
      <c r="D144" s="4" t="s">
        <v>2236</v>
      </c>
      <c r="E144" s="4" t="s">
        <v>19</v>
      </c>
      <c r="F144" s="4">
        <v>0.24</v>
      </c>
      <c r="G144" s="4"/>
      <c r="H144" s="4"/>
      <c r="I144" s="4"/>
    </row>
    <row r="145" ht="16" customHeight="1" s="4" customFormat="1">
      <c r="A145" s="4" t="s">
        <v>2312</v>
      </c>
      <c r="B145" s="4" t="s">
        <v>2287</v>
      </c>
      <c r="C145" s="4"/>
      <c r="D145" s="4" t="s">
        <v>2236</v>
      </c>
      <c r="E145" s="4" t="s">
        <v>19</v>
      </c>
      <c r="F145" s="4">
        <v>0.08</v>
      </c>
      <c r="G145" s="4"/>
      <c r="H145" s="4"/>
      <c r="I145" s="4"/>
    </row>
    <row r="146" ht="16" customHeight="1" s="4" customFormat="1">
      <c r="A146" s="4" t="s">
        <v>2312</v>
      </c>
      <c r="B146" s="4" t="s">
        <v>2287</v>
      </c>
      <c r="C146" s="4"/>
      <c r="D146" s="4" t="s">
        <v>2236</v>
      </c>
      <c r="E146" s="4" t="s">
        <v>19</v>
      </c>
      <c r="F146" s="4">
        <v>0.38</v>
      </c>
      <c r="G146" s="4"/>
      <c r="H146" s="4"/>
      <c r="I146" s="4"/>
    </row>
    <row r="147" ht="16" customHeight="1" s="4" customFormat="1">
      <c r="A147" s="4" t="s">
        <v>2312</v>
      </c>
      <c r="B147" s="4" t="s">
        <v>2287</v>
      </c>
      <c r="C147" s="4"/>
      <c r="D147" s="4" t="s">
        <v>2236</v>
      </c>
      <c r="E147" s="4" t="s">
        <v>19</v>
      </c>
      <c r="F147" s="4">
        <v>6.96</v>
      </c>
      <c r="G147" s="4"/>
      <c r="H147" s="4"/>
      <c r="I147" s="4"/>
    </row>
    <row r="148" ht="16" customHeight="1">
      <c r="A148" s="3" t="s">
        <v>2313</v>
      </c>
      <c r="B148" s="3" t="s">
        <v>2287</v>
      </c>
      <c r="C148" s="3"/>
      <c r="D148" s="3" t="s">
        <v>2236</v>
      </c>
      <c r="E148" s="3" t="s">
        <v>2314</v>
      </c>
      <c r="F148" s="3">
        <v>2.99</v>
      </c>
      <c r="G148" s="3"/>
    </row>
  </sheetData>
  <headerFooter/>
</worksheet>
</file>

<file path=xl/worksheets/sheet35.xml><?xml version="1.0" encoding="utf-8"?>
<worksheet xmlns:r="http://schemas.openxmlformats.org/officeDocument/2006/relationships" xmlns="http://schemas.openxmlformats.org/spreadsheetml/2006/main">
  <dimension ref="A1:G501"/>
  <sheetViews>
    <sheetView workbookViewId="0"/>
  </sheetViews>
  <sheetFormatPr defaultRowHeight="15"/>
  <cols>
    <col min="1" max="1" width="12.8065767288208" customWidth="1" style="3"/>
    <col min="2" max="2" width="12.1845531463623" customWidth="1" style="3"/>
    <col min="3" max="3" width="29.1551609039307" customWidth="1" style="3"/>
    <col min="4" max="4" width="135.812774658203" customWidth="1" style="3"/>
    <col min="5" max="16384" width="207.271835327148" customWidth="1" style="3"/>
    <col min="6" max="16384" width="9.140625" customWidth="1" style="3"/>
    <col min="7" max="16384" width="9.140625" customWidth="1" style="3"/>
  </cols>
  <sheetData>
    <row r="1" ht="20" customHeight="1" s="1" customFormat="1">
      <c r="A1" s="2" t="s">
        <v>1935</v>
      </c>
      <c r="B1" s="2" t="s">
        <v>824</v>
      </c>
      <c r="C1" s="2" t="s">
        <v>826</v>
      </c>
      <c r="D1" s="2" t="s">
        <v>2315</v>
      </c>
      <c r="E1" s="2" t="s">
        <v>2316</v>
      </c>
    </row>
    <row r="2" ht="16" customHeight="1" s="4" customFormat="1">
      <c r="A2" s="5">
        <v>46135</v>
      </c>
      <c r="B2" s="4" t="s">
        <v>831</v>
      </c>
      <c r="C2" s="4" t="s">
        <v>2317</v>
      </c>
      <c r="D2" s="4" t="s">
        <v>2318</v>
      </c>
      <c r="E2" s="4" t="s">
        <v>2319</v>
      </c>
      <c r="F2" s="4"/>
      <c r="G2" s="4"/>
    </row>
    <row r="3" ht="16" customHeight="1" s="4" customFormat="1">
      <c r="A3" s="5">
        <v>46135</v>
      </c>
      <c r="B3" s="4" t="s">
        <v>831</v>
      </c>
      <c r="C3" s="4" t="s">
        <v>2317</v>
      </c>
      <c r="D3" s="4" t="s">
        <v>2320</v>
      </c>
      <c r="E3" s="4" t="s">
        <v>2321</v>
      </c>
      <c r="F3" s="4"/>
      <c r="G3" s="4"/>
    </row>
    <row r="4" ht="16" customHeight="1" s="4" customFormat="1">
      <c r="A4" s="5">
        <v>46135</v>
      </c>
      <c r="B4" s="4" t="s">
        <v>831</v>
      </c>
      <c r="C4" s="4" t="s">
        <v>2317</v>
      </c>
      <c r="D4" s="4" t="s">
        <v>2322</v>
      </c>
      <c r="E4" s="4" t="s">
        <v>2323</v>
      </c>
      <c r="F4" s="4"/>
      <c r="G4" s="4"/>
    </row>
    <row r="5" ht="16" customHeight="1" s="4" customFormat="1">
      <c r="A5" s="5">
        <v>46135</v>
      </c>
      <c r="B5" s="4" t="s">
        <v>1267</v>
      </c>
      <c r="C5" s="4" t="s">
        <v>2324</v>
      </c>
      <c r="D5" s="4" t="s">
        <v>2325</v>
      </c>
      <c r="E5" s="4" t="s">
        <v>2326</v>
      </c>
      <c r="F5" s="4"/>
      <c r="G5" s="4"/>
    </row>
    <row r="6" ht="16" customHeight="1" s="4" customFormat="1">
      <c r="A6" s="5">
        <v>46134</v>
      </c>
      <c r="B6" s="4" t="s">
        <v>831</v>
      </c>
      <c r="C6" s="4" t="s">
        <v>2317</v>
      </c>
      <c r="D6" s="4" t="s">
        <v>2327</v>
      </c>
      <c r="E6" s="4" t="s">
        <v>2328</v>
      </c>
      <c r="F6" s="4"/>
      <c r="G6" s="4"/>
    </row>
    <row r="7" ht="16" customHeight="1" s="4" customFormat="1">
      <c r="A7" s="5">
        <v>46134</v>
      </c>
      <c r="B7" s="4" t="s">
        <v>831</v>
      </c>
      <c r="C7" s="4" t="s">
        <v>2317</v>
      </c>
      <c r="D7" s="4" t="s">
        <v>2329</v>
      </c>
      <c r="E7" s="4" t="s">
        <v>2330</v>
      </c>
      <c r="F7" s="4"/>
      <c r="G7" s="4"/>
    </row>
    <row r="8" ht="16" customHeight="1" s="4" customFormat="1">
      <c r="A8" s="5">
        <v>46134</v>
      </c>
      <c r="B8" s="4" t="s">
        <v>2331</v>
      </c>
      <c r="C8" s="4" t="s">
        <v>2332</v>
      </c>
      <c r="D8" s="4" t="s">
        <v>2333</v>
      </c>
      <c r="E8" s="4" t="s">
        <v>2334</v>
      </c>
      <c r="F8" s="4"/>
      <c r="G8" s="4"/>
    </row>
    <row r="9" ht="16" customHeight="1" s="4" customFormat="1">
      <c r="A9" s="5">
        <v>46133</v>
      </c>
      <c r="B9" s="4" t="s">
        <v>1267</v>
      </c>
      <c r="C9" s="4" t="s">
        <v>2335</v>
      </c>
      <c r="D9" s="4" t="s">
        <v>2336</v>
      </c>
      <c r="E9" s="4" t="s">
        <v>2337</v>
      </c>
      <c r="F9" s="4"/>
      <c r="G9" s="4"/>
    </row>
    <row r="10" ht="16" customHeight="1" s="4" customFormat="1">
      <c r="A10" s="5">
        <v>46133</v>
      </c>
      <c r="B10" s="4" t="s">
        <v>831</v>
      </c>
      <c r="C10" s="4" t="s">
        <v>2317</v>
      </c>
      <c r="D10" s="4" t="s">
        <v>2338</v>
      </c>
      <c r="E10" s="4" t="s">
        <v>2339</v>
      </c>
      <c r="F10" s="4"/>
      <c r="G10" s="4"/>
    </row>
    <row r="11" ht="16" customHeight="1" s="4" customFormat="1">
      <c r="A11" s="5">
        <v>46133</v>
      </c>
      <c r="B11" s="4" t="s">
        <v>831</v>
      </c>
      <c r="C11" s="4" t="s">
        <v>2317</v>
      </c>
      <c r="D11" s="4" t="s">
        <v>2340</v>
      </c>
      <c r="E11" s="4" t="s">
        <v>2341</v>
      </c>
      <c r="F11" s="4"/>
      <c r="G11" s="4"/>
    </row>
    <row r="12" ht="16" customHeight="1" s="4" customFormat="1">
      <c r="A12" s="5">
        <v>46133</v>
      </c>
      <c r="B12" s="4" t="s">
        <v>831</v>
      </c>
      <c r="C12" s="4" t="s">
        <v>2317</v>
      </c>
      <c r="D12" s="4" t="s">
        <v>2342</v>
      </c>
      <c r="E12" s="4" t="s">
        <v>2343</v>
      </c>
      <c r="F12" s="4"/>
      <c r="G12" s="4"/>
    </row>
    <row r="13" ht="16" customHeight="1" s="4" customFormat="1">
      <c r="A13" s="5">
        <v>46133</v>
      </c>
      <c r="B13" s="4" t="s">
        <v>2331</v>
      </c>
      <c r="C13" s="4" t="s">
        <v>2344</v>
      </c>
      <c r="D13" s="4" t="s">
        <v>2345</v>
      </c>
      <c r="E13" s="4" t="s">
        <v>2346</v>
      </c>
      <c r="F13" s="4"/>
      <c r="G13" s="4"/>
    </row>
    <row r="14" ht="16" customHeight="1" s="4" customFormat="1">
      <c r="A14" s="5">
        <v>46132</v>
      </c>
      <c r="B14" s="4" t="s">
        <v>831</v>
      </c>
      <c r="C14" s="4" t="s">
        <v>2317</v>
      </c>
      <c r="D14" s="4" t="s">
        <v>2347</v>
      </c>
      <c r="E14" s="4" t="s">
        <v>2348</v>
      </c>
      <c r="F14" s="4"/>
      <c r="G14" s="4"/>
    </row>
    <row r="15" ht="16" customHeight="1" s="4" customFormat="1">
      <c r="A15" s="5">
        <v>46132</v>
      </c>
      <c r="B15" s="4" t="s">
        <v>2331</v>
      </c>
      <c r="C15" s="4" t="s">
        <v>2349</v>
      </c>
      <c r="D15" s="4" t="s">
        <v>2350</v>
      </c>
      <c r="E15" s="4" t="s">
        <v>2351</v>
      </c>
      <c r="F15" s="4"/>
      <c r="G15" s="4"/>
    </row>
    <row r="16" ht="16" customHeight="1" s="4" customFormat="1">
      <c r="A16" s="5">
        <v>46132</v>
      </c>
      <c r="B16" s="4" t="s">
        <v>2331</v>
      </c>
      <c r="C16" s="4" t="s">
        <v>2332</v>
      </c>
      <c r="D16" s="4" t="s">
        <v>2352</v>
      </c>
      <c r="E16" s="4" t="s">
        <v>2353</v>
      </c>
      <c r="F16" s="4"/>
      <c r="G16" s="4"/>
    </row>
    <row r="17" ht="16" customHeight="1" s="4" customFormat="1">
      <c r="A17" s="5">
        <v>46130</v>
      </c>
      <c r="B17" s="4" t="s">
        <v>831</v>
      </c>
      <c r="C17" s="4" t="s">
        <v>2317</v>
      </c>
      <c r="D17" s="4" t="s">
        <v>2354</v>
      </c>
      <c r="E17" s="4" t="s">
        <v>2355</v>
      </c>
      <c r="F17" s="4"/>
      <c r="G17" s="4"/>
    </row>
    <row r="18" ht="16" customHeight="1" s="4" customFormat="1">
      <c r="A18" s="5">
        <v>46130</v>
      </c>
      <c r="B18" s="4" t="s">
        <v>831</v>
      </c>
      <c r="C18" s="4" t="s">
        <v>2317</v>
      </c>
      <c r="D18" s="4" t="s">
        <v>2356</v>
      </c>
      <c r="E18" s="4" t="s">
        <v>2357</v>
      </c>
      <c r="F18" s="4"/>
      <c r="G18" s="4"/>
    </row>
    <row r="19" ht="16" customHeight="1" s="4" customFormat="1">
      <c r="A19" s="5">
        <v>46130</v>
      </c>
      <c r="B19" s="4" t="s">
        <v>831</v>
      </c>
      <c r="C19" s="4" t="s">
        <v>2317</v>
      </c>
      <c r="D19" s="4" t="s">
        <v>2358</v>
      </c>
      <c r="E19" s="4" t="s">
        <v>2359</v>
      </c>
      <c r="F19" s="4"/>
      <c r="G19" s="4"/>
    </row>
    <row r="20" ht="16" customHeight="1" s="4" customFormat="1">
      <c r="A20" s="5">
        <v>46130</v>
      </c>
      <c r="B20" s="4" t="s">
        <v>2331</v>
      </c>
      <c r="C20" s="4" t="s">
        <v>2360</v>
      </c>
      <c r="D20" s="4" t="s">
        <v>2361</v>
      </c>
      <c r="E20" s="4" t="s">
        <v>2362</v>
      </c>
      <c r="F20" s="4"/>
      <c r="G20" s="4"/>
    </row>
    <row r="21" ht="16" customHeight="1" s="4" customFormat="1">
      <c r="A21" s="5">
        <v>46130</v>
      </c>
      <c r="B21" s="4" t="s">
        <v>1267</v>
      </c>
      <c r="C21" s="4" t="s">
        <v>2363</v>
      </c>
      <c r="D21" s="4" t="s">
        <v>2364</v>
      </c>
      <c r="E21" s="4" t="s">
        <v>2365</v>
      </c>
      <c r="F21" s="4"/>
      <c r="G21" s="4"/>
    </row>
    <row r="22" ht="16" customHeight="1" s="4" customFormat="1">
      <c r="A22" s="5">
        <v>46129</v>
      </c>
      <c r="B22" s="4" t="s">
        <v>1267</v>
      </c>
      <c r="C22" s="4" t="s">
        <v>2366</v>
      </c>
      <c r="D22" s="4" t="s">
        <v>2367</v>
      </c>
      <c r="E22" s="4" t="s">
        <v>2368</v>
      </c>
      <c r="F22" s="4"/>
      <c r="G22" s="4"/>
    </row>
    <row r="23" ht="16" customHeight="1" s="4" customFormat="1">
      <c r="A23" s="5">
        <v>46129</v>
      </c>
      <c r="B23" s="4" t="s">
        <v>2331</v>
      </c>
      <c r="C23" s="4" t="s">
        <v>2369</v>
      </c>
      <c r="D23" s="4" t="s">
        <v>2370</v>
      </c>
      <c r="E23" s="4" t="s">
        <v>2371</v>
      </c>
      <c r="F23" s="4"/>
      <c r="G23" s="4"/>
    </row>
    <row r="24" ht="16" customHeight="1" s="4" customFormat="1">
      <c r="A24" s="5">
        <v>46129</v>
      </c>
      <c r="B24" s="4" t="s">
        <v>831</v>
      </c>
      <c r="C24" s="4" t="s">
        <v>2317</v>
      </c>
      <c r="D24" s="4" t="s">
        <v>2372</v>
      </c>
      <c r="E24" s="4" t="s">
        <v>2373</v>
      </c>
      <c r="F24" s="4"/>
      <c r="G24" s="4"/>
    </row>
    <row r="25" ht="16" customHeight="1" s="4" customFormat="1">
      <c r="A25" s="5">
        <v>46129</v>
      </c>
      <c r="B25" s="4" t="s">
        <v>831</v>
      </c>
      <c r="C25" s="4" t="s">
        <v>2317</v>
      </c>
      <c r="D25" s="4" t="s">
        <v>2374</v>
      </c>
      <c r="E25" s="4" t="s">
        <v>2375</v>
      </c>
      <c r="F25" s="4"/>
      <c r="G25" s="4"/>
    </row>
    <row r="26" ht="16" customHeight="1" s="4" customFormat="1">
      <c r="A26" s="5">
        <v>46129</v>
      </c>
      <c r="B26" s="4" t="s">
        <v>1267</v>
      </c>
      <c r="C26" s="4" t="s">
        <v>2324</v>
      </c>
      <c r="D26" s="4" t="s">
        <v>2376</v>
      </c>
      <c r="E26" s="4" t="s">
        <v>2377</v>
      </c>
      <c r="F26" s="4"/>
      <c r="G26" s="4"/>
    </row>
    <row r="27" ht="16" customHeight="1" s="4" customFormat="1">
      <c r="A27" s="5">
        <v>46128</v>
      </c>
      <c r="B27" s="4" t="s">
        <v>1267</v>
      </c>
      <c r="C27" s="4" t="s">
        <v>2335</v>
      </c>
      <c r="D27" s="4" t="s">
        <v>2378</v>
      </c>
      <c r="E27" s="4" t="s">
        <v>2379</v>
      </c>
      <c r="F27" s="4"/>
      <c r="G27" s="4"/>
    </row>
    <row r="28" ht="16" customHeight="1" s="4" customFormat="1">
      <c r="A28" s="5">
        <v>46128</v>
      </c>
      <c r="B28" s="4" t="s">
        <v>831</v>
      </c>
      <c r="C28" s="4" t="s">
        <v>2317</v>
      </c>
      <c r="D28" s="4" t="s">
        <v>2380</v>
      </c>
      <c r="E28" s="4" t="s">
        <v>2381</v>
      </c>
      <c r="F28" s="4"/>
      <c r="G28" s="4"/>
    </row>
    <row r="29" ht="16" customHeight="1" s="4" customFormat="1">
      <c r="A29" s="5">
        <v>46128</v>
      </c>
      <c r="B29" s="4" t="s">
        <v>2331</v>
      </c>
      <c r="C29" s="4" t="s">
        <v>2344</v>
      </c>
      <c r="D29" s="4" t="s">
        <v>2382</v>
      </c>
      <c r="E29" s="4" t="s">
        <v>2383</v>
      </c>
      <c r="F29" s="4"/>
      <c r="G29" s="4"/>
    </row>
    <row r="30" ht="16" customHeight="1" s="4" customFormat="1">
      <c r="A30" s="5">
        <v>46127</v>
      </c>
      <c r="B30" s="4" t="s">
        <v>831</v>
      </c>
      <c r="C30" s="4" t="s">
        <v>2317</v>
      </c>
      <c r="D30" s="4" t="s">
        <v>2384</v>
      </c>
      <c r="E30" s="4" t="s">
        <v>2385</v>
      </c>
      <c r="F30" s="4"/>
      <c r="G30" s="4"/>
    </row>
    <row r="31" ht="16" customHeight="1" s="4" customFormat="1">
      <c r="A31" s="5">
        <v>46127</v>
      </c>
      <c r="B31" s="4" t="s">
        <v>831</v>
      </c>
      <c r="C31" s="4" t="s">
        <v>2317</v>
      </c>
      <c r="D31" s="4" t="s">
        <v>2386</v>
      </c>
      <c r="E31" s="4" t="s">
        <v>2387</v>
      </c>
      <c r="F31" s="4"/>
      <c r="G31" s="4"/>
    </row>
    <row r="32" ht="16" customHeight="1" s="4" customFormat="1">
      <c r="A32" s="5">
        <v>46127</v>
      </c>
      <c r="B32" s="4" t="s">
        <v>1267</v>
      </c>
      <c r="C32" s="4" t="s">
        <v>2388</v>
      </c>
      <c r="D32" s="4" t="s">
        <v>2389</v>
      </c>
      <c r="E32" s="4" t="s">
        <v>2390</v>
      </c>
      <c r="F32" s="4"/>
      <c r="G32" s="4"/>
    </row>
    <row r="33" ht="16" customHeight="1" s="4" customFormat="1">
      <c r="A33" s="5">
        <v>46126</v>
      </c>
      <c r="B33" s="4" t="s">
        <v>831</v>
      </c>
      <c r="C33" s="4" t="s">
        <v>2317</v>
      </c>
      <c r="D33" s="4" t="s">
        <v>2391</v>
      </c>
      <c r="E33" s="4" t="s">
        <v>2392</v>
      </c>
      <c r="F33" s="4"/>
      <c r="G33" s="4"/>
    </row>
    <row r="34" ht="16" customHeight="1" s="4" customFormat="1">
      <c r="A34" s="5">
        <v>46126</v>
      </c>
      <c r="B34" s="4" t="s">
        <v>1267</v>
      </c>
      <c r="C34" s="4" t="s">
        <v>2335</v>
      </c>
      <c r="D34" s="4" t="s">
        <v>2393</v>
      </c>
      <c r="E34" s="4" t="s">
        <v>2394</v>
      </c>
      <c r="F34" s="4"/>
      <c r="G34" s="4"/>
    </row>
    <row r="35" ht="16" customHeight="1" s="4" customFormat="1">
      <c r="A35" s="5">
        <v>46125</v>
      </c>
      <c r="B35" s="4" t="s">
        <v>831</v>
      </c>
      <c r="C35" s="4" t="s">
        <v>2317</v>
      </c>
      <c r="D35" s="4" t="s">
        <v>2395</v>
      </c>
      <c r="E35" s="4" t="s">
        <v>2396</v>
      </c>
      <c r="F35" s="4"/>
      <c r="G35" s="4"/>
    </row>
    <row r="36" ht="16" customHeight="1" s="4" customFormat="1">
      <c r="A36" s="5">
        <v>46123</v>
      </c>
      <c r="B36" s="4" t="s">
        <v>2331</v>
      </c>
      <c r="C36" s="4" t="s">
        <v>2397</v>
      </c>
      <c r="D36" s="4" t="s">
        <v>2398</v>
      </c>
      <c r="E36" s="4" t="s">
        <v>2399</v>
      </c>
      <c r="F36" s="4"/>
      <c r="G36" s="4"/>
    </row>
    <row r="37" ht="16" customHeight="1" s="4" customFormat="1">
      <c r="A37" s="5">
        <v>46123</v>
      </c>
      <c r="B37" s="4" t="s">
        <v>831</v>
      </c>
      <c r="C37" s="4" t="s">
        <v>2400</v>
      </c>
      <c r="D37" s="4" t="s">
        <v>2401</v>
      </c>
      <c r="E37" s="4" t="s">
        <v>2402</v>
      </c>
      <c r="F37" s="4"/>
      <c r="G37" s="4"/>
    </row>
    <row r="38" ht="16" customHeight="1" s="4" customFormat="1">
      <c r="A38" s="5">
        <v>46122</v>
      </c>
      <c r="B38" s="4" t="s">
        <v>831</v>
      </c>
      <c r="C38" s="4" t="s">
        <v>2317</v>
      </c>
      <c r="D38" s="4" t="s">
        <v>2403</v>
      </c>
      <c r="E38" s="4" t="s">
        <v>2404</v>
      </c>
      <c r="F38" s="4"/>
      <c r="G38" s="4"/>
    </row>
    <row r="39" ht="16" customHeight="1" s="4" customFormat="1">
      <c r="A39" s="5">
        <v>46120</v>
      </c>
      <c r="B39" s="4" t="s">
        <v>831</v>
      </c>
      <c r="C39" s="4" t="s">
        <v>2317</v>
      </c>
      <c r="D39" s="4" t="s">
        <v>2405</v>
      </c>
      <c r="E39" s="4" t="s">
        <v>2406</v>
      </c>
      <c r="F39" s="4"/>
      <c r="G39" s="4"/>
    </row>
    <row r="40" ht="16" customHeight="1" s="4" customFormat="1">
      <c r="A40" s="5">
        <v>46120</v>
      </c>
      <c r="B40" s="4" t="s">
        <v>831</v>
      </c>
      <c r="C40" s="4" t="s">
        <v>2407</v>
      </c>
      <c r="D40" s="4" t="s">
        <v>2408</v>
      </c>
      <c r="E40" s="4"/>
      <c r="F40" s="4"/>
      <c r="G40" s="4"/>
    </row>
    <row r="41" ht="16" customHeight="1" s="4" customFormat="1">
      <c r="A41" s="5">
        <v>46120</v>
      </c>
      <c r="B41" s="4" t="s">
        <v>831</v>
      </c>
      <c r="C41" s="4" t="s">
        <v>2317</v>
      </c>
      <c r="D41" s="4" t="s">
        <v>2409</v>
      </c>
      <c r="E41" s="4" t="s">
        <v>2410</v>
      </c>
      <c r="F41" s="4"/>
      <c r="G41" s="4"/>
    </row>
    <row r="42" ht="16" customHeight="1" s="4" customFormat="1">
      <c r="A42" s="5">
        <v>46119</v>
      </c>
      <c r="B42" s="4" t="s">
        <v>831</v>
      </c>
      <c r="C42" s="4" t="s">
        <v>2317</v>
      </c>
      <c r="D42" s="4" t="s">
        <v>2411</v>
      </c>
      <c r="E42" s="4" t="s">
        <v>2412</v>
      </c>
      <c r="F42" s="4"/>
      <c r="G42" s="4"/>
    </row>
    <row r="43" ht="16" customHeight="1" s="4" customFormat="1">
      <c r="A43" s="5">
        <v>46119</v>
      </c>
      <c r="B43" s="4" t="s">
        <v>831</v>
      </c>
      <c r="C43" s="4" t="s">
        <v>2317</v>
      </c>
      <c r="D43" s="4" t="s">
        <v>2413</v>
      </c>
      <c r="E43" s="4" t="s">
        <v>2414</v>
      </c>
      <c r="F43" s="4"/>
      <c r="G43" s="4"/>
    </row>
    <row r="44" ht="16" customHeight="1" s="4" customFormat="1">
      <c r="A44" s="5">
        <v>46119</v>
      </c>
      <c r="B44" s="4" t="s">
        <v>831</v>
      </c>
      <c r="C44" s="4" t="s">
        <v>2317</v>
      </c>
      <c r="D44" s="4" t="s">
        <v>2415</v>
      </c>
      <c r="E44" s="4" t="s">
        <v>2416</v>
      </c>
      <c r="F44" s="4"/>
      <c r="G44" s="4"/>
    </row>
    <row r="45" ht="16" customHeight="1" s="4" customFormat="1">
      <c r="A45" s="5">
        <v>46118</v>
      </c>
      <c r="B45" s="4" t="s">
        <v>831</v>
      </c>
      <c r="C45" s="4" t="s">
        <v>2317</v>
      </c>
      <c r="D45" s="4" t="s">
        <v>2417</v>
      </c>
      <c r="E45" s="4" t="s">
        <v>2418</v>
      </c>
      <c r="F45" s="4"/>
      <c r="G45" s="4"/>
    </row>
    <row r="46" ht="16" customHeight="1" s="4" customFormat="1">
      <c r="A46" s="5">
        <v>46118</v>
      </c>
      <c r="B46" s="4" t="s">
        <v>831</v>
      </c>
      <c r="C46" s="4" t="s">
        <v>2317</v>
      </c>
      <c r="D46" s="4" t="s">
        <v>2419</v>
      </c>
      <c r="E46" s="4" t="s">
        <v>2420</v>
      </c>
      <c r="F46" s="4"/>
      <c r="G46" s="4"/>
    </row>
    <row r="47" ht="16" customHeight="1" s="4" customFormat="1">
      <c r="A47" s="5">
        <v>46115</v>
      </c>
      <c r="B47" s="4" t="s">
        <v>2331</v>
      </c>
      <c r="C47" s="4" t="s">
        <v>2360</v>
      </c>
      <c r="D47" s="4" t="s">
        <v>2421</v>
      </c>
      <c r="E47" s="4" t="s">
        <v>2422</v>
      </c>
      <c r="F47" s="4"/>
      <c r="G47" s="4"/>
    </row>
    <row r="48" ht="16" customHeight="1" s="4" customFormat="1">
      <c r="A48" s="5">
        <v>46114</v>
      </c>
      <c r="B48" s="4" t="s">
        <v>831</v>
      </c>
      <c r="C48" s="4" t="s">
        <v>2317</v>
      </c>
      <c r="D48" s="4" t="s">
        <v>2423</v>
      </c>
      <c r="E48" s="4" t="s">
        <v>2424</v>
      </c>
      <c r="F48" s="4"/>
      <c r="G48" s="4"/>
    </row>
    <row r="49" ht="16" customHeight="1" s="4" customFormat="1">
      <c r="A49" s="5">
        <v>46113</v>
      </c>
      <c r="B49" s="4" t="s">
        <v>831</v>
      </c>
      <c r="C49" s="4" t="s">
        <v>2317</v>
      </c>
      <c r="D49" s="4" t="s">
        <v>2425</v>
      </c>
      <c r="E49" s="4" t="s">
        <v>2426</v>
      </c>
      <c r="F49" s="4"/>
      <c r="G49" s="4"/>
    </row>
    <row r="50" ht="16" customHeight="1" s="4" customFormat="1">
      <c r="A50" s="5">
        <v>46113</v>
      </c>
      <c r="B50" s="4" t="s">
        <v>2331</v>
      </c>
      <c r="C50" s="4" t="s">
        <v>2344</v>
      </c>
      <c r="D50" s="4" t="s">
        <v>2427</v>
      </c>
      <c r="E50" s="4" t="s">
        <v>2428</v>
      </c>
      <c r="F50" s="4"/>
      <c r="G50" s="4"/>
    </row>
    <row r="51" ht="16" customHeight="1" s="4" customFormat="1">
      <c r="A51" s="5">
        <v>46113</v>
      </c>
      <c r="B51" s="4" t="s">
        <v>831</v>
      </c>
      <c r="C51" s="4" t="s">
        <v>2429</v>
      </c>
      <c r="D51" s="4" t="s">
        <v>2430</v>
      </c>
      <c r="E51" s="4"/>
      <c r="F51" s="4"/>
      <c r="G51" s="4"/>
    </row>
    <row r="52" ht="16" customHeight="1" s="4" customFormat="1">
      <c r="A52" s="5">
        <v>46112</v>
      </c>
      <c r="B52" s="4" t="s">
        <v>831</v>
      </c>
      <c r="C52" s="4" t="s">
        <v>2317</v>
      </c>
      <c r="D52" s="4" t="s">
        <v>2431</v>
      </c>
      <c r="E52" s="4" t="s">
        <v>2432</v>
      </c>
      <c r="F52" s="4"/>
      <c r="G52" s="4"/>
    </row>
    <row r="53" ht="16" customHeight="1" s="4" customFormat="1">
      <c r="A53" s="5">
        <v>46112</v>
      </c>
      <c r="B53" s="4" t="s">
        <v>831</v>
      </c>
      <c r="C53" s="4" t="s">
        <v>2433</v>
      </c>
      <c r="D53" s="4" t="s">
        <v>2434</v>
      </c>
      <c r="E53" s="4" t="s">
        <v>2435</v>
      </c>
      <c r="F53" s="4"/>
      <c r="G53" s="4"/>
    </row>
    <row r="54" ht="16" customHeight="1" s="4" customFormat="1">
      <c r="A54" s="5">
        <v>46112</v>
      </c>
      <c r="B54" s="4" t="s">
        <v>831</v>
      </c>
      <c r="C54" s="4" t="s">
        <v>2436</v>
      </c>
      <c r="D54" s="4" t="s">
        <v>2437</v>
      </c>
      <c r="E54" s="4" t="s">
        <v>2438</v>
      </c>
      <c r="F54" s="4"/>
      <c r="G54" s="4"/>
    </row>
    <row r="55" ht="16" customHeight="1" s="4" customFormat="1">
      <c r="A55" s="5">
        <v>46111</v>
      </c>
      <c r="B55" s="4" t="s">
        <v>831</v>
      </c>
      <c r="C55" s="4" t="s">
        <v>2317</v>
      </c>
      <c r="D55" s="4" t="s">
        <v>2439</v>
      </c>
      <c r="E55" s="4" t="s">
        <v>2440</v>
      </c>
      <c r="F55" s="4"/>
      <c r="G55" s="4"/>
    </row>
    <row r="56" ht="16" customHeight="1" s="4" customFormat="1">
      <c r="A56" s="5">
        <v>46111</v>
      </c>
      <c r="B56" s="4" t="s">
        <v>831</v>
      </c>
      <c r="C56" s="4" t="s">
        <v>2317</v>
      </c>
      <c r="D56" s="4" t="s">
        <v>2441</v>
      </c>
      <c r="E56" s="4" t="s">
        <v>2442</v>
      </c>
      <c r="F56" s="4"/>
      <c r="G56" s="4"/>
    </row>
    <row r="57" ht="16" customHeight="1" s="4" customFormat="1">
      <c r="A57" s="5">
        <v>46111</v>
      </c>
      <c r="B57" s="4" t="s">
        <v>2331</v>
      </c>
      <c r="C57" s="4" t="s">
        <v>2344</v>
      </c>
      <c r="D57" s="4" t="s">
        <v>2443</v>
      </c>
      <c r="E57" s="4" t="s">
        <v>2444</v>
      </c>
      <c r="F57" s="4"/>
      <c r="G57" s="4"/>
    </row>
    <row r="58" ht="16" customHeight="1" s="4" customFormat="1">
      <c r="A58" s="5">
        <v>46110</v>
      </c>
      <c r="B58" s="4" t="s">
        <v>831</v>
      </c>
      <c r="C58" s="4" t="s">
        <v>2317</v>
      </c>
      <c r="D58" s="4" t="s">
        <v>2445</v>
      </c>
      <c r="E58" s="4" t="s">
        <v>2446</v>
      </c>
      <c r="F58" s="4"/>
      <c r="G58" s="4"/>
    </row>
    <row r="59" ht="16" customHeight="1" s="4" customFormat="1">
      <c r="A59" s="5">
        <v>46110</v>
      </c>
      <c r="B59" s="4" t="s">
        <v>2331</v>
      </c>
      <c r="C59" s="4" t="s">
        <v>2349</v>
      </c>
      <c r="D59" s="4" t="s">
        <v>2447</v>
      </c>
      <c r="E59" s="4" t="s">
        <v>2448</v>
      </c>
      <c r="F59" s="4"/>
      <c r="G59" s="4"/>
    </row>
    <row r="60" ht="16" customHeight="1" s="4" customFormat="1">
      <c r="A60" s="5">
        <v>46109</v>
      </c>
      <c r="B60" s="4" t="s">
        <v>1267</v>
      </c>
      <c r="C60" s="4" t="s">
        <v>2449</v>
      </c>
      <c r="D60" s="4" t="s">
        <v>2450</v>
      </c>
      <c r="E60" s="4" t="s">
        <v>2451</v>
      </c>
      <c r="F60" s="4"/>
      <c r="G60" s="4"/>
    </row>
    <row r="61" ht="16" customHeight="1" s="4" customFormat="1">
      <c r="A61" s="5">
        <v>46108</v>
      </c>
      <c r="B61" s="4" t="s">
        <v>2331</v>
      </c>
      <c r="C61" s="4" t="s">
        <v>2452</v>
      </c>
      <c r="D61" s="4" t="s">
        <v>2453</v>
      </c>
      <c r="E61" s="4" t="s">
        <v>2454</v>
      </c>
      <c r="F61" s="4"/>
      <c r="G61" s="4"/>
    </row>
    <row r="62" ht="16" customHeight="1" s="4" customFormat="1">
      <c r="A62" s="5">
        <v>46107</v>
      </c>
      <c r="B62" s="4" t="s">
        <v>831</v>
      </c>
      <c r="C62" s="4" t="s">
        <v>2317</v>
      </c>
      <c r="D62" s="4" t="s">
        <v>2455</v>
      </c>
      <c r="E62" s="4" t="s">
        <v>2456</v>
      </c>
      <c r="F62" s="4"/>
      <c r="G62" s="4"/>
    </row>
    <row r="63" ht="16" customHeight="1" s="4" customFormat="1">
      <c r="A63" s="5">
        <v>46107</v>
      </c>
      <c r="B63" s="4" t="s">
        <v>1267</v>
      </c>
      <c r="C63" s="4" t="s">
        <v>2457</v>
      </c>
      <c r="D63" s="4" t="s">
        <v>2458</v>
      </c>
      <c r="E63" s="4" t="s">
        <v>2459</v>
      </c>
      <c r="F63" s="4"/>
      <c r="G63" s="4"/>
    </row>
    <row r="64" ht="16" customHeight="1" s="4" customFormat="1">
      <c r="A64" s="5">
        <v>46106</v>
      </c>
      <c r="B64" s="4" t="s">
        <v>831</v>
      </c>
      <c r="C64" s="4" t="s">
        <v>2436</v>
      </c>
      <c r="D64" s="4" t="s">
        <v>2460</v>
      </c>
      <c r="E64" s="4" t="s">
        <v>2461</v>
      </c>
      <c r="F64" s="4"/>
      <c r="G64" s="4"/>
    </row>
    <row r="65" ht="16" customHeight="1" s="4" customFormat="1">
      <c r="A65" s="5">
        <v>46106</v>
      </c>
      <c r="B65" s="4" t="s">
        <v>2331</v>
      </c>
      <c r="C65" s="4" t="s">
        <v>2332</v>
      </c>
      <c r="D65" s="4" t="s">
        <v>2462</v>
      </c>
      <c r="E65" s="4" t="s">
        <v>2463</v>
      </c>
      <c r="F65" s="4"/>
      <c r="G65" s="4"/>
    </row>
    <row r="66" ht="16" customHeight="1" s="4" customFormat="1">
      <c r="A66" s="5">
        <v>46105</v>
      </c>
      <c r="B66" s="4" t="s">
        <v>831</v>
      </c>
      <c r="C66" s="4" t="s">
        <v>2317</v>
      </c>
      <c r="D66" s="4" t="s">
        <v>2464</v>
      </c>
      <c r="E66" s="4" t="s">
        <v>2465</v>
      </c>
      <c r="F66" s="4"/>
      <c r="G66" s="4"/>
    </row>
    <row r="67" ht="16" customHeight="1" s="4" customFormat="1">
      <c r="A67" s="5">
        <v>46105</v>
      </c>
      <c r="B67" s="4" t="s">
        <v>831</v>
      </c>
      <c r="C67" s="4" t="s">
        <v>2317</v>
      </c>
      <c r="D67" s="4" t="s">
        <v>2466</v>
      </c>
      <c r="E67" s="4" t="s">
        <v>2467</v>
      </c>
      <c r="F67" s="4"/>
      <c r="G67" s="4"/>
    </row>
    <row r="68" ht="16" customHeight="1" s="4" customFormat="1">
      <c r="A68" s="5">
        <v>46105</v>
      </c>
      <c r="B68" s="4" t="s">
        <v>831</v>
      </c>
      <c r="C68" s="4" t="s">
        <v>2436</v>
      </c>
      <c r="D68" s="4" t="s">
        <v>2468</v>
      </c>
      <c r="E68" s="4" t="s">
        <v>2469</v>
      </c>
      <c r="F68" s="4"/>
      <c r="G68" s="4"/>
    </row>
    <row r="69" ht="16" customHeight="1" s="4" customFormat="1">
      <c r="A69" s="5">
        <v>46104</v>
      </c>
      <c r="B69" s="4" t="s">
        <v>831</v>
      </c>
      <c r="C69" s="4" t="s">
        <v>2317</v>
      </c>
      <c r="D69" s="4" t="s">
        <v>2470</v>
      </c>
      <c r="E69" s="4" t="s">
        <v>2471</v>
      </c>
      <c r="F69" s="4"/>
      <c r="G69" s="4"/>
    </row>
    <row r="70" ht="16" customHeight="1" s="4" customFormat="1">
      <c r="A70" s="5">
        <v>46104</v>
      </c>
      <c r="B70" s="4" t="s">
        <v>1267</v>
      </c>
      <c r="C70" s="4" t="s">
        <v>2324</v>
      </c>
      <c r="D70" s="4" t="s">
        <v>2472</v>
      </c>
      <c r="E70" s="4" t="s">
        <v>2473</v>
      </c>
      <c r="F70" s="4"/>
      <c r="G70" s="4"/>
    </row>
    <row r="71" ht="16" customHeight="1" s="4" customFormat="1">
      <c r="A71" s="5">
        <v>46104</v>
      </c>
      <c r="B71" s="4" t="s">
        <v>831</v>
      </c>
      <c r="C71" s="4" t="s">
        <v>2436</v>
      </c>
      <c r="D71" s="4" t="s">
        <v>2474</v>
      </c>
      <c r="E71" s="4" t="s">
        <v>2475</v>
      </c>
      <c r="F71" s="4"/>
      <c r="G71" s="4"/>
    </row>
    <row r="72" ht="16" customHeight="1" s="4" customFormat="1">
      <c r="A72" s="5">
        <v>46103</v>
      </c>
      <c r="B72" s="4" t="s">
        <v>831</v>
      </c>
      <c r="C72" s="4" t="s">
        <v>2317</v>
      </c>
      <c r="D72" s="4" t="s">
        <v>2476</v>
      </c>
      <c r="E72" s="4" t="s">
        <v>2477</v>
      </c>
      <c r="F72" s="4"/>
      <c r="G72" s="4"/>
    </row>
    <row r="73" ht="16" customHeight="1" s="4" customFormat="1">
      <c r="A73" s="5">
        <v>46102</v>
      </c>
      <c r="B73" s="4" t="s">
        <v>831</v>
      </c>
      <c r="C73" s="4" t="s">
        <v>2317</v>
      </c>
      <c r="D73" s="4" t="s">
        <v>2478</v>
      </c>
      <c r="E73" s="4" t="s">
        <v>2479</v>
      </c>
      <c r="F73" s="4"/>
      <c r="G73" s="4"/>
    </row>
    <row r="74" ht="16" customHeight="1" s="4" customFormat="1">
      <c r="A74" s="5">
        <v>46102</v>
      </c>
      <c r="B74" s="4" t="s">
        <v>1267</v>
      </c>
      <c r="C74" s="4" t="s">
        <v>2457</v>
      </c>
      <c r="D74" s="4" t="s">
        <v>2480</v>
      </c>
      <c r="E74" s="4" t="s">
        <v>2481</v>
      </c>
      <c r="F74" s="4"/>
      <c r="G74" s="4"/>
    </row>
    <row r="75" ht="16" customHeight="1" s="4" customFormat="1">
      <c r="A75" s="5">
        <v>46101</v>
      </c>
      <c r="B75" s="4" t="s">
        <v>831</v>
      </c>
      <c r="C75" s="4" t="s">
        <v>2317</v>
      </c>
      <c r="D75" s="4" t="s">
        <v>2482</v>
      </c>
      <c r="E75" s="4" t="s">
        <v>2483</v>
      </c>
      <c r="F75" s="4"/>
      <c r="G75" s="4"/>
    </row>
    <row r="76" ht="16" customHeight="1" s="4" customFormat="1">
      <c r="A76" s="5">
        <v>46101</v>
      </c>
      <c r="B76" s="4" t="s">
        <v>831</v>
      </c>
      <c r="C76" s="4" t="s">
        <v>2436</v>
      </c>
      <c r="D76" s="4" t="s">
        <v>2484</v>
      </c>
      <c r="E76" s="4" t="s">
        <v>2485</v>
      </c>
      <c r="F76" s="4"/>
      <c r="G76" s="4"/>
    </row>
    <row r="77" ht="16" customHeight="1" s="4" customFormat="1">
      <c r="A77" s="5">
        <v>46101</v>
      </c>
      <c r="B77" s="4" t="s">
        <v>2331</v>
      </c>
      <c r="C77" s="4" t="s">
        <v>2344</v>
      </c>
      <c r="D77" s="4" t="s">
        <v>2486</v>
      </c>
      <c r="E77" s="4" t="s">
        <v>2487</v>
      </c>
      <c r="F77" s="4"/>
      <c r="G77" s="4"/>
    </row>
    <row r="78" ht="16" customHeight="1" s="4" customFormat="1">
      <c r="A78" s="5">
        <v>46100</v>
      </c>
      <c r="B78" s="4" t="s">
        <v>831</v>
      </c>
      <c r="C78" s="4" t="s">
        <v>2317</v>
      </c>
      <c r="D78" s="4" t="s">
        <v>2488</v>
      </c>
      <c r="E78" s="4" t="s">
        <v>2489</v>
      </c>
      <c r="F78" s="4"/>
      <c r="G78" s="4"/>
    </row>
    <row r="79" ht="16" customHeight="1" s="4" customFormat="1">
      <c r="A79" s="5">
        <v>46099</v>
      </c>
      <c r="B79" s="4" t="s">
        <v>2331</v>
      </c>
      <c r="C79" s="4" t="s">
        <v>2490</v>
      </c>
      <c r="D79" s="4" t="s">
        <v>2491</v>
      </c>
      <c r="E79" s="4" t="s">
        <v>2492</v>
      </c>
      <c r="F79" s="4"/>
      <c r="G79" s="4"/>
    </row>
    <row r="80" ht="16" customHeight="1" s="4" customFormat="1">
      <c r="A80" s="5">
        <v>46097</v>
      </c>
      <c r="B80" s="4" t="s">
        <v>2331</v>
      </c>
      <c r="C80" s="4" t="s">
        <v>2369</v>
      </c>
      <c r="D80" s="4" t="s">
        <v>2493</v>
      </c>
      <c r="E80" s="4" t="s">
        <v>2494</v>
      </c>
      <c r="F80" s="4"/>
      <c r="G80" s="4"/>
    </row>
    <row r="81" ht="16" customHeight="1" s="4" customFormat="1">
      <c r="A81" s="5">
        <v>46095</v>
      </c>
      <c r="B81" s="4" t="s">
        <v>2331</v>
      </c>
      <c r="C81" s="4" t="s">
        <v>2369</v>
      </c>
      <c r="D81" s="4" t="s">
        <v>2495</v>
      </c>
      <c r="E81" s="4" t="s">
        <v>2496</v>
      </c>
      <c r="F81" s="4"/>
      <c r="G81" s="4"/>
    </row>
    <row r="82" ht="16" customHeight="1" s="4" customFormat="1">
      <c r="A82" s="5">
        <v>46092</v>
      </c>
      <c r="B82" s="4" t="s">
        <v>2331</v>
      </c>
      <c r="C82" s="4" t="s">
        <v>2497</v>
      </c>
      <c r="D82" s="4" t="s">
        <v>2498</v>
      </c>
      <c r="E82" s="4" t="s">
        <v>2499</v>
      </c>
      <c r="F82" s="4"/>
      <c r="G82" s="4"/>
    </row>
    <row r="83" ht="16" customHeight="1" s="4" customFormat="1">
      <c r="A83" s="5">
        <v>46092</v>
      </c>
      <c r="B83" s="4" t="s">
        <v>2331</v>
      </c>
      <c r="C83" s="4" t="s">
        <v>2344</v>
      </c>
      <c r="D83" s="4" t="s">
        <v>2500</v>
      </c>
      <c r="E83" s="4" t="s">
        <v>2501</v>
      </c>
      <c r="F83" s="4"/>
      <c r="G83" s="4"/>
    </row>
    <row r="84" ht="16" customHeight="1" s="4" customFormat="1">
      <c r="A84" s="5">
        <v>46091</v>
      </c>
      <c r="B84" s="4" t="s">
        <v>831</v>
      </c>
      <c r="C84" s="4" t="s">
        <v>2317</v>
      </c>
      <c r="D84" s="4" t="s">
        <v>2502</v>
      </c>
      <c r="E84" s="4" t="s">
        <v>2503</v>
      </c>
      <c r="F84" s="4"/>
      <c r="G84" s="4"/>
    </row>
    <row r="85" ht="16" customHeight="1" s="4" customFormat="1">
      <c r="A85" s="5">
        <v>46088</v>
      </c>
      <c r="B85" s="4" t="s">
        <v>2331</v>
      </c>
      <c r="C85" s="4" t="s">
        <v>2369</v>
      </c>
      <c r="D85" s="4" t="s">
        <v>2504</v>
      </c>
      <c r="E85" s="4" t="s">
        <v>2505</v>
      </c>
      <c r="F85" s="4"/>
      <c r="G85" s="4"/>
    </row>
    <row r="86" ht="16" customHeight="1" s="4" customFormat="1">
      <c r="A86" s="5">
        <v>46088</v>
      </c>
      <c r="B86" s="4" t="s">
        <v>831</v>
      </c>
      <c r="C86" s="4" t="s">
        <v>2317</v>
      </c>
      <c r="D86" s="4" t="s">
        <v>2506</v>
      </c>
      <c r="E86" s="4" t="s">
        <v>2507</v>
      </c>
      <c r="F86" s="4"/>
      <c r="G86" s="4"/>
    </row>
    <row r="87" ht="16" customHeight="1" s="4" customFormat="1">
      <c r="A87" s="5">
        <v>46086</v>
      </c>
      <c r="B87" s="4" t="s">
        <v>2331</v>
      </c>
      <c r="C87" s="4" t="s">
        <v>2344</v>
      </c>
      <c r="D87" s="4" t="s">
        <v>2508</v>
      </c>
      <c r="E87" s="4" t="s">
        <v>2509</v>
      </c>
      <c r="F87" s="4"/>
      <c r="G87" s="4"/>
    </row>
    <row r="88" ht="16" customHeight="1" s="4" customFormat="1">
      <c r="A88" s="5">
        <v>46085</v>
      </c>
      <c r="B88" s="4" t="s">
        <v>1267</v>
      </c>
      <c r="C88" s="4" t="s">
        <v>2324</v>
      </c>
      <c r="D88" s="4" t="s">
        <v>2510</v>
      </c>
      <c r="E88" s="4" t="s">
        <v>2511</v>
      </c>
      <c r="F88" s="4"/>
      <c r="G88" s="4"/>
    </row>
    <row r="89" ht="16" customHeight="1" s="4" customFormat="1">
      <c r="A89" s="5">
        <v>46084</v>
      </c>
      <c r="B89" s="4" t="s">
        <v>831</v>
      </c>
      <c r="C89" s="4" t="s">
        <v>2317</v>
      </c>
      <c r="D89" s="4" t="s">
        <v>2512</v>
      </c>
      <c r="E89" s="4" t="s">
        <v>2513</v>
      </c>
      <c r="F89" s="4"/>
      <c r="G89" s="4"/>
    </row>
    <row r="90" ht="16" customHeight="1" s="4" customFormat="1">
      <c r="A90" s="5">
        <v>46083</v>
      </c>
      <c r="B90" s="4" t="s">
        <v>2331</v>
      </c>
      <c r="C90" s="4" t="s">
        <v>2514</v>
      </c>
      <c r="D90" s="4" t="s">
        <v>2515</v>
      </c>
      <c r="E90" s="4" t="s">
        <v>2516</v>
      </c>
      <c r="F90" s="4"/>
      <c r="G90" s="4"/>
    </row>
    <row r="91" ht="16" customHeight="1" s="4" customFormat="1">
      <c r="A91" s="5">
        <v>46081</v>
      </c>
      <c r="B91" s="4" t="s">
        <v>831</v>
      </c>
      <c r="C91" s="4" t="s">
        <v>2317</v>
      </c>
      <c r="D91" s="4" t="s">
        <v>2517</v>
      </c>
      <c r="E91" s="4" t="s">
        <v>2518</v>
      </c>
      <c r="F91" s="4"/>
      <c r="G91" s="4"/>
    </row>
    <row r="92" ht="16" customHeight="1" s="4" customFormat="1">
      <c r="A92" s="5">
        <v>46080</v>
      </c>
      <c r="B92" s="4" t="s">
        <v>2331</v>
      </c>
      <c r="C92" s="4" t="s">
        <v>2514</v>
      </c>
      <c r="D92" s="4" t="s">
        <v>2519</v>
      </c>
      <c r="E92" s="4" t="s">
        <v>2520</v>
      </c>
      <c r="F92" s="4"/>
      <c r="G92" s="4"/>
    </row>
    <row r="93" ht="16" customHeight="1" s="4" customFormat="1">
      <c r="A93" s="5">
        <v>46080</v>
      </c>
      <c r="B93" s="4" t="s">
        <v>1267</v>
      </c>
      <c r="C93" s="4" t="s">
        <v>2457</v>
      </c>
      <c r="D93" s="4" t="s">
        <v>2521</v>
      </c>
      <c r="E93" s="4" t="s">
        <v>2522</v>
      </c>
      <c r="F93" s="4"/>
      <c r="G93" s="4"/>
    </row>
    <row r="94" ht="16" customHeight="1" s="4" customFormat="1">
      <c r="A94" s="5">
        <v>46079</v>
      </c>
      <c r="B94" s="4" t="s">
        <v>831</v>
      </c>
      <c r="C94" s="4" t="s">
        <v>2523</v>
      </c>
      <c r="D94" s="4" t="s">
        <v>2524</v>
      </c>
      <c r="E94" s="4" t="s">
        <v>2525</v>
      </c>
      <c r="F94" s="4"/>
      <c r="G94" s="4"/>
    </row>
    <row r="95" ht="16" customHeight="1" s="4" customFormat="1">
      <c r="A95" s="5">
        <v>46078</v>
      </c>
      <c r="B95" s="4" t="s">
        <v>2331</v>
      </c>
      <c r="C95" s="4" t="s">
        <v>2369</v>
      </c>
      <c r="D95" s="4" t="s">
        <v>2526</v>
      </c>
      <c r="E95" s="4" t="s">
        <v>2527</v>
      </c>
      <c r="F95" s="4"/>
      <c r="G95" s="4"/>
    </row>
    <row r="96" ht="16" customHeight="1" s="4" customFormat="1">
      <c r="A96" s="5">
        <v>46078</v>
      </c>
      <c r="B96" s="4" t="s">
        <v>831</v>
      </c>
      <c r="C96" s="4" t="s">
        <v>2528</v>
      </c>
      <c r="D96" s="4" t="s">
        <v>2529</v>
      </c>
      <c r="E96" s="4" t="s">
        <v>2530</v>
      </c>
      <c r="F96" s="4"/>
      <c r="G96" s="4"/>
    </row>
    <row r="97" ht="16" customHeight="1" s="4" customFormat="1">
      <c r="A97" s="5">
        <v>46076</v>
      </c>
      <c r="B97" s="4" t="s">
        <v>2331</v>
      </c>
      <c r="C97" s="4" t="s">
        <v>2369</v>
      </c>
      <c r="D97" s="4" t="s">
        <v>2531</v>
      </c>
      <c r="E97" s="4" t="s">
        <v>2532</v>
      </c>
      <c r="F97" s="4"/>
      <c r="G97" s="4"/>
    </row>
    <row r="98" ht="16" customHeight="1" s="4" customFormat="1">
      <c r="A98" s="5">
        <v>46074</v>
      </c>
      <c r="B98" s="4" t="s">
        <v>831</v>
      </c>
      <c r="C98" s="4" t="s">
        <v>2317</v>
      </c>
      <c r="D98" s="4" t="s">
        <v>2533</v>
      </c>
      <c r="E98" s="4" t="s">
        <v>2534</v>
      </c>
      <c r="F98" s="4"/>
      <c r="G98" s="4"/>
    </row>
    <row r="99" ht="16" customHeight="1" s="4" customFormat="1">
      <c r="A99" s="5">
        <v>46073</v>
      </c>
      <c r="B99" s="4" t="s">
        <v>831</v>
      </c>
      <c r="C99" s="4" t="s">
        <v>2317</v>
      </c>
      <c r="D99" s="4" t="s">
        <v>2535</v>
      </c>
      <c r="E99" s="4" t="s">
        <v>2536</v>
      </c>
      <c r="F99" s="4"/>
      <c r="G99" s="4"/>
    </row>
    <row r="100" ht="16" customHeight="1" s="4" customFormat="1">
      <c r="A100" s="5">
        <v>46070</v>
      </c>
      <c r="B100" s="4" t="s">
        <v>2331</v>
      </c>
      <c r="C100" s="4" t="s">
        <v>2537</v>
      </c>
      <c r="D100" s="4" t="s">
        <v>2538</v>
      </c>
      <c r="E100" s="4" t="s">
        <v>2539</v>
      </c>
      <c r="F100" s="4"/>
      <c r="G100" s="4"/>
    </row>
    <row r="101" ht="16" customHeight="1" s="4" customFormat="1">
      <c r="A101" s="5">
        <v>46070</v>
      </c>
      <c r="B101" s="4" t="s">
        <v>831</v>
      </c>
      <c r="C101" s="4" t="s">
        <v>2317</v>
      </c>
      <c r="D101" s="4" t="s">
        <v>2540</v>
      </c>
      <c r="E101" s="4" t="s">
        <v>2541</v>
      </c>
      <c r="F101" s="4"/>
      <c r="G101" s="4"/>
    </row>
    <row r="102" ht="16" customHeight="1" s="4" customFormat="1">
      <c r="A102" s="5">
        <v>46065</v>
      </c>
      <c r="B102" s="4" t="s">
        <v>831</v>
      </c>
      <c r="C102" s="4" t="s">
        <v>2317</v>
      </c>
      <c r="D102" s="4" t="s">
        <v>2542</v>
      </c>
      <c r="E102" s="4" t="s">
        <v>2543</v>
      </c>
      <c r="F102" s="4"/>
      <c r="G102" s="4"/>
    </row>
    <row r="103" ht="16" customHeight="1" s="4" customFormat="1">
      <c r="A103" s="5">
        <v>46064</v>
      </c>
      <c r="B103" s="4" t="s">
        <v>831</v>
      </c>
      <c r="C103" s="4" t="s">
        <v>2317</v>
      </c>
      <c r="D103" s="4" t="s">
        <v>2544</v>
      </c>
      <c r="E103" s="4" t="s">
        <v>2545</v>
      </c>
      <c r="F103" s="4"/>
      <c r="G103" s="4"/>
    </row>
    <row r="104" ht="16" customHeight="1" s="4" customFormat="1">
      <c r="A104" s="5">
        <v>46062</v>
      </c>
      <c r="B104" s="4" t="s">
        <v>831</v>
      </c>
      <c r="C104" s="4" t="s">
        <v>2317</v>
      </c>
      <c r="D104" s="4" t="s">
        <v>2546</v>
      </c>
      <c r="E104" s="4" t="s">
        <v>2547</v>
      </c>
      <c r="F104" s="4"/>
      <c r="G104" s="4"/>
    </row>
    <row r="105" ht="16" customHeight="1" s="4" customFormat="1">
      <c r="A105" s="5">
        <v>46059</v>
      </c>
      <c r="B105" s="4" t="s">
        <v>831</v>
      </c>
      <c r="C105" s="4" t="s">
        <v>2317</v>
      </c>
      <c r="D105" s="4" t="s">
        <v>2548</v>
      </c>
      <c r="E105" s="4" t="s">
        <v>2549</v>
      </c>
      <c r="F105" s="4"/>
      <c r="G105" s="4"/>
    </row>
    <row r="106" ht="16" customHeight="1" s="4" customFormat="1">
      <c r="A106" s="5">
        <v>46058</v>
      </c>
      <c r="B106" s="4" t="s">
        <v>1267</v>
      </c>
      <c r="C106" s="4" t="s">
        <v>2324</v>
      </c>
      <c r="D106" s="4" t="s">
        <v>2550</v>
      </c>
      <c r="E106" s="4" t="s">
        <v>2551</v>
      </c>
      <c r="F106" s="4"/>
      <c r="G106" s="4"/>
    </row>
    <row r="107" ht="16" customHeight="1" s="4" customFormat="1">
      <c r="A107" s="5">
        <v>46058</v>
      </c>
      <c r="B107" s="4" t="s">
        <v>2331</v>
      </c>
      <c r="C107" s="4" t="s">
        <v>2552</v>
      </c>
      <c r="D107" s="4" t="s">
        <v>2553</v>
      </c>
      <c r="E107" s="4"/>
      <c r="F107" s="4"/>
      <c r="G107" s="4"/>
    </row>
    <row r="108" ht="16" customHeight="1" s="4" customFormat="1">
      <c r="A108" s="5">
        <v>46054</v>
      </c>
      <c r="B108" s="4" t="s">
        <v>1267</v>
      </c>
      <c r="C108" s="4" t="s">
        <v>2324</v>
      </c>
      <c r="D108" s="4" t="s">
        <v>2554</v>
      </c>
      <c r="E108" s="4" t="s">
        <v>2555</v>
      </c>
      <c r="F108" s="4"/>
      <c r="G108" s="4"/>
    </row>
    <row r="109" ht="16" customHeight="1" s="4" customFormat="1">
      <c r="A109" s="5">
        <v>46052</v>
      </c>
      <c r="B109" s="4" t="s">
        <v>831</v>
      </c>
      <c r="C109" s="4" t="s">
        <v>2317</v>
      </c>
      <c r="D109" s="4" t="s">
        <v>2556</v>
      </c>
      <c r="E109" s="4" t="s">
        <v>2557</v>
      </c>
      <c r="F109" s="4"/>
      <c r="G109" s="4"/>
    </row>
    <row r="110" ht="16" customHeight="1" s="4" customFormat="1">
      <c r="A110" s="5">
        <v>46052</v>
      </c>
      <c r="B110" s="4" t="s">
        <v>831</v>
      </c>
      <c r="C110" s="4" t="s">
        <v>2558</v>
      </c>
      <c r="D110" s="4" t="s">
        <v>2559</v>
      </c>
      <c r="E110" s="4" t="s">
        <v>2560</v>
      </c>
      <c r="F110" s="4"/>
      <c r="G110" s="4"/>
    </row>
    <row r="111" ht="16" customHeight="1" s="4" customFormat="1">
      <c r="A111" s="5">
        <v>46051</v>
      </c>
      <c r="B111" s="4" t="s">
        <v>831</v>
      </c>
      <c r="C111" s="4" t="s">
        <v>2317</v>
      </c>
      <c r="D111" s="4" t="s">
        <v>2561</v>
      </c>
      <c r="E111" s="4" t="s">
        <v>2562</v>
      </c>
      <c r="F111" s="4"/>
      <c r="G111" s="4"/>
    </row>
    <row r="112" ht="16" customHeight="1" s="4" customFormat="1">
      <c r="A112" s="5">
        <v>46051</v>
      </c>
      <c r="B112" s="4" t="s">
        <v>2331</v>
      </c>
      <c r="C112" s="4" t="s">
        <v>2344</v>
      </c>
      <c r="D112" s="4" t="s">
        <v>2563</v>
      </c>
      <c r="E112" s="4" t="s">
        <v>2564</v>
      </c>
      <c r="F112" s="4"/>
      <c r="G112" s="4"/>
    </row>
    <row r="113" ht="16" customHeight="1" s="4" customFormat="1">
      <c r="A113" s="5">
        <v>46051</v>
      </c>
      <c r="B113" s="4" t="s">
        <v>831</v>
      </c>
      <c r="C113" s="4" t="s">
        <v>2558</v>
      </c>
      <c r="D113" s="4" t="s">
        <v>2565</v>
      </c>
      <c r="E113" s="4" t="s">
        <v>2566</v>
      </c>
      <c r="F113" s="4"/>
      <c r="G113" s="4"/>
    </row>
    <row r="114" ht="16" customHeight="1" s="4" customFormat="1">
      <c r="A114" s="5">
        <v>46050</v>
      </c>
      <c r="B114" s="4" t="s">
        <v>831</v>
      </c>
      <c r="C114" s="4" t="s">
        <v>2317</v>
      </c>
      <c r="D114" s="4" t="s">
        <v>2567</v>
      </c>
      <c r="E114" s="4" t="s">
        <v>2568</v>
      </c>
      <c r="F114" s="4"/>
      <c r="G114" s="4"/>
    </row>
    <row r="115" ht="16" customHeight="1" s="4" customFormat="1">
      <c r="A115" s="5">
        <v>46050</v>
      </c>
      <c r="B115" s="4" t="s">
        <v>831</v>
      </c>
      <c r="C115" s="4" t="s">
        <v>2317</v>
      </c>
      <c r="D115" s="4" t="s">
        <v>2569</v>
      </c>
      <c r="E115" s="4" t="s">
        <v>2570</v>
      </c>
      <c r="F115" s="4"/>
      <c r="G115" s="4"/>
    </row>
    <row r="116" ht="16" customHeight="1" s="4" customFormat="1">
      <c r="A116" s="5">
        <v>46050</v>
      </c>
      <c r="B116" s="4" t="s">
        <v>831</v>
      </c>
      <c r="C116" s="4" t="s">
        <v>2571</v>
      </c>
      <c r="D116" s="4" t="s">
        <v>2572</v>
      </c>
      <c r="E116" s="4" t="s">
        <v>2573</v>
      </c>
      <c r="F116" s="4"/>
      <c r="G116" s="4"/>
    </row>
    <row r="117" ht="16" customHeight="1" s="4" customFormat="1">
      <c r="A117" s="5">
        <v>46049</v>
      </c>
      <c r="B117" s="4" t="s">
        <v>831</v>
      </c>
      <c r="C117" s="4" t="s">
        <v>2571</v>
      </c>
      <c r="D117" s="4" t="s">
        <v>2574</v>
      </c>
      <c r="E117" s="4" t="s">
        <v>2575</v>
      </c>
      <c r="F117" s="4"/>
      <c r="G117" s="4"/>
    </row>
    <row r="118" ht="16" customHeight="1" s="4" customFormat="1">
      <c r="A118" s="5">
        <v>46047</v>
      </c>
      <c r="B118" s="4" t="s">
        <v>831</v>
      </c>
      <c r="C118" s="4" t="s">
        <v>2317</v>
      </c>
      <c r="D118" s="4" t="s">
        <v>2576</v>
      </c>
      <c r="E118" s="4" t="s">
        <v>2577</v>
      </c>
      <c r="F118" s="4"/>
      <c r="G118" s="4"/>
    </row>
    <row r="119" ht="16" customHeight="1" s="4" customFormat="1">
      <c r="A119" s="5">
        <v>46045</v>
      </c>
      <c r="B119" s="4" t="s">
        <v>831</v>
      </c>
      <c r="C119" s="4" t="s">
        <v>2317</v>
      </c>
      <c r="D119" s="4" t="s">
        <v>2578</v>
      </c>
      <c r="E119" s="4" t="s">
        <v>2579</v>
      </c>
      <c r="F119" s="4"/>
      <c r="G119" s="4"/>
    </row>
    <row r="120" ht="16" customHeight="1" s="4" customFormat="1">
      <c r="A120" s="5">
        <v>46045</v>
      </c>
      <c r="B120" s="4" t="s">
        <v>2331</v>
      </c>
      <c r="C120" s="4" t="s">
        <v>2344</v>
      </c>
      <c r="D120" s="4" t="s">
        <v>2580</v>
      </c>
      <c r="E120" s="4" t="s">
        <v>2581</v>
      </c>
      <c r="F120" s="4"/>
      <c r="G120" s="4"/>
    </row>
    <row r="121" ht="16" customHeight="1" s="4" customFormat="1">
      <c r="A121" s="5">
        <v>46044</v>
      </c>
      <c r="B121" s="4" t="s">
        <v>831</v>
      </c>
      <c r="C121" s="4" t="s">
        <v>2433</v>
      </c>
      <c r="D121" s="4" t="s">
        <v>2582</v>
      </c>
      <c r="E121" s="4" t="s">
        <v>2583</v>
      </c>
      <c r="F121" s="4"/>
      <c r="G121" s="4"/>
    </row>
    <row r="122" ht="16" customHeight="1" s="4" customFormat="1">
      <c r="A122" s="5">
        <v>46041</v>
      </c>
      <c r="B122" s="4" t="s">
        <v>831</v>
      </c>
      <c r="C122" s="4" t="s">
        <v>2317</v>
      </c>
      <c r="D122" s="4" t="s">
        <v>2584</v>
      </c>
      <c r="E122" s="4" t="s">
        <v>2585</v>
      </c>
      <c r="F122" s="4"/>
      <c r="G122" s="4"/>
    </row>
    <row r="123" ht="16" customHeight="1" s="4" customFormat="1">
      <c r="A123" s="5">
        <v>46040</v>
      </c>
      <c r="B123" s="4" t="s">
        <v>831</v>
      </c>
      <c r="C123" s="4" t="s">
        <v>2317</v>
      </c>
      <c r="D123" s="4" t="s">
        <v>2586</v>
      </c>
      <c r="E123" s="4" t="s">
        <v>2587</v>
      </c>
      <c r="F123" s="4"/>
      <c r="G123" s="4"/>
    </row>
    <row r="124" ht="16" customHeight="1" s="4" customFormat="1">
      <c r="A124" s="5">
        <v>46040</v>
      </c>
      <c r="B124" s="4" t="s">
        <v>831</v>
      </c>
      <c r="C124" s="4" t="s">
        <v>2317</v>
      </c>
      <c r="D124" s="4" t="s">
        <v>2588</v>
      </c>
      <c r="E124" s="4" t="s">
        <v>2589</v>
      </c>
      <c r="F124" s="4"/>
      <c r="G124" s="4"/>
    </row>
    <row r="125" ht="16" customHeight="1" s="4" customFormat="1">
      <c r="A125" s="5">
        <v>46039</v>
      </c>
      <c r="B125" s="4" t="s">
        <v>831</v>
      </c>
      <c r="C125" s="4" t="s">
        <v>2317</v>
      </c>
      <c r="D125" s="4" t="s">
        <v>2590</v>
      </c>
      <c r="E125" s="4" t="s">
        <v>2591</v>
      </c>
      <c r="F125" s="4"/>
      <c r="G125" s="4"/>
    </row>
    <row r="126" ht="16" customHeight="1" s="4" customFormat="1">
      <c r="A126" s="5">
        <v>46039</v>
      </c>
      <c r="B126" s="4" t="s">
        <v>2331</v>
      </c>
      <c r="C126" s="4" t="s">
        <v>2497</v>
      </c>
      <c r="D126" s="4" t="s">
        <v>2592</v>
      </c>
      <c r="E126" s="4" t="s">
        <v>2593</v>
      </c>
      <c r="F126" s="4"/>
      <c r="G126" s="4"/>
    </row>
    <row r="127" ht="16" customHeight="1" s="4" customFormat="1">
      <c r="A127" s="5">
        <v>46037</v>
      </c>
      <c r="B127" s="4" t="s">
        <v>2331</v>
      </c>
      <c r="C127" s="4" t="s">
        <v>2344</v>
      </c>
      <c r="D127" s="4" t="s">
        <v>2594</v>
      </c>
      <c r="E127" s="4"/>
      <c r="F127" s="4"/>
      <c r="G127" s="4"/>
    </row>
    <row r="128" ht="16" customHeight="1" s="4" customFormat="1">
      <c r="A128" s="5">
        <v>46036</v>
      </c>
      <c r="B128" s="4" t="s">
        <v>2331</v>
      </c>
      <c r="C128" s="4" t="s">
        <v>2344</v>
      </c>
      <c r="D128" s="4" t="s">
        <v>2595</v>
      </c>
      <c r="E128" s="4" t="s">
        <v>2596</v>
      </c>
      <c r="F128" s="4"/>
      <c r="G128" s="4"/>
    </row>
    <row r="129" ht="16" customHeight="1" s="4" customFormat="1">
      <c r="A129" s="5">
        <v>46032</v>
      </c>
      <c r="B129" s="4" t="s">
        <v>831</v>
      </c>
      <c r="C129" s="4" t="s">
        <v>2317</v>
      </c>
      <c r="D129" s="4" t="s">
        <v>2597</v>
      </c>
      <c r="E129" s="4" t="s">
        <v>2598</v>
      </c>
      <c r="F129" s="4"/>
      <c r="G129" s="4"/>
    </row>
    <row r="130" ht="16" customHeight="1" s="4" customFormat="1">
      <c r="A130" s="5">
        <v>46032</v>
      </c>
      <c r="B130" s="4" t="s">
        <v>2331</v>
      </c>
      <c r="C130" s="4" t="s">
        <v>2349</v>
      </c>
      <c r="D130" s="4" t="s">
        <v>2599</v>
      </c>
      <c r="E130" s="4" t="s">
        <v>2600</v>
      </c>
      <c r="F130" s="4"/>
      <c r="G130" s="4"/>
    </row>
    <row r="131" ht="16" customHeight="1" s="4" customFormat="1">
      <c r="A131" s="5">
        <v>46030</v>
      </c>
      <c r="B131" s="4" t="s">
        <v>831</v>
      </c>
      <c r="C131" s="4" t="s">
        <v>2317</v>
      </c>
      <c r="D131" s="4" t="s">
        <v>2601</v>
      </c>
      <c r="E131" s="4" t="s">
        <v>2602</v>
      </c>
      <c r="F131" s="4"/>
      <c r="G131" s="4"/>
    </row>
    <row r="132" ht="16" customHeight="1" s="4" customFormat="1">
      <c r="A132" s="5">
        <v>46030</v>
      </c>
      <c r="B132" s="4" t="s">
        <v>831</v>
      </c>
      <c r="C132" s="4" t="s">
        <v>2317</v>
      </c>
      <c r="D132" s="4" t="s">
        <v>2603</v>
      </c>
      <c r="E132" s="4" t="s">
        <v>2604</v>
      </c>
      <c r="F132" s="4"/>
      <c r="G132" s="4"/>
    </row>
    <row r="133" ht="16" customHeight="1" s="4" customFormat="1">
      <c r="A133" s="5">
        <v>46029</v>
      </c>
      <c r="B133" s="4" t="s">
        <v>831</v>
      </c>
      <c r="C133" s="4" t="s">
        <v>2317</v>
      </c>
      <c r="D133" s="4" t="s">
        <v>2605</v>
      </c>
      <c r="E133" s="4" t="s">
        <v>2606</v>
      </c>
      <c r="F133" s="4"/>
      <c r="G133" s="4"/>
    </row>
    <row r="134" ht="16" customHeight="1" s="4" customFormat="1">
      <c r="A134" s="5">
        <v>46029</v>
      </c>
      <c r="B134" s="4" t="s">
        <v>831</v>
      </c>
      <c r="C134" s="4" t="s">
        <v>2317</v>
      </c>
      <c r="D134" s="4" t="s">
        <v>2607</v>
      </c>
      <c r="E134" s="4" t="s">
        <v>2608</v>
      </c>
      <c r="F134" s="4"/>
      <c r="G134" s="4"/>
    </row>
    <row r="135" ht="16" customHeight="1" s="4" customFormat="1">
      <c r="A135" s="5">
        <v>46028</v>
      </c>
      <c r="B135" s="4" t="s">
        <v>831</v>
      </c>
      <c r="C135" s="4" t="s">
        <v>2317</v>
      </c>
      <c r="D135" s="4" t="s">
        <v>2609</v>
      </c>
      <c r="E135" s="4" t="s">
        <v>2610</v>
      </c>
      <c r="F135" s="4"/>
      <c r="G135" s="4"/>
    </row>
    <row r="136" ht="16" customHeight="1" s="4" customFormat="1">
      <c r="A136" s="5">
        <v>46026</v>
      </c>
      <c r="B136" s="4" t="s">
        <v>831</v>
      </c>
      <c r="C136" s="4" t="s">
        <v>2317</v>
      </c>
      <c r="D136" s="4" t="s">
        <v>2611</v>
      </c>
      <c r="E136" s="4" t="s">
        <v>2612</v>
      </c>
      <c r="F136" s="4"/>
      <c r="G136" s="4"/>
    </row>
    <row r="137" ht="16" customHeight="1" s="4" customFormat="1">
      <c r="A137" s="5">
        <v>46026</v>
      </c>
      <c r="B137" s="4" t="s">
        <v>1267</v>
      </c>
      <c r="C137" s="4" t="s">
        <v>2613</v>
      </c>
      <c r="D137" s="4" t="s">
        <v>2614</v>
      </c>
      <c r="E137" s="4" t="s">
        <v>2615</v>
      </c>
      <c r="F137" s="4"/>
      <c r="G137" s="4"/>
    </row>
    <row r="138" ht="16" customHeight="1" s="4" customFormat="1">
      <c r="A138" s="5">
        <v>46025</v>
      </c>
      <c r="B138" s="4" t="s">
        <v>2331</v>
      </c>
      <c r="C138" s="4" t="s">
        <v>2360</v>
      </c>
      <c r="D138" s="4" t="s">
        <v>2616</v>
      </c>
      <c r="E138" s="4" t="s">
        <v>2617</v>
      </c>
      <c r="F138" s="4"/>
      <c r="G138" s="4"/>
    </row>
    <row r="139" ht="16" customHeight="1" s="4" customFormat="1">
      <c r="A139" s="5">
        <v>46025</v>
      </c>
      <c r="B139" s="4" t="s">
        <v>2331</v>
      </c>
      <c r="C139" s="4" t="s">
        <v>2618</v>
      </c>
      <c r="D139" s="4" t="s">
        <v>2619</v>
      </c>
      <c r="E139" s="4" t="s">
        <v>2620</v>
      </c>
      <c r="F139" s="4"/>
      <c r="G139" s="4"/>
    </row>
    <row r="140" ht="16" customHeight="1" s="4" customFormat="1">
      <c r="A140" s="5">
        <v>46024</v>
      </c>
      <c r="B140" s="4" t="s">
        <v>831</v>
      </c>
      <c r="C140" s="4" t="s">
        <v>2523</v>
      </c>
      <c r="D140" s="4" t="s">
        <v>2524</v>
      </c>
      <c r="E140" s="4" t="s">
        <v>2621</v>
      </c>
      <c r="F140" s="4"/>
      <c r="G140" s="4"/>
    </row>
    <row r="141" ht="16" customHeight="1" s="4" customFormat="1">
      <c r="A141" s="5">
        <v>46022</v>
      </c>
      <c r="B141" s="4" t="s">
        <v>1267</v>
      </c>
      <c r="C141" s="4" t="s">
        <v>2449</v>
      </c>
      <c r="D141" s="4" t="s">
        <v>2622</v>
      </c>
      <c r="E141" s="4" t="s">
        <v>2623</v>
      </c>
      <c r="F141" s="4"/>
      <c r="G141" s="4"/>
    </row>
    <row r="142" ht="16" customHeight="1" s="4" customFormat="1">
      <c r="A142" s="5">
        <v>46022</v>
      </c>
      <c r="B142" s="4" t="s">
        <v>831</v>
      </c>
      <c r="C142" s="4" t="s">
        <v>2317</v>
      </c>
      <c r="D142" s="4" t="s">
        <v>2624</v>
      </c>
      <c r="E142" s="4" t="s">
        <v>2625</v>
      </c>
      <c r="F142" s="4"/>
      <c r="G142" s="4"/>
    </row>
    <row r="143" ht="16" customHeight="1" s="4" customFormat="1">
      <c r="A143" s="5">
        <v>46021</v>
      </c>
      <c r="B143" s="4" t="s">
        <v>831</v>
      </c>
      <c r="C143" s="4" t="s">
        <v>2317</v>
      </c>
      <c r="D143" s="4" t="s">
        <v>2626</v>
      </c>
      <c r="E143" s="4" t="s">
        <v>2627</v>
      </c>
      <c r="F143" s="4"/>
      <c r="G143" s="4"/>
    </row>
    <row r="144" ht="16" customHeight="1" s="4" customFormat="1">
      <c r="A144" s="5">
        <v>46021</v>
      </c>
      <c r="B144" s="4" t="s">
        <v>1267</v>
      </c>
      <c r="C144" s="4" t="s">
        <v>2449</v>
      </c>
      <c r="D144" s="4" t="s">
        <v>2628</v>
      </c>
      <c r="E144" s="4" t="s">
        <v>2629</v>
      </c>
      <c r="F144" s="4"/>
      <c r="G144" s="4"/>
    </row>
    <row r="145" ht="16" customHeight="1" s="4" customFormat="1">
      <c r="A145" s="5">
        <v>46020</v>
      </c>
      <c r="B145" s="4" t="s">
        <v>2331</v>
      </c>
      <c r="C145" s="4" t="s">
        <v>2514</v>
      </c>
      <c r="D145" s="4" t="s">
        <v>2630</v>
      </c>
      <c r="E145" s="4" t="s">
        <v>2631</v>
      </c>
      <c r="F145" s="4"/>
      <c r="G145" s="4"/>
    </row>
    <row r="146" ht="16" customHeight="1" s="4" customFormat="1">
      <c r="A146" s="5">
        <v>46019</v>
      </c>
      <c r="B146" s="4" t="s">
        <v>1267</v>
      </c>
      <c r="C146" s="4" t="s">
        <v>2449</v>
      </c>
      <c r="D146" s="4" t="s">
        <v>2632</v>
      </c>
      <c r="E146" s="4" t="s">
        <v>2633</v>
      </c>
      <c r="F146" s="4"/>
      <c r="G146" s="4"/>
    </row>
    <row r="147" ht="16" customHeight="1" s="4" customFormat="1">
      <c r="A147" s="5">
        <v>46017</v>
      </c>
      <c r="B147" s="4" t="s">
        <v>831</v>
      </c>
      <c r="C147" s="4" t="s">
        <v>2317</v>
      </c>
      <c r="D147" s="4" t="s">
        <v>2634</v>
      </c>
      <c r="E147" s="4" t="s">
        <v>2635</v>
      </c>
      <c r="F147" s="4"/>
      <c r="G147" s="4"/>
    </row>
    <row r="148" ht="16" customHeight="1" s="4" customFormat="1">
      <c r="A148" s="5">
        <v>46017</v>
      </c>
      <c r="B148" s="4" t="s">
        <v>2331</v>
      </c>
      <c r="C148" s="4" t="s">
        <v>2349</v>
      </c>
      <c r="D148" s="4" t="s">
        <v>2636</v>
      </c>
      <c r="E148" s="4" t="s">
        <v>2637</v>
      </c>
      <c r="F148" s="4"/>
      <c r="G148" s="4"/>
    </row>
    <row r="149" ht="16" customHeight="1" s="4" customFormat="1">
      <c r="A149" s="5">
        <v>46017</v>
      </c>
      <c r="B149" s="4" t="s">
        <v>2331</v>
      </c>
      <c r="C149" s="4" t="s">
        <v>2497</v>
      </c>
      <c r="D149" s="4" t="s">
        <v>2638</v>
      </c>
      <c r="E149" s="4" t="s">
        <v>2639</v>
      </c>
      <c r="F149" s="4"/>
      <c r="G149" s="4"/>
    </row>
    <row r="150" ht="16" customHeight="1" s="4" customFormat="1">
      <c r="A150" s="5">
        <v>46014</v>
      </c>
      <c r="B150" s="4" t="s">
        <v>831</v>
      </c>
      <c r="C150" s="4" t="s">
        <v>2317</v>
      </c>
      <c r="D150" s="4" t="s">
        <v>2640</v>
      </c>
      <c r="E150" s="4" t="s">
        <v>2641</v>
      </c>
      <c r="F150" s="4"/>
      <c r="G150" s="4"/>
    </row>
    <row r="151" ht="16" customHeight="1" s="4" customFormat="1">
      <c r="A151" s="5">
        <v>46013</v>
      </c>
      <c r="B151" s="4" t="s">
        <v>831</v>
      </c>
      <c r="C151" s="4" t="s">
        <v>2317</v>
      </c>
      <c r="D151" s="4" t="s">
        <v>2642</v>
      </c>
      <c r="E151" s="4" t="s">
        <v>2643</v>
      </c>
      <c r="F151" s="4"/>
      <c r="G151" s="4"/>
    </row>
    <row r="152" ht="16" customHeight="1" s="4" customFormat="1">
      <c r="A152" s="5">
        <v>46010</v>
      </c>
      <c r="B152" s="4" t="s">
        <v>831</v>
      </c>
      <c r="C152" s="4" t="s">
        <v>2317</v>
      </c>
      <c r="D152" s="4" t="s">
        <v>2644</v>
      </c>
      <c r="E152" s="4" t="s">
        <v>2645</v>
      </c>
      <c r="F152" s="4"/>
      <c r="G152" s="4"/>
    </row>
    <row r="153" ht="16" customHeight="1" s="4" customFormat="1">
      <c r="A153" s="5">
        <v>46009</v>
      </c>
      <c r="B153" s="4" t="s">
        <v>831</v>
      </c>
      <c r="C153" s="4" t="s">
        <v>2317</v>
      </c>
      <c r="D153" s="4" t="s">
        <v>2646</v>
      </c>
      <c r="E153" s="4" t="s">
        <v>2647</v>
      </c>
      <c r="F153" s="4"/>
      <c r="G153" s="4"/>
    </row>
    <row r="154" ht="16" customHeight="1" s="4" customFormat="1">
      <c r="A154" s="5">
        <v>46009</v>
      </c>
      <c r="B154" s="4" t="s">
        <v>831</v>
      </c>
      <c r="C154" s="4" t="s">
        <v>2317</v>
      </c>
      <c r="D154" s="4" t="s">
        <v>2648</v>
      </c>
      <c r="E154" s="4" t="s">
        <v>2649</v>
      </c>
      <c r="F154" s="4"/>
      <c r="G154" s="4"/>
    </row>
    <row r="155" ht="16" customHeight="1" s="4" customFormat="1">
      <c r="A155" s="5">
        <v>46008</v>
      </c>
      <c r="B155" s="4" t="s">
        <v>1267</v>
      </c>
      <c r="C155" s="4" t="s">
        <v>2449</v>
      </c>
      <c r="D155" s="4" t="s">
        <v>2650</v>
      </c>
      <c r="E155" s="4" t="s">
        <v>2651</v>
      </c>
      <c r="F155" s="4"/>
      <c r="G155" s="4"/>
    </row>
    <row r="156" ht="16" customHeight="1" s="4" customFormat="1">
      <c r="A156" s="5">
        <v>46008</v>
      </c>
      <c r="B156" s="4" t="s">
        <v>831</v>
      </c>
      <c r="C156" s="4" t="s">
        <v>2317</v>
      </c>
      <c r="D156" s="4" t="s">
        <v>2652</v>
      </c>
      <c r="E156" s="4" t="s">
        <v>2653</v>
      </c>
      <c r="F156" s="4"/>
      <c r="G156" s="4"/>
    </row>
    <row r="157" ht="16" customHeight="1" s="4" customFormat="1">
      <c r="A157" s="5">
        <v>46007</v>
      </c>
      <c r="B157" s="4" t="s">
        <v>2331</v>
      </c>
      <c r="C157" s="4" t="s">
        <v>2490</v>
      </c>
      <c r="D157" s="4" t="s">
        <v>2654</v>
      </c>
      <c r="E157" s="4" t="s">
        <v>2655</v>
      </c>
      <c r="F157" s="4"/>
      <c r="G157" s="4"/>
    </row>
    <row r="158" ht="16" customHeight="1" s="4" customFormat="1">
      <c r="A158" s="5">
        <v>46007</v>
      </c>
      <c r="B158" s="4" t="s">
        <v>2331</v>
      </c>
      <c r="C158" s="4" t="s">
        <v>2344</v>
      </c>
      <c r="D158" s="4" t="s">
        <v>2656</v>
      </c>
      <c r="E158" s="4" t="s">
        <v>2657</v>
      </c>
      <c r="F158" s="4"/>
      <c r="G158" s="4"/>
    </row>
    <row r="159" ht="16" customHeight="1" s="4" customFormat="1">
      <c r="A159" s="5">
        <v>46006</v>
      </c>
      <c r="B159" s="4" t="s">
        <v>831</v>
      </c>
      <c r="C159" s="4" t="s">
        <v>2658</v>
      </c>
      <c r="D159" s="4" t="s">
        <v>2659</v>
      </c>
      <c r="E159" s="4" t="s">
        <v>2660</v>
      </c>
      <c r="F159" s="4"/>
      <c r="G159" s="4"/>
    </row>
    <row r="160" ht="16" customHeight="1" s="4" customFormat="1">
      <c r="A160" s="5">
        <v>46005</v>
      </c>
      <c r="B160" s="4" t="s">
        <v>831</v>
      </c>
      <c r="C160" s="4" t="s">
        <v>2317</v>
      </c>
      <c r="D160" s="4" t="s">
        <v>2661</v>
      </c>
      <c r="E160" s="4" t="s">
        <v>2662</v>
      </c>
      <c r="F160" s="4"/>
      <c r="G160" s="4"/>
    </row>
    <row r="161" ht="16" customHeight="1" s="4" customFormat="1">
      <c r="A161" s="5">
        <v>46003</v>
      </c>
      <c r="B161" s="4" t="s">
        <v>831</v>
      </c>
      <c r="C161" s="4" t="s">
        <v>2317</v>
      </c>
      <c r="D161" s="4" t="s">
        <v>2663</v>
      </c>
      <c r="E161" s="4" t="s">
        <v>2664</v>
      </c>
      <c r="F161" s="4"/>
      <c r="G161" s="4"/>
    </row>
    <row r="162" ht="16" customHeight="1" s="4" customFormat="1">
      <c r="A162" s="5">
        <v>46003</v>
      </c>
      <c r="B162" s="4" t="s">
        <v>2331</v>
      </c>
      <c r="C162" s="4" t="s">
        <v>2514</v>
      </c>
      <c r="D162" s="4" t="s">
        <v>2665</v>
      </c>
      <c r="E162" s="4" t="s">
        <v>2666</v>
      </c>
      <c r="F162" s="4"/>
      <c r="G162" s="4"/>
    </row>
    <row r="163" ht="16" customHeight="1" s="4" customFormat="1">
      <c r="A163" s="5">
        <v>46001</v>
      </c>
      <c r="B163" s="4" t="s">
        <v>2331</v>
      </c>
      <c r="C163" s="4" t="s">
        <v>2452</v>
      </c>
      <c r="D163" s="4" t="s">
        <v>2667</v>
      </c>
      <c r="E163" s="4" t="s">
        <v>2668</v>
      </c>
      <c r="F163" s="4"/>
      <c r="G163" s="4"/>
    </row>
    <row r="164" ht="16" customHeight="1" s="4" customFormat="1">
      <c r="A164" s="5">
        <v>45999</v>
      </c>
      <c r="B164" s="4" t="s">
        <v>831</v>
      </c>
      <c r="C164" s="4" t="s">
        <v>2317</v>
      </c>
      <c r="D164" s="4" t="s">
        <v>2669</v>
      </c>
      <c r="E164" s="4" t="s">
        <v>2670</v>
      </c>
      <c r="F164" s="4"/>
      <c r="G164" s="4"/>
    </row>
    <row r="165" ht="16" customHeight="1" s="4" customFormat="1">
      <c r="A165" s="5">
        <v>45999</v>
      </c>
      <c r="B165" s="4" t="s">
        <v>831</v>
      </c>
      <c r="C165" s="4" t="s">
        <v>2317</v>
      </c>
      <c r="D165" s="4" t="s">
        <v>2671</v>
      </c>
      <c r="E165" s="4" t="s">
        <v>2672</v>
      </c>
      <c r="F165" s="4"/>
      <c r="G165" s="4"/>
    </row>
    <row r="166" ht="16" customHeight="1" s="4" customFormat="1">
      <c r="A166" s="5">
        <v>45995</v>
      </c>
      <c r="B166" s="4" t="s">
        <v>831</v>
      </c>
      <c r="C166" s="4" t="s">
        <v>2317</v>
      </c>
      <c r="D166" s="4" t="s">
        <v>2673</v>
      </c>
      <c r="E166" s="4" t="s">
        <v>2674</v>
      </c>
      <c r="F166" s="4"/>
      <c r="G166" s="4"/>
    </row>
    <row r="167" ht="16" customHeight="1" s="4" customFormat="1">
      <c r="A167" s="5">
        <v>45995</v>
      </c>
      <c r="B167" s="4" t="s">
        <v>2331</v>
      </c>
      <c r="C167" s="4" t="s">
        <v>2344</v>
      </c>
      <c r="D167" s="4" t="s">
        <v>2675</v>
      </c>
      <c r="E167" s="4" t="s">
        <v>2676</v>
      </c>
      <c r="F167" s="4"/>
      <c r="G167" s="4"/>
    </row>
    <row r="168" ht="16" customHeight="1" s="4" customFormat="1">
      <c r="A168" s="5">
        <v>45994</v>
      </c>
      <c r="B168" s="4" t="s">
        <v>2331</v>
      </c>
      <c r="C168" s="4" t="s">
        <v>2349</v>
      </c>
      <c r="D168" s="4" t="s">
        <v>2677</v>
      </c>
      <c r="E168" s="4" t="s">
        <v>2678</v>
      </c>
      <c r="F168" s="4"/>
      <c r="G168" s="4"/>
    </row>
    <row r="169" ht="16" customHeight="1" s="4" customFormat="1">
      <c r="A169" s="5">
        <v>45993</v>
      </c>
      <c r="B169" s="4" t="s">
        <v>831</v>
      </c>
      <c r="C169" s="4" t="s">
        <v>2317</v>
      </c>
      <c r="D169" s="4" t="s">
        <v>2679</v>
      </c>
      <c r="E169" s="4" t="s">
        <v>2680</v>
      </c>
      <c r="F169" s="4"/>
      <c r="G169" s="4"/>
    </row>
    <row r="170" ht="16" customHeight="1" s="4" customFormat="1">
      <c r="A170" s="5">
        <v>45992</v>
      </c>
      <c r="B170" s="4" t="s">
        <v>831</v>
      </c>
      <c r="C170" s="4" t="s">
        <v>2317</v>
      </c>
      <c r="D170" s="4" t="s">
        <v>2681</v>
      </c>
      <c r="E170" s="4" t="s">
        <v>2682</v>
      </c>
      <c r="F170" s="4"/>
      <c r="G170" s="4"/>
    </row>
    <row r="171" ht="16" customHeight="1" s="4" customFormat="1">
      <c r="A171" s="5">
        <v>45987</v>
      </c>
      <c r="B171" s="4" t="s">
        <v>831</v>
      </c>
      <c r="C171" s="4" t="s">
        <v>2317</v>
      </c>
      <c r="D171" s="4" t="s">
        <v>2683</v>
      </c>
      <c r="E171" s="4" t="s">
        <v>2684</v>
      </c>
      <c r="F171" s="4"/>
      <c r="G171" s="4"/>
    </row>
    <row r="172" ht="16" customHeight="1" s="4" customFormat="1">
      <c r="A172" s="5">
        <v>45987</v>
      </c>
      <c r="B172" s="4" t="s">
        <v>831</v>
      </c>
      <c r="C172" s="4" t="s">
        <v>2558</v>
      </c>
      <c r="D172" s="4" t="s">
        <v>2685</v>
      </c>
      <c r="E172" s="4" t="s">
        <v>2686</v>
      </c>
      <c r="F172" s="4"/>
      <c r="G172" s="4"/>
    </row>
    <row r="173" ht="16" customHeight="1" s="4" customFormat="1">
      <c r="A173" s="5">
        <v>45986</v>
      </c>
      <c r="B173" s="4" t="s">
        <v>831</v>
      </c>
      <c r="C173" s="4" t="s">
        <v>2317</v>
      </c>
      <c r="D173" s="4" t="s">
        <v>2687</v>
      </c>
      <c r="E173" s="4" t="s">
        <v>2688</v>
      </c>
      <c r="F173" s="4"/>
      <c r="G173" s="4"/>
    </row>
    <row r="174" ht="16" customHeight="1" s="4" customFormat="1">
      <c r="A174" s="5">
        <v>45981</v>
      </c>
      <c r="B174" s="4" t="s">
        <v>831</v>
      </c>
      <c r="C174" s="4" t="s">
        <v>2317</v>
      </c>
      <c r="D174" s="4" t="s">
        <v>2689</v>
      </c>
      <c r="E174" s="4" t="s">
        <v>2690</v>
      </c>
      <c r="F174" s="4"/>
      <c r="G174" s="4"/>
    </row>
    <row r="175" ht="16" customHeight="1" s="4" customFormat="1">
      <c r="A175" s="5">
        <v>45981</v>
      </c>
      <c r="B175" s="4" t="s">
        <v>831</v>
      </c>
      <c r="C175" s="4" t="s">
        <v>2317</v>
      </c>
      <c r="D175" s="4" t="s">
        <v>2691</v>
      </c>
      <c r="E175" s="4" t="s">
        <v>2692</v>
      </c>
      <c r="F175" s="4"/>
      <c r="G175" s="4"/>
    </row>
    <row r="176" ht="16" customHeight="1" s="4" customFormat="1">
      <c r="A176" s="5">
        <v>45980</v>
      </c>
      <c r="B176" s="4" t="s">
        <v>831</v>
      </c>
      <c r="C176" s="4" t="s">
        <v>2317</v>
      </c>
      <c r="D176" s="4" t="s">
        <v>2693</v>
      </c>
      <c r="E176" s="4" t="s">
        <v>2694</v>
      </c>
      <c r="F176" s="4"/>
      <c r="G176" s="4"/>
    </row>
    <row r="177" ht="16" customHeight="1" s="4" customFormat="1">
      <c r="A177" s="5">
        <v>45980</v>
      </c>
      <c r="B177" s="4" t="s">
        <v>831</v>
      </c>
      <c r="C177" s="4" t="s">
        <v>2317</v>
      </c>
      <c r="D177" s="4" t="s">
        <v>2695</v>
      </c>
      <c r="E177" s="4" t="s">
        <v>2696</v>
      </c>
      <c r="F177" s="4"/>
      <c r="G177" s="4"/>
    </row>
    <row r="178" ht="16" customHeight="1" s="4" customFormat="1">
      <c r="A178" s="5">
        <v>45980</v>
      </c>
      <c r="B178" s="4" t="s">
        <v>2331</v>
      </c>
      <c r="C178" s="4" t="s">
        <v>2332</v>
      </c>
      <c r="D178" s="4" t="s">
        <v>2697</v>
      </c>
      <c r="E178" s="4" t="s">
        <v>2698</v>
      </c>
      <c r="F178" s="4"/>
      <c r="G178" s="4"/>
    </row>
    <row r="179" ht="16" customHeight="1" s="4" customFormat="1">
      <c r="A179" s="5">
        <v>45978</v>
      </c>
      <c r="B179" s="4" t="s">
        <v>2331</v>
      </c>
      <c r="C179" s="4" t="s">
        <v>2618</v>
      </c>
      <c r="D179" s="4" t="s">
        <v>2699</v>
      </c>
      <c r="E179" s="4" t="s">
        <v>2700</v>
      </c>
      <c r="F179" s="4"/>
      <c r="G179" s="4"/>
    </row>
    <row r="180" ht="16" customHeight="1" s="4" customFormat="1">
      <c r="A180" s="5">
        <v>45975</v>
      </c>
      <c r="B180" s="4" t="s">
        <v>831</v>
      </c>
      <c r="C180" s="4" t="s">
        <v>2701</v>
      </c>
      <c r="D180" s="4" t="s">
        <v>2702</v>
      </c>
      <c r="E180" s="4" t="s">
        <v>2703</v>
      </c>
      <c r="F180" s="4"/>
      <c r="G180" s="4"/>
    </row>
    <row r="181" ht="16" customHeight="1" s="4" customFormat="1">
      <c r="A181" s="5">
        <v>45974</v>
      </c>
      <c r="B181" s="4" t="s">
        <v>2331</v>
      </c>
      <c r="C181" s="4" t="s">
        <v>2344</v>
      </c>
      <c r="D181" s="4" t="s">
        <v>2704</v>
      </c>
      <c r="E181" s="4" t="s">
        <v>2705</v>
      </c>
      <c r="F181" s="4"/>
      <c r="G181" s="4"/>
    </row>
    <row r="182" ht="16" customHeight="1" s="4" customFormat="1">
      <c r="A182" s="5">
        <v>45973</v>
      </c>
      <c r="B182" s="4" t="s">
        <v>831</v>
      </c>
      <c r="C182" s="4" t="s">
        <v>2317</v>
      </c>
      <c r="D182" s="4" t="s">
        <v>2706</v>
      </c>
      <c r="E182" s="4" t="s">
        <v>2707</v>
      </c>
      <c r="F182" s="4"/>
      <c r="G182" s="4"/>
    </row>
    <row r="183" ht="16" customHeight="1" s="4" customFormat="1">
      <c r="A183" s="5">
        <v>45971</v>
      </c>
      <c r="B183" s="4" t="s">
        <v>1267</v>
      </c>
      <c r="C183" s="4" t="s">
        <v>2449</v>
      </c>
      <c r="D183" s="4" t="s">
        <v>2708</v>
      </c>
      <c r="E183" s="4" t="s">
        <v>2709</v>
      </c>
      <c r="F183" s="4"/>
      <c r="G183" s="4"/>
    </row>
    <row r="184" ht="16" customHeight="1" s="4" customFormat="1">
      <c r="A184" s="5">
        <v>45971</v>
      </c>
      <c r="B184" s="4" t="s">
        <v>831</v>
      </c>
      <c r="C184" s="4" t="s">
        <v>2317</v>
      </c>
      <c r="D184" s="4" t="s">
        <v>2710</v>
      </c>
      <c r="E184" s="4" t="s">
        <v>2711</v>
      </c>
      <c r="F184" s="4"/>
      <c r="G184" s="4"/>
    </row>
    <row r="185" ht="16" customHeight="1" s="4" customFormat="1">
      <c r="A185" s="5">
        <v>45970</v>
      </c>
      <c r="B185" s="4" t="s">
        <v>831</v>
      </c>
      <c r="C185" s="4" t="s">
        <v>2317</v>
      </c>
      <c r="D185" s="4" t="s">
        <v>2712</v>
      </c>
      <c r="E185" s="4" t="s">
        <v>2713</v>
      </c>
      <c r="F185" s="4"/>
      <c r="G185" s="4"/>
    </row>
    <row r="186" ht="16" customHeight="1" s="4" customFormat="1">
      <c r="A186" s="5">
        <v>45968</v>
      </c>
      <c r="B186" s="4" t="s">
        <v>831</v>
      </c>
      <c r="C186" s="4" t="s">
        <v>2317</v>
      </c>
      <c r="D186" s="4" t="s">
        <v>2714</v>
      </c>
      <c r="E186" s="4" t="s">
        <v>2715</v>
      </c>
      <c r="F186" s="4"/>
      <c r="G186" s="4"/>
    </row>
    <row r="187" ht="16" customHeight="1" s="4" customFormat="1">
      <c r="A187" s="5">
        <v>45968</v>
      </c>
      <c r="B187" s="4" t="s">
        <v>2331</v>
      </c>
      <c r="C187" s="4" t="s">
        <v>2618</v>
      </c>
      <c r="D187" s="4" t="s">
        <v>2716</v>
      </c>
      <c r="E187" s="4" t="s">
        <v>2717</v>
      </c>
      <c r="F187" s="4"/>
      <c r="G187" s="4"/>
    </row>
    <row r="188" ht="16" customHeight="1" s="4" customFormat="1">
      <c r="A188" s="5">
        <v>45967</v>
      </c>
      <c r="B188" s="4" t="s">
        <v>2331</v>
      </c>
      <c r="C188" s="4" t="s">
        <v>2514</v>
      </c>
      <c r="D188" s="4" t="s">
        <v>2718</v>
      </c>
      <c r="E188" s="4" t="s">
        <v>2719</v>
      </c>
      <c r="F188" s="4"/>
      <c r="G188" s="4"/>
    </row>
    <row r="189" ht="16" customHeight="1" s="4" customFormat="1">
      <c r="A189" s="5">
        <v>45964</v>
      </c>
      <c r="B189" s="4" t="s">
        <v>831</v>
      </c>
      <c r="C189" s="4" t="s">
        <v>2317</v>
      </c>
      <c r="D189" s="4" t="s">
        <v>2720</v>
      </c>
      <c r="E189" s="4" t="s">
        <v>2721</v>
      </c>
      <c r="F189" s="4"/>
      <c r="G189" s="4"/>
    </row>
    <row r="190" ht="16" customHeight="1" s="4" customFormat="1">
      <c r="A190" s="5">
        <v>45963</v>
      </c>
      <c r="B190" s="4" t="s">
        <v>831</v>
      </c>
      <c r="C190" s="4" t="s">
        <v>2317</v>
      </c>
      <c r="D190" s="4" t="s">
        <v>2722</v>
      </c>
      <c r="E190" s="4" t="s">
        <v>2723</v>
      </c>
      <c r="F190" s="4"/>
      <c r="G190" s="4"/>
    </row>
    <row r="191" ht="16" customHeight="1" s="4" customFormat="1">
      <c r="A191" s="5">
        <v>45961</v>
      </c>
      <c r="B191" s="4" t="s">
        <v>831</v>
      </c>
      <c r="C191" s="4" t="s">
        <v>2317</v>
      </c>
      <c r="D191" s="4" t="s">
        <v>2724</v>
      </c>
      <c r="E191" s="4" t="s">
        <v>2725</v>
      </c>
      <c r="F191" s="4"/>
      <c r="G191" s="4"/>
    </row>
    <row r="192" ht="16" customHeight="1" s="4" customFormat="1">
      <c r="A192" s="5">
        <v>45961</v>
      </c>
      <c r="B192" s="4" t="s">
        <v>831</v>
      </c>
      <c r="C192" s="4" t="s">
        <v>2558</v>
      </c>
      <c r="D192" s="4" t="s">
        <v>2726</v>
      </c>
      <c r="E192" s="4" t="s">
        <v>2727</v>
      </c>
      <c r="F192" s="4"/>
      <c r="G192" s="4"/>
    </row>
    <row r="193" ht="16" customHeight="1" s="4" customFormat="1">
      <c r="A193" s="5">
        <v>45960</v>
      </c>
      <c r="B193" s="4" t="s">
        <v>831</v>
      </c>
      <c r="C193" s="4" t="s">
        <v>2317</v>
      </c>
      <c r="D193" s="4" t="s">
        <v>2728</v>
      </c>
      <c r="E193" s="4" t="s">
        <v>2729</v>
      </c>
      <c r="F193" s="4"/>
      <c r="G193" s="4"/>
    </row>
    <row r="194" ht="16" customHeight="1" s="4" customFormat="1">
      <c r="A194" s="5">
        <v>45959</v>
      </c>
      <c r="B194" s="4" t="s">
        <v>1267</v>
      </c>
      <c r="C194" s="4" t="s">
        <v>2449</v>
      </c>
      <c r="D194" s="4" t="s">
        <v>2730</v>
      </c>
      <c r="E194" s="4" t="s">
        <v>2731</v>
      </c>
      <c r="F194" s="4"/>
      <c r="G194" s="4"/>
    </row>
    <row r="195" ht="16" customHeight="1" s="4" customFormat="1">
      <c r="A195" s="5">
        <v>45958</v>
      </c>
      <c r="B195" s="4" t="s">
        <v>831</v>
      </c>
      <c r="C195" s="4" t="s">
        <v>2317</v>
      </c>
      <c r="D195" s="4" t="s">
        <v>2732</v>
      </c>
      <c r="E195" s="4" t="s">
        <v>2733</v>
      </c>
      <c r="F195" s="4"/>
      <c r="G195" s="4"/>
    </row>
    <row r="196" ht="16" customHeight="1" s="4" customFormat="1">
      <c r="A196" s="5">
        <v>45954</v>
      </c>
      <c r="B196" s="4" t="s">
        <v>2331</v>
      </c>
      <c r="C196" s="4" t="s">
        <v>2452</v>
      </c>
      <c r="D196" s="4" t="s">
        <v>2734</v>
      </c>
      <c r="E196" s="4" t="s">
        <v>2735</v>
      </c>
      <c r="F196" s="4"/>
      <c r="G196" s="4"/>
    </row>
    <row r="197" ht="16" customHeight="1" s="4" customFormat="1">
      <c r="A197" s="5">
        <v>45954</v>
      </c>
      <c r="B197" s="4" t="s">
        <v>831</v>
      </c>
      <c r="C197" s="4" t="s">
        <v>2528</v>
      </c>
      <c r="D197" s="4" t="s">
        <v>2529</v>
      </c>
      <c r="E197" s="4" t="s">
        <v>2736</v>
      </c>
      <c r="F197" s="4"/>
      <c r="G197" s="4"/>
    </row>
    <row r="198" ht="16" customHeight="1" s="4" customFormat="1">
      <c r="A198" s="5">
        <v>45954</v>
      </c>
      <c r="B198" s="4" t="s">
        <v>2331</v>
      </c>
      <c r="C198" s="4" t="s">
        <v>2344</v>
      </c>
      <c r="D198" s="4" t="s">
        <v>2737</v>
      </c>
      <c r="E198" s="4" t="s">
        <v>2738</v>
      </c>
      <c r="F198" s="4"/>
      <c r="G198" s="4"/>
    </row>
    <row r="199" ht="16" customHeight="1" s="4" customFormat="1">
      <c r="A199" s="5">
        <v>45953</v>
      </c>
      <c r="B199" s="4" t="s">
        <v>831</v>
      </c>
      <c r="C199" s="4" t="s">
        <v>2317</v>
      </c>
      <c r="D199" s="4" t="s">
        <v>2739</v>
      </c>
      <c r="E199" s="4" t="s">
        <v>2740</v>
      </c>
      <c r="F199" s="4"/>
      <c r="G199" s="4"/>
    </row>
    <row r="200" ht="16" customHeight="1" s="4" customFormat="1">
      <c r="A200" s="5">
        <v>45948</v>
      </c>
      <c r="B200" s="4" t="s">
        <v>831</v>
      </c>
      <c r="C200" s="4" t="s">
        <v>2317</v>
      </c>
      <c r="D200" s="4" t="s">
        <v>2741</v>
      </c>
      <c r="E200" s="4" t="s">
        <v>2742</v>
      </c>
      <c r="F200" s="4"/>
      <c r="G200" s="4"/>
    </row>
    <row r="201" ht="16" customHeight="1" s="4" customFormat="1">
      <c r="A201" s="5">
        <v>45946</v>
      </c>
      <c r="B201" s="4" t="s">
        <v>831</v>
      </c>
      <c r="C201" s="4" t="s">
        <v>2743</v>
      </c>
      <c r="D201" s="4" t="s">
        <v>2744</v>
      </c>
      <c r="E201" s="4"/>
      <c r="F201" s="4"/>
      <c r="G201" s="4"/>
    </row>
    <row r="202" ht="16" customHeight="1" s="4" customFormat="1">
      <c r="A202" s="5">
        <v>45944</v>
      </c>
      <c r="B202" s="4" t="s">
        <v>2331</v>
      </c>
      <c r="C202" s="4" t="s">
        <v>2497</v>
      </c>
      <c r="D202" s="4" t="s">
        <v>2745</v>
      </c>
      <c r="E202" s="4" t="s">
        <v>2746</v>
      </c>
      <c r="F202" s="4"/>
      <c r="G202" s="4"/>
    </row>
    <row r="203" ht="16" customHeight="1" s="4" customFormat="1">
      <c r="A203" s="5">
        <v>45943</v>
      </c>
      <c r="B203" s="4" t="s">
        <v>831</v>
      </c>
      <c r="C203" s="4" t="s">
        <v>2317</v>
      </c>
      <c r="D203" s="4" t="s">
        <v>2747</v>
      </c>
      <c r="E203" s="4" t="s">
        <v>2748</v>
      </c>
      <c r="F203" s="4"/>
      <c r="G203" s="4"/>
    </row>
    <row r="204" ht="16" customHeight="1" s="4" customFormat="1">
      <c r="A204" s="5">
        <v>45939</v>
      </c>
      <c r="B204" s="4" t="s">
        <v>831</v>
      </c>
      <c r="C204" s="4" t="s">
        <v>2317</v>
      </c>
      <c r="D204" s="4" t="s">
        <v>2749</v>
      </c>
      <c r="E204" s="4" t="s">
        <v>2750</v>
      </c>
      <c r="F204" s="4"/>
      <c r="G204" s="4"/>
    </row>
    <row r="205" ht="16" customHeight="1" s="4" customFormat="1">
      <c r="A205" s="5">
        <v>45939</v>
      </c>
      <c r="B205" s="4" t="s">
        <v>2331</v>
      </c>
      <c r="C205" s="4" t="s">
        <v>2751</v>
      </c>
      <c r="D205" s="4" t="s">
        <v>2752</v>
      </c>
      <c r="E205" s="4" t="s">
        <v>2753</v>
      </c>
      <c r="F205" s="4"/>
      <c r="G205" s="4"/>
    </row>
    <row r="206" ht="16" customHeight="1" s="4" customFormat="1">
      <c r="A206" s="5">
        <v>45938</v>
      </c>
      <c r="B206" s="4" t="s">
        <v>831</v>
      </c>
      <c r="C206" s="4" t="s">
        <v>2317</v>
      </c>
      <c r="D206" s="4" t="s">
        <v>2754</v>
      </c>
      <c r="E206" s="4" t="s">
        <v>2755</v>
      </c>
      <c r="F206" s="4"/>
      <c r="G206" s="4"/>
    </row>
    <row r="207" ht="16" customHeight="1" s="4" customFormat="1">
      <c r="A207" s="5">
        <v>45938</v>
      </c>
      <c r="B207" s="4" t="s">
        <v>831</v>
      </c>
      <c r="C207" s="4" t="s">
        <v>2701</v>
      </c>
      <c r="D207" s="4" t="s">
        <v>2756</v>
      </c>
      <c r="E207" s="4" t="s">
        <v>2757</v>
      </c>
      <c r="F207" s="4"/>
      <c r="G207" s="4"/>
    </row>
    <row r="208" ht="16" customHeight="1" s="4" customFormat="1">
      <c r="A208" s="5">
        <v>45935</v>
      </c>
      <c r="B208" s="4" t="s">
        <v>831</v>
      </c>
      <c r="C208" s="4" t="s">
        <v>2317</v>
      </c>
      <c r="D208" s="4" t="s">
        <v>2758</v>
      </c>
      <c r="E208" s="4" t="s">
        <v>2759</v>
      </c>
      <c r="F208" s="4"/>
      <c r="G208" s="4"/>
    </row>
    <row r="209" ht="16" customHeight="1" s="4" customFormat="1">
      <c r="A209" s="5">
        <v>45935</v>
      </c>
      <c r="B209" s="4" t="s">
        <v>2331</v>
      </c>
      <c r="C209" s="4" t="s">
        <v>2452</v>
      </c>
      <c r="D209" s="4" t="s">
        <v>2760</v>
      </c>
      <c r="E209" s="4" t="s">
        <v>2761</v>
      </c>
      <c r="F209" s="4"/>
      <c r="G209" s="4"/>
    </row>
    <row r="210" ht="16" customHeight="1" s="4" customFormat="1">
      <c r="A210" s="5">
        <v>45932</v>
      </c>
      <c r="B210" s="4" t="s">
        <v>831</v>
      </c>
      <c r="C210" s="4" t="s">
        <v>2317</v>
      </c>
      <c r="D210" s="4" t="s">
        <v>2762</v>
      </c>
      <c r="E210" s="4" t="s">
        <v>2763</v>
      </c>
      <c r="F210" s="4"/>
      <c r="G210" s="4"/>
    </row>
    <row r="211" ht="16" customHeight="1" s="4" customFormat="1">
      <c r="A211" s="5">
        <v>45930</v>
      </c>
      <c r="B211" s="4" t="s">
        <v>831</v>
      </c>
      <c r="C211" s="4" t="s">
        <v>2317</v>
      </c>
      <c r="D211" s="4" t="s">
        <v>2764</v>
      </c>
      <c r="E211" s="4" t="s">
        <v>2765</v>
      </c>
      <c r="F211" s="4"/>
      <c r="G211" s="4"/>
    </row>
    <row r="212" ht="16" customHeight="1" s="4" customFormat="1">
      <c r="A212" s="5">
        <v>45930</v>
      </c>
      <c r="B212" s="4" t="s">
        <v>831</v>
      </c>
      <c r="C212" s="4" t="s">
        <v>2317</v>
      </c>
      <c r="D212" s="4" t="s">
        <v>2766</v>
      </c>
      <c r="E212" s="4" t="s">
        <v>2767</v>
      </c>
      <c r="F212" s="4"/>
      <c r="G212" s="4"/>
    </row>
    <row r="213" ht="16" customHeight="1" s="4" customFormat="1">
      <c r="A213" s="5">
        <v>45930</v>
      </c>
      <c r="B213" s="4" t="s">
        <v>831</v>
      </c>
      <c r="C213" s="4" t="s">
        <v>2317</v>
      </c>
      <c r="D213" s="4" t="s">
        <v>2768</v>
      </c>
      <c r="E213" s="4" t="s">
        <v>2769</v>
      </c>
      <c r="F213" s="4"/>
      <c r="G213" s="4"/>
    </row>
    <row r="214" ht="16" customHeight="1" s="4" customFormat="1">
      <c r="A214" s="5">
        <v>45930</v>
      </c>
      <c r="B214" s="4" t="s">
        <v>831</v>
      </c>
      <c r="C214" s="4" t="s">
        <v>2317</v>
      </c>
      <c r="D214" s="4" t="s">
        <v>2770</v>
      </c>
      <c r="E214" s="4" t="s">
        <v>2771</v>
      </c>
      <c r="F214" s="4"/>
      <c r="G214" s="4"/>
    </row>
    <row r="215" ht="16" customHeight="1" s="4" customFormat="1">
      <c r="A215" s="5">
        <v>45929</v>
      </c>
      <c r="B215" s="4" t="s">
        <v>831</v>
      </c>
      <c r="C215" s="4" t="s">
        <v>2317</v>
      </c>
      <c r="D215" s="4" t="s">
        <v>2772</v>
      </c>
      <c r="E215" s="4" t="s">
        <v>2773</v>
      </c>
      <c r="F215" s="4"/>
      <c r="G215" s="4"/>
    </row>
    <row r="216" ht="16" customHeight="1" s="4" customFormat="1">
      <c r="A216" s="5">
        <v>45929</v>
      </c>
      <c r="B216" s="4" t="s">
        <v>831</v>
      </c>
      <c r="C216" s="4" t="s">
        <v>2317</v>
      </c>
      <c r="D216" s="4" t="s">
        <v>2774</v>
      </c>
      <c r="E216" s="4" t="s">
        <v>2775</v>
      </c>
      <c r="F216" s="4"/>
      <c r="G216" s="4"/>
    </row>
    <row r="217" ht="16" customHeight="1" s="4" customFormat="1">
      <c r="A217" s="5">
        <v>45926</v>
      </c>
      <c r="B217" s="4" t="s">
        <v>831</v>
      </c>
      <c r="C217" s="4" t="s">
        <v>2317</v>
      </c>
      <c r="D217" s="4" t="s">
        <v>2776</v>
      </c>
      <c r="E217" s="4" t="s">
        <v>2777</v>
      </c>
      <c r="F217" s="4"/>
      <c r="G217" s="4"/>
    </row>
    <row r="218" ht="16" customHeight="1" s="4" customFormat="1">
      <c r="A218" s="5">
        <v>45926</v>
      </c>
      <c r="B218" s="4" t="s">
        <v>831</v>
      </c>
      <c r="C218" s="4" t="s">
        <v>2778</v>
      </c>
      <c r="D218" s="4" t="s">
        <v>2779</v>
      </c>
      <c r="E218" s="4" t="s">
        <v>2780</v>
      </c>
      <c r="F218" s="4"/>
      <c r="G218" s="4"/>
    </row>
    <row r="219" ht="16" customHeight="1" s="4" customFormat="1">
      <c r="A219" s="5">
        <v>45925</v>
      </c>
      <c r="B219" s="4" t="s">
        <v>831</v>
      </c>
      <c r="C219" s="4" t="s">
        <v>2317</v>
      </c>
      <c r="D219" s="4" t="s">
        <v>2781</v>
      </c>
      <c r="E219" s="4" t="s">
        <v>2782</v>
      </c>
      <c r="F219" s="4"/>
      <c r="G219" s="4"/>
    </row>
    <row r="220" ht="16" customHeight="1" s="4" customFormat="1">
      <c r="A220" s="5">
        <v>45925</v>
      </c>
      <c r="B220" s="4" t="s">
        <v>831</v>
      </c>
      <c r="C220" s="4" t="s">
        <v>2317</v>
      </c>
      <c r="D220" s="4" t="s">
        <v>2783</v>
      </c>
      <c r="E220" s="4" t="s">
        <v>2784</v>
      </c>
      <c r="F220" s="4"/>
      <c r="G220" s="4"/>
    </row>
    <row r="221" ht="16" customHeight="1" s="4" customFormat="1">
      <c r="A221" s="5">
        <v>45925</v>
      </c>
      <c r="B221" s="4" t="s">
        <v>831</v>
      </c>
      <c r="C221" s="4" t="s">
        <v>2317</v>
      </c>
      <c r="D221" s="4" t="s">
        <v>2785</v>
      </c>
      <c r="E221" s="4" t="s">
        <v>2786</v>
      </c>
      <c r="F221" s="4"/>
      <c r="G221" s="4"/>
    </row>
    <row r="222" ht="16" customHeight="1" s="4" customFormat="1">
      <c r="A222" s="5">
        <v>45924</v>
      </c>
      <c r="B222" s="4" t="s">
        <v>831</v>
      </c>
      <c r="C222" s="4" t="s">
        <v>2317</v>
      </c>
      <c r="D222" s="4" t="s">
        <v>2787</v>
      </c>
      <c r="E222" s="4" t="s">
        <v>2788</v>
      </c>
      <c r="F222" s="4"/>
      <c r="G222" s="4"/>
    </row>
    <row r="223" ht="16" customHeight="1" s="4" customFormat="1">
      <c r="A223" s="5">
        <v>45924</v>
      </c>
      <c r="B223" s="4" t="s">
        <v>831</v>
      </c>
      <c r="C223" s="4" t="s">
        <v>2317</v>
      </c>
      <c r="D223" s="4" t="s">
        <v>2789</v>
      </c>
      <c r="E223" s="4" t="s">
        <v>2790</v>
      </c>
      <c r="F223" s="4"/>
      <c r="G223" s="4"/>
    </row>
    <row r="224" ht="16" customHeight="1" s="4" customFormat="1">
      <c r="A224" s="5">
        <v>45923</v>
      </c>
      <c r="B224" s="4" t="s">
        <v>831</v>
      </c>
      <c r="C224" s="4" t="s">
        <v>2317</v>
      </c>
      <c r="D224" s="4" t="s">
        <v>2791</v>
      </c>
      <c r="E224" s="4" t="s">
        <v>2792</v>
      </c>
      <c r="F224" s="4"/>
      <c r="G224" s="4"/>
    </row>
    <row r="225" ht="16" customHeight="1" s="4" customFormat="1">
      <c r="A225" s="5">
        <v>45923</v>
      </c>
      <c r="B225" s="4" t="s">
        <v>831</v>
      </c>
      <c r="C225" s="4" t="s">
        <v>2317</v>
      </c>
      <c r="D225" s="4" t="s">
        <v>2793</v>
      </c>
      <c r="E225" s="4" t="s">
        <v>2794</v>
      </c>
      <c r="F225" s="4"/>
      <c r="G225" s="4"/>
    </row>
    <row r="226" ht="16" customHeight="1" s="4" customFormat="1">
      <c r="A226" s="5">
        <v>45922</v>
      </c>
      <c r="B226" s="4" t="s">
        <v>1267</v>
      </c>
      <c r="C226" s="4" t="s">
        <v>2457</v>
      </c>
      <c r="D226" s="4" t="s">
        <v>2795</v>
      </c>
      <c r="E226" s="4" t="s">
        <v>2796</v>
      </c>
      <c r="F226" s="4"/>
      <c r="G226" s="4"/>
    </row>
    <row r="227" ht="16" customHeight="1" s="4" customFormat="1">
      <c r="A227" s="5">
        <v>45919</v>
      </c>
      <c r="B227" s="4" t="s">
        <v>2331</v>
      </c>
      <c r="C227" s="4" t="s">
        <v>2332</v>
      </c>
      <c r="D227" s="4" t="s">
        <v>2797</v>
      </c>
      <c r="E227" s="4" t="s">
        <v>2798</v>
      </c>
      <c r="F227" s="4"/>
      <c r="G227" s="4"/>
    </row>
    <row r="228" ht="16" customHeight="1" s="4" customFormat="1">
      <c r="A228" s="5">
        <v>45919</v>
      </c>
      <c r="B228" s="4" t="s">
        <v>2331</v>
      </c>
      <c r="C228" s="4" t="s">
        <v>2799</v>
      </c>
      <c r="D228" s="4" t="s">
        <v>2800</v>
      </c>
      <c r="E228" s="4" t="s">
        <v>2801</v>
      </c>
      <c r="F228" s="4"/>
      <c r="G228" s="4"/>
    </row>
    <row r="229" ht="16" customHeight="1" s="4" customFormat="1">
      <c r="A229" s="5">
        <v>45919</v>
      </c>
      <c r="B229" s="4" t="s">
        <v>831</v>
      </c>
      <c r="C229" s="4" t="s">
        <v>2317</v>
      </c>
      <c r="D229" s="4" t="s">
        <v>2802</v>
      </c>
      <c r="E229" s="4" t="s">
        <v>2803</v>
      </c>
      <c r="F229" s="4"/>
      <c r="G229" s="4"/>
    </row>
    <row r="230" ht="16" customHeight="1" s="4" customFormat="1">
      <c r="A230" s="5">
        <v>45919</v>
      </c>
      <c r="B230" s="4" t="s">
        <v>2331</v>
      </c>
      <c r="C230" s="4" t="s">
        <v>2514</v>
      </c>
      <c r="D230" s="4" t="s">
        <v>2804</v>
      </c>
      <c r="E230" s="4" t="s">
        <v>2805</v>
      </c>
      <c r="F230" s="4"/>
      <c r="G230" s="4"/>
    </row>
    <row r="231" ht="16" customHeight="1" s="4" customFormat="1">
      <c r="A231" s="5">
        <v>45918</v>
      </c>
      <c r="B231" s="4" t="s">
        <v>2331</v>
      </c>
      <c r="C231" s="4" t="s">
        <v>2537</v>
      </c>
      <c r="D231" s="4" t="s">
        <v>2806</v>
      </c>
      <c r="E231" s="4" t="s">
        <v>2807</v>
      </c>
      <c r="F231" s="4"/>
      <c r="G231" s="4"/>
    </row>
    <row r="232" ht="16" customHeight="1" s="4" customFormat="1">
      <c r="A232" s="5">
        <v>45918</v>
      </c>
      <c r="B232" s="4" t="s">
        <v>831</v>
      </c>
      <c r="C232" s="4" t="s">
        <v>2317</v>
      </c>
      <c r="D232" s="4" t="s">
        <v>2808</v>
      </c>
      <c r="E232" s="4" t="s">
        <v>2809</v>
      </c>
      <c r="F232" s="4"/>
      <c r="G232" s="4"/>
    </row>
    <row r="233" ht="16" customHeight="1" s="4" customFormat="1">
      <c r="A233" s="5">
        <v>45918</v>
      </c>
      <c r="B233" s="4" t="s">
        <v>831</v>
      </c>
      <c r="C233" s="4" t="s">
        <v>2317</v>
      </c>
      <c r="D233" s="4" t="s">
        <v>2810</v>
      </c>
      <c r="E233" s="4" t="s">
        <v>2811</v>
      </c>
      <c r="F233" s="4"/>
      <c r="G233" s="4"/>
    </row>
    <row r="234" ht="16" customHeight="1" s="4" customFormat="1">
      <c r="A234" s="5">
        <v>45918</v>
      </c>
      <c r="B234" s="4" t="s">
        <v>831</v>
      </c>
      <c r="C234" s="4" t="s">
        <v>2317</v>
      </c>
      <c r="D234" s="4" t="s">
        <v>2812</v>
      </c>
      <c r="E234" s="4" t="s">
        <v>2813</v>
      </c>
      <c r="F234" s="4"/>
      <c r="G234" s="4"/>
    </row>
    <row r="235" ht="16" customHeight="1" s="4" customFormat="1">
      <c r="A235" s="5">
        <v>45917</v>
      </c>
      <c r="B235" s="4" t="s">
        <v>831</v>
      </c>
      <c r="C235" s="4" t="s">
        <v>2317</v>
      </c>
      <c r="D235" s="4" t="s">
        <v>2814</v>
      </c>
      <c r="E235" s="4" t="s">
        <v>2815</v>
      </c>
      <c r="F235" s="4"/>
      <c r="G235" s="4"/>
    </row>
    <row r="236" ht="16" customHeight="1" s="4" customFormat="1">
      <c r="A236" s="5">
        <v>45917</v>
      </c>
      <c r="B236" s="4" t="s">
        <v>831</v>
      </c>
      <c r="C236" s="4" t="s">
        <v>2317</v>
      </c>
      <c r="D236" s="4" t="s">
        <v>2816</v>
      </c>
      <c r="E236" s="4" t="s">
        <v>2817</v>
      </c>
      <c r="F236" s="4"/>
      <c r="G236" s="4"/>
    </row>
    <row r="237" ht="16" customHeight="1" s="4" customFormat="1">
      <c r="A237" s="5">
        <v>45917</v>
      </c>
      <c r="B237" s="4" t="s">
        <v>1267</v>
      </c>
      <c r="C237" s="4" t="s">
        <v>2324</v>
      </c>
      <c r="D237" s="4" t="s">
        <v>2818</v>
      </c>
      <c r="E237" s="4" t="s">
        <v>2819</v>
      </c>
      <c r="F237" s="4"/>
      <c r="G237" s="4"/>
    </row>
    <row r="238" ht="16" customHeight="1" s="4" customFormat="1">
      <c r="A238" s="5">
        <v>45916</v>
      </c>
      <c r="B238" s="4" t="s">
        <v>831</v>
      </c>
      <c r="C238" s="4" t="s">
        <v>2317</v>
      </c>
      <c r="D238" s="4" t="s">
        <v>2820</v>
      </c>
      <c r="E238" s="4" t="s">
        <v>2821</v>
      </c>
      <c r="F238" s="4"/>
      <c r="G238" s="4"/>
    </row>
    <row r="239" ht="16" customHeight="1" s="4" customFormat="1">
      <c r="A239" s="5">
        <v>45916</v>
      </c>
      <c r="B239" s="4" t="s">
        <v>1267</v>
      </c>
      <c r="C239" s="4" t="s">
        <v>2822</v>
      </c>
      <c r="D239" s="4" t="s">
        <v>2823</v>
      </c>
      <c r="E239" s="4" t="s">
        <v>2824</v>
      </c>
      <c r="F239" s="4"/>
      <c r="G239" s="4"/>
    </row>
    <row r="240" ht="16" customHeight="1" s="4" customFormat="1">
      <c r="A240" s="5">
        <v>45915</v>
      </c>
      <c r="B240" s="4" t="s">
        <v>2331</v>
      </c>
      <c r="C240" s="4" t="s">
        <v>2497</v>
      </c>
      <c r="D240" s="4" t="s">
        <v>2825</v>
      </c>
      <c r="E240" s="4" t="s">
        <v>2826</v>
      </c>
      <c r="F240" s="4"/>
      <c r="G240" s="4"/>
    </row>
    <row r="241" ht="16" customHeight="1" s="4" customFormat="1">
      <c r="A241" s="5">
        <v>45914</v>
      </c>
      <c r="B241" s="4" t="s">
        <v>2331</v>
      </c>
      <c r="C241" s="4" t="s">
        <v>2397</v>
      </c>
      <c r="D241" s="4" t="s">
        <v>2827</v>
      </c>
      <c r="E241" s="4" t="s">
        <v>2828</v>
      </c>
      <c r="F241" s="4"/>
      <c r="G241" s="4"/>
    </row>
    <row r="242" ht="16" customHeight="1" s="4" customFormat="1">
      <c r="A242" s="5">
        <v>45912</v>
      </c>
      <c r="B242" s="4" t="s">
        <v>2331</v>
      </c>
      <c r="C242" s="4" t="s">
        <v>2829</v>
      </c>
      <c r="D242" s="4" t="s">
        <v>2830</v>
      </c>
      <c r="E242" s="4" t="s">
        <v>2831</v>
      </c>
      <c r="F242" s="4"/>
      <c r="G242" s="4"/>
    </row>
    <row r="243" ht="16" customHeight="1" s="4" customFormat="1">
      <c r="A243" s="5">
        <v>45912</v>
      </c>
      <c r="B243" s="4" t="s">
        <v>831</v>
      </c>
      <c r="C243" s="4" t="s">
        <v>2317</v>
      </c>
      <c r="D243" s="4" t="s">
        <v>2832</v>
      </c>
      <c r="E243" s="4" t="s">
        <v>2833</v>
      </c>
      <c r="F243" s="4"/>
      <c r="G243" s="4"/>
    </row>
    <row r="244" ht="16" customHeight="1" s="4" customFormat="1">
      <c r="A244" s="5">
        <v>45911</v>
      </c>
      <c r="B244" s="4" t="s">
        <v>831</v>
      </c>
      <c r="C244" s="4" t="s">
        <v>2528</v>
      </c>
      <c r="D244" s="4" t="s">
        <v>2529</v>
      </c>
      <c r="E244" s="4" t="s">
        <v>2834</v>
      </c>
      <c r="F244" s="4"/>
      <c r="G244" s="4"/>
    </row>
    <row r="245" ht="16" customHeight="1" s="4" customFormat="1">
      <c r="A245" s="5">
        <v>45911</v>
      </c>
      <c r="B245" s="4" t="s">
        <v>2331</v>
      </c>
      <c r="C245" s="4" t="s">
        <v>2537</v>
      </c>
      <c r="D245" s="4" t="s">
        <v>2835</v>
      </c>
      <c r="E245" s="4" t="s">
        <v>2836</v>
      </c>
      <c r="F245" s="4"/>
      <c r="G245" s="4"/>
    </row>
    <row r="246" ht="16" customHeight="1" s="4" customFormat="1">
      <c r="A246" s="5">
        <v>45910</v>
      </c>
      <c r="B246" s="4" t="s">
        <v>2331</v>
      </c>
      <c r="C246" s="4" t="s">
        <v>2134</v>
      </c>
      <c r="D246" s="4" t="s">
        <v>2837</v>
      </c>
      <c r="E246" s="4" t="s">
        <v>2838</v>
      </c>
      <c r="F246" s="4"/>
      <c r="G246" s="4"/>
    </row>
    <row r="247" ht="16" customHeight="1" s="4" customFormat="1">
      <c r="A247" s="5">
        <v>45910</v>
      </c>
      <c r="B247" s="4" t="s">
        <v>2331</v>
      </c>
      <c r="C247" s="4" t="s">
        <v>2537</v>
      </c>
      <c r="D247" s="4" t="s">
        <v>2839</v>
      </c>
      <c r="E247" s="4" t="s">
        <v>2840</v>
      </c>
      <c r="F247" s="4"/>
      <c r="G247" s="4"/>
    </row>
    <row r="248" ht="16" customHeight="1" s="4" customFormat="1">
      <c r="A248" s="5">
        <v>45910</v>
      </c>
      <c r="B248" s="4" t="s">
        <v>831</v>
      </c>
      <c r="C248" s="4" t="s">
        <v>2317</v>
      </c>
      <c r="D248" s="4" t="s">
        <v>2841</v>
      </c>
      <c r="E248" s="4" t="s">
        <v>2842</v>
      </c>
      <c r="F248" s="4"/>
      <c r="G248" s="4"/>
    </row>
    <row r="249" ht="16" customHeight="1" s="4" customFormat="1">
      <c r="A249" s="5">
        <v>45909</v>
      </c>
      <c r="B249" s="4" t="s">
        <v>2331</v>
      </c>
      <c r="C249" s="4" t="s">
        <v>2332</v>
      </c>
      <c r="D249" s="4" t="s">
        <v>2843</v>
      </c>
      <c r="E249" s="4" t="s">
        <v>2844</v>
      </c>
      <c r="F249" s="4"/>
      <c r="G249" s="4"/>
    </row>
    <row r="250" ht="16" customHeight="1" s="4" customFormat="1">
      <c r="A250" s="5">
        <v>45908</v>
      </c>
      <c r="B250" s="4" t="s">
        <v>2331</v>
      </c>
      <c r="C250" s="4" t="s">
        <v>2537</v>
      </c>
      <c r="D250" s="4" t="s">
        <v>2845</v>
      </c>
      <c r="E250" s="4" t="s">
        <v>2846</v>
      </c>
      <c r="F250" s="4"/>
      <c r="G250" s="4"/>
    </row>
    <row r="251" ht="16" customHeight="1" s="4" customFormat="1">
      <c r="A251" s="5">
        <v>45908</v>
      </c>
      <c r="B251" s="4" t="s">
        <v>831</v>
      </c>
      <c r="C251" s="4" t="s">
        <v>2317</v>
      </c>
      <c r="D251" s="4" t="s">
        <v>2847</v>
      </c>
      <c r="E251" s="4" t="s">
        <v>2848</v>
      </c>
      <c r="F251" s="4"/>
      <c r="G251" s="4"/>
    </row>
    <row r="252" ht="16" customHeight="1" s="4" customFormat="1">
      <c r="A252" s="5">
        <v>45908</v>
      </c>
      <c r="B252" s="4" t="s">
        <v>831</v>
      </c>
      <c r="C252" s="4" t="s">
        <v>2317</v>
      </c>
      <c r="D252" s="4" t="s">
        <v>2849</v>
      </c>
      <c r="E252" s="4" t="s">
        <v>2850</v>
      </c>
      <c r="F252" s="4"/>
      <c r="G252" s="4"/>
    </row>
    <row r="253" ht="16" customHeight="1" s="4" customFormat="1">
      <c r="A253" s="5">
        <v>45908</v>
      </c>
      <c r="B253" s="4" t="s">
        <v>1267</v>
      </c>
      <c r="C253" s="4" t="s">
        <v>2324</v>
      </c>
      <c r="D253" s="4" t="s">
        <v>2851</v>
      </c>
      <c r="E253" s="4" t="s">
        <v>2852</v>
      </c>
      <c r="F253" s="4"/>
      <c r="G253" s="4"/>
    </row>
    <row r="254" ht="16" customHeight="1" s="4" customFormat="1">
      <c r="A254" s="5">
        <v>45908</v>
      </c>
      <c r="B254" s="4" t="s">
        <v>2331</v>
      </c>
      <c r="C254" s="4" t="s">
        <v>2452</v>
      </c>
      <c r="D254" s="4" t="s">
        <v>2853</v>
      </c>
      <c r="E254" s="4" t="s">
        <v>2854</v>
      </c>
      <c r="F254" s="4"/>
      <c r="G254" s="4"/>
    </row>
    <row r="255" ht="16" customHeight="1" s="4" customFormat="1">
      <c r="A255" s="5">
        <v>45907</v>
      </c>
      <c r="B255" s="4" t="s">
        <v>831</v>
      </c>
      <c r="C255" s="4" t="s">
        <v>2317</v>
      </c>
      <c r="D255" s="4" t="s">
        <v>2855</v>
      </c>
      <c r="E255" s="4" t="s">
        <v>2856</v>
      </c>
      <c r="F255" s="4"/>
      <c r="G255" s="4"/>
    </row>
    <row r="256" ht="16" customHeight="1" s="4" customFormat="1">
      <c r="A256" s="5">
        <v>45907</v>
      </c>
      <c r="B256" s="4" t="s">
        <v>831</v>
      </c>
      <c r="C256" s="4" t="s">
        <v>2857</v>
      </c>
      <c r="D256" s="4" t="s">
        <v>2858</v>
      </c>
      <c r="E256" s="4"/>
      <c r="F256" s="4"/>
      <c r="G256" s="4"/>
    </row>
    <row r="257" ht="16" customHeight="1" s="4" customFormat="1">
      <c r="A257" s="5">
        <v>45906</v>
      </c>
      <c r="B257" s="4" t="s">
        <v>2331</v>
      </c>
      <c r="C257" s="4" t="s">
        <v>2134</v>
      </c>
      <c r="D257" s="4" t="s">
        <v>2859</v>
      </c>
      <c r="E257" s="4" t="s">
        <v>2860</v>
      </c>
      <c r="F257" s="4"/>
      <c r="G257" s="4"/>
    </row>
    <row r="258" ht="16" customHeight="1" s="4" customFormat="1">
      <c r="A258" s="5">
        <v>45906</v>
      </c>
      <c r="B258" s="4" t="s">
        <v>831</v>
      </c>
      <c r="C258" s="4" t="s">
        <v>2317</v>
      </c>
      <c r="D258" s="4" t="s">
        <v>2861</v>
      </c>
      <c r="E258" s="4" t="s">
        <v>2862</v>
      </c>
      <c r="F258" s="4"/>
      <c r="G258" s="4"/>
    </row>
    <row r="259" ht="16" customHeight="1" s="4" customFormat="1">
      <c r="A259" s="5">
        <v>45905</v>
      </c>
      <c r="B259" s="4" t="s">
        <v>2331</v>
      </c>
      <c r="C259" s="4" t="s">
        <v>2537</v>
      </c>
      <c r="D259" s="4" t="s">
        <v>2863</v>
      </c>
      <c r="E259" s="4" t="s">
        <v>2864</v>
      </c>
      <c r="F259" s="4"/>
      <c r="G259" s="4"/>
    </row>
    <row r="260" ht="16" customHeight="1" s="4" customFormat="1">
      <c r="A260" s="5">
        <v>45905</v>
      </c>
      <c r="B260" s="4" t="s">
        <v>831</v>
      </c>
      <c r="C260" s="4" t="s">
        <v>2317</v>
      </c>
      <c r="D260" s="4" t="s">
        <v>2865</v>
      </c>
      <c r="E260" s="4" t="s">
        <v>2866</v>
      </c>
      <c r="F260" s="4"/>
      <c r="G260" s="4"/>
    </row>
    <row r="261" ht="16" customHeight="1" s="4" customFormat="1">
      <c r="A261" s="5">
        <v>45904</v>
      </c>
      <c r="B261" s="4" t="s">
        <v>831</v>
      </c>
      <c r="C261" s="4" t="s">
        <v>2317</v>
      </c>
      <c r="D261" s="4" t="s">
        <v>2867</v>
      </c>
      <c r="E261" s="4" t="s">
        <v>2868</v>
      </c>
      <c r="F261" s="4"/>
      <c r="G261" s="4"/>
    </row>
    <row r="262" ht="16" customHeight="1" s="4" customFormat="1">
      <c r="A262" s="5">
        <v>45903</v>
      </c>
      <c r="B262" s="4" t="s">
        <v>1267</v>
      </c>
      <c r="C262" s="4" t="s">
        <v>2457</v>
      </c>
      <c r="D262" s="4" t="s">
        <v>2869</v>
      </c>
      <c r="E262" s="4" t="s">
        <v>2870</v>
      </c>
      <c r="F262" s="4"/>
      <c r="G262" s="4"/>
    </row>
    <row r="263" ht="16" customHeight="1" s="4" customFormat="1">
      <c r="A263" s="5">
        <v>45901</v>
      </c>
      <c r="B263" s="4" t="s">
        <v>831</v>
      </c>
      <c r="C263" s="4" t="s">
        <v>2317</v>
      </c>
      <c r="D263" s="4" t="s">
        <v>2871</v>
      </c>
      <c r="E263" s="4" t="s">
        <v>2872</v>
      </c>
      <c r="F263" s="4"/>
      <c r="G263" s="4"/>
    </row>
    <row r="264" ht="16" customHeight="1" s="4" customFormat="1">
      <c r="A264" s="5">
        <v>45901</v>
      </c>
      <c r="B264" s="4" t="s">
        <v>831</v>
      </c>
      <c r="C264" s="4" t="s">
        <v>2433</v>
      </c>
      <c r="D264" s="4" t="s">
        <v>2873</v>
      </c>
      <c r="E264" s="4" t="s">
        <v>2874</v>
      </c>
      <c r="F264" s="4"/>
      <c r="G264" s="4"/>
    </row>
    <row r="265" ht="16" customHeight="1" s="4" customFormat="1">
      <c r="A265" s="5">
        <v>45899</v>
      </c>
      <c r="B265" s="4" t="s">
        <v>831</v>
      </c>
      <c r="C265" s="4" t="s">
        <v>2317</v>
      </c>
      <c r="D265" s="4" t="s">
        <v>2875</v>
      </c>
      <c r="E265" s="4" t="s">
        <v>2876</v>
      </c>
      <c r="F265" s="4"/>
      <c r="G265" s="4"/>
    </row>
    <row r="266" ht="16" customHeight="1" s="4" customFormat="1">
      <c r="A266" s="5">
        <v>45898</v>
      </c>
      <c r="B266" s="4" t="s">
        <v>831</v>
      </c>
      <c r="C266" s="4" t="s">
        <v>2317</v>
      </c>
      <c r="D266" s="4" t="s">
        <v>2877</v>
      </c>
      <c r="E266" s="4" t="s">
        <v>2878</v>
      </c>
      <c r="F266" s="4"/>
      <c r="G266" s="4"/>
    </row>
    <row r="267" ht="16" customHeight="1" s="4" customFormat="1">
      <c r="A267" s="5">
        <v>45898</v>
      </c>
      <c r="B267" s="4" t="s">
        <v>831</v>
      </c>
      <c r="C267" s="4" t="s">
        <v>2317</v>
      </c>
      <c r="D267" s="4" t="s">
        <v>2879</v>
      </c>
      <c r="E267" s="4" t="s">
        <v>2880</v>
      </c>
      <c r="F267" s="4"/>
      <c r="G267" s="4"/>
    </row>
    <row r="268" ht="16" customHeight="1" s="4" customFormat="1">
      <c r="A268" s="5">
        <v>45898</v>
      </c>
      <c r="B268" s="4" t="s">
        <v>831</v>
      </c>
      <c r="C268" s="4" t="s">
        <v>2317</v>
      </c>
      <c r="D268" s="4" t="s">
        <v>2881</v>
      </c>
      <c r="E268" s="4" t="s">
        <v>2882</v>
      </c>
      <c r="F268" s="4"/>
      <c r="G268" s="4"/>
    </row>
    <row r="269" ht="16" customHeight="1" s="4" customFormat="1">
      <c r="A269" s="5">
        <v>45897</v>
      </c>
      <c r="B269" s="4" t="s">
        <v>831</v>
      </c>
      <c r="C269" s="4" t="s">
        <v>2317</v>
      </c>
      <c r="D269" s="4" t="s">
        <v>2883</v>
      </c>
      <c r="E269" s="4" t="s">
        <v>2884</v>
      </c>
      <c r="F269" s="4"/>
      <c r="G269" s="4"/>
    </row>
    <row r="270" ht="16" customHeight="1" s="4" customFormat="1">
      <c r="A270" s="5">
        <v>45896</v>
      </c>
      <c r="B270" s="4" t="s">
        <v>831</v>
      </c>
      <c r="C270" s="4" t="s">
        <v>2317</v>
      </c>
      <c r="D270" s="4" t="s">
        <v>2885</v>
      </c>
      <c r="E270" s="4" t="s">
        <v>2886</v>
      </c>
      <c r="F270" s="4"/>
      <c r="G270" s="4"/>
    </row>
    <row r="271" ht="16" customHeight="1" s="4" customFormat="1">
      <c r="A271" s="5">
        <v>45895</v>
      </c>
      <c r="B271" s="4" t="s">
        <v>831</v>
      </c>
      <c r="C271" s="4" t="s">
        <v>2317</v>
      </c>
      <c r="D271" s="4" t="s">
        <v>2887</v>
      </c>
      <c r="E271" s="4" t="s">
        <v>2888</v>
      </c>
      <c r="F271" s="4"/>
      <c r="G271" s="4"/>
    </row>
    <row r="272" ht="16" customHeight="1" s="4" customFormat="1">
      <c r="A272" s="5">
        <v>45894</v>
      </c>
      <c r="B272" s="4" t="s">
        <v>831</v>
      </c>
      <c r="C272" s="4" t="s">
        <v>2317</v>
      </c>
      <c r="D272" s="4" t="s">
        <v>2889</v>
      </c>
      <c r="E272" s="4" t="s">
        <v>2890</v>
      </c>
      <c r="F272" s="4"/>
      <c r="G272" s="4"/>
    </row>
    <row r="273" ht="16" customHeight="1" s="4" customFormat="1">
      <c r="A273" s="5">
        <v>45891</v>
      </c>
      <c r="B273" s="4" t="s">
        <v>831</v>
      </c>
      <c r="C273" s="4" t="s">
        <v>2317</v>
      </c>
      <c r="D273" s="4" t="s">
        <v>2891</v>
      </c>
      <c r="E273" s="4" t="s">
        <v>2892</v>
      </c>
      <c r="F273" s="4"/>
      <c r="G273" s="4"/>
    </row>
    <row r="274" ht="16" customHeight="1" s="4" customFormat="1">
      <c r="A274" s="5">
        <v>45891</v>
      </c>
      <c r="B274" s="4" t="s">
        <v>831</v>
      </c>
      <c r="C274" s="4" t="s">
        <v>2436</v>
      </c>
      <c r="D274" s="4" t="s">
        <v>2893</v>
      </c>
      <c r="E274" s="4" t="s">
        <v>2894</v>
      </c>
      <c r="F274" s="4"/>
      <c r="G274" s="4"/>
    </row>
    <row r="275" ht="16" customHeight="1" s="4" customFormat="1">
      <c r="A275" s="5">
        <v>45891</v>
      </c>
      <c r="B275" s="4" t="s">
        <v>1267</v>
      </c>
      <c r="C275" s="4" t="s">
        <v>2457</v>
      </c>
      <c r="D275" s="4" t="s">
        <v>2895</v>
      </c>
      <c r="E275" s="4" t="s">
        <v>2896</v>
      </c>
      <c r="F275" s="4"/>
      <c r="G275" s="4"/>
    </row>
    <row r="276" ht="16" customHeight="1" s="4" customFormat="1">
      <c r="A276" s="5">
        <v>45891</v>
      </c>
      <c r="B276" s="4" t="s">
        <v>2331</v>
      </c>
      <c r="C276" s="4" t="s">
        <v>2490</v>
      </c>
      <c r="D276" s="4" t="s">
        <v>2897</v>
      </c>
      <c r="E276" s="4" t="s">
        <v>2898</v>
      </c>
      <c r="F276" s="4"/>
      <c r="G276" s="4"/>
    </row>
    <row r="277" ht="16" customHeight="1" s="4" customFormat="1">
      <c r="A277" s="5">
        <v>45891</v>
      </c>
      <c r="B277" s="4" t="s">
        <v>2331</v>
      </c>
      <c r="C277" s="4" t="s">
        <v>2490</v>
      </c>
      <c r="D277" s="4" t="s">
        <v>2899</v>
      </c>
      <c r="E277" s="4" t="s">
        <v>2898</v>
      </c>
      <c r="F277" s="4"/>
      <c r="G277" s="4"/>
    </row>
    <row r="278" ht="16" customHeight="1" s="4" customFormat="1">
      <c r="A278" s="5">
        <v>45890</v>
      </c>
      <c r="B278" s="4" t="s">
        <v>831</v>
      </c>
      <c r="C278" s="4" t="s">
        <v>2436</v>
      </c>
      <c r="D278" s="4" t="s">
        <v>2900</v>
      </c>
      <c r="E278" s="4" t="s">
        <v>2901</v>
      </c>
      <c r="F278" s="4"/>
      <c r="G278" s="4"/>
    </row>
    <row r="279" ht="16" customHeight="1" s="4" customFormat="1">
      <c r="A279" s="5">
        <v>45889</v>
      </c>
      <c r="B279" s="4" t="s">
        <v>831</v>
      </c>
      <c r="C279" s="4" t="s">
        <v>2317</v>
      </c>
      <c r="D279" s="4" t="s">
        <v>2902</v>
      </c>
      <c r="E279" s="4" t="s">
        <v>2903</v>
      </c>
      <c r="F279" s="4"/>
      <c r="G279" s="4"/>
    </row>
    <row r="280" ht="16" customHeight="1" s="4" customFormat="1">
      <c r="A280" s="5">
        <v>45889</v>
      </c>
      <c r="B280" s="4" t="s">
        <v>1267</v>
      </c>
      <c r="C280" s="4" t="s">
        <v>2457</v>
      </c>
      <c r="D280" s="4" t="s">
        <v>2904</v>
      </c>
      <c r="E280" s="4" t="s">
        <v>2905</v>
      </c>
      <c r="F280" s="4"/>
      <c r="G280" s="4"/>
    </row>
    <row r="281" ht="16" customHeight="1" s="4" customFormat="1">
      <c r="A281" s="5">
        <v>45888</v>
      </c>
      <c r="B281" s="4" t="s">
        <v>831</v>
      </c>
      <c r="C281" s="4" t="s">
        <v>2436</v>
      </c>
      <c r="D281" s="4" t="s">
        <v>2906</v>
      </c>
      <c r="E281" s="4" t="s">
        <v>2907</v>
      </c>
      <c r="F281" s="4"/>
      <c r="G281" s="4"/>
    </row>
    <row r="282" ht="16" customHeight="1" s="4" customFormat="1">
      <c r="A282" s="5">
        <v>45887</v>
      </c>
      <c r="B282" s="4" t="s">
        <v>831</v>
      </c>
      <c r="C282" s="4" t="s">
        <v>2317</v>
      </c>
      <c r="D282" s="4" t="s">
        <v>2908</v>
      </c>
      <c r="E282" s="4" t="s">
        <v>2909</v>
      </c>
      <c r="F282" s="4"/>
      <c r="G282" s="4"/>
    </row>
    <row r="283" ht="16" customHeight="1" s="4" customFormat="1">
      <c r="A283" s="5">
        <v>45887</v>
      </c>
      <c r="B283" s="4" t="s">
        <v>831</v>
      </c>
      <c r="C283" s="4" t="s">
        <v>2317</v>
      </c>
      <c r="D283" s="4" t="s">
        <v>2910</v>
      </c>
      <c r="E283" s="4" t="s">
        <v>2911</v>
      </c>
      <c r="F283" s="4"/>
      <c r="G283" s="4"/>
    </row>
    <row r="284" ht="16" customHeight="1" s="4" customFormat="1">
      <c r="A284" s="5">
        <v>45883</v>
      </c>
      <c r="B284" s="4" t="s">
        <v>2331</v>
      </c>
      <c r="C284" s="4" t="s">
        <v>2452</v>
      </c>
      <c r="D284" s="4" t="s">
        <v>2912</v>
      </c>
      <c r="E284" s="4" t="s">
        <v>2913</v>
      </c>
      <c r="F284" s="4"/>
      <c r="G284" s="4"/>
    </row>
    <row r="285" ht="16" customHeight="1" s="4" customFormat="1">
      <c r="A285" s="5">
        <v>45882</v>
      </c>
      <c r="B285" s="4" t="s">
        <v>1267</v>
      </c>
      <c r="C285" s="4" t="s">
        <v>2457</v>
      </c>
      <c r="D285" s="4" t="s">
        <v>2914</v>
      </c>
      <c r="E285" s="4" t="s">
        <v>2915</v>
      </c>
      <c r="F285" s="4"/>
      <c r="G285" s="4"/>
    </row>
    <row r="286" ht="16" customHeight="1" s="4" customFormat="1">
      <c r="A286" s="5">
        <v>45881</v>
      </c>
      <c r="B286" s="4" t="s">
        <v>2331</v>
      </c>
      <c r="C286" s="4" t="s">
        <v>2618</v>
      </c>
      <c r="D286" s="4" t="s">
        <v>2916</v>
      </c>
      <c r="E286" s="4" t="s">
        <v>2917</v>
      </c>
      <c r="F286" s="4"/>
      <c r="G286" s="4"/>
    </row>
    <row r="287" ht="16" customHeight="1" s="4" customFormat="1">
      <c r="A287" s="5">
        <v>45880</v>
      </c>
      <c r="B287" s="4" t="s">
        <v>831</v>
      </c>
      <c r="C287" s="4" t="s">
        <v>2317</v>
      </c>
      <c r="D287" s="4" t="s">
        <v>2918</v>
      </c>
      <c r="E287" s="4" t="s">
        <v>2919</v>
      </c>
      <c r="F287" s="4"/>
      <c r="G287" s="4"/>
    </row>
    <row r="288" ht="16" customHeight="1" s="4" customFormat="1">
      <c r="A288" s="5">
        <v>45880</v>
      </c>
      <c r="B288" s="4" t="s">
        <v>831</v>
      </c>
      <c r="C288" s="4" t="s">
        <v>2317</v>
      </c>
      <c r="D288" s="4" t="s">
        <v>2920</v>
      </c>
      <c r="E288" s="4" t="s">
        <v>2921</v>
      </c>
      <c r="F288" s="4"/>
      <c r="G288" s="4"/>
    </row>
    <row r="289" ht="16" customHeight="1" s="4" customFormat="1">
      <c r="A289" s="5">
        <v>45880</v>
      </c>
      <c r="B289" s="4" t="s">
        <v>831</v>
      </c>
      <c r="C289" s="4" t="s">
        <v>2317</v>
      </c>
      <c r="D289" s="4" t="s">
        <v>2922</v>
      </c>
      <c r="E289" s="4" t="s">
        <v>2923</v>
      </c>
      <c r="F289" s="4"/>
      <c r="G289" s="4"/>
    </row>
    <row r="290" ht="16" customHeight="1" s="4" customFormat="1">
      <c r="A290" s="5">
        <v>45878</v>
      </c>
      <c r="B290" s="4" t="s">
        <v>831</v>
      </c>
      <c r="C290" s="4" t="s">
        <v>2317</v>
      </c>
      <c r="D290" s="4" t="s">
        <v>2924</v>
      </c>
      <c r="E290" s="4" t="s">
        <v>2925</v>
      </c>
      <c r="F290" s="4"/>
      <c r="G290" s="4"/>
    </row>
    <row r="291" ht="16" customHeight="1" s="4" customFormat="1">
      <c r="A291" s="5">
        <v>45877</v>
      </c>
      <c r="B291" s="4" t="s">
        <v>2331</v>
      </c>
      <c r="C291" s="4" t="s">
        <v>2537</v>
      </c>
      <c r="D291" s="4" t="s">
        <v>2926</v>
      </c>
      <c r="E291" s="4" t="s">
        <v>2927</v>
      </c>
      <c r="F291" s="4"/>
      <c r="G291" s="4"/>
    </row>
    <row r="292" ht="16" customHeight="1" s="4" customFormat="1">
      <c r="A292" s="5">
        <v>45876</v>
      </c>
      <c r="B292" s="4" t="s">
        <v>831</v>
      </c>
      <c r="C292" s="4" t="s">
        <v>2317</v>
      </c>
      <c r="D292" s="4" t="s">
        <v>2928</v>
      </c>
      <c r="E292" s="4" t="s">
        <v>2929</v>
      </c>
      <c r="F292" s="4"/>
      <c r="G292" s="4"/>
    </row>
    <row r="293" ht="16" customHeight="1" s="4" customFormat="1">
      <c r="A293" s="5">
        <v>45876</v>
      </c>
      <c r="B293" s="4" t="s">
        <v>831</v>
      </c>
      <c r="C293" s="4" t="s">
        <v>2317</v>
      </c>
      <c r="D293" s="4" t="s">
        <v>2930</v>
      </c>
      <c r="E293" s="4" t="s">
        <v>2931</v>
      </c>
      <c r="F293" s="4"/>
      <c r="G293" s="4"/>
    </row>
    <row r="294" ht="16" customHeight="1" s="4" customFormat="1">
      <c r="A294" s="5">
        <v>45875</v>
      </c>
      <c r="B294" s="4" t="s">
        <v>831</v>
      </c>
      <c r="C294" s="4" t="s">
        <v>2317</v>
      </c>
      <c r="D294" s="4" t="s">
        <v>2932</v>
      </c>
      <c r="E294" s="4" t="s">
        <v>2933</v>
      </c>
      <c r="F294" s="4"/>
      <c r="G294" s="4"/>
    </row>
    <row r="295" ht="16" customHeight="1" s="4" customFormat="1">
      <c r="A295" s="5">
        <v>45872</v>
      </c>
      <c r="B295" s="4" t="s">
        <v>831</v>
      </c>
      <c r="C295" s="4" t="s">
        <v>2317</v>
      </c>
      <c r="D295" s="4" t="s">
        <v>2934</v>
      </c>
      <c r="E295" s="4" t="s">
        <v>2935</v>
      </c>
      <c r="F295" s="4"/>
      <c r="G295" s="4"/>
    </row>
    <row r="296" ht="16" customHeight="1" s="4" customFormat="1">
      <c r="A296" s="5">
        <v>45870</v>
      </c>
      <c r="B296" s="4" t="s">
        <v>831</v>
      </c>
      <c r="C296" s="4" t="s">
        <v>2558</v>
      </c>
      <c r="D296" s="4" t="s">
        <v>2936</v>
      </c>
      <c r="E296" s="4" t="s">
        <v>2937</v>
      </c>
      <c r="F296" s="4"/>
      <c r="G296" s="4"/>
    </row>
    <row r="297" ht="16" customHeight="1" s="4" customFormat="1">
      <c r="A297" s="5">
        <v>45870</v>
      </c>
      <c r="B297" s="4" t="s">
        <v>2331</v>
      </c>
      <c r="C297" s="4" t="s">
        <v>2938</v>
      </c>
      <c r="D297" s="4" t="s">
        <v>2939</v>
      </c>
      <c r="E297" s="4" t="s">
        <v>2940</v>
      </c>
      <c r="F297" s="4"/>
      <c r="G297" s="4"/>
    </row>
    <row r="298" ht="16" customHeight="1" s="4" customFormat="1">
      <c r="A298" s="5">
        <v>45869</v>
      </c>
      <c r="B298" s="4" t="s">
        <v>831</v>
      </c>
      <c r="C298" s="4" t="s">
        <v>2317</v>
      </c>
      <c r="D298" s="4" t="s">
        <v>2941</v>
      </c>
      <c r="E298" s="4" t="s">
        <v>2942</v>
      </c>
      <c r="F298" s="4"/>
      <c r="G298" s="4"/>
    </row>
    <row r="299" ht="16" customHeight="1" s="4" customFormat="1">
      <c r="A299" s="5">
        <v>45868</v>
      </c>
      <c r="B299" s="4" t="s">
        <v>831</v>
      </c>
      <c r="C299" s="4" t="s">
        <v>2317</v>
      </c>
      <c r="D299" s="4" t="s">
        <v>2943</v>
      </c>
      <c r="E299" s="4" t="s">
        <v>2944</v>
      </c>
      <c r="F299" s="4"/>
      <c r="G299" s="4"/>
    </row>
    <row r="300" ht="16" customHeight="1" s="4" customFormat="1">
      <c r="A300" s="5">
        <v>45867</v>
      </c>
      <c r="B300" s="4" t="s">
        <v>831</v>
      </c>
      <c r="C300" s="4" t="s">
        <v>2317</v>
      </c>
      <c r="D300" s="4" t="s">
        <v>2945</v>
      </c>
      <c r="E300" s="4" t="s">
        <v>2946</v>
      </c>
      <c r="F300" s="4"/>
      <c r="G300" s="4"/>
    </row>
    <row r="301" ht="16" customHeight="1" s="4" customFormat="1">
      <c r="A301" s="5">
        <v>45867</v>
      </c>
      <c r="B301" s="4" t="s">
        <v>831</v>
      </c>
      <c r="C301" s="4" t="s">
        <v>2317</v>
      </c>
      <c r="D301" s="4" t="s">
        <v>2947</v>
      </c>
      <c r="E301" s="4" t="s">
        <v>2948</v>
      </c>
      <c r="F301" s="4"/>
      <c r="G301" s="4"/>
    </row>
    <row r="302" ht="16" customHeight="1" s="4" customFormat="1">
      <c r="A302" s="5">
        <v>45866</v>
      </c>
      <c r="B302" s="4" t="s">
        <v>2331</v>
      </c>
      <c r="C302" s="4" t="s">
        <v>2332</v>
      </c>
      <c r="D302" s="4" t="s">
        <v>2949</v>
      </c>
      <c r="E302" s="4" t="s">
        <v>2950</v>
      </c>
      <c r="F302" s="4"/>
      <c r="G302" s="4"/>
    </row>
    <row r="303" ht="16" customHeight="1" s="4" customFormat="1">
      <c r="A303" s="5">
        <v>45863</v>
      </c>
      <c r="B303" s="4" t="s">
        <v>831</v>
      </c>
      <c r="C303" s="4" t="s">
        <v>2317</v>
      </c>
      <c r="D303" s="4" t="s">
        <v>2951</v>
      </c>
      <c r="E303" s="4" t="s">
        <v>2952</v>
      </c>
      <c r="F303" s="4"/>
      <c r="G303" s="4"/>
    </row>
    <row r="304" ht="16" customHeight="1" s="4" customFormat="1">
      <c r="A304" s="5">
        <v>45862</v>
      </c>
      <c r="B304" s="4" t="s">
        <v>2331</v>
      </c>
      <c r="C304" s="4" t="s">
        <v>2514</v>
      </c>
      <c r="D304" s="4" t="s">
        <v>2953</v>
      </c>
      <c r="E304" s="4" t="s">
        <v>2954</v>
      </c>
      <c r="F304" s="4"/>
      <c r="G304" s="4"/>
    </row>
    <row r="305" ht="16" customHeight="1" s="4" customFormat="1">
      <c r="A305" s="5">
        <v>45862</v>
      </c>
      <c r="B305" s="4" t="s">
        <v>1267</v>
      </c>
      <c r="C305" s="4" t="s">
        <v>2955</v>
      </c>
      <c r="D305" s="4" t="s">
        <v>2956</v>
      </c>
      <c r="E305" s="4" t="s">
        <v>2957</v>
      </c>
      <c r="F305" s="4"/>
      <c r="G305" s="4"/>
    </row>
    <row r="306" ht="16" customHeight="1" s="4" customFormat="1">
      <c r="A306" s="5">
        <v>45861</v>
      </c>
      <c r="B306" s="4" t="s">
        <v>831</v>
      </c>
      <c r="C306" s="4" t="s">
        <v>2317</v>
      </c>
      <c r="D306" s="4" t="s">
        <v>2958</v>
      </c>
      <c r="E306" s="4" t="s">
        <v>2959</v>
      </c>
      <c r="F306" s="4"/>
      <c r="G306" s="4"/>
    </row>
    <row r="307" ht="16" customHeight="1" s="4" customFormat="1">
      <c r="A307" s="5">
        <v>45861</v>
      </c>
      <c r="B307" s="4" t="s">
        <v>2331</v>
      </c>
      <c r="C307" s="4" t="s">
        <v>2514</v>
      </c>
      <c r="D307" s="4" t="s">
        <v>2960</v>
      </c>
      <c r="E307" s="4" t="s">
        <v>2961</v>
      </c>
      <c r="F307" s="4"/>
      <c r="G307" s="4"/>
    </row>
    <row r="308" ht="16" customHeight="1" s="4" customFormat="1">
      <c r="A308" s="5">
        <v>45859</v>
      </c>
      <c r="B308" s="4" t="s">
        <v>831</v>
      </c>
      <c r="C308" s="4" t="s">
        <v>2317</v>
      </c>
      <c r="D308" s="4" t="s">
        <v>2962</v>
      </c>
      <c r="E308" s="4" t="s">
        <v>2963</v>
      </c>
      <c r="F308" s="4"/>
      <c r="G308" s="4"/>
    </row>
    <row r="309" ht="16" customHeight="1" s="4" customFormat="1">
      <c r="A309" s="5">
        <v>45856</v>
      </c>
      <c r="B309" s="4" t="s">
        <v>831</v>
      </c>
      <c r="C309" s="4" t="s">
        <v>2317</v>
      </c>
      <c r="D309" s="4" t="s">
        <v>2964</v>
      </c>
      <c r="E309" s="4" t="s">
        <v>2965</v>
      </c>
      <c r="F309" s="4"/>
      <c r="G309" s="4"/>
    </row>
    <row r="310" ht="16" customHeight="1" s="4" customFormat="1">
      <c r="A310" s="5">
        <v>45856</v>
      </c>
      <c r="B310" s="4" t="s">
        <v>831</v>
      </c>
      <c r="C310" s="4" t="s">
        <v>2317</v>
      </c>
      <c r="D310" s="4" t="s">
        <v>2966</v>
      </c>
      <c r="E310" s="4" t="s">
        <v>2967</v>
      </c>
      <c r="F310" s="4"/>
      <c r="G310" s="4"/>
    </row>
    <row r="311" ht="16" customHeight="1" s="4" customFormat="1">
      <c r="A311" s="5">
        <v>45856</v>
      </c>
      <c r="B311" s="4" t="s">
        <v>831</v>
      </c>
      <c r="C311" s="4" t="s">
        <v>2317</v>
      </c>
      <c r="D311" s="4" t="s">
        <v>2968</v>
      </c>
      <c r="E311" s="4" t="s">
        <v>2969</v>
      </c>
      <c r="F311" s="4"/>
      <c r="G311" s="4"/>
    </row>
    <row r="312" ht="16" customHeight="1" s="4" customFormat="1">
      <c r="A312" s="5">
        <v>45856</v>
      </c>
      <c r="B312" s="4" t="s">
        <v>831</v>
      </c>
      <c r="C312" s="4" t="s">
        <v>2317</v>
      </c>
      <c r="D312" s="4" t="s">
        <v>2970</v>
      </c>
      <c r="E312" s="4" t="s">
        <v>2971</v>
      </c>
      <c r="F312" s="4"/>
      <c r="G312" s="4"/>
    </row>
    <row r="313" ht="16" customHeight="1" s="4" customFormat="1">
      <c r="A313" s="5">
        <v>45856</v>
      </c>
      <c r="B313" s="4" t="s">
        <v>831</v>
      </c>
      <c r="C313" s="4" t="s">
        <v>2317</v>
      </c>
      <c r="D313" s="4" t="s">
        <v>2972</v>
      </c>
      <c r="E313" s="4" t="s">
        <v>2973</v>
      </c>
      <c r="F313" s="4"/>
      <c r="G313" s="4"/>
    </row>
    <row r="314" ht="16" customHeight="1" s="4" customFormat="1">
      <c r="A314" s="5">
        <v>45856</v>
      </c>
      <c r="B314" s="4" t="s">
        <v>831</v>
      </c>
      <c r="C314" s="4" t="s">
        <v>2523</v>
      </c>
      <c r="D314" s="4" t="s">
        <v>2524</v>
      </c>
      <c r="E314" s="4" t="s">
        <v>2974</v>
      </c>
      <c r="F314" s="4"/>
      <c r="G314" s="4"/>
    </row>
    <row r="315" ht="16" customHeight="1" s="4" customFormat="1">
      <c r="A315" s="5">
        <v>45855</v>
      </c>
      <c r="B315" s="4" t="s">
        <v>2331</v>
      </c>
      <c r="C315" s="4" t="s">
        <v>2490</v>
      </c>
      <c r="D315" s="4" t="s">
        <v>2975</v>
      </c>
      <c r="E315" s="4" t="s">
        <v>2976</v>
      </c>
      <c r="F315" s="4"/>
      <c r="G315" s="4"/>
    </row>
    <row r="316" ht="16" customHeight="1" s="4" customFormat="1">
      <c r="A316" s="5">
        <v>45855</v>
      </c>
      <c r="B316" s="4" t="s">
        <v>2331</v>
      </c>
      <c r="C316" s="4" t="s">
        <v>2490</v>
      </c>
      <c r="D316" s="4" t="s">
        <v>2977</v>
      </c>
      <c r="E316" s="4" t="s">
        <v>2976</v>
      </c>
      <c r="F316" s="4"/>
      <c r="G316" s="4"/>
    </row>
    <row r="317" ht="16" customHeight="1" s="4" customFormat="1">
      <c r="A317" s="5">
        <v>45855</v>
      </c>
      <c r="B317" s="4" t="s">
        <v>2331</v>
      </c>
      <c r="C317" s="4" t="s">
        <v>2618</v>
      </c>
      <c r="D317" s="4" t="s">
        <v>2978</v>
      </c>
      <c r="E317" s="4" t="s">
        <v>2979</v>
      </c>
      <c r="F317" s="4"/>
      <c r="G317" s="4"/>
    </row>
    <row r="318" ht="16" customHeight="1" s="4" customFormat="1">
      <c r="A318" s="5">
        <v>45854</v>
      </c>
      <c r="B318" s="4" t="s">
        <v>831</v>
      </c>
      <c r="C318" s="4" t="s">
        <v>2317</v>
      </c>
      <c r="D318" s="4" t="s">
        <v>2980</v>
      </c>
      <c r="E318" s="4" t="s">
        <v>2981</v>
      </c>
      <c r="F318" s="4"/>
      <c r="G318" s="4"/>
    </row>
    <row r="319" ht="16" customHeight="1" s="4" customFormat="1">
      <c r="A319" s="5">
        <v>45853</v>
      </c>
      <c r="B319" s="4" t="s">
        <v>831</v>
      </c>
      <c r="C319" s="4" t="s">
        <v>2317</v>
      </c>
      <c r="D319" s="4" t="s">
        <v>2982</v>
      </c>
      <c r="E319" s="4" t="s">
        <v>2983</v>
      </c>
      <c r="F319" s="4"/>
      <c r="G319" s="4"/>
    </row>
    <row r="320" ht="16" customHeight="1" s="4" customFormat="1">
      <c r="A320" s="5">
        <v>45853</v>
      </c>
      <c r="B320" s="4" t="s">
        <v>831</v>
      </c>
      <c r="C320" s="4" t="s">
        <v>2317</v>
      </c>
      <c r="D320" s="4" t="s">
        <v>2984</v>
      </c>
      <c r="E320" s="4" t="s">
        <v>2985</v>
      </c>
      <c r="F320" s="4"/>
      <c r="G320" s="4"/>
    </row>
    <row r="321" ht="16" customHeight="1" s="4" customFormat="1">
      <c r="A321" s="5">
        <v>45852</v>
      </c>
      <c r="B321" s="4" t="s">
        <v>831</v>
      </c>
      <c r="C321" s="4" t="s">
        <v>2317</v>
      </c>
      <c r="D321" s="4" t="s">
        <v>2986</v>
      </c>
      <c r="E321" s="4" t="s">
        <v>2987</v>
      </c>
      <c r="F321" s="4"/>
      <c r="G321" s="4"/>
    </row>
    <row r="322" ht="16" customHeight="1" s="4" customFormat="1">
      <c r="A322" s="5">
        <v>45851</v>
      </c>
      <c r="B322" s="4" t="s">
        <v>831</v>
      </c>
      <c r="C322" s="4" t="s">
        <v>2317</v>
      </c>
      <c r="D322" s="4" t="s">
        <v>2988</v>
      </c>
      <c r="E322" s="4" t="s">
        <v>2989</v>
      </c>
      <c r="F322" s="4"/>
      <c r="G322" s="4"/>
    </row>
    <row r="323" ht="16" customHeight="1" s="4" customFormat="1">
      <c r="A323" s="5">
        <v>45850</v>
      </c>
      <c r="B323" s="4" t="s">
        <v>831</v>
      </c>
      <c r="C323" s="4" t="s">
        <v>2317</v>
      </c>
      <c r="D323" s="4" t="s">
        <v>2990</v>
      </c>
      <c r="E323" s="4" t="s">
        <v>2991</v>
      </c>
      <c r="F323" s="4"/>
      <c r="G323" s="4"/>
    </row>
    <row r="324" ht="16" customHeight="1" s="4" customFormat="1">
      <c r="A324" s="5">
        <v>45849</v>
      </c>
      <c r="B324" s="4" t="s">
        <v>831</v>
      </c>
      <c r="C324" s="4" t="s">
        <v>2317</v>
      </c>
      <c r="D324" s="4" t="s">
        <v>2992</v>
      </c>
      <c r="E324" s="4" t="s">
        <v>2993</v>
      </c>
      <c r="F324" s="4"/>
      <c r="G324" s="4"/>
    </row>
    <row r="325" ht="16" customHeight="1" s="4" customFormat="1">
      <c r="A325" s="5">
        <v>45849</v>
      </c>
      <c r="B325" s="4" t="s">
        <v>2331</v>
      </c>
      <c r="C325" s="4" t="s">
        <v>2349</v>
      </c>
      <c r="D325" s="4" t="s">
        <v>2994</v>
      </c>
      <c r="E325" s="4" t="s">
        <v>2995</v>
      </c>
      <c r="F325" s="4"/>
      <c r="G325" s="4"/>
    </row>
    <row r="326" ht="16" customHeight="1" s="4" customFormat="1">
      <c r="A326" s="5">
        <v>45849</v>
      </c>
      <c r="B326" s="4" t="s">
        <v>2331</v>
      </c>
      <c r="C326" s="4" t="s">
        <v>2497</v>
      </c>
      <c r="D326" s="4" t="s">
        <v>2996</v>
      </c>
      <c r="E326" s="4" t="s">
        <v>2997</v>
      </c>
      <c r="F326" s="4"/>
      <c r="G326" s="4"/>
    </row>
    <row r="327" ht="16" customHeight="1" s="4" customFormat="1">
      <c r="A327" s="5">
        <v>45848</v>
      </c>
      <c r="B327" s="4" t="s">
        <v>831</v>
      </c>
      <c r="C327" s="4" t="s">
        <v>2317</v>
      </c>
      <c r="D327" s="4" t="s">
        <v>2998</v>
      </c>
      <c r="E327" s="4" t="s">
        <v>2999</v>
      </c>
      <c r="F327" s="4"/>
      <c r="G327" s="4"/>
    </row>
    <row r="328" ht="16" customHeight="1" s="4" customFormat="1">
      <c r="A328" s="5">
        <v>45848</v>
      </c>
      <c r="B328" s="4" t="s">
        <v>831</v>
      </c>
      <c r="C328" s="4" t="s">
        <v>2317</v>
      </c>
      <c r="D328" s="4" t="s">
        <v>3000</v>
      </c>
      <c r="E328" s="4" t="s">
        <v>3001</v>
      </c>
      <c r="F328" s="4"/>
      <c r="G328" s="4"/>
    </row>
    <row r="329" ht="16" customHeight="1" s="4" customFormat="1">
      <c r="A329" s="5">
        <v>45848</v>
      </c>
      <c r="B329" s="4" t="s">
        <v>831</v>
      </c>
      <c r="C329" s="4" t="s">
        <v>2317</v>
      </c>
      <c r="D329" s="4" t="s">
        <v>3002</v>
      </c>
      <c r="E329" s="4" t="s">
        <v>3003</v>
      </c>
      <c r="F329" s="4"/>
      <c r="G329" s="4"/>
    </row>
    <row r="330" ht="16" customHeight="1" s="4" customFormat="1">
      <c r="A330" s="5">
        <v>45848</v>
      </c>
      <c r="B330" s="4" t="s">
        <v>831</v>
      </c>
      <c r="C330" s="4" t="s">
        <v>2317</v>
      </c>
      <c r="D330" s="4" t="s">
        <v>3004</v>
      </c>
      <c r="E330" s="4" t="s">
        <v>3005</v>
      </c>
      <c r="F330" s="4"/>
      <c r="G330" s="4"/>
    </row>
    <row r="331" ht="16" customHeight="1" s="4" customFormat="1">
      <c r="A331" s="5">
        <v>45848</v>
      </c>
      <c r="B331" s="4" t="s">
        <v>831</v>
      </c>
      <c r="C331" s="4" t="s">
        <v>2317</v>
      </c>
      <c r="D331" s="4" t="s">
        <v>3006</v>
      </c>
      <c r="E331" s="4" t="s">
        <v>3007</v>
      </c>
      <c r="F331" s="4"/>
      <c r="G331" s="4"/>
    </row>
    <row r="332" ht="16" customHeight="1" s="4" customFormat="1">
      <c r="A332" s="5">
        <v>45847</v>
      </c>
      <c r="B332" s="4" t="s">
        <v>831</v>
      </c>
      <c r="C332" s="4" t="s">
        <v>2317</v>
      </c>
      <c r="D332" s="4" t="s">
        <v>3008</v>
      </c>
      <c r="E332" s="4" t="s">
        <v>3009</v>
      </c>
      <c r="F332" s="4"/>
      <c r="G332" s="4"/>
    </row>
    <row r="333" ht="16" customHeight="1" s="4" customFormat="1">
      <c r="A333" s="5">
        <v>45847</v>
      </c>
      <c r="B333" s="4" t="s">
        <v>1267</v>
      </c>
      <c r="C333" s="4" t="s">
        <v>2324</v>
      </c>
      <c r="D333" s="4" t="s">
        <v>3010</v>
      </c>
      <c r="E333" s="4" t="s">
        <v>3011</v>
      </c>
      <c r="F333" s="4"/>
      <c r="G333" s="4"/>
    </row>
    <row r="334" ht="16" customHeight="1" s="4" customFormat="1">
      <c r="A334" s="5">
        <v>45847</v>
      </c>
      <c r="B334" s="4" t="s">
        <v>1267</v>
      </c>
      <c r="C334" s="4" t="s">
        <v>2457</v>
      </c>
      <c r="D334" s="4" t="s">
        <v>3012</v>
      </c>
      <c r="E334" s="4" t="s">
        <v>3013</v>
      </c>
      <c r="F334" s="4"/>
      <c r="G334" s="4"/>
    </row>
    <row r="335" ht="16" customHeight="1" s="4" customFormat="1">
      <c r="A335" s="5">
        <v>45846</v>
      </c>
      <c r="B335" s="4" t="s">
        <v>831</v>
      </c>
      <c r="C335" s="4" t="s">
        <v>2317</v>
      </c>
      <c r="D335" s="4" t="s">
        <v>3014</v>
      </c>
      <c r="E335" s="4" t="s">
        <v>3015</v>
      </c>
      <c r="F335" s="4"/>
      <c r="G335" s="4"/>
    </row>
    <row r="336" ht="16" customHeight="1" s="4" customFormat="1">
      <c r="A336" s="5">
        <v>45846</v>
      </c>
      <c r="B336" s="4" t="s">
        <v>831</v>
      </c>
      <c r="C336" s="4" t="s">
        <v>2317</v>
      </c>
      <c r="D336" s="4" t="s">
        <v>3016</v>
      </c>
      <c r="E336" s="4" t="s">
        <v>3017</v>
      </c>
      <c r="F336" s="4"/>
      <c r="G336" s="4"/>
    </row>
    <row r="337" ht="16" customHeight="1" s="4" customFormat="1">
      <c r="A337" s="5">
        <v>45846</v>
      </c>
      <c r="B337" s="4" t="s">
        <v>2331</v>
      </c>
      <c r="C337" s="4" t="s">
        <v>2344</v>
      </c>
      <c r="D337" s="4" t="s">
        <v>3018</v>
      </c>
      <c r="E337" s="4" t="s">
        <v>3019</v>
      </c>
      <c r="F337" s="4"/>
      <c r="G337" s="4"/>
    </row>
    <row r="338" ht="16" customHeight="1" s="4" customFormat="1">
      <c r="A338" s="5">
        <v>45844</v>
      </c>
      <c r="B338" s="4" t="s">
        <v>831</v>
      </c>
      <c r="C338" s="4" t="s">
        <v>2317</v>
      </c>
      <c r="D338" s="4" t="s">
        <v>3020</v>
      </c>
      <c r="E338" s="4" t="s">
        <v>3021</v>
      </c>
      <c r="F338" s="4"/>
      <c r="G338" s="4"/>
    </row>
    <row r="339" ht="16" customHeight="1" s="4" customFormat="1">
      <c r="A339" s="5">
        <v>45843</v>
      </c>
      <c r="B339" s="4" t="s">
        <v>831</v>
      </c>
      <c r="C339" s="4" t="s">
        <v>2317</v>
      </c>
      <c r="D339" s="4" t="s">
        <v>3022</v>
      </c>
      <c r="E339" s="4" t="s">
        <v>3023</v>
      </c>
      <c r="F339" s="4"/>
      <c r="G339" s="4"/>
    </row>
    <row r="340" ht="16" customHeight="1" s="4" customFormat="1">
      <c r="A340" s="5">
        <v>45842</v>
      </c>
      <c r="B340" s="4" t="s">
        <v>831</v>
      </c>
      <c r="C340" s="4" t="s">
        <v>2317</v>
      </c>
      <c r="D340" s="4" t="s">
        <v>3024</v>
      </c>
      <c r="E340" s="4" t="s">
        <v>3025</v>
      </c>
      <c r="F340" s="4"/>
      <c r="G340" s="4"/>
    </row>
    <row r="341" ht="16" customHeight="1" s="4" customFormat="1">
      <c r="A341" s="5">
        <v>45842</v>
      </c>
      <c r="B341" s="4" t="s">
        <v>1267</v>
      </c>
      <c r="C341" s="4" t="s">
        <v>2613</v>
      </c>
      <c r="D341" s="4" t="s">
        <v>3026</v>
      </c>
      <c r="E341" s="4" t="s">
        <v>3027</v>
      </c>
      <c r="F341" s="4"/>
      <c r="G341" s="4"/>
    </row>
    <row r="342" ht="16" customHeight="1" s="4" customFormat="1">
      <c r="A342" s="5">
        <v>45841</v>
      </c>
      <c r="B342" s="4" t="s">
        <v>831</v>
      </c>
      <c r="C342" s="4" t="s">
        <v>2558</v>
      </c>
      <c r="D342" s="4" t="s">
        <v>3028</v>
      </c>
      <c r="E342" s="4" t="s">
        <v>3029</v>
      </c>
      <c r="F342" s="4"/>
      <c r="G342" s="4"/>
    </row>
    <row r="343" ht="16" customHeight="1" s="4" customFormat="1">
      <c r="A343" s="5">
        <v>45841</v>
      </c>
      <c r="B343" s="4" t="s">
        <v>1267</v>
      </c>
      <c r="C343" s="4" t="s">
        <v>2457</v>
      </c>
      <c r="D343" s="4" t="s">
        <v>3030</v>
      </c>
      <c r="E343" s="4" t="s">
        <v>3031</v>
      </c>
      <c r="F343" s="4"/>
      <c r="G343" s="4"/>
    </row>
    <row r="344" ht="16" customHeight="1" s="4" customFormat="1">
      <c r="A344" s="5">
        <v>45840</v>
      </c>
      <c r="B344" s="4" t="s">
        <v>831</v>
      </c>
      <c r="C344" s="4" t="s">
        <v>2317</v>
      </c>
      <c r="D344" s="4" t="s">
        <v>3032</v>
      </c>
      <c r="E344" s="4" t="s">
        <v>3033</v>
      </c>
      <c r="F344" s="4"/>
      <c r="G344" s="4"/>
    </row>
    <row r="345" ht="16" customHeight="1" s="4" customFormat="1">
      <c r="A345" s="5">
        <v>45839</v>
      </c>
      <c r="B345" s="4" t="s">
        <v>831</v>
      </c>
      <c r="C345" s="4" t="s">
        <v>2317</v>
      </c>
      <c r="D345" s="4" t="s">
        <v>3034</v>
      </c>
      <c r="E345" s="4" t="s">
        <v>3035</v>
      </c>
      <c r="F345" s="4"/>
      <c r="G345" s="4"/>
    </row>
    <row r="346" ht="16" customHeight="1" s="4" customFormat="1">
      <c r="A346" s="5">
        <v>45839</v>
      </c>
      <c r="B346" s="4" t="s">
        <v>2331</v>
      </c>
      <c r="C346" s="4" t="s">
        <v>2344</v>
      </c>
      <c r="D346" s="4" t="s">
        <v>3036</v>
      </c>
      <c r="E346" s="4" t="s">
        <v>3037</v>
      </c>
      <c r="F346" s="4"/>
      <c r="G346" s="4"/>
    </row>
    <row r="347" ht="16" customHeight="1" s="4" customFormat="1">
      <c r="A347" s="5">
        <v>45838</v>
      </c>
      <c r="B347" s="4" t="s">
        <v>831</v>
      </c>
      <c r="C347" s="4" t="s">
        <v>2317</v>
      </c>
      <c r="D347" s="4" t="s">
        <v>3038</v>
      </c>
      <c r="E347" s="4" t="s">
        <v>3039</v>
      </c>
      <c r="F347" s="4"/>
      <c r="G347" s="4"/>
    </row>
    <row r="348" ht="16" customHeight="1" s="4" customFormat="1">
      <c r="A348" s="5">
        <v>45838</v>
      </c>
      <c r="B348" s="4" t="s">
        <v>2331</v>
      </c>
      <c r="C348" s="4" t="s">
        <v>2332</v>
      </c>
      <c r="D348" s="4" t="s">
        <v>3040</v>
      </c>
      <c r="E348" s="4" t="s">
        <v>3041</v>
      </c>
      <c r="F348" s="4"/>
      <c r="G348" s="4"/>
    </row>
    <row r="349" ht="16" customHeight="1" s="4" customFormat="1">
      <c r="A349" s="5">
        <v>45838</v>
      </c>
      <c r="B349" s="4" t="s">
        <v>831</v>
      </c>
      <c r="C349" s="4" t="s">
        <v>2743</v>
      </c>
      <c r="D349" s="4" t="s">
        <v>3042</v>
      </c>
      <c r="E349" s="4"/>
      <c r="F349" s="4"/>
      <c r="G349" s="4"/>
    </row>
    <row r="350" ht="16" customHeight="1" s="4" customFormat="1">
      <c r="A350" s="5">
        <v>45835</v>
      </c>
      <c r="B350" s="4" t="s">
        <v>2331</v>
      </c>
      <c r="C350" s="4" t="s">
        <v>2134</v>
      </c>
      <c r="D350" s="4" t="s">
        <v>3043</v>
      </c>
      <c r="E350" s="4" t="s">
        <v>3044</v>
      </c>
      <c r="F350" s="4"/>
      <c r="G350" s="4"/>
    </row>
    <row r="351" ht="16" customHeight="1" s="4" customFormat="1">
      <c r="A351" s="5">
        <v>45835</v>
      </c>
      <c r="B351" s="4" t="s">
        <v>2331</v>
      </c>
      <c r="C351" s="4" t="s">
        <v>2344</v>
      </c>
      <c r="D351" s="4" t="s">
        <v>3045</v>
      </c>
      <c r="E351" s="4" t="s">
        <v>3046</v>
      </c>
      <c r="F351" s="4"/>
      <c r="G351" s="4"/>
    </row>
    <row r="352" ht="16" customHeight="1" s="4" customFormat="1">
      <c r="A352" s="5">
        <v>45834</v>
      </c>
      <c r="B352" s="4" t="s">
        <v>2331</v>
      </c>
      <c r="C352" s="4" t="s">
        <v>2537</v>
      </c>
      <c r="D352" s="4" t="s">
        <v>3047</v>
      </c>
      <c r="E352" s="4" t="s">
        <v>3048</v>
      </c>
      <c r="F352" s="4"/>
      <c r="G352" s="4"/>
    </row>
    <row r="353" ht="16" customHeight="1" s="4" customFormat="1">
      <c r="A353" s="5">
        <v>45834</v>
      </c>
      <c r="B353" s="4" t="s">
        <v>2331</v>
      </c>
      <c r="C353" s="4" t="s">
        <v>2344</v>
      </c>
      <c r="D353" s="4" t="s">
        <v>3049</v>
      </c>
      <c r="E353" s="4" t="s">
        <v>3050</v>
      </c>
      <c r="F353" s="4"/>
      <c r="G353" s="4"/>
    </row>
    <row r="354" ht="16" customHeight="1" s="4" customFormat="1">
      <c r="A354" s="5">
        <v>45834</v>
      </c>
      <c r="B354" s="4" t="s">
        <v>831</v>
      </c>
      <c r="C354" s="4" t="s">
        <v>2743</v>
      </c>
      <c r="D354" s="4" t="s">
        <v>3051</v>
      </c>
      <c r="E354" s="4"/>
      <c r="F354" s="4"/>
      <c r="G354" s="4"/>
    </row>
    <row r="355" ht="16" customHeight="1" s="4" customFormat="1">
      <c r="A355" s="5">
        <v>45833</v>
      </c>
      <c r="B355" s="4" t="s">
        <v>831</v>
      </c>
      <c r="C355" s="4" t="s">
        <v>2743</v>
      </c>
      <c r="D355" s="4" t="s">
        <v>3052</v>
      </c>
      <c r="E355" s="4"/>
      <c r="F355" s="4"/>
      <c r="G355" s="4"/>
    </row>
    <row r="356" ht="16" customHeight="1" s="4" customFormat="1">
      <c r="A356" s="5">
        <v>45833</v>
      </c>
      <c r="B356" s="4" t="s">
        <v>2331</v>
      </c>
      <c r="C356" s="4" t="s">
        <v>2537</v>
      </c>
      <c r="D356" s="4" t="s">
        <v>3053</v>
      </c>
      <c r="E356" s="4" t="s">
        <v>3054</v>
      </c>
      <c r="F356" s="4"/>
      <c r="G356" s="4"/>
    </row>
    <row r="357" ht="16" customHeight="1" s="4" customFormat="1">
      <c r="A357" s="5">
        <v>45832</v>
      </c>
      <c r="B357" s="4" t="s">
        <v>831</v>
      </c>
      <c r="C357" s="4" t="s">
        <v>2317</v>
      </c>
      <c r="D357" s="4" t="s">
        <v>3055</v>
      </c>
      <c r="E357" s="4" t="s">
        <v>3056</v>
      </c>
      <c r="F357" s="4"/>
      <c r="G357" s="4"/>
    </row>
    <row r="358" ht="16" customHeight="1" s="4" customFormat="1">
      <c r="A358" s="5">
        <v>45831</v>
      </c>
      <c r="B358" s="4" t="s">
        <v>831</v>
      </c>
      <c r="C358" s="4" t="s">
        <v>2436</v>
      </c>
      <c r="D358" s="4" t="s">
        <v>3057</v>
      </c>
      <c r="E358" s="4" t="s">
        <v>3058</v>
      </c>
      <c r="F358" s="4"/>
      <c r="G358" s="4"/>
    </row>
    <row r="359" ht="16" customHeight="1" s="4" customFormat="1">
      <c r="A359" s="5">
        <v>45830</v>
      </c>
      <c r="B359" s="4" t="s">
        <v>831</v>
      </c>
      <c r="C359" s="4" t="s">
        <v>2436</v>
      </c>
      <c r="D359" s="4" t="s">
        <v>3059</v>
      </c>
      <c r="E359" s="4" t="s">
        <v>3060</v>
      </c>
      <c r="F359" s="4"/>
      <c r="G359" s="4"/>
    </row>
    <row r="360" ht="16" customHeight="1" s="4" customFormat="1">
      <c r="A360" s="5">
        <v>45828</v>
      </c>
      <c r="B360" s="4" t="s">
        <v>831</v>
      </c>
      <c r="C360" s="4" t="s">
        <v>2743</v>
      </c>
      <c r="D360" s="4" t="s">
        <v>3061</v>
      </c>
      <c r="E360" s="4"/>
      <c r="F360" s="4"/>
      <c r="G360" s="4"/>
    </row>
    <row r="361" ht="16" customHeight="1" s="4" customFormat="1">
      <c r="A361" s="5">
        <v>45827</v>
      </c>
      <c r="B361" s="4" t="s">
        <v>831</v>
      </c>
      <c r="C361" s="4" t="s">
        <v>2317</v>
      </c>
      <c r="D361" s="4" t="s">
        <v>3062</v>
      </c>
      <c r="E361" s="4" t="s">
        <v>3063</v>
      </c>
      <c r="F361" s="4"/>
      <c r="G361" s="4"/>
    </row>
    <row r="362" ht="16" customHeight="1" s="4" customFormat="1">
      <c r="A362" s="5">
        <v>45826</v>
      </c>
      <c r="B362" s="4" t="s">
        <v>831</v>
      </c>
      <c r="C362" s="4" t="s">
        <v>2436</v>
      </c>
      <c r="D362" s="4" t="s">
        <v>3064</v>
      </c>
      <c r="E362" s="4" t="s">
        <v>3065</v>
      </c>
      <c r="F362" s="4"/>
      <c r="G362" s="4"/>
    </row>
    <row r="363" ht="16" customHeight="1" s="4" customFormat="1">
      <c r="A363" s="5">
        <v>45826</v>
      </c>
      <c r="B363" s="4" t="s">
        <v>831</v>
      </c>
      <c r="C363" s="4" t="s">
        <v>2571</v>
      </c>
      <c r="D363" s="4" t="s">
        <v>3066</v>
      </c>
      <c r="E363" s="4" t="s">
        <v>3067</v>
      </c>
      <c r="F363" s="4"/>
      <c r="G363" s="4"/>
    </row>
    <row r="364" ht="16" customHeight="1" s="4" customFormat="1">
      <c r="A364" s="5">
        <v>45825</v>
      </c>
      <c r="B364" s="4" t="s">
        <v>2331</v>
      </c>
      <c r="C364" s="4" t="s">
        <v>2452</v>
      </c>
      <c r="D364" s="4" t="s">
        <v>3068</v>
      </c>
      <c r="E364" s="4" t="s">
        <v>3069</v>
      </c>
      <c r="F364" s="4"/>
      <c r="G364" s="4"/>
    </row>
    <row r="365" ht="16" customHeight="1" s="4" customFormat="1">
      <c r="A365" s="5">
        <v>45825</v>
      </c>
      <c r="B365" s="4" t="s">
        <v>831</v>
      </c>
      <c r="C365" s="4" t="s">
        <v>2571</v>
      </c>
      <c r="D365" s="4" t="s">
        <v>3070</v>
      </c>
      <c r="E365" s="4" t="s">
        <v>3071</v>
      </c>
      <c r="F365" s="4"/>
      <c r="G365" s="4"/>
    </row>
    <row r="366" ht="16" customHeight="1" s="4" customFormat="1">
      <c r="A366" s="5">
        <v>45823</v>
      </c>
      <c r="B366" s="4" t="s">
        <v>831</v>
      </c>
      <c r="C366" s="4" t="s">
        <v>2701</v>
      </c>
      <c r="D366" s="4" t="s">
        <v>3072</v>
      </c>
      <c r="E366" s="4" t="s">
        <v>3073</v>
      </c>
      <c r="F366" s="4"/>
      <c r="G366" s="4"/>
    </row>
    <row r="367" ht="16" customHeight="1" s="4" customFormat="1">
      <c r="A367" s="5">
        <v>45823</v>
      </c>
      <c r="B367" s="4" t="s">
        <v>831</v>
      </c>
      <c r="C367" s="4" t="s">
        <v>2701</v>
      </c>
      <c r="D367" s="4" t="s">
        <v>3074</v>
      </c>
      <c r="E367" s="4" t="s">
        <v>3075</v>
      </c>
      <c r="F367" s="4"/>
      <c r="G367" s="4"/>
    </row>
    <row r="368" ht="16" customHeight="1" s="4" customFormat="1">
      <c r="A368" s="5">
        <v>45822</v>
      </c>
      <c r="B368" s="4" t="s">
        <v>831</v>
      </c>
      <c r="C368" s="4" t="s">
        <v>2317</v>
      </c>
      <c r="D368" s="4" t="s">
        <v>3076</v>
      </c>
      <c r="E368" s="4" t="s">
        <v>3077</v>
      </c>
      <c r="F368" s="4"/>
      <c r="G368" s="4"/>
    </row>
    <row r="369" ht="16" customHeight="1" s="4" customFormat="1">
      <c r="A369" s="5">
        <v>45820</v>
      </c>
      <c r="B369" s="4" t="s">
        <v>831</v>
      </c>
      <c r="C369" s="4" t="s">
        <v>2317</v>
      </c>
      <c r="D369" s="4" t="s">
        <v>3078</v>
      </c>
      <c r="E369" s="4" t="s">
        <v>3079</v>
      </c>
      <c r="F369" s="4"/>
      <c r="G369" s="4"/>
    </row>
    <row r="370" ht="16" customHeight="1" s="4" customFormat="1">
      <c r="A370" s="5">
        <v>45819</v>
      </c>
      <c r="B370" s="4" t="s">
        <v>831</v>
      </c>
      <c r="C370" s="4" t="s">
        <v>2317</v>
      </c>
      <c r="D370" s="4" t="s">
        <v>3080</v>
      </c>
      <c r="E370" s="4" t="s">
        <v>3081</v>
      </c>
      <c r="F370" s="4"/>
      <c r="G370" s="4"/>
    </row>
    <row r="371" ht="16" customHeight="1" s="4" customFormat="1">
      <c r="A371" s="5">
        <v>45819</v>
      </c>
      <c r="B371" s="4" t="s">
        <v>831</v>
      </c>
      <c r="C371" s="4" t="s">
        <v>2317</v>
      </c>
      <c r="D371" s="4" t="s">
        <v>3082</v>
      </c>
      <c r="E371" s="4" t="s">
        <v>3083</v>
      </c>
      <c r="F371" s="4"/>
      <c r="G371" s="4"/>
    </row>
    <row r="372" ht="16" customHeight="1" s="4" customFormat="1">
      <c r="A372" s="5">
        <v>45818</v>
      </c>
      <c r="B372" s="4" t="s">
        <v>831</v>
      </c>
      <c r="C372" s="4" t="s">
        <v>2317</v>
      </c>
      <c r="D372" s="4" t="s">
        <v>3084</v>
      </c>
      <c r="E372" s="4" t="s">
        <v>3085</v>
      </c>
      <c r="F372" s="4"/>
      <c r="G372" s="4"/>
    </row>
    <row r="373" ht="16" customHeight="1" s="4" customFormat="1">
      <c r="A373" s="5">
        <v>45817</v>
      </c>
      <c r="B373" s="4" t="s">
        <v>831</v>
      </c>
      <c r="C373" s="4" t="s">
        <v>2317</v>
      </c>
      <c r="D373" s="4" t="s">
        <v>3086</v>
      </c>
      <c r="E373" s="4" t="s">
        <v>3087</v>
      </c>
      <c r="F373" s="4"/>
      <c r="G373" s="4"/>
    </row>
    <row r="374" ht="16" customHeight="1" s="4" customFormat="1">
      <c r="A374" s="5">
        <v>45815</v>
      </c>
      <c r="B374" s="4" t="s">
        <v>831</v>
      </c>
      <c r="C374" s="4" t="s">
        <v>2317</v>
      </c>
      <c r="D374" s="4" t="s">
        <v>3088</v>
      </c>
      <c r="E374" s="4" t="s">
        <v>3089</v>
      </c>
      <c r="F374" s="4"/>
      <c r="G374" s="4"/>
    </row>
    <row r="375" ht="16" customHeight="1" s="4" customFormat="1">
      <c r="A375" s="5">
        <v>45814</v>
      </c>
      <c r="B375" s="4" t="s">
        <v>831</v>
      </c>
      <c r="C375" s="4" t="s">
        <v>2317</v>
      </c>
      <c r="D375" s="4" t="s">
        <v>3090</v>
      </c>
      <c r="E375" s="4" t="s">
        <v>3091</v>
      </c>
      <c r="F375" s="4"/>
      <c r="G375" s="4"/>
    </row>
    <row r="376" ht="16" customHeight="1" s="4" customFormat="1">
      <c r="A376" s="5">
        <v>45813</v>
      </c>
      <c r="B376" s="4" t="s">
        <v>2331</v>
      </c>
      <c r="C376" s="4" t="s">
        <v>2332</v>
      </c>
      <c r="D376" s="4" t="s">
        <v>3092</v>
      </c>
      <c r="E376" s="4" t="s">
        <v>3093</v>
      </c>
      <c r="F376" s="4"/>
      <c r="G376" s="4"/>
    </row>
    <row r="377" ht="16" customHeight="1" s="4" customFormat="1">
      <c r="A377" s="5">
        <v>45813</v>
      </c>
      <c r="B377" s="4" t="s">
        <v>2331</v>
      </c>
      <c r="C377" s="4" t="s">
        <v>2938</v>
      </c>
      <c r="D377" s="4" t="s">
        <v>3094</v>
      </c>
      <c r="E377" s="4" t="s">
        <v>3095</v>
      </c>
      <c r="F377" s="4"/>
      <c r="G377" s="4"/>
    </row>
    <row r="378" ht="16" customHeight="1" s="4" customFormat="1">
      <c r="A378" s="5">
        <v>45812</v>
      </c>
      <c r="B378" s="4" t="s">
        <v>2331</v>
      </c>
      <c r="C378" s="4" t="s">
        <v>2369</v>
      </c>
      <c r="D378" s="4" t="s">
        <v>3096</v>
      </c>
      <c r="E378" s="4" t="s">
        <v>3097</v>
      </c>
      <c r="F378" s="4"/>
      <c r="G378" s="4"/>
    </row>
    <row r="379" ht="16" customHeight="1" s="4" customFormat="1">
      <c r="A379" s="5">
        <v>45812</v>
      </c>
      <c r="B379" s="4" t="s">
        <v>2331</v>
      </c>
      <c r="C379" s="4" t="s">
        <v>2332</v>
      </c>
      <c r="D379" s="4" t="s">
        <v>3098</v>
      </c>
      <c r="E379" s="4" t="s">
        <v>3099</v>
      </c>
      <c r="F379" s="4"/>
      <c r="G379" s="4"/>
    </row>
    <row r="380" ht="16" customHeight="1" s="4" customFormat="1">
      <c r="A380" s="5">
        <v>45812</v>
      </c>
      <c r="B380" s="4" t="s">
        <v>2331</v>
      </c>
      <c r="C380" s="4" t="s">
        <v>2537</v>
      </c>
      <c r="D380" s="4" t="s">
        <v>3100</v>
      </c>
      <c r="E380" s="4" t="s">
        <v>3101</v>
      </c>
      <c r="F380" s="4"/>
      <c r="G380" s="4"/>
    </row>
    <row r="381" ht="16" customHeight="1" s="4" customFormat="1">
      <c r="A381" s="5">
        <v>45811</v>
      </c>
      <c r="B381" s="4" t="s">
        <v>2331</v>
      </c>
      <c r="C381" s="4" t="s">
        <v>2369</v>
      </c>
      <c r="D381" s="4" t="s">
        <v>3102</v>
      </c>
      <c r="E381" s="4" t="s">
        <v>3103</v>
      </c>
      <c r="F381" s="4"/>
      <c r="G381" s="4"/>
    </row>
    <row r="382" ht="16" customHeight="1" s="4" customFormat="1">
      <c r="A382" s="5">
        <v>45807</v>
      </c>
      <c r="B382" s="4" t="s">
        <v>2331</v>
      </c>
      <c r="C382" s="4" t="s">
        <v>2369</v>
      </c>
      <c r="D382" s="4" t="s">
        <v>3104</v>
      </c>
      <c r="E382" s="4" t="s">
        <v>3105</v>
      </c>
      <c r="F382" s="4"/>
      <c r="G382" s="4"/>
    </row>
    <row r="383" ht="16" customHeight="1" s="4" customFormat="1">
      <c r="A383" s="5">
        <v>45807</v>
      </c>
      <c r="B383" s="4" t="s">
        <v>831</v>
      </c>
      <c r="C383" s="4" t="s">
        <v>2528</v>
      </c>
      <c r="D383" s="4" t="s">
        <v>2529</v>
      </c>
      <c r="E383" s="4" t="s">
        <v>3106</v>
      </c>
      <c r="F383" s="4"/>
      <c r="G383" s="4"/>
    </row>
    <row r="384" ht="16" customHeight="1" s="4" customFormat="1">
      <c r="A384" s="5">
        <v>45806</v>
      </c>
      <c r="B384" s="4" t="s">
        <v>2331</v>
      </c>
      <c r="C384" s="4" t="s">
        <v>3107</v>
      </c>
      <c r="D384" s="4" t="s">
        <v>3108</v>
      </c>
      <c r="E384" s="4" t="s">
        <v>3109</v>
      </c>
      <c r="F384" s="4"/>
      <c r="G384" s="4"/>
    </row>
    <row r="385" ht="16" customHeight="1" s="4" customFormat="1">
      <c r="A385" s="5">
        <v>45802</v>
      </c>
      <c r="B385" s="4" t="s">
        <v>831</v>
      </c>
      <c r="C385" s="4" t="s">
        <v>2317</v>
      </c>
      <c r="D385" s="4" t="s">
        <v>3110</v>
      </c>
      <c r="E385" s="4" t="s">
        <v>3111</v>
      </c>
      <c r="F385" s="4"/>
      <c r="G385" s="4"/>
    </row>
    <row r="386" ht="16" customHeight="1" s="4" customFormat="1">
      <c r="A386" s="5">
        <v>45802</v>
      </c>
      <c r="B386" s="4" t="s">
        <v>2331</v>
      </c>
      <c r="C386" s="4" t="s">
        <v>2332</v>
      </c>
      <c r="D386" s="4" t="s">
        <v>3112</v>
      </c>
      <c r="E386" s="4" t="s">
        <v>3113</v>
      </c>
      <c r="F386" s="4"/>
      <c r="G386" s="4"/>
    </row>
    <row r="387" ht="16" customHeight="1" s="4" customFormat="1">
      <c r="A387" s="5">
        <v>45801</v>
      </c>
      <c r="B387" s="4" t="s">
        <v>831</v>
      </c>
      <c r="C387" s="4" t="s">
        <v>2317</v>
      </c>
      <c r="D387" s="4" t="s">
        <v>3114</v>
      </c>
      <c r="E387" s="4" t="s">
        <v>3115</v>
      </c>
      <c r="F387" s="4"/>
      <c r="G387" s="4"/>
    </row>
    <row r="388" ht="16" customHeight="1" s="4" customFormat="1">
      <c r="A388" s="5">
        <v>45801</v>
      </c>
      <c r="B388" s="4" t="s">
        <v>2331</v>
      </c>
      <c r="C388" s="4" t="s">
        <v>2452</v>
      </c>
      <c r="D388" s="4" t="s">
        <v>3116</v>
      </c>
      <c r="E388" s="4" t="s">
        <v>3117</v>
      </c>
      <c r="F388" s="4"/>
      <c r="G388" s="4"/>
    </row>
    <row r="389" ht="16" customHeight="1" s="4" customFormat="1">
      <c r="A389" s="5">
        <v>45800</v>
      </c>
      <c r="B389" s="4" t="s">
        <v>831</v>
      </c>
      <c r="C389" s="4" t="s">
        <v>2701</v>
      </c>
      <c r="D389" s="4" t="s">
        <v>3118</v>
      </c>
      <c r="E389" s="4" t="s">
        <v>3119</v>
      </c>
      <c r="F389" s="4"/>
      <c r="G389" s="4"/>
    </row>
    <row r="390" ht="16" customHeight="1" s="4" customFormat="1">
      <c r="A390" s="5">
        <v>45800</v>
      </c>
      <c r="B390" s="4" t="s">
        <v>2331</v>
      </c>
      <c r="C390" s="4" t="s">
        <v>2452</v>
      </c>
      <c r="D390" s="4" t="s">
        <v>3120</v>
      </c>
      <c r="E390" s="4" t="s">
        <v>3121</v>
      </c>
      <c r="F390" s="4"/>
      <c r="G390" s="4"/>
    </row>
    <row r="391" ht="16" customHeight="1" s="4" customFormat="1">
      <c r="A391" s="5">
        <v>45799</v>
      </c>
      <c r="B391" s="4" t="s">
        <v>831</v>
      </c>
      <c r="C391" s="4" t="s">
        <v>2317</v>
      </c>
      <c r="D391" s="4" t="s">
        <v>3122</v>
      </c>
      <c r="E391" s="4" t="s">
        <v>3123</v>
      </c>
      <c r="F391" s="4"/>
      <c r="G391" s="4"/>
    </row>
    <row r="392" ht="16" customHeight="1" s="4" customFormat="1">
      <c r="A392" s="5">
        <v>45799</v>
      </c>
      <c r="B392" s="4" t="s">
        <v>1267</v>
      </c>
      <c r="C392" s="4" t="s">
        <v>2449</v>
      </c>
      <c r="D392" s="4" t="s">
        <v>3124</v>
      </c>
      <c r="E392" s="4" t="s">
        <v>3125</v>
      </c>
      <c r="F392" s="4"/>
      <c r="G392" s="4"/>
    </row>
    <row r="393" ht="16" customHeight="1" s="4" customFormat="1">
      <c r="A393" s="5">
        <v>45797</v>
      </c>
      <c r="B393" s="4" t="s">
        <v>831</v>
      </c>
      <c r="C393" s="4" t="s">
        <v>2317</v>
      </c>
      <c r="D393" s="4" t="s">
        <v>3126</v>
      </c>
      <c r="E393" s="4" t="s">
        <v>3127</v>
      </c>
      <c r="F393" s="4"/>
      <c r="G393" s="4"/>
    </row>
    <row r="394" ht="16" customHeight="1" s="4" customFormat="1">
      <c r="A394" s="5">
        <v>45796</v>
      </c>
      <c r="B394" s="4" t="s">
        <v>831</v>
      </c>
      <c r="C394" s="4" t="s">
        <v>2317</v>
      </c>
      <c r="D394" s="4" t="s">
        <v>3128</v>
      </c>
      <c r="E394" s="4" t="s">
        <v>3129</v>
      </c>
      <c r="F394" s="4"/>
      <c r="G394" s="4"/>
    </row>
    <row r="395" ht="16" customHeight="1" s="4" customFormat="1">
      <c r="A395" s="5">
        <v>45796</v>
      </c>
      <c r="B395" s="4" t="s">
        <v>831</v>
      </c>
      <c r="C395" s="4" t="s">
        <v>2317</v>
      </c>
      <c r="D395" s="4" t="s">
        <v>3130</v>
      </c>
      <c r="E395" s="4" t="s">
        <v>3131</v>
      </c>
      <c r="F395" s="4"/>
      <c r="G395" s="4"/>
    </row>
    <row r="396" ht="16" customHeight="1" s="4" customFormat="1">
      <c r="A396" s="5">
        <v>45795</v>
      </c>
      <c r="B396" s="4" t="s">
        <v>831</v>
      </c>
      <c r="C396" s="4" t="s">
        <v>2317</v>
      </c>
      <c r="D396" s="4" t="s">
        <v>3132</v>
      </c>
      <c r="E396" s="4" t="s">
        <v>3133</v>
      </c>
      <c r="F396" s="4"/>
      <c r="G396" s="4"/>
    </row>
    <row r="397" ht="16" customHeight="1" s="4" customFormat="1">
      <c r="A397" s="5">
        <v>45794</v>
      </c>
      <c r="B397" s="4" t="s">
        <v>2331</v>
      </c>
      <c r="C397" s="4" t="s">
        <v>2344</v>
      </c>
      <c r="D397" s="4" t="s">
        <v>3134</v>
      </c>
      <c r="E397" s="4" t="s">
        <v>3135</v>
      </c>
      <c r="F397" s="4"/>
      <c r="G397" s="4"/>
    </row>
    <row r="398" ht="16" customHeight="1" s="4" customFormat="1">
      <c r="A398" s="5">
        <v>45792</v>
      </c>
      <c r="B398" s="4" t="s">
        <v>2331</v>
      </c>
      <c r="C398" s="4" t="s">
        <v>2799</v>
      </c>
      <c r="D398" s="4" t="s">
        <v>3136</v>
      </c>
      <c r="E398" s="4" t="s">
        <v>3137</v>
      </c>
      <c r="F398" s="4"/>
      <c r="G398" s="4"/>
    </row>
    <row r="399" ht="16" customHeight="1" s="4" customFormat="1">
      <c r="A399" s="5">
        <v>45789</v>
      </c>
      <c r="B399" s="4" t="s">
        <v>2331</v>
      </c>
      <c r="C399" s="4" t="s">
        <v>2332</v>
      </c>
      <c r="D399" s="4" t="s">
        <v>3138</v>
      </c>
      <c r="E399" s="4" t="s">
        <v>3139</v>
      </c>
      <c r="F399" s="4"/>
      <c r="G399" s="4"/>
    </row>
    <row r="400" ht="16" customHeight="1" s="4" customFormat="1">
      <c r="A400" s="5">
        <v>45789</v>
      </c>
      <c r="B400" s="4" t="s">
        <v>2331</v>
      </c>
      <c r="C400" s="4" t="s">
        <v>2332</v>
      </c>
      <c r="D400" s="4" t="s">
        <v>3140</v>
      </c>
      <c r="E400" s="4" t="s">
        <v>3141</v>
      </c>
      <c r="F400" s="4"/>
      <c r="G400" s="4"/>
    </row>
    <row r="401" ht="16" customHeight="1" s="4" customFormat="1">
      <c r="A401" s="5">
        <v>45784</v>
      </c>
      <c r="B401" s="4" t="s">
        <v>831</v>
      </c>
      <c r="C401" s="4" t="s">
        <v>2317</v>
      </c>
      <c r="D401" s="4" t="s">
        <v>3142</v>
      </c>
      <c r="E401" s="4" t="s">
        <v>3143</v>
      </c>
      <c r="F401" s="4"/>
      <c r="G401" s="4"/>
    </row>
    <row r="402" ht="16" customHeight="1" s="4" customFormat="1">
      <c r="A402" s="5">
        <v>45781</v>
      </c>
      <c r="B402" s="4" t="s">
        <v>2331</v>
      </c>
      <c r="C402" s="4" t="s">
        <v>2452</v>
      </c>
      <c r="D402" s="4" t="s">
        <v>3144</v>
      </c>
      <c r="E402" s="4" t="s">
        <v>3145</v>
      </c>
      <c r="F402" s="4"/>
      <c r="G402" s="4"/>
    </row>
    <row r="403" ht="16" customHeight="1" s="4" customFormat="1">
      <c r="A403" s="5">
        <v>45780</v>
      </c>
      <c r="B403" s="4" t="s">
        <v>831</v>
      </c>
      <c r="C403" s="4" t="s">
        <v>2317</v>
      </c>
      <c r="D403" s="4" t="s">
        <v>3146</v>
      </c>
      <c r="E403" s="4" t="s">
        <v>3147</v>
      </c>
      <c r="F403" s="4"/>
      <c r="G403" s="4"/>
    </row>
    <row r="404" ht="16" customHeight="1" s="4" customFormat="1">
      <c r="A404" s="5">
        <v>45779</v>
      </c>
      <c r="B404" s="4" t="s">
        <v>831</v>
      </c>
      <c r="C404" s="4" t="s">
        <v>2317</v>
      </c>
      <c r="D404" s="4" t="s">
        <v>3148</v>
      </c>
      <c r="E404" s="4" t="s">
        <v>3149</v>
      </c>
      <c r="F404" s="4"/>
      <c r="G404" s="4"/>
    </row>
    <row r="405" ht="16" customHeight="1" s="4" customFormat="1">
      <c r="A405" s="5">
        <v>45779</v>
      </c>
      <c r="B405" s="4" t="s">
        <v>2331</v>
      </c>
      <c r="C405" s="4" t="s">
        <v>3107</v>
      </c>
      <c r="D405" s="4" t="s">
        <v>3150</v>
      </c>
      <c r="E405" s="4" t="s">
        <v>3151</v>
      </c>
      <c r="F405" s="4"/>
      <c r="G405" s="4"/>
    </row>
    <row r="406" ht="16" customHeight="1" s="4" customFormat="1">
      <c r="A406" s="5">
        <v>45777</v>
      </c>
      <c r="B406" s="4" t="s">
        <v>2331</v>
      </c>
      <c r="C406" s="4" t="s">
        <v>2537</v>
      </c>
      <c r="D406" s="4" t="s">
        <v>3152</v>
      </c>
      <c r="E406" s="4" t="s">
        <v>3153</v>
      </c>
      <c r="F406" s="4"/>
      <c r="G406" s="4"/>
    </row>
    <row r="407" ht="16" customHeight="1" s="4" customFormat="1">
      <c r="A407" s="5">
        <v>45777</v>
      </c>
      <c r="B407" s="4" t="s">
        <v>2331</v>
      </c>
      <c r="C407" s="4" t="s">
        <v>2349</v>
      </c>
      <c r="D407" s="4" t="s">
        <v>3154</v>
      </c>
      <c r="E407" s="4" t="s">
        <v>3155</v>
      </c>
      <c r="F407" s="4"/>
      <c r="G407" s="4"/>
    </row>
    <row r="408" ht="16" customHeight="1" s="4" customFormat="1">
      <c r="A408" s="5">
        <v>45777</v>
      </c>
      <c r="B408" s="4" t="s">
        <v>831</v>
      </c>
      <c r="C408" s="4" t="s">
        <v>2558</v>
      </c>
      <c r="D408" s="4" t="s">
        <v>3156</v>
      </c>
      <c r="E408" s="4" t="s">
        <v>3157</v>
      </c>
      <c r="F408" s="4"/>
      <c r="G408" s="4"/>
    </row>
    <row r="409" ht="16" customHeight="1" s="4" customFormat="1">
      <c r="A409" s="5">
        <v>45776</v>
      </c>
      <c r="B409" s="4" t="s">
        <v>2331</v>
      </c>
      <c r="C409" s="4" t="s">
        <v>2938</v>
      </c>
      <c r="D409" s="4" t="s">
        <v>3158</v>
      </c>
      <c r="E409" s="4" t="s">
        <v>3159</v>
      </c>
      <c r="F409" s="4"/>
      <c r="G409" s="4"/>
    </row>
    <row r="410" ht="16" customHeight="1" s="4" customFormat="1">
      <c r="A410" s="5">
        <v>45776</v>
      </c>
      <c r="B410" s="4" t="s">
        <v>831</v>
      </c>
      <c r="C410" s="4" t="s">
        <v>2558</v>
      </c>
      <c r="D410" s="4" t="s">
        <v>3160</v>
      </c>
      <c r="E410" s="4" t="s">
        <v>3161</v>
      </c>
      <c r="F410" s="4"/>
      <c r="G410" s="4"/>
    </row>
    <row r="411" ht="16" customHeight="1" s="4" customFormat="1">
      <c r="A411" s="5">
        <v>45776</v>
      </c>
      <c r="B411" s="4" t="s">
        <v>831</v>
      </c>
      <c r="C411" s="4" t="s">
        <v>2317</v>
      </c>
      <c r="D411" s="4" t="s">
        <v>3162</v>
      </c>
      <c r="E411" s="4" t="s">
        <v>3163</v>
      </c>
      <c r="F411" s="4"/>
      <c r="G411" s="4"/>
    </row>
    <row r="412" ht="16" customHeight="1" s="4" customFormat="1">
      <c r="A412" s="5">
        <v>45776</v>
      </c>
      <c r="B412" s="4" t="s">
        <v>831</v>
      </c>
      <c r="C412" s="4" t="s">
        <v>2743</v>
      </c>
      <c r="D412" s="4" t="s">
        <v>3164</v>
      </c>
      <c r="E412" s="4"/>
      <c r="F412" s="4"/>
      <c r="G412" s="4"/>
    </row>
    <row r="413" ht="16" customHeight="1" s="4" customFormat="1">
      <c r="A413" s="5">
        <v>45775</v>
      </c>
      <c r="B413" s="4" t="s">
        <v>831</v>
      </c>
      <c r="C413" s="4" t="s">
        <v>2743</v>
      </c>
      <c r="D413" s="4" t="s">
        <v>3165</v>
      </c>
      <c r="E413" s="4"/>
      <c r="F413" s="4"/>
      <c r="G413" s="4"/>
    </row>
    <row r="414" ht="16" customHeight="1" s="4" customFormat="1">
      <c r="A414" s="5">
        <v>45775</v>
      </c>
      <c r="B414" s="4" t="s">
        <v>831</v>
      </c>
      <c r="C414" s="4" t="s">
        <v>2317</v>
      </c>
      <c r="D414" s="4" t="s">
        <v>3166</v>
      </c>
      <c r="E414" s="4" t="s">
        <v>3167</v>
      </c>
      <c r="F414" s="4"/>
      <c r="G414" s="4"/>
    </row>
    <row r="415" ht="16" customHeight="1" s="4" customFormat="1">
      <c r="A415" s="5">
        <v>45775</v>
      </c>
      <c r="B415" s="4" t="s">
        <v>831</v>
      </c>
      <c r="C415" s="4" t="s">
        <v>2317</v>
      </c>
      <c r="D415" s="4" t="s">
        <v>3168</v>
      </c>
      <c r="E415" s="4" t="s">
        <v>3169</v>
      </c>
      <c r="F415" s="4"/>
      <c r="G415" s="4"/>
    </row>
    <row r="416" ht="16" customHeight="1" s="4" customFormat="1">
      <c r="A416" s="5">
        <v>45774</v>
      </c>
      <c r="B416" s="4" t="s">
        <v>831</v>
      </c>
      <c r="C416" s="4" t="s">
        <v>2317</v>
      </c>
      <c r="D416" s="4" t="s">
        <v>3170</v>
      </c>
      <c r="E416" s="4" t="s">
        <v>3171</v>
      </c>
      <c r="F416" s="4"/>
      <c r="G416" s="4"/>
    </row>
    <row r="417" ht="16" customHeight="1" s="4" customFormat="1">
      <c r="A417" s="5">
        <v>45773</v>
      </c>
      <c r="B417" s="4" t="s">
        <v>831</v>
      </c>
      <c r="C417" s="4" t="s">
        <v>2317</v>
      </c>
      <c r="D417" s="4" t="s">
        <v>3172</v>
      </c>
      <c r="E417" s="4" t="s">
        <v>3173</v>
      </c>
      <c r="F417" s="4"/>
      <c r="G417" s="4"/>
    </row>
    <row r="418" ht="16" customHeight="1" s="4" customFormat="1">
      <c r="A418" s="5">
        <v>45772</v>
      </c>
      <c r="B418" s="4" t="s">
        <v>831</v>
      </c>
      <c r="C418" s="4" t="s">
        <v>2317</v>
      </c>
      <c r="D418" s="4" t="s">
        <v>3174</v>
      </c>
      <c r="E418" s="4" t="s">
        <v>3175</v>
      </c>
      <c r="F418" s="4"/>
      <c r="G418" s="4"/>
    </row>
    <row r="419" ht="16" customHeight="1" s="4" customFormat="1">
      <c r="A419" s="5">
        <v>45772</v>
      </c>
      <c r="B419" s="4" t="s">
        <v>2331</v>
      </c>
      <c r="C419" s="4" t="s">
        <v>2618</v>
      </c>
      <c r="D419" s="4" t="s">
        <v>3176</v>
      </c>
      <c r="E419" s="4" t="s">
        <v>3177</v>
      </c>
      <c r="F419" s="4"/>
      <c r="G419" s="4"/>
    </row>
    <row r="420" ht="16" customHeight="1" s="4" customFormat="1">
      <c r="A420" s="5">
        <v>45770</v>
      </c>
      <c r="B420" s="4" t="s">
        <v>831</v>
      </c>
      <c r="C420" s="4" t="s">
        <v>2317</v>
      </c>
      <c r="D420" s="4" t="s">
        <v>3178</v>
      </c>
      <c r="E420" s="4" t="s">
        <v>3179</v>
      </c>
      <c r="F420" s="4"/>
      <c r="G420" s="4"/>
    </row>
    <row r="421" ht="16" customHeight="1" s="4" customFormat="1">
      <c r="A421" s="5">
        <v>45770</v>
      </c>
      <c r="B421" s="4" t="s">
        <v>2331</v>
      </c>
      <c r="C421" s="4" t="s">
        <v>2938</v>
      </c>
      <c r="D421" s="4" t="s">
        <v>3180</v>
      </c>
      <c r="E421" s="4" t="s">
        <v>3181</v>
      </c>
      <c r="F421" s="4"/>
      <c r="G421" s="4"/>
    </row>
    <row r="422" ht="16" customHeight="1" s="4" customFormat="1">
      <c r="A422" s="5">
        <v>45769</v>
      </c>
      <c r="B422" s="4" t="s">
        <v>831</v>
      </c>
      <c r="C422" s="4" t="s">
        <v>2317</v>
      </c>
      <c r="D422" s="4" t="s">
        <v>3182</v>
      </c>
      <c r="E422" s="4" t="s">
        <v>3183</v>
      </c>
      <c r="F422" s="4"/>
      <c r="G422" s="4"/>
    </row>
    <row r="423" ht="16" customHeight="1" s="4" customFormat="1">
      <c r="A423" s="5">
        <v>45769</v>
      </c>
      <c r="B423" s="4" t="s">
        <v>831</v>
      </c>
      <c r="C423" s="4" t="s">
        <v>2317</v>
      </c>
      <c r="D423" s="4" t="s">
        <v>3184</v>
      </c>
      <c r="E423" s="4" t="s">
        <v>3185</v>
      </c>
      <c r="F423" s="4"/>
      <c r="G423" s="4"/>
    </row>
    <row r="424" ht="16" customHeight="1" s="4" customFormat="1">
      <c r="A424" s="5">
        <v>45768</v>
      </c>
      <c r="B424" s="4" t="s">
        <v>831</v>
      </c>
      <c r="C424" s="4" t="s">
        <v>2317</v>
      </c>
      <c r="D424" s="4" t="s">
        <v>3186</v>
      </c>
      <c r="E424" s="4" t="s">
        <v>3187</v>
      </c>
      <c r="F424" s="4"/>
      <c r="G424" s="4"/>
    </row>
    <row r="425" ht="16" customHeight="1" s="4" customFormat="1">
      <c r="A425" s="5">
        <v>45765</v>
      </c>
      <c r="B425" s="4" t="s">
        <v>831</v>
      </c>
      <c r="C425" s="4" t="s">
        <v>2317</v>
      </c>
      <c r="D425" s="4" t="s">
        <v>3188</v>
      </c>
      <c r="E425" s="4" t="s">
        <v>3189</v>
      </c>
      <c r="F425" s="4"/>
      <c r="G425" s="4"/>
    </row>
    <row r="426" ht="16" customHeight="1" s="4" customFormat="1">
      <c r="A426" s="5">
        <v>45764</v>
      </c>
      <c r="B426" s="4" t="s">
        <v>831</v>
      </c>
      <c r="C426" s="4" t="s">
        <v>2317</v>
      </c>
      <c r="D426" s="4" t="s">
        <v>3190</v>
      </c>
      <c r="E426" s="4" t="s">
        <v>3191</v>
      </c>
      <c r="F426" s="4"/>
      <c r="G426" s="4"/>
    </row>
    <row r="427" ht="16" customHeight="1" s="4" customFormat="1">
      <c r="A427" s="5">
        <v>45764</v>
      </c>
      <c r="B427" s="4" t="s">
        <v>831</v>
      </c>
      <c r="C427" s="4" t="s">
        <v>2317</v>
      </c>
      <c r="D427" s="4" t="s">
        <v>3192</v>
      </c>
      <c r="E427" s="4" t="s">
        <v>3193</v>
      </c>
      <c r="F427" s="4"/>
      <c r="G427" s="4"/>
    </row>
    <row r="428" ht="16" customHeight="1" s="4" customFormat="1">
      <c r="A428" s="5">
        <v>45763</v>
      </c>
      <c r="B428" s="4" t="s">
        <v>2331</v>
      </c>
      <c r="C428" s="4" t="s">
        <v>2514</v>
      </c>
      <c r="D428" s="4" t="s">
        <v>3194</v>
      </c>
      <c r="E428" s="4" t="s">
        <v>3195</v>
      </c>
      <c r="F428" s="4"/>
      <c r="G428" s="4"/>
    </row>
    <row r="429" ht="16" customHeight="1" s="4" customFormat="1">
      <c r="A429" s="5">
        <v>45762</v>
      </c>
      <c r="B429" s="4" t="s">
        <v>2331</v>
      </c>
      <c r="C429" s="4" t="s">
        <v>2514</v>
      </c>
      <c r="D429" s="4" t="s">
        <v>3196</v>
      </c>
      <c r="E429" s="4" t="s">
        <v>3197</v>
      </c>
      <c r="F429" s="4"/>
      <c r="G429" s="4"/>
    </row>
    <row r="430" ht="16" customHeight="1" s="4" customFormat="1">
      <c r="A430" s="5">
        <v>45762</v>
      </c>
      <c r="B430" s="4" t="s">
        <v>2331</v>
      </c>
      <c r="C430" s="4" t="s">
        <v>2452</v>
      </c>
      <c r="D430" s="4" t="s">
        <v>3198</v>
      </c>
      <c r="E430" s="4" t="s">
        <v>3199</v>
      </c>
      <c r="F430" s="4"/>
      <c r="G430" s="4"/>
    </row>
    <row r="431" ht="16" customHeight="1" s="4" customFormat="1">
      <c r="A431" s="5">
        <v>45761</v>
      </c>
      <c r="B431" s="4" t="s">
        <v>2331</v>
      </c>
      <c r="C431" s="4" t="s">
        <v>2490</v>
      </c>
      <c r="D431" s="4" t="s">
        <v>3200</v>
      </c>
      <c r="E431" s="4" t="s">
        <v>3201</v>
      </c>
      <c r="F431" s="4"/>
      <c r="G431" s="4"/>
    </row>
    <row r="432" ht="16" customHeight="1" s="4" customFormat="1">
      <c r="A432" s="5">
        <v>45760</v>
      </c>
      <c r="B432" s="4" t="s">
        <v>831</v>
      </c>
      <c r="C432" s="4" t="s">
        <v>2317</v>
      </c>
      <c r="D432" s="4" t="s">
        <v>3202</v>
      </c>
      <c r="E432" s="4" t="s">
        <v>3203</v>
      </c>
      <c r="F432" s="4"/>
      <c r="G432" s="4"/>
    </row>
    <row r="433" ht="16" customHeight="1" s="4" customFormat="1">
      <c r="A433" s="5">
        <v>45758</v>
      </c>
      <c r="B433" s="4" t="s">
        <v>2331</v>
      </c>
      <c r="C433" s="4" t="s">
        <v>2344</v>
      </c>
      <c r="D433" s="4" t="s">
        <v>3204</v>
      </c>
      <c r="E433" s="4" t="s">
        <v>3205</v>
      </c>
      <c r="F433" s="4"/>
      <c r="G433" s="4"/>
    </row>
    <row r="434" ht="16" customHeight="1" s="4" customFormat="1">
      <c r="A434" s="5">
        <v>45756</v>
      </c>
      <c r="B434" s="4" t="s">
        <v>831</v>
      </c>
      <c r="C434" s="4" t="s">
        <v>2701</v>
      </c>
      <c r="D434" s="4" t="s">
        <v>3206</v>
      </c>
      <c r="E434" s="4" t="s">
        <v>3207</v>
      </c>
      <c r="F434" s="4"/>
      <c r="G434" s="4"/>
    </row>
    <row r="435" ht="16" customHeight="1" s="4" customFormat="1">
      <c r="A435" s="5">
        <v>45755</v>
      </c>
      <c r="B435" s="4" t="s">
        <v>2331</v>
      </c>
      <c r="C435" s="4" t="s">
        <v>2332</v>
      </c>
      <c r="D435" s="4" t="s">
        <v>3208</v>
      </c>
      <c r="E435" s="4" t="s">
        <v>3209</v>
      </c>
      <c r="F435" s="4"/>
      <c r="G435" s="4"/>
    </row>
    <row r="436" ht="16" customHeight="1" s="4" customFormat="1">
      <c r="A436" s="5">
        <v>45754</v>
      </c>
      <c r="B436" s="4" t="s">
        <v>831</v>
      </c>
      <c r="C436" s="4" t="s">
        <v>2317</v>
      </c>
      <c r="D436" s="4" t="s">
        <v>3210</v>
      </c>
      <c r="E436" s="4" t="s">
        <v>3211</v>
      </c>
      <c r="F436" s="4"/>
      <c r="G436" s="4"/>
    </row>
    <row r="437" ht="16" customHeight="1" s="4" customFormat="1">
      <c r="A437" s="5">
        <v>45753</v>
      </c>
      <c r="B437" s="4" t="s">
        <v>2331</v>
      </c>
      <c r="C437" s="4" t="s">
        <v>2537</v>
      </c>
      <c r="D437" s="4" t="s">
        <v>3212</v>
      </c>
      <c r="E437" s="4" t="s">
        <v>3213</v>
      </c>
      <c r="F437" s="4"/>
      <c r="G437" s="4"/>
    </row>
    <row r="438" ht="16" customHeight="1" s="4" customFormat="1">
      <c r="A438" s="5">
        <v>45751</v>
      </c>
      <c r="B438" s="4" t="s">
        <v>1267</v>
      </c>
      <c r="C438" s="4" t="s">
        <v>2324</v>
      </c>
      <c r="D438" s="4" t="s">
        <v>3214</v>
      </c>
      <c r="E438" s="4" t="s">
        <v>3215</v>
      </c>
      <c r="F438" s="4"/>
      <c r="G438" s="4"/>
    </row>
    <row r="439" ht="16" customHeight="1" s="4" customFormat="1">
      <c r="A439" s="5">
        <v>45750</v>
      </c>
      <c r="B439" s="4" t="s">
        <v>831</v>
      </c>
      <c r="C439" s="4" t="s">
        <v>2317</v>
      </c>
      <c r="D439" s="4" t="s">
        <v>3216</v>
      </c>
      <c r="E439" s="4" t="s">
        <v>3217</v>
      </c>
      <c r="F439" s="4"/>
      <c r="G439" s="4"/>
    </row>
    <row r="440" ht="16" customHeight="1" s="4" customFormat="1">
      <c r="A440" s="5">
        <v>45750</v>
      </c>
      <c r="B440" s="4" t="s">
        <v>2331</v>
      </c>
      <c r="C440" s="4" t="s">
        <v>2332</v>
      </c>
      <c r="D440" s="4" t="s">
        <v>3218</v>
      </c>
      <c r="E440" s="4" t="s">
        <v>3219</v>
      </c>
      <c r="F440" s="4"/>
      <c r="G440" s="4"/>
    </row>
    <row r="441" ht="16" customHeight="1" s="4" customFormat="1">
      <c r="A441" s="5">
        <v>45749</v>
      </c>
      <c r="B441" s="4" t="s">
        <v>2331</v>
      </c>
      <c r="C441" s="4" t="s">
        <v>2332</v>
      </c>
      <c r="D441" s="4" t="s">
        <v>3220</v>
      </c>
      <c r="E441" s="4" t="s">
        <v>3221</v>
      </c>
      <c r="F441" s="4"/>
      <c r="G441" s="4"/>
    </row>
    <row r="442" ht="16" customHeight="1" s="4" customFormat="1">
      <c r="A442" s="5">
        <v>45748</v>
      </c>
      <c r="B442" s="4" t="s">
        <v>831</v>
      </c>
      <c r="C442" s="4" t="s">
        <v>2317</v>
      </c>
      <c r="D442" s="4" t="s">
        <v>3222</v>
      </c>
      <c r="E442" s="4" t="s">
        <v>3223</v>
      </c>
      <c r="F442" s="4"/>
      <c r="G442" s="4"/>
    </row>
    <row r="443" ht="16" customHeight="1" s="4" customFormat="1">
      <c r="A443" s="5">
        <v>45748</v>
      </c>
      <c r="B443" s="4" t="s">
        <v>2331</v>
      </c>
      <c r="C443" s="4" t="s">
        <v>2332</v>
      </c>
      <c r="D443" s="4" t="s">
        <v>3224</v>
      </c>
      <c r="E443" s="4" t="s">
        <v>3225</v>
      </c>
      <c r="F443" s="4"/>
      <c r="G443" s="4"/>
    </row>
    <row r="444" ht="16" customHeight="1" s="4" customFormat="1">
      <c r="A444" s="5">
        <v>45747</v>
      </c>
      <c r="B444" s="4" t="s">
        <v>831</v>
      </c>
      <c r="C444" s="4" t="s">
        <v>2317</v>
      </c>
      <c r="D444" s="4" t="s">
        <v>3226</v>
      </c>
      <c r="E444" s="4" t="s">
        <v>3227</v>
      </c>
      <c r="F444" s="4"/>
      <c r="G444" s="4"/>
    </row>
    <row r="445" ht="16" customHeight="1" s="4" customFormat="1">
      <c r="A445" s="5">
        <v>45747</v>
      </c>
      <c r="B445" s="4" t="s">
        <v>2331</v>
      </c>
      <c r="C445" s="4" t="s">
        <v>2938</v>
      </c>
      <c r="D445" s="4" t="s">
        <v>3228</v>
      </c>
      <c r="E445" s="4" t="s">
        <v>3229</v>
      </c>
      <c r="F445" s="4"/>
      <c r="G445" s="4"/>
    </row>
    <row r="446" ht="16" customHeight="1" s="4" customFormat="1">
      <c r="A446" s="5">
        <v>45745</v>
      </c>
      <c r="B446" s="4" t="s">
        <v>2331</v>
      </c>
      <c r="C446" s="4" t="s">
        <v>2349</v>
      </c>
      <c r="D446" s="4" t="s">
        <v>3230</v>
      </c>
      <c r="E446" s="4" t="s">
        <v>3231</v>
      </c>
      <c r="F446" s="4"/>
      <c r="G446" s="4"/>
    </row>
    <row r="447" ht="16" customHeight="1" s="4" customFormat="1">
      <c r="A447" s="5">
        <v>45744</v>
      </c>
      <c r="B447" s="4" t="s">
        <v>2331</v>
      </c>
      <c r="C447" s="4" t="s">
        <v>2537</v>
      </c>
      <c r="D447" s="4" t="s">
        <v>3232</v>
      </c>
      <c r="E447" s="4" t="s">
        <v>3233</v>
      </c>
      <c r="F447" s="4"/>
      <c r="G447" s="4"/>
    </row>
    <row r="448" ht="16" customHeight="1" s="4" customFormat="1">
      <c r="A448" s="5">
        <v>45744</v>
      </c>
      <c r="B448" s="4" t="s">
        <v>2331</v>
      </c>
      <c r="C448" s="4" t="s">
        <v>2452</v>
      </c>
      <c r="D448" s="4" t="s">
        <v>3234</v>
      </c>
      <c r="E448" s="4" t="s">
        <v>3235</v>
      </c>
      <c r="F448" s="4"/>
      <c r="G448" s="4"/>
    </row>
    <row r="449" ht="16" customHeight="1" s="4" customFormat="1">
      <c r="A449" s="5">
        <v>45743</v>
      </c>
      <c r="B449" s="4" t="s">
        <v>831</v>
      </c>
      <c r="C449" s="4" t="s">
        <v>2743</v>
      </c>
      <c r="D449" s="4" t="s">
        <v>3061</v>
      </c>
      <c r="E449" s="4"/>
      <c r="F449" s="4"/>
      <c r="G449" s="4"/>
    </row>
    <row r="450" ht="16" customHeight="1" s="4" customFormat="1">
      <c r="A450" s="5">
        <v>45742</v>
      </c>
      <c r="B450" s="4" t="s">
        <v>2331</v>
      </c>
      <c r="C450" s="4" t="s">
        <v>2537</v>
      </c>
      <c r="D450" s="4" t="s">
        <v>3236</v>
      </c>
      <c r="E450" s="4" t="s">
        <v>3237</v>
      </c>
      <c r="F450" s="4"/>
      <c r="G450" s="4"/>
    </row>
    <row r="451" ht="16" customHeight="1" s="4" customFormat="1">
      <c r="A451" s="5">
        <v>45741</v>
      </c>
      <c r="B451" s="4" t="s">
        <v>831</v>
      </c>
      <c r="C451" s="4" t="s">
        <v>2317</v>
      </c>
      <c r="D451" s="4" t="s">
        <v>3238</v>
      </c>
      <c r="E451" s="4" t="s">
        <v>3239</v>
      </c>
      <c r="F451" s="4"/>
      <c r="G451" s="4"/>
    </row>
    <row r="452" ht="16" customHeight="1" s="4" customFormat="1">
      <c r="A452" s="5">
        <v>45741</v>
      </c>
      <c r="B452" s="4" t="s">
        <v>831</v>
      </c>
      <c r="C452" s="4" t="s">
        <v>2317</v>
      </c>
      <c r="D452" s="4" t="s">
        <v>3240</v>
      </c>
      <c r="E452" s="4" t="s">
        <v>3241</v>
      </c>
      <c r="F452" s="4"/>
      <c r="G452" s="4"/>
    </row>
    <row r="453" ht="16" customHeight="1" s="4" customFormat="1">
      <c r="A453" s="5">
        <v>45741</v>
      </c>
      <c r="B453" s="4" t="s">
        <v>831</v>
      </c>
      <c r="C453" s="4" t="s">
        <v>2317</v>
      </c>
      <c r="D453" s="4" t="s">
        <v>3242</v>
      </c>
      <c r="E453" s="4" t="s">
        <v>3243</v>
      </c>
      <c r="F453" s="4"/>
      <c r="G453" s="4"/>
    </row>
    <row r="454" ht="16" customHeight="1" s="4" customFormat="1">
      <c r="A454" s="5">
        <v>45736</v>
      </c>
      <c r="B454" s="4" t="s">
        <v>831</v>
      </c>
      <c r="C454" s="4" t="s">
        <v>2743</v>
      </c>
      <c r="D454" s="4" t="s">
        <v>3244</v>
      </c>
      <c r="E454" s="4"/>
      <c r="F454" s="4"/>
      <c r="G454" s="4"/>
    </row>
    <row r="455" ht="16" customHeight="1" s="4" customFormat="1">
      <c r="A455" s="5">
        <v>45735</v>
      </c>
      <c r="B455" s="4" t="s">
        <v>2331</v>
      </c>
      <c r="C455" s="4" t="s">
        <v>2537</v>
      </c>
      <c r="D455" s="4" t="s">
        <v>3245</v>
      </c>
      <c r="E455" s="4" t="s">
        <v>3246</v>
      </c>
      <c r="F455" s="4"/>
      <c r="G455" s="4"/>
    </row>
    <row r="456" ht="16" customHeight="1" s="4" customFormat="1">
      <c r="A456" s="5">
        <v>45735</v>
      </c>
      <c r="B456" s="4" t="s">
        <v>831</v>
      </c>
      <c r="C456" s="4" t="s">
        <v>2317</v>
      </c>
      <c r="D456" s="4" t="s">
        <v>3247</v>
      </c>
      <c r="E456" s="4" t="s">
        <v>3248</v>
      </c>
      <c r="F456" s="4"/>
      <c r="G456" s="4"/>
    </row>
    <row r="457" ht="16" customHeight="1" s="4" customFormat="1">
      <c r="A457" s="5">
        <v>45735</v>
      </c>
      <c r="B457" s="4" t="s">
        <v>831</v>
      </c>
      <c r="C457" s="4" t="s">
        <v>2317</v>
      </c>
      <c r="D457" s="4" t="s">
        <v>3249</v>
      </c>
      <c r="E457" s="4" t="s">
        <v>3250</v>
      </c>
      <c r="F457" s="4"/>
      <c r="G457" s="4"/>
    </row>
    <row r="458" ht="16" customHeight="1" s="4" customFormat="1">
      <c r="A458" s="5">
        <v>45734</v>
      </c>
      <c r="B458" s="4" t="s">
        <v>2331</v>
      </c>
      <c r="C458" s="4" t="s">
        <v>2490</v>
      </c>
      <c r="D458" s="4" t="s">
        <v>3251</v>
      </c>
      <c r="E458" s="4" t="s">
        <v>3252</v>
      </c>
      <c r="F458" s="4"/>
      <c r="G458" s="4"/>
    </row>
    <row r="459" ht="16" customHeight="1" s="4" customFormat="1">
      <c r="A459" s="5">
        <v>45733</v>
      </c>
      <c r="B459" s="4" t="s">
        <v>831</v>
      </c>
      <c r="C459" s="4" t="s">
        <v>2317</v>
      </c>
      <c r="D459" s="4" t="s">
        <v>3253</v>
      </c>
      <c r="E459" s="4" t="s">
        <v>3254</v>
      </c>
      <c r="F459" s="4"/>
      <c r="G459" s="4"/>
    </row>
    <row r="460" ht="16" customHeight="1" s="4" customFormat="1">
      <c r="A460" s="5">
        <v>45729</v>
      </c>
      <c r="B460" s="4" t="s">
        <v>831</v>
      </c>
      <c r="C460" s="4" t="s">
        <v>2317</v>
      </c>
      <c r="D460" s="4" t="s">
        <v>3255</v>
      </c>
      <c r="E460" s="4" t="s">
        <v>3256</v>
      </c>
      <c r="F460" s="4"/>
      <c r="G460" s="4"/>
    </row>
    <row r="461" ht="16" customHeight="1" s="4" customFormat="1">
      <c r="A461" s="5">
        <v>45729</v>
      </c>
      <c r="B461" s="4" t="s">
        <v>2331</v>
      </c>
      <c r="C461" s="4" t="s">
        <v>2618</v>
      </c>
      <c r="D461" s="4" t="s">
        <v>3257</v>
      </c>
      <c r="E461" s="4" t="s">
        <v>3258</v>
      </c>
      <c r="F461" s="4"/>
      <c r="G461" s="4"/>
    </row>
    <row r="462" ht="16" customHeight="1" s="4" customFormat="1">
      <c r="A462" s="5">
        <v>45728</v>
      </c>
      <c r="B462" s="4" t="s">
        <v>831</v>
      </c>
      <c r="C462" s="4" t="s">
        <v>2317</v>
      </c>
      <c r="D462" s="4" t="s">
        <v>3259</v>
      </c>
      <c r="E462" s="4" t="s">
        <v>3260</v>
      </c>
      <c r="F462" s="4"/>
      <c r="G462" s="4"/>
    </row>
    <row r="463" ht="16" customHeight="1" s="4" customFormat="1">
      <c r="A463" s="5">
        <v>45728</v>
      </c>
      <c r="B463" s="4" t="s">
        <v>2331</v>
      </c>
      <c r="C463" s="4" t="s">
        <v>2799</v>
      </c>
      <c r="D463" s="4" t="s">
        <v>3261</v>
      </c>
      <c r="E463" s="4" t="s">
        <v>3262</v>
      </c>
      <c r="F463" s="4"/>
      <c r="G463" s="4"/>
    </row>
    <row r="464" ht="16" customHeight="1" s="4" customFormat="1">
      <c r="A464" s="5">
        <v>45728</v>
      </c>
      <c r="B464" s="4" t="s">
        <v>2331</v>
      </c>
      <c r="C464" s="4" t="s">
        <v>2751</v>
      </c>
      <c r="D464" s="4" t="s">
        <v>3263</v>
      </c>
      <c r="E464" s="4" t="s">
        <v>3264</v>
      </c>
      <c r="F464" s="4"/>
      <c r="G464" s="4"/>
    </row>
    <row r="465" ht="16" customHeight="1" s="4" customFormat="1">
      <c r="A465" s="5">
        <v>45727</v>
      </c>
      <c r="B465" s="4" t="s">
        <v>831</v>
      </c>
      <c r="C465" s="4" t="s">
        <v>2317</v>
      </c>
      <c r="D465" s="4" t="s">
        <v>3265</v>
      </c>
      <c r="E465" s="4" t="s">
        <v>3266</v>
      </c>
      <c r="F465" s="4"/>
      <c r="G465" s="4"/>
    </row>
    <row r="466" ht="16" customHeight="1" s="4" customFormat="1">
      <c r="A466" s="5">
        <v>45722</v>
      </c>
      <c r="B466" s="4" t="s">
        <v>2331</v>
      </c>
      <c r="C466" s="4" t="s">
        <v>2344</v>
      </c>
      <c r="D466" s="4" t="s">
        <v>3267</v>
      </c>
      <c r="E466" s="4" t="s">
        <v>3268</v>
      </c>
      <c r="F466" s="4"/>
      <c r="G466" s="4"/>
    </row>
    <row r="467" ht="16" customHeight="1" s="4" customFormat="1">
      <c r="A467" s="5">
        <v>45720</v>
      </c>
      <c r="B467" s="4" t="s">
        <v>1267</v>
      </c>
      <c r="C467" s="4" t="s">
        <v>2457</v>
      </c>
      <c r="D467" s="4" t="s">
        <v>3269</v>
      </c>
      <c r="E467" s="4" t="s">
        <v>3270</v>
      </c>
      <c r="F467" s="4"/>
      <c r="G467" s="4"/>
    </row>
    <row r="468" ht="16" customHeight="1" s="4" customFormat="1">
      <c r="A468" s="5">
        <v>45717</v>
      </c>
      <c r="B468" s="4" t="s">
        <v>831</v>
      </c>
      <c r="C468" s="4" t="s">
        <v>2317</v>
      </c>
      <c r="D468" s="4" t="s">
        <v>3271</v>
      </c>
      <c r="E468" s="4" t="s">
        <v>3272</v>
      </c>
      <c r="F468" s="4"/>
      <c r="G468" s="4"/>
    </row>
    <row r="469" ht="16" customHeight="1" s="4" customFormat="1">
      <c r="A469" s="5">
        <v>45716</v>
      </c>
      <c r="B469" s="4" t="s">
        <v>2331</v>
      </c>
      <c r="C469" s="4" t="s">
        <v>2452</v>
      </c>
      <c r="D469" s="4" t="s">
        <v>3273</v>
      </c>
      <c r="E469" s="4" t="s">
        <v>3274</v>
      </c>
      <c r="F469" s="4"/>
      <c r="G469" s="4"/>
    </row>
    <row r="470" ht="16" customHeight="1" s="4" customFormat="1">
      <c r="A470" s="5">
        <v>45716</v>
      </c>
      <c r="B470" s="4" t="s">
        <v>831</v>
      </c>
      <c r="C470" s="4" t="s">
        <v>2743</v>
      </c>
      <c r="D470" s="4" t="s">
        <v>3275</v>
      </c>
      <c r="E470" s="4"/>
      <c r="F470" s="4"/>
      <c r="G470" s="4"/>
    </row>
    <row r="471" ht="16" customHeight="1" s="4" customFormat="1">
      <c r="A471" s="5">
        <v>45713</v>
      </c>
      <c r="B471" s="4" t="s">
        <v>2331</v>
      </c>
      <c r="C471" s="4" t="s">
        <v>2452</v>
      </c>
      <c r="D471" s="4" t="s">
        <v>3276</v>
      </c>
      <c r="E471" s="4" t="s">
        <v>3277</v>
      </c>
      <c r="F471" s="4"/>
      <c r="G471" s="4"/>
    </row>
    <row r="472" ht="16" customHeight="1" s="4" customFormat="1">
      <c r="A472" s="5">
        <v>45709</v>
      </c>
      <c r="B472" s="4" t="s">
        <v>2331</v>
      </c>
      <c r="C472" s="4" t="s">
        <v>2514</v>
      </c>
      <c r="D472" s="4" t="s">
        <v>3278</v>
      </c>
      <c r="E472" s="4" t="s">
        <v>3279</v>
      </c>
      <c r="F472" s="4"/>
      <c r="G472" s="4"/>
    </row>
    <row r="473" ht="16" customHeight="1" s="4" customFormat="1">
      <c r="A473" s="5">
        <v>45709</v>
      </c>
      <c r="B473" s="4" t="s">
        <v>1267</v>
      </c>
      <c r="C473" s="4" t="s">
        <v>2955</v>
      </c>
      <c r="D473" s="4" t="s">
        <v>3280</v>
      </c>
      <c r="E473" s="4" t="s">
        <v>3281</v>
      </c>
      <c r="F473" s="4"/>
      <c r="G473" s="4"/>
    </row>
    <row r="474" ht="16" customHeight="1" s="4" customFormat="1">
      <c r="A474" s="5">
        <v>45708</v>
      </c>
      <c r="B474" s="4" t="s">
        <v>2331</v>
      </c>
      <c r="C474" s="4" t="s">
        <v>2369</v>
      </c>
      <c r="D474" s="4" t="s">
        <v>3282</v>
      </c>
      <c r="E474" s="4" t="s">
        <v>3283</v>
      </c>
      <c r="F474" s="4"/>
      <c r="G474" s="4"/>
    </row>
    <row r="475" ht="16" customHeight="1" s="4" customFormat="1">
      <c r="A475" s="5">
        <v>45708</v>
      </c>
      <c r="B475" s="4" t="s">
        <v>831</v>
      </c>
      <c r="C475" s="4" t="s">
        <v>2317</v>
      </c>
      <c r="D475" s="4" t="s">
        <v>3284</v>
      </c>
      <c r="E475" s="4" t="s">
        <v>3285</v>
      </c>
      <c r="F475" s="4"/>
      <c r="G475" s="4"/>
    </row>
    <row r="476" ht="16" customHeight="1" s="4" customFormat="1">
      <c r="A476" s="5">
        <v>45708</v>
      </c>
      <c r="B476" s="4" t="s">
        <v>831</v>
      </c>
      <c r="C476" s="4" t="s">
        <v>2317</v>
      </c>
      <c r="D476" s="4" t="s">
        <v>3286</v>
      </c>
      <c r="E476" s="4" t="s">
        <v>3287</v>
      </c>
      <c r="F476" s="4"/>
      <c r="G476" s="4"/>
    </row>
    <row r="477" ht="16" customHeight="1" s="4" customFormat="1">
      <c r="A477" s="5">
        <v>45708</v>
      </c>
      <c r="B477" s="4" t="s">
        <v>831</v>
      </c>
      <c r="C477" s="4" t="s">
        <v>2317</v>
      </c>
      <c r="D477" s="4" t="s">
        <v>3288</v>
      </c>
      <c r="E477" s="4" t="s">
        <v>3289</v>
      </c>
      <c r="F477" s="4"/>
      <c r="G477" s="4"/>
    </row>
    <row r="478" ht="16" customHeight="1" s="4" customFormat="1">
      <c r="A478" s="5">
        <v>45708</v>
      </c>
      <c r="B478" s="4" t="s">
        <v>2331</v>
      </c>
      <c r="C478" s="4" t="s">
        <v>2349</v>
      </c>
      <c r="D478" s="4" t="s">
        <v>3290</v>
      </c>
      <c r="E478" s="4" t="s">
        <v>3291</v>
      </c>
      <c r="F478" s="4"/>
      <c r="G478" s="4"/>
    </row>
    <row r="479" ht="16" customHeight="1" s="4" customFormat="1">
      <c r="A479" s="5">
        <v>45707</v>
      </c>
      <c r="B479" s="4" t="s">
        <v>2331</v>
      </c>
      <c r="C479" s="4" t="s">
        <v>2349</v>
      </c>
      <c r="D479" s="4" t="s">
        <v>3292</v>
      </c>
      <c r="E479" s="4" t="s">
        <v>3293</v>
      </c>
      <c r="F479" s="4"/>
      <c r="G479" s="4"/>
    </row>
    <row r="480" ht="16" customHeight="1" s="4" customFormat="1">
      <c r="A480" s="5">
        <v>45705</v>
      </c>
      <c r="B480" s="4" t="s">
        <v>831</v>
      </c>
      <c r="C480" s="4" t="s">
        <v>2317</v>
      </c>
      <c r="D480" s="4" t="s">
        <v>3294</v>
      </c>
      <c r="E480" s="4" t="s">
        <v>3295</v>
      </c>
      <c r="F480" s="4"/>
      <c r="G480" s="4"/>
    </row>
    <row r="481" ht="16" customHeight="1" s="4" customFormat="1">
      <c r="A481" s="5">
        <v>45703</v>
      </c>
      <c r="B481" s="4" t="s">
        <v>831</v>
      </c>
      <c r="C481" s="4" t="s">
        <v>2317</v>
      </c>
      <c r="D481" s="4" t="s">
        <v>3296</v>
      </c>
      <c r="E481" s="4" t="s">
        <v>3297</v>
      </c>
      <c r="F481" s="4"/>
      <c r="G481" s="4"/>
    </row>
    <row r="482" ht="16" customHeight="1" s="4" customFormat="1">
      <c r="A482" s="5">
        <v>45701</v>
      </c>
      <c r="B482" s="4" t="s">
        <v>831</v>
      </c>
      <c r="C482" s="4" t="s">
        <v>2317</v>
      </c>
      <c r="D482" s="4" t="s">
        <v>3298</v>
      </c>
      <c r="E482" s="4" t="s">
        <v>3299</v>
      </c>
      <c r="F482" s="4"/>
      <c r="G482" s="4"/>
    </row>
    <row r="483" ht="16" customHeight="1" s="4" customFormat="1">
      <c r="A483" s="5">
        <v>45700</v>
      </c>
      <c r="B483" s="4" t="s">
        <v>831</v>
      </c>
      <c r="C483" s="4" t="s">
        <v>2317</v>
      </c>
      <c r="D483" s="4" t="s">
        <v>3300</v>
      </c>
      <c r="E483" s="4" t="s">
        <v>3301</v>
      </c>
      <c r="F483" s="4"/>
      <c r="G483" s="4"/>
    </row>
    <row r="484" ht="16" customHeight="1" s="4" customFormat="1">
      <c r="A484" s="5">
        <v>45699</v>
      </c>
      <c r="B484" s="4" t="s">
        <v>831</v>
      </c>
      <c r="C484" s="4" t="s">
        <v>2317</v>
      </c>
      <c r="D484" s="4" t="s">
        <v>3302</v>
      </c>
      <c r="E484" s="4" t="s">
        <v>3303</v>
      </c>
      <c r="F484" s="4"/>
      <c r="G484" s="4"/>
    </row>
    <row r="485" ht="16" customHeight="1" s="4" customFormat="1">
      <c r="A485" s="5">
        <v>45699</v>
      </c>
      <c r="B485" s="4" t="s">
        <v>2331</v>
      </c>
      <c r="C485" s="4" t="s">
        <v>2349</v>
      </c>
      <c r="D485" s="4" t="s">
        <v>3304</v>
      </c>
      <c r="E485" s="4" t="s">
        <v>3305</v>
      </c>
      <c r="F485" s="4"/>
      <c r="G485" s="4"/>
    </row>
    <row r="486" ht="16" customHeight="1" s="4" customFormat="1">
      <c r="A486" s="5">
        <v>45699</v>
      </c>
      <c r="B486" s="4" t="s">
        <v>831</v>
      </c>
      <c r="C486" s="4" t="s">
        <v>3306</v>
      </c>
      <c r="D486" s="4" t="s">
        <v>3307</v>
      </c>
      <c r="E486" s="4" t="s">
        <v>3308</v>
      </c>
      <c r="F486" s="4"/>
      <c r="G486" s="4"/>
    </row>
    <row r="487" ht="16" customHeight="1" s="4" customFormat="1">
      <c r="A487" s="5">
        <v>45697</v>
      </c>
      <c r="B487" s="4" t="s">
        <v>2331</v>
      </c>
      <c r="C487" s="4" t="s">
        <v>2332</v>
      </c>
      <c r="D487" s="4" t="s">
        <v>3309</v>
      </c>
      <c r="E487" s="4" t="s">
        <v>3310</v>
      </c>
      <c r="F487" s="4"/>
      <c r="G487" s="4"/>
    </row>
    <row r="488" ht="16" customHeight="1" s="4" customFormat="1">
      <c r="A488" s="5">
        <v>45697</v>
      </c>
      <c r="B488" s="4" t="s">
        <v>1267</v>
      </c>
      <c r="C488" s="4" t="s">
        <v>2449</v>
      </c>
      <c r="D488" s="4" t="s">
        <v>3311</v>
      </c>
      <c r="E488" s="4" t="s">
        <v>3312</v>
      </c>
      <c r="F488" s="4"/>
      <c r="G488" s="4"/>
    </row>
    <row r="489" ht="16" customHeight="1" s="4" customFormat="1">
      <c r="A489" s="5">
        <v>45695</v>
      </c>
      <c r="B489" s="4" t="s">
        <v>831</v>
      </c>
      <c r="C489" s="4" t="s">
        <v>2317</v>
      </c>
      <c r="D489" s="4" t="s">
        <v>3313</v>
      </c>
      <c r="E489" s="4" t="s">
        <v>3314</v>
      </c>
      <c r="F489" s="4"/>
      <c r="G489" s="4"/>
    </row>
    <row r="490" ht="16" customHeight="1" s="4" customFormat="1">
      <c r="A490" s="5">
        <v>45694</v>
      </c>
      <c r="B490" s="4" t="s">
        <v>831</v>
      </c>
      <c r="C490" s="4" t="s">
        <v>2433</v>
      </c>
      <c r="D490" s="4" t="s">
        <v>3315</v>
      </c>
      <c r="E490" s="4" t="s">
        <v>3316</v>
      </c>
      <c r="F490" s="4"/>
      <c r="G490" s="4"/>
    </row>
    <row r="491" ht="16" customHeight="1" s="4" customFormat="1">
      <c r="A491" s="5">
        <v>45693</v>
      </c>
      <c r="B491" s="4" t="s">
        <v>831</v>
      </c>
      <c r="C491" s="4" t="s">
        <v>2317</v>
      </c>
      <c r="D491" s="4" t="s">
        <v>3317</v>
      </c>
      <c r="E491" s="4" t="s">
        <v>3318</v>
      </c>
      <c r="F491" s="4"/>
      <c r="G491" s="4"/>
    </row>
    <row r="492" ht="16" customHeight="1" s="4" customFormat="1">
      <c r="A492" s="5">
        <v>45692</v>
      </c>
      <c r="B492" s="4" t="s">
        <v>831</v>
      </c>
      <c r="C492" s="4" t="s">
        <v>2317</v>
      </c>
      <c r="D492" s="4" t="s">
        <v>3319</v>
      </c>
      <c r="E492" s="4" t="s">
        <v>3320</v>
      </c>
      <c r="F492" s="4"/>
      <c r="G492" s="4"/>
    </row>
    <row r="493" ht="16" customHeight="1" s="4" customFormat="1">
      <c r="A493" s="5">
        <v>45691</v>
      </c>
      <c r="B493" s="4" t="s">
        <v>831</v>
      </c>
      <c r="C493" s="4" t="s">
        <v>2317</v>
      </c>
      <c r="D493" s="4" t="s">
        <v>3319</v>
      </c>
      <c r="E493" s="4" t="s">
        <v>3321</v>
      </c>
      <c r="F493" s="4"/>
      <c r="G493" s="4"/>
    </row>
    <row r="494" ht="16" customHeight="1" s="4" customFormat="1">
      <c r="A494" s="5">
        <v>45691</v>
      </c>
      <c r="B494" s="4" t="s">
        <v>1267</v>
      </c>
      <c r="C494" s="4" t="s">
        <v>2324</v>
      </c>
      <c r="D494" s="4" t="s">
        <v>3322</v>
      </c>
      <c r="E494" s="4" t="s">
        <v>3323</v>
      </c>
      <c r="F494" s="4"/>
      <c r="G494" s="4"/>
    </row>
    <row r="495" ht="16" customHeight="1" s="4" customFormat="1">
      <c r="A495" s="5">
        <v>45688</v>
      </c>
      <c r="B495" s="4" t="s">
        <v>831</v>
      </c>
      <c r="C495" s="4" t="s">
        <v>2558</v>
      </c>
      <c r="D495" s="4" t="s">
        <v>3324</v>
      </c>
      <c r="E495" s="4" t="s">
        <v>3325</v>
      </c>
      <c r="F495" s="4"/>
      <c r="G495" s="4"/>
    </row>
    <row r="496" ht="16" customHeight="1" s="4" customFormat="1">
      <c r="A496" s="5">
        <v>45686</v>
      </c>
      <c r="B496" s="4" t="s">
        <v>2331</v>
      </c>
      <c r="C496" s="4" t="s">
        <v>3326</v>
      </c>
      <c r="D496" s="4" t="s">
        <v>3327</v>
      </c>
      <c r="E496" s="4" t="s">
        <v>3328</v>
      </c>
      <c r="F496" s="4"/>
      <c r="G496" s="4"/>
    </row>
    <row r="497" ht="16" customHeight="1" s="4" customFormat="1">
      <c r="A497" s="5">
        <v>45685</v>
      </c>
      <c r="B497" s="4" t="s">
        <v>831</v>
      </c>
      <c r="C497" s="4" t="s">
        <v>2523</v>
      </c>
      <c r="D497" s="4" t="s">
        <v>2524</v>
      </c>
      <c r="E497" s="4" t="s">
        <v>3329</v>
      </c>
      <c r="F497" s="4"/>
      <c r="G497" s="4"/>
    </row>
    <row r="498" ht="16" customHeight="1" s="4" customFormat="1">
      <c r="A498" s="5">
        <v>45684</v>
      </c>
      <c r="B498" s="4" t="s">
        <v>1267</v>
      </c>
      <c r="C498" s="4" t="s">
        <v>2449</v>
      </c>
      <c r="D498" s="4" t="s">
        <v>3330</v>
      </c>
      <c r="E498" s="4" t="s">
        <v>3331</v>
      </c>
      <c r="F498" s="4"/>
      <c r="G498" s="4"/>
    </row>
    <row r="499" ht="16" customHeight="1" s="4" customFormat="1">
      <c r="A499" s="5">
        <v>45680</v>
      </c>
      <c r="B499" s="4" t="s">
        <v>831</v>
      </c>
      <c r="C499" s="4" t="s">
        <v>2317</v>
      </c>
      <c r="D499" s="4" t="s">
        <v>3332</v>
      </c>
      <c r="E499" s="4" t="s">
        <v>3333</v>
      </c>
      <c r="F499" s="4"/>
      <c r="G499" s="4"/>
    </row>
    <row r="500" ht="16" customHeight="1">
      <c r="A500" s="6">
        <v>45678</v>
      </c>
      <c r="B500" s="3" t="s">
        <v>831</v>
      </c>
      <c r="C500" s="3" t="s">
        <v>2317</v>
      </c>
      <c r="D500" s="3" t="s">
        <v>3334</v>
      </c>
      <c r="E500" s="3" t="s">
        <v>3335</v>
      </c>
    </row>
    <row r="501" ht="16" customHeight="1">
      <c r="A501" s="6">
        <v>45678</v>
      </c>
      <c r="B501" s="3" t="s">
        <v>831</v>
      </c>
      <c r="C501" s="3" t="s">
        <v>2317</v>
      </c>
      <c r="D501" s="3" t="s">
        <v>3336</v>
      </c>
      <c r="E501" s="3" t="s">
        <v>3337</v>
      </c>
    </row>
  </sheetData>
  <headerFooter/>
</worksheet>
</file>

<file path=xl/worksheets/sheet36.xml><?xml version="1.0" encoding="utf-8"?>
<worksheet xmlns:r="http://schemas.openxmlformats.org/officeDocument/2006/relationships" xmlns="http://schemas.openxmlformats.org/spreadsheetml/2006/main">
  <dimension ref="A1:K294"/>
  <sheetViews>
    <sheetView workbookViewId="0"/>
  </sheetViews>
  <sheetFormatPr defaultRowHeight="15"/>
  <cols>
    <col min="1" max="1" width="14.9232988357544" customWidth="1" style="3"/>
    <col min="2" max="2" width="9.140625" customWidth="1" style="3"/>
    <col min="3" max="3" width="71.968391418457" customWidth="1" style="3"/>
    <col min="4" max="4" width="63.4462585449219" customWidth="1" style="3"/>
    <col min="5" max="5" width="40.632926940918" customWidth="1" style="3"/>
    <col min="6" max="6" width="363.483673095703" customWidth="1" style="3"/>
    <col min="7" max="7" width="17.7234287261963" customWidth="1" style="3"/>
    <col min="8" max="8" width="155.678634643555" customWidth="1" style="3"/>
    <col min="9" max="16384" width="12.6679658889771" customWidth="1" style="3"/>
    <col min="10" max="16384" width="9.140625" customWidth="1" style="3"/>
    <col min="11" max="16384" width="9.140625" customWidth="1" style="3"/>
  </cols>
  <sheetData>
    <row r="1" ht="20" customHeight="1" s="1" customFormat="1">
      <c r="A1" s="2" t="s">
        <v>826</v>
      </c>
      <c r="B1" s="2" t="s">
        <v>823</v>
      </c>
      <c r="C1" s="2" t="s">
        <v>3338</v>
      </c>
      <c r="D1" s="2" t="s">
        <v>3339</v>
      </c>
      <c r="E1" s="2" t="s">
        <v>3340</v>
      </c>
      <c r="F1" s="2" t="s">
        <v>3341</v>
      </c>
      <c r="G1" s="2" t="s">
        <v>3342</v>
      </c>
      <c r="H1" s="2" t="s">
        <v>3343</v>
      </c>
      <c r="I1" s="2" t="s">
        <v>3344</v>
      </c>
    </row>
    <row r="2" ht="16" customHeight="1" s="4" customFormat="1">
      <c r="A2" s="4" t="s">
        <v>3345</v>
      </c>
      <c r="B2" s="4" t="s">
        <v>3346</v>
      </c>
      <c r="C2" s="4" t="s">
        <v>3347</v>
      </c>
      <c r="D2" s="4"/>
      <c r="E2" s="4"/>
      <c r="F2" s="4" t="s">
        <v>3348</v>
      </c>
      <c r="G2" s="4" t="s">
        <v>10</v>
      </c>
      <c r="H2" s="4" t="s">
        <v>3349</v>
      </c>
      <c r="I2" s="4" t="s">
        <v>3350</v>
      </c>
      <c r="J2" s="4"/>
      <c r="K2" s="4"/>
    </row>
    <row r="3" ht="16" customHeight="1" s="4" customFormat="1">
      <c r="A3" s="4" t="s">
        <v>3345</v>
      </c>
      <c r="B3" s="4" t="s">
        <v>3346</v>
      </c>
      <c r="C3" s="4" t="s">
        <v>3347</v>
      </c>
      <c r="D3" s="4"/>
      <c r="E3" s="4"/>
      <c r="F3" s="4" t="s">
        <v>3351</v>
      </c>
      <c r="G3" s="4" t="s">
        <v>10</v>
      </c>
      <c r="H3" s="4" t="s">
        <v>3352</v>
      </c>
      <c r="I3" s="4" t="s">
        <v>3353</v>
      </c>
      <c r="J3" s="4"/>
      <c r="K3" s="4"/>
    </row>
    <row r="4" ht="16" customHeight="1" s="4" customFormat="1">
      <c r="A4" s="4" t="s">
        <v>3345</v>
      </c>
      <c r="B4" s="4" t="s">
        <v>3346</v>
      </c>
      <c r="C4" s="4" t="s">
        <v>3347</v>
      </c>
      <c r="D4" s="4"/>
      <c r="E4" s="4"/>
      <c r="F4" s="4" t="s">
        <v>3351</v>
      </c>
      <c r="G4" s="4" t="s">
        <v>10</v>
      </c>
      <c r="H4" s="4" t="s">
        <v>3354</v>
      </c>
      <c r="I4" s="4" t="s">
        <v>3355</v>
      </c>
      <c r="J4" s="4"/>
      <c r="K4" s="4"/>
    </row>
    <row r="5" ht="16" customHeight="1" s="4" customFormat="1">
      <c r="A5" s="4" t="s">
        <v>3345</v>
      </c>
      <c r="B5" s="4" t="s">
        <v>3346</v>
      </c>
      <c r="C5" s="4" t="s">
        <v>3347</v>
      </c>
      <c r="D5" s="4"/>
      <c r="E5" s="4"/>
      <c r="F5" s="4" t="s">
        <v>3356</v>
      </c>
      <c r="G5" s="4" t="s">
        <v>10</v>
      </c>
      <c r="H5" s="4" t="s">
        <v>3357</v>
      </c>
      <c r="I5" s="4" t="s">
        <v>3358</v>
      </c>
      <c r="J5" s="4"/>
      <c r="K5" s="4"/>
    </row>
    <row r="6" ht="16" customHeight="1" s="4" customFormat="1">
      <c r="A6" s="4" t="s">
        <v>3345</v>
      </c>
      <c r="B6" s="4" t="s">
        <v>3346</v>
      </c>
      <c r="C6" s="4" t="s">
        <v>3347</v>
      </c>
      <c r="D6" s="4"/>
      <c r="E6" s="4"/>
      <c r="F6" s="4" t="s">
        <v>3356</v>
      </c>
      <c r="G6" s="4" t="s">
        <v>10</v>
      </c>
      <c r="H6" s="4" t="s">
        <v>3359</v>
      </c>
      <c r="I6" s="4" t="s">
        <v>3360</v>
      </c>
      <c r="J6" s="4"/>
      <c r="K6" s="4"/>
    </row>
    <row r="7" ht="16" customHeight="1" s="4" customFormat="1">
      <c r="A7" s="4" t="s">
        <v>3345</v>
      </c>
      <c r="B7" s="4" t="s">
        <v>3346</v>
      </c>
      <c r="C7" s="4" t="s">
        <v>3347</v>
      </c>
      <c r="D7" s="4"/>
      <c r="E7" s="4"/>
      <c r="F7" s="4" t="s">
        <v>3356</v>
      </c>
      <c r="G7" s="4" t="s">
        <v>10</v>
      </c>
      <c r="H7" s="4" t="s">
        <v>3361</v>
      </c>
      <c r="I7" s="4" t="s">
        <v>3362</v>
      </c>
      <c r="J7" s="4"/>
      <c r="K7" s="4"/>
    </row>
    <row r="8" ht="16" customHeight="1" s="4" customFormat="1">
      <c r="A8" s="4" t="s">
        <v>3345</v>
      </c>
      <c r="B8" s="4" t="s">
        <v>3346</v>
      </c>
      <c r="C8" s="4" t="s">
        <v>3347</v>
      </c>
      <c r="D8" s="4"/>
      <c r="E8" s="4"/>
      <c r="F8" s="4" t="s">
        <v>3356</v>
      </c>
      <c r="G8" s="4" t="s">
        <v>10</v>
      </c>
      <c r="H8" s="4" t="s">
        <v>3363</v>
      </c>
      <c r="I8" s="4" t="s">
        <v>3364</v>
      </c>
      <c r="J8" s="4"/>
      <c r="K8" s="4"/>
    </row>
    <row r="9" ht="16" customHeight="1" s="4" customFormat="1">
      <c r="A9" s="4" t="s">
        <v>3345</v>
      </c>
      <c r="B9" s="4" t="s">
        <v>3346</v>
      </c>
      <c r="C9" s="4" t="s">
        <v>3347</v>
      </c>
      <c r="D9" s="4"/>
      <c r="E9" s="4"/>
      <c r="F9" s="4" t="s">
        <v>3356</v>
      </c>
      <c r="G9" s="4" t="s">
        <v>10</v>
      </c>
      <c r="H9" s="4" t="s">
        <v>3365</v>
      </c>
      <c r="I9" s="4" t="s">
        <v>3366</v>
      </c>
      <c r="J9" s="4"/>
      <c r="K9" s="4"/>
    </row>
    <row r="10" ht="16" customHeight="1" s="4" customFormat="1">
      <c r="A10" s="4" t="s">
        <v>3345</v>
      </c>
      <c r="B10" s="4" t="s">
        <v>3346</v>
      </c>
      <c r="C10" s="4" t="s">
        <v>3347</v>
      </c>
      <c r="D10" s="4"/>
      <c r="E10" s="4"/>
      <c r="F10" s="4" t="s">
        <v>3356</v>
      </c>
      <c r="G10" s="4" t="s">
        <v>10</v>
      </c>
      <c r="H10" s="4" t="s">
        <v>3367</v>
      </c>
      <c r="I10" s="4" t="s">
        <v>3368</v>
      </c>
      <c r="J10" s="4"/>
      <c r="K10" s="4"/>
    </row>
    <row r="11" ht="16" customHeight="1" s="4" customFormat="1">
      <c r="A11" s="4" t="s">
        <v>3345</v>
      </c>
      <c r="B11" s="4" t="s">
        <v>3346</v>
      </c>
      <c r="C11" s="4" t="s">
        <v>3369</v>
      </c>
      <c r="D11" s="4"/>
      <c r="E11" s="4"/>
      <c r="F11" s="4" t="s">
        <v>3370</v>
      </c>
      <c r="G11" s="4" t="s">
        <v>10</v>
      </c>
      <c r="H11" s="4" t="s">
        <v>3371</v>
      </c>
      <c r="I11" s="4" t="s">
        <v>3372</v>
      </c>
      <c r="J11" s="4"/>
      <c r="K11" s="4"/>
    </row>
    <row r="12" ht="16" customHeight="1" s="4" customFormat="1">
      <c r="A12" s="4" t="s">
        <v>3345</v>
      </c>
      <c r="B12" s="4" t="s">
        <v>3346</v>
      </c>
      <c r="C12" s="4" t="s">
        <v>3369</v>
      </c>
      <c r="D12" s="4"/>
      <c r="E12" s="4"/>
      <c r="F12" s="4" t="s">
        <v>3370</v>
      </c>
      <c r="G12" s="4" t="s">
        <v>10</v>
      </c>
      <c r="H12" s="4" t="s">
        <v>3373</v>
      </c>
      <c r="I12" s="4" t="s">
        <v>3374</v>
      </c>
      <c r="J12" s="4"/>
      <c r="K12" s="4"/>
    </row>
    <row r="13" ht="16" customHeight="1" s="4" customFormat="1">
      <c r="A13" s="4" t="s">
        <v>3345</v>
      </c>
      <c r="B13" s="4" t="s">
        <v>3346</v>
      </c>
      <c r="C13" s="4" t="s">
        <v>3369</v>
      </c>
      <c r="D13" s="4"/>
      <c r="E13" s="4"/>
      <c r="F13" s="4" t="s">
        <v>3370</v>
      </c>
      <c r="G13" s="4" t="s">
        <v>10</v>
      </c>
      <c r="H13" s="4" t="s">
        <v>3375</v>
      </c>
      <c r="I13" s="4" t="s">
        <v>3376</v>
      </c>
      <c r="J13" s="4"/>
      <c r="K13" s="4"/>
    </row>
    <row r="14" ht="16" customHeight="1" s="4" customFormat="1">
      <c r="A14" s="4" t="s">
        <v>3345</v>
      </c>
      <c r="B14" s="4" t="s">
        <v>3346</v>
      </c>
      <c r="C14" s="4" t="s">
        <v>3369</v>
      </c>
      <c r="D14" s="4"/>
      <c r="E14" s="4"/>
      <c r="F14" s="4" t="s">
        <v>3370</v>
      </c>
      <c r="G14" s="4" t="s">
        <v>10</v>
      </c>
      <c r="H14" s="4" t="s">
        <v>3377</v>
      </c>
      <c r="I14" s="4" t="s">
        <v>3378</v>
      </c>
      <c r="J14" s="4"/>
      <c r="K14" s="4"/>
    </row>
    <row r="15" ht="16" customHeight="1" s="4" customFormat="1">
      <c r="A15" s="4" t="s">
        <v>3345</v>
      </c>
      <c r="B15" s="4" t="s">
        <v>3346</v>
      </c>
      <c r="C15" s="4" t="s">
        <v>3369</v>
      </c>
      <c r="D15" s="4"/>
      <c r="E15" s="4"/>
      <c r="F15" s="4" t="s">
        <v>3370</v>
      </c>
      <c r="G15" s="4" t="s">
        <v>10</v>
      </c>
      <c r="H15" s="4" t="s">
        <v>3379</v>
      </c>
      <c r="I15" s="4" t="s">
        <v>3380</v>
      </c>
      <c r="J15" s="4"/>
      <c r="K15" s="4"/>
    </row>
    <row r="16" ht="16" customHeight="1" s="4" customFormat="1">
      <c r="A16" s="4" t="s">
        <v>3345</v>
      </c>
      <c r="B16" s="4" t="s">
        <v>3346</v>
      </c>
      <c r="C16" s="4" t="s">
        <v>3381</v>
      </c>
      <c r="D16" s="4"/>
      <c r="E16" s="4"/>
      <c r="F16" s="4" t="s">
        <v>3382</v>
      </c>
      <c r="G16" s="4" t="s">
        <v>10</v>
      </c>
      <c r="H16" s="4" t="s">
        <v>3383</v>
      </c>
      <c r="I16" s="4" t="s">
        <v>3384</v>
      </c>
      <c r="J16" s="4"/>
      <c r="K16" s="4"/>
    </row>
    <row r="17" ht="16" customHeight="1" s="4" customFormat="1">
      <c r="A17" s="4" t="s">
        <v>3345</v>
      </c>
      <c r="B17" s="4" t="s">
        <v>3346</v>
      </c>
      <c r="C17" s="4" t="s">
        <v>3381</v>
      </c>
      <c r="D17" s="4"/>
      <c r="E17" s="4"/>
      <c r="F17" s="4" t="s">
        <v>3385</v>
      </c>
      <c r="G17" s="4" t="s">
        <v>10</v>
      </c>
      <c r="H17" s="4" t="s">
        <v>3386</v>
      </c>
      <c r="I17" s="4" t="s">
        <v>3387</v>
      </c>
      <c r="J17" s="4"/>
      <c r="K17" s="4"/>
    </row>
    <row r="18" ht="16" customHeight="1" s="4" customFormat="1">
      <c r="A18" s="4" t="s">
        <v>3345</v>
      </c>
      <c r="B18" s="4" t="s">
        <v>3346</v>
      </c>
      <c r="C18" s="4" t="s">
        <v>3381</v>
      </c>
      <c r="D18" s="4"/>
      <c r="E18" s="4"/>
      <c r="F18" s="4" t="s">
        <v>3385</v>
      </c>
      <c r="G18" s="4" t="s">
        <v>10</v>
      </c>
      <c r="H18" s="4" t="s">
        <v>3388</v>
      </c>
      <c r="I18" s="4" t="s">
        <v>3389</v>
      </c>
      <c r="J18" s="4"/>
      <c r="K18" s="4"/>
    </row>
    <row r="19" ht="16" customHeight="1" s="4" customFormat="1">
      <c r="A19" s="4" t="s">
        <v>3345</v>
      </c>
      <c r="B19" s="4" t="s">
        <v>3390</v>
      </c>
      <c r="C19" s="4" t="s">
        <v>3391</v>
      </c>
      <c r="D19" s="4" t="s">
        <v>3392</v>
      </c>
      <c r="E19" s="4" t="s">
        <v>3393</v>
      </c>
      <c r="F19" s="4" t="s">
        <v>3394</v>
      </c>
      <c r="G19" s="4" t="s">
        <v>10</v>
      </c>
      <c r="H19" s="4" t="s">
        <v>3395</v>
      </c>
      <c r="I19" s="4" t="s">
        <v>3396</v>
      </c>
      <c r="J19" s="4"/>
      <c r="K19" s="4"/>
    </row>
    <row r="20" ht="16" customHeight="1" s="4" customFormat="1">
      <c r="A20" s="4" t="s">
        <v>3345</v>
      </c>
      <c r="B20" s="4" t="s">
        <v>3390</v>
      </c>
      <c r="C20" s="4" t="s">
        <v>3397</v>
      </c>
      <c r="D20" s="4" t="s">
        <v>3398</v>
      </c>
      <c r="E20" s="4" t="s">
        <v>3399</v>
      </c>
      <c r="F20" s="4" t="s">
        <v>3400</v>
      </c>
      <c r="G20" s="4" t="s">
        <v>10</v>
      </c>
      <c r="H20" s="4" t="s">
        <v>3401</v>
      </c>
      <c r="I20" s="4" t="s">
        <v>3402</v>
      </c>
      <c r="J20" s="4"/>
      <c r="K20" s="4"/>
    </row>
    <row r="21" ht="16" customHeight="1" s="4" customFormat="1">
      <c r="A21" s="4" t="s">
        <v>3345</v>
      </c>
      <c r="B21" s="4" t="s">
        <v>3390</v>
      </c>
      <c r="C21" s="4" t="s">
        <v>3397</v>
      </c>
      <c r="D21" s="4" t="s">
        <v>3403</v>
      </c>
      <c r="E21" s="4" t="s">
        <v>3404</v>
      </c>
      <c r="F21" s="4" t="s">
        <v>3400</v>
      </c>
      <c r="G21" s="4" t="s">
        <v>10</v>
      </c>
      <c r="H21" s="4" t="s">
        <v>3405</v>
      </c>
      <c r="I21" s="4" t="s">
        <v>3406</v>
      </c>
      <c r="J21" s="4"/>
      <c r="K21" s="4"/>
    </row>
    <row r="22" ht="16" customHeight="1" s="4" customFormat="1">
      <c r="A22" s="4" t="s">
        <v>3345</v>
      </c>
      <c r="B22" s="4" t="s">
        <v>3390</v>
      </c>
      <c r="C22" s="4" t="s">
        <v>3397</v>
      </c>
      <c r="D22" s="4" t="s">
        <v>3403</v>
      </c>
      <c r="E22" s="4" t="s">
        <v>3393</v>
      </c>
      <c r="F22" s="4" t="s">
        <v>3400</v>
      </c>
      <c r="G22" s="4" t="s">
        <v>10</v>
      </c>
      <c r="H22" s="4" t="s">
        <v>3407</v>
      </c>
      <c r="I22" s="4" t="s">
        <v>3408</v>
      </c>
      <c r="J22" s="4"/>
      <c r="K22" s="4"/>
    </row>
    <row r="23" ht="16" customHeight="1" s="4" customFormat="1">
      <c r="A23" s="4" t="s">
        <v>3345</v>
      </c>
      <c r="B23" s="4" t="s">
        <v>3390</v>
      </c>
      <c r="C23" s="4" t="s">
        <v>3397</v>
      </c>
      <c r="D23" s="4" t="s">
        <v>3409</v>
      </c>
      <c r="E23" s="4" t="s">
        <v>3393</v>
      </c>
      <c r="F23" s="4" t="s">
        <v>3394</v>
      </c>
      <c r="G23" s="4" t="s">
        <v>10</v>
      </c>
      <c r="H23" s="4" t="s">
        <v>3410</v>
      </c>
      <c r="I23" s="4" t="s">
        <v>3411</v>
      </c>
      <c r="J23" s="4"/>
      <c r="K23" s="4"/>
    </row>
    <row r="24" ht="16" customHeight="1" s="4" customFormat="1">
      <c r="A24" s="4" t="s">
        <v>3345</v>
      </c>
      <c r="B24" s="4" t="s">
        <v>3390</v>
      </c>
      <c r="C24" s="4" t="s">
        <v>3412</v>
      </c>
      <c r="D24" s="4"/>
      <c r="E24" s="4" t="s">
        <v>3393</v>
      </c>
      <c r="F24" s="4" t="s">
        <v>3400</v>
      </c>
      <c r="G24" s="4" t="s">
        <v>10</v>
      </c>
      <c r="H24" s="4" t="s">
        <v>3413</v>
      </c>
      <c r="I24" s="4" t="s">
        <v>3414</v>
      </c>
      <c r="J24" s="4"/>
      <c r="K24" s="4"/>
    </row>
    <row r="25" ht="16" customHeight="1" s="4" customFormat="1">
      <c r="A25" s="4" t="s">
        <v>3345</v>
      </c>
      <c r="B25" s="4" t="s">
        <v>3390</v>
      </c>
      <c r="C25" s="4" t="s">
        <v>3412</v>
      </c>
      <c r="D25" s="4"/>
      <c r="E25" s="4" t="s">
        <v>3393</v>
      </c>
      <c r="F25" s="4" t="s">
        <v>3400</v>
      </c>
      <c r="G25" s="4" t="s">
        <v>10</v>
      </c>
      <c r="H25" s="4" t="s">
        <v>3415</v>
      </c>
      <c r="I25" s="4" t="s">
        <v>3416</v>
      </c>
      <c r="J25" s="4"/>
      <c r="K25" s="4"/>
    </row>
    <row r="26" ht="16" customHeight="1" s="4" customFormat="1">
      <c r="A26" s="4" t="s">
        <v>3345</v>
      </c>
      <c r="B26" s="4" t="s">
        <v>3390</v>
      </c>
      <c r="C26" s="4" t="s">
        <v>3412</v>
      </c>
      <c r="D26" s="4" t="s">
        <v>3417</v>
      </c>
      <c r="E26" s="4" t="s">
        <v>3393</v>
      </c>
      <c r="F26" s="4" t="s">
        <v>3400</v>
      </c>
      <c r="G26" s="4" t="s">
        <v>10</v>
      </c>
      <c r="H26" s="4" t="s">
        <v>3418</v>
      </c>
      <c r="I26" s="4" t="s">
        <v>3419</v>
      </c>
      <c r="J26" s="4"/>
      <c r="K26" s="4"/>
    </row>
    <row r="27" ht="16" customHeight="1" s="4" customFormat="1">
      <c r="A27" s="4" t="s">
        <v>3345</v>
      </c>
      <c r="B27" s="4" t="s">
        <v>3390</v>
      </c>
      <c r="C27" s="4" t="s">
        <v>3412</v>
      </c>
      <c r="D27" s="4" t="s">
        <v>3403</v>
      </c>
      <c r="E27" s="4" t="s">
        <v>3393</v>
      </c>
      <c r="F27" s="4" t="s">
        <v>3400</v>
      </c>
      <c r="G27" s="4" t="s">
        <v>10</v>
      </c>
      <c r="H27" s="4" t="s">
        <v>3420</v>
      </c>
      <c r="I27" s="4" t="s">
        <v>3421</v>
      </c>
      <c r="J27" s="4"/>
      <c r="K27" s="4"/>
    </row>
    <row r="28" ht="16" customHeight="1" s="4" customFormat="1">
      <c r="A28" s="4" t="s">
        <v>3345</v>
      </c>
      <c r="B28" s="4" t="s">
        <v>3390</v>
      </c>
      <c r="C28" s="4" t="s">
        <v>3412</v>
      </c>
      <c r="D28" s="4" t="s">
        <v>3403</v>
      </c>
      <c r="E28" s="4" t="s">
        <v>3393</v>
      </c>
      <c r="F28" s="4" t="s">
        <v>3400</v>
      </c>
      <c r="G28" s="4" t="s">
        <v>10</v>
      </c>
      <c r="H28" s="4" t="s">
        <v>3422</v>
      </c>
      <c r="I28" s="4" t="s">
        <v>3423</v>
      </c>
      <c r="J28" s="4"/>
      <c r="K28" s="4"/>
    </row>
    <row r="29" ht="16" customHeight="1" s="4" customFormat="1">
      <c r="A29" s="4" t="s">
        <v>3345</v>
      </c>
      <c r="B29" s="4" t="s">
        <v>3390</v>
      </c>
      <c r="C29" s="4" t="s">
        <v>3412</v>
      </c>
      <c r="D29" s="4" t="s">
        <v>3392</v>
      </c>
      <c r="E29" s="4" t="s">
        <v>3393</v>
      </c>
      <c r="F29" s="4" t="s">
        <v>3400</v>
      </c>
      <c r="G29" s="4" t="s">
        <v>10</v>
      </c>
      <c r="H29" s="4" t="s">
        <v>3424</v>
      </c>
      <c r="I29" s="4" t="s">
        <v>3425</v>
      </c>
      <c r="J29" s="4"/>
      <c r="K29" s="4"/>
    </row>
    <row r="30" ht="16" customHeight="1" s="4" customFormat="1">
      <c r="A30" s="4" t="s">
        <v>3345</v>
      </c>
      <c r="B30" s="4" t="s">
        <v>3390</v>
      </c>
      <c r="C30" s="4" t="s">
        <v>3412</v>
      </c>
      <c r="D30" s="4" t="s">
        <v>3426</v>
      </c>
      <c r="E30" s="4" t="s">
        <v>3393</v>
      </c>
      <c r="F30" s="4" t="s">
        <v>3400</v>
      </c>
      <c r="G30" s="4" t="s">
        <v>10</v>
      </c>
      <c r="H30" s="4" t="s">
        <v>3427</v>
      </c>
      <c r="I30" s="4" t="s">
        <v>3428</v>
      </c>
      <c r="J30" s="4"/>
      <c r="K30" s="4"/>
    </row>
    <row r="31" ht="16" customHeight="1" s="4" customFormat="1">
      <c r="A31" s="4" t="s">
        <v>3345</v>
      </c>
      <c r="B31" s="4" t="s">
        <v>3390</v>
      </c>
      <c r="C31" s="4" t="s">
        <v>3429</v>
      </c>
      <c r="D31" s="4" t="s">
        <v>3430</v>
      </c>
      <c r="E31" s="4" t="s">
        <v>3431</v>
      </c>
      <c r="F31" s="4" t="s">
        <v>10</v>
      </c>
      <c r="G31" s="4" t="s">
        <v>10</v>
      </c>
      <c r="H31" s="4" t="s">
        <v>3432</v>
      </c>
      <c r="I31" s="4" t="s">
        <v>3433</v>
      </c>
      <c r="J31" s="4"/>
      <c r="K31" s="4"/>
    </row>
    <row r="32" ht="16" customHeight="1" s="4" customFormat="1">
      <c r="A32" s="4" t="s">
        <v>3345</v>
      </c>
      <c r="B32" s="4" t="s">
        <v>3390</v>
      </c>
      <c r="C32" s="4" t="s">
        <v>3429</v>
      </c>
      <c r="D32" s="4" t="s">
        <v>3430</v>
      </c>
      <c r="E32" s="4" t="s">
        <v>3431</v>
      </c>
      <c r="F32" s="4" t="s">
        <v>10</v>
      </c>
      <c r="G32" s="4" t="s">
        <v>10</v>
      </c>
      <c r="H32" s="4" t="s">
        <v>3434</v>
      </c>
      <c r="I32" s="4" t="s">
        <v>3435</v>
      </c>
      <c r="J32" s="4"/>
      <c r="K32" s="4"/>
    </row>
    <row r="33" ht="16" customHeight="1" s="4" customFormat="1">
      <c r="A33" s="4" t="s">
        <v>3345</v>
      </c>
      <c r="B33" s="4" t="s">
        <v>3390</v>
      </c>
      <c r="C33" s="4" t="s">
        <v>3429</v>
      </c>
      <c r="D33" s="4" t="s">
        <v>3436</v>
      </c>
      <c r="E33" s="4">
        <v>230</v>
      </c>
      <c r="F33" s="4" t="s">
        <v>10</v>
      </c>
      <c r="G33" s="4" t="s">
        <v>10</v>
      </c>
      <c r="H33" s="4" t="s">
        <v>3437</v>
      </c>
      <c r="I33" s="4" t="s">
        <v>3438</v>
      </c>
      <c r="J33" s="4"/>
      <c r="K33" s="4"/>
    </row>
    <row r="34" ht="16" customHeight="1" s="4" customFormat="1">
      <c r="A34" s="4" t="s">
        <v>3345</v>
      </c>
      <c r="B34" s="4" t="s">
        <v>3390</v>
      </c>
      <c r="C34" s="4" t="s">
        <v>3439</v>
      </c>
      <c r="D34" s="4" t="s">
        <v>3403</v>
      </c>
      <c r="E34" s="4" t="s">
        <v>3440</v>
      </c>
      <c r="F34" s="4" t="s">
        <v>10</v>
      </c>
      <c r="G34" s="4" t="s">
        <v>10</v>
      </c>
      <c r="H34" s="4" t="s">
        <v>3441</v>
      </c>
      <c r="I34" s="4" t="s">
        <v>3442</v>
      </c>
      <c r="J34" s="4"/>
      <c r="K34" s="4"/>
    </row>
    <row r="35" ht="16" customHeight="1" s="4" customFormat="1">
      <c r="A35" s="4" t="s">
        <v>3345</v>
      </c>
      <c r="B35" s="4" t="s">
        <v>3390</v>
      </c>
      <c r="C35" s="4" t="s">
        <v>3439</v>
      </c>
      <c r="D35" s="4" t="s">
        <v>3436</v>
      </c>
      <c r="E35" s="4" t="s">
        <v>3440</v>
      </c>
      <c r="F35" s="4" t="s">
        <v>10</v>
      </c>
      <c r="G35" s="4" t="s">
        <v>10</v>
      </c>
      <c r="H35" s="4" t="s">
        <v>3443</v>
      </c>
      <c r="I35" s="4" t="s">
        <v>3444</v>
      </c>
      <c r="J35" s="4"/>
      <c r="K35" s="4"/>
    </row>
    <row r="36" ht="16" customHeight="1" s="4" customFormat="1">
      <c r="A36" s="4" t="s">
        <v>3345</v>
      </c>
      <c r="B36" s="4" t="s">
        <v>3390</v>
      </c>
      <c r="C36" s="4" t="s">
        <v>3445</v>
      </c>
      <c r="D36" s="4" t="s">
        <v>3403</v>
      </c>
      <c r="E36" s="4" t="s">
        <v>3440</v>
      </c>
      <c r="F36" s="4" t="s">
        <v>10</v>
      </c>
      <c r="G36" s="4" t="s">
        <v>10</v>
      </c>
      <c r="H36" s="4" t="s">
        <v>3446</v>
      </c>
      <c r="I36" s="4" t="s">
        <v>3447</v>
      </c>
      <c r="J36" s="4"/>
      <c r="K36" s="4"/>
    </row>
    <row r="37" ht="16" customHeight="1" s="4" customFormat="1">
      <c r="A37" s="4" t="s">
        <v>3345</v>
      </c>
      <c r="B37" s="4" t="s">
        <v>3390</v>
      </c>
      <c r="C37" s="4" t="s">
        <v>3445</v>
      </c>
      <c r="D37" s="4" t="s">
        <v>3436</v>
      </c>
      <c r="E37" s="4">
        <v>230</v>
      </c>
      <c r="F37" s="4" t="s">
        <v>3448</v>
      </c>
      <c r="G37" s="4" t="s">
        <v>10</v>
      </c>
      <c r="H37" s="4" t="s">
        <v>3449</v>
      </c>
      <c r="I37" s="4" t="s">
        <v>3450</v>
      </c>
      <c r="J37" s="4"/>
      <c r="K37" s="4"/>
    </row>
    <row r="38" ht="16" customHeight="1" s="4" customFormat="1">
      <c r="A38" s="4" t="s">
        <v>3345</v>
      </c>
      <c r="B38" s="4" t="s">
        <v>3390</v>
      </c>
      <c r="C38" s="4" t="s">
        <v>3445</v>
      </c>
      <c r="D38" s="4" t="s">
        <v>3451</v>
      </c>
      <c r="E38" s="4" t="s">
        <v>3440</v>
      </c>
      <c r="F38" s="4" t="s">
        <v>10</v>
      </c>
      <c r="G38" s="4" t="s">
        <v>10</v>
      </c>
      <c r="H38" s="4" t="s">
        <v>3452</v>
      </c>
      <c r="I38" s="4" t="s">
        <v>3453</v>
      </c>
      <c r="J38" s="4"/>
      <c r="K38" s="4"/>
    </row>
    <row r="39" ht="16" customHeight="1" s="4" customFormat="1">
      <c r="A39" s="4" t="s">
        <v>3345</v>
      </c>
      <c r="B39" s="4" t="s">
        <v>3390</v>
      </c>
      <c r="C39" s="4" t="s">
        <v>3454</v>
      </c>
      <c r="D39" s="4" t="s">
        <v>3403</v>
      </c>
      <c r="E39" s="4" t="s">
        <v>3440</v>
      </c>
      <c r="F39" s="4" t="s">
        <v>10</v>
      </c>
      <c r="G39" s="4" t="s">
        <v>10</v>
      </c>
      <c r="H39" s="4" t="s">
        <v>3455</v>
      </c>
      <c r="I39" s="4" t="s">
        <v>3456</v>
      </c>
      <c r="J39" s="4"/>
      <c r="K39" s="4"/>
    </row>
    <row r="40" ht="16" customHeight="1" s="4" customFormat="1">
      <c r="A40" s="4" t="s">
        <v>3345</v>
      </c>
      <c r="B40" s="4" t="s">
        <v>3390</v>
      </c>
      <c r="C40" s="4" t="s">
        <v>3454</v>
      </c>
      <c r="D40" s="4" t="s">
        <v>3403</v>
      </c>
      <c r="E40" s="4" t="s">
        <v>3440</v>
      </c>
      <c r="F40" s="4" t="s">
        <v>10</v>
      </c>
      <c r="G40" s="4" t="s">
        <v>10</v>
      </c>
      <c r="H40" s="4" t="s">
        <v>3457</v>
      </c>
      <c r="I40" s="4" t="s">
        <v>3458</v>
      </c>
      <c r="J40" s="4"/>
      <c r="K40" s="4"/>
    </row>
    <row r="41" ht="16" customHeight="1" s="4" customFormat="1">
      <c r="A41" s="4" t="s">
        <v>3345</v>
      </c>
      <c r="B41" s="4" t="s">
        <v>3390</v>
      </c>
      <c r="C41" s="4" t="s">
        <v>3454</v>
      </c>
      <c r="D41" s="4" t="s">
        <v>3459</v>
      </c>
      <c r="E41" s="4" t="s">
        <v>3440</v>
      </c>
      <c r="F41" s="4" t="s">
        <v>10</v>
      </c>
      <c r="G41" s="4" t="s">
        <v>10</v>
      </c>
      <c r="H41" s="4" t="s">
        <v>3460</v>
      </c>
      <c r="I41" s="4" t="s">
        <v>3461</v>
      </c>
      <c r="J41" s="4"/>
      <c r="K41" s="4"/>
    </row>
    <row r="42" ht="16" customHeight="1" s="4" customFormat="1">
      <c r="A42" s="4" t="s">
        <v>3345</v>
      </c>
      <c r="B42" s="4" t="s">
        <v>3390</v>
      </c>
      <c r="C42" s="4" t="s">
        <v>3462</v>
      </c>
      <c r="D42" s="4" t="s">
        <v>3403</v>
      </c>
      <c r="E42" s="4" t="s">
        <v>3440</v>
      </c>
      <c r="F42" s="4" t="s">
        <v>10</v>
      </c>
      <c r="G42" s="4" t="s">
        <v>10</v>
      </c>
      <c r="H42" s="4" t="s">
        <v>3463</v>
      </c>
      <c r="I42" s="4" t="s">
        <v>3464</v>
      </c>
      <c r="J42" s="4"/>
      <c r="K42" s="4"/>
    </row>
    <row r="43" ht="16" customHeight="1" s="4" customFormat="1">
      <c r="A43" s="4" t="s">
        <v>3345</v>
      </c>
      <c r="B43" s="4" t="s">
        <v>3390</v>
      </c>
      <c r="C43" s="4" t="s">
        <v>3465</v>
      </c>
      <c r="D43" s="4" t="s">
        <v>3403</v>
      </c>
      <c r="E43" s="4" t="s">
        <v>3440</v>
      </c>
      <c r="F43" s="4" t="s">
        <v>3466</v>
      </c>
      <c r="G43" s="4" t="s">
        <v>10</v>
      </c>
      <c r="H43" s="4" t="s">
        <v>3467</v>
      </c>
      <c r="I43" s="4" t="s">
        <v>3468</v>
      </c>
      <c r="J43" s="4"/>
      <c r="K43" s="4"/>
    </row>
    <row r="44" ht="16" customHeight="1" s="4" customFormat="1">
      <c r="A44" s="4" t="s">
        <v>3345</v>
      </c>
      <c r="B44" s="4" t="s">
        <v>3390</v>
      </c>
      <c r="C44" s="4" t="s">
        <v>3469</v>
      </c>
      <c r="D44" s="4" t="s">
        <v>3403</v>
      </c>
      <c r="E44" s="4" t="s">
        <v>3440</v>
      </c>
      <c r="F44" s="4" t="s">
        <v>3466</v>
      </c>
      <c r="G44" s="4" t="s">
        <v>10</v>
      </c>
      <c r="H44" s="4" t="s">
        <v>3470</v>
      </c>
      <c r="I44" s="4" t="s">
        <v>3471</v>
      </c>
      <c r="J44" s="4"/>
      <c r="K44" s="4"/>
    </row>
    <row r="45" ht="16" customHeight="1" s="4" customFormat="1">
      <c r="A45" s="4" t="s">
        <v>3345</v>
      </c>
      <c r="B45" s="4" t="s">
        <v>3390</v>
      </c>
      <c r="C45" s="4" t="s">
        <v>3472</v>
      </c>
      <c r="D45" s="4" t="s">
        <v>3473</v>
      </c>
      <c r="E45" s="4">
        <v>230</v>
      </c>
      <c r="F45" s="4" t="s">
        <v>10</v>
      </c>
      <c r="G45" s="4" t="s">
        <v>10</v>
      </c>
      <c r="H45" s="4" t="s">
        <v>3474</v>
      </c>
      <c r="I45" s="4" t="s">
        <v>3475</v>
      </c>
      <c r="J45" s="4"/>
      <c r="K45" s="4"/>
    </row>
    <row r="46" ht="16" customHeight="1" s="4" customFormat="1">
      <c r="A46" s="4" t="s">
        <v>3345</v>
      </c>
      <c r="B46" s="4" t="s">
        <v>3390</v>
      </c>
      <c r="C46" s="4" t="s">
        <v>3472</v>
      </c>
      <c r="D46" s="4" t="s">
        <v>3476</v>
      </c>
      <c r="E46" s="4">
        <v>230</v>
      </c>
      <c r="F46" s="4" t="s">
        <v>10</v>
      </c>
      <c r="G46" s="4" t="s">
        <v>10</v>
      </c>
      <c r="H46" s="4" t="s">
        <v>3477</v>
      </c>
      <c r="I46" s="4" t="s">
        <v>3478</v>
      </c>
      <c r="J46" s="4"/>
      <c r="K46" s="4"/>
    </row>
    <row r="47" ht="16" customHeight="1" s="4" customFormat="1">
      <c r="A47" s="4" t="s">
        <v>3345</v>
      </c>
      <c r="B47" s="4" t="s">
        <v>3390</v>
      </c>
      <c r="C47" s="4" t="s">
        <v>3479</v>
      </c>
      <c r="D47" s="4" t="s">
        <v>3473</v>
      </c>
      <c r="E47" s="4" t="s">
        <v>3440</v>
      </c>
      <c r="F47" s="4" t="s">
        <v>10</v>
      </c>
      <c r="G47" s="4" t="s">
        <v>10</v>
      </c>
      <c r="H47" s="4" t="s">
        <v>3480</v>
      </c>
      <c r="I47" s="4" t="s">
        <v>3481</v>
      </c>
      <c r="J47" s="4"/>
      <c r="K47" s="4"/>
    </row>
    <row r="48" ht="16" customHeight="1" s="4" customFormat="1">
      <c r="A48" s="4" t="s">
        <v>3345</v>
      </c>
      <c r="B48" s="4" t="s">
        <v>3390</v>
      </c>
      <c r="C48" s="4" t="s">
        <v>3479</v>
      </c>
      <c r="D48" s="4" t="s">
        <v>3403</v>
      </c>
      <c r="E48" s="4" t="s">
        <v>3440</v>
      </c>
      <c r="F48" s="4" t="s">
        <v>10</v>
      </c>
      <c r="G48" s="4" t="s">
        <v>10</v>
      </c>
      <c r="H48" s="4" t="s">
        <v>3482</v>
      </c>
      <c r="I48" s="4" t="s">
        <v>3483</v>
      </c>
      <c r="J48" s="4"/>
      <c r="K48" s="4"/>
    </row>
    <row r="49" ht="16" customHeight="1" s="4" customFormat="1">
      <c r="A49" s="4" t="s">
        <v>3345</v>
      </c>
      <c r="B49" s="4" t="s">
        <v>3390</v>
      </c>
      <c r="C49" s="4" t="s">
        <v>3479</v>
      </c>
      <c r="D49" s="4" t="s">
        <v>3403</v>
      </c>
      <c r="E49" s="4" t="s">
        <v>3440</v>
      </c>
      <c r="F49" s="4" t="s">
        <v>10</v>
      </c>
      <c r="G49" s="4" t="s">
        <v>10</v>
      </c>
      <c r="H49" s="4" t="s">
        <v>3484</v>
      </c>
      <c r="I49" s="4" t="s">
        <v>3485</v>
      </c>
      <c r="J49" s="4"/>
      <c r="K49" s="4"/>
    </row>
    <row r="50" ht="16" customHeight="1" s="4" customFormat="1">
      <c r="A50" s="4" t="s">
        <v>3345</v>
      </c>
      <c r="B50" s="4" t="s">
        <v>3390</v>
      </c>
      <c r="C50" s="4" t="s">
        <v>3479</v>
      </c>
      <c r="D50" s="4" t="s">
        <v>3403</v>
      </c>
      <c r="E50" s="4" t="s">
        <v>3440</v>
      </c>
      <c r="F50" s="4" t="s">
        <v>10</v>
      </c>
      <c r="G50" s="4" t="s">
        <v>10</v>
      </c>
      <c r="H50" s="4" t="s">
        <v>3486</v>
      </c>
      <c r="I50" s="4" t="s">
        <v>3487</v>
      </c>
      <c r="J50" s="4"/>
      <c r="K50" s="4"/>
    </row>
    <row r="51" ht="16" customHeight="1" s="4" customFormat="1">
      <c r="A51" s="4" t="s">
        <v>3345</v>
      </c>
      <c r="B51" s="4" t="s">
        <v>3390</v>
      </c>
      <c r="C51" s="4" t="s">
        <v>3479</v>
      </c>
      <c r="D51" s="4" t="s">
        <v>3403</v>
      </c>
      <c r="E51" s="4" t="s">
        <v>3440</v>
      </c>
      <c r="F51" s="4" t="s">
        <v>10</v>
      </c>
      <c r="G51" s="4" t="s">
        <v>10</v>
      </c>
      <c r="H51" s="4" t="s">
        <v>3488</v>
      </c>
      <c r="I51" s="4" t="s">
        <v>3489</v>
      </c>
      <c r="J51" s="4"/>
      <c r="K51" s="4"/>
    </row>
    <row r="52" ht="16" customHeight="1" s="4" customFormat="1">
      <c r="A52" s="4" t="s">
        <v>3345</v>
      </c>
      <c r="B52" s="4" t="s">
        <v>3390</v>
      </c>
      <c r="C52" s="4" t="s">
        <v>3479</v>
      </c>
      <c r="D52" s="4" t="s">
        <v>3403</v>
      </c>
      <c r="E52" s="4" t="s">
        <v>3440</v>
      </c>
      <c r="F52" s="4" t="s">
        <v>10</v>
      </c>
      <c r="G52" s="4" t="s">
        <v>10</v>
      </c>
      <c r="H52" s="4" t="s">
        <v>3490</v>
      </c>
      <c r="I52" s="4" t="s">
        <v>3491</v>
      </c>
      <c r="J52" s="4"/>
      <c r="K52" s="4"/>
    </row>
    <row r="53" ht="16" customHeight="1" s="4" customFormat="1">
      <c r="A53" s="4" t="s">
        <v>3345</v>
      </c>
      <c r="B53" s="4" t="s">
        <v>3390</v>
      </c>
      <c r="C53" s="4" t="s">
        <v>3492</v>
      </c>
      <c r="D53" s="4"/>
      <c r="E53" s="4" t="s">
        <v>3493</v>
      </c>
      <c r="F53" s="4" t="s">
        <v>10</v>
      </c>
      <c r="G53" s="4" t="s">
        <v>10</v>
      </c>
      <c r="H53" s="4" t="s">
        <v>3494</v>
      </c>
      <c r="I53" s="4" t="s">
        <v>3495</v>
      </c>
      <c r="J53" s="4"/>
      <c r="K53" s="4"/>
    </row>
    <row r="54" ht="16" customHeight="1" s="4" customFormat="1">
      <c r="A54" s="4" t="s">
        <v>3345</v>
      </c>
      <c r="B54" s="4" t="s">
        <v>3390</v>
      </c>
      <c r="C54" s="4" t="s">
        <v>3492</v>
      </c>
      <c r="D54" s="4" t="s">
        <v>3459</v>
      </c>
      <c r="E54" s="4" t="s">
        <v>3493</v>
      </c>
      <c r="F54" s="4" t="s">
        <v>10</v>
      </c>
      <c r="G54" s="4" t="s">
        <v>10</v>
      </c>
      <c r="H54" s="4" t="s">
        <v>3496</v>
      </c>
      <c r="I54" s="4" t="s">
        <v>3497</v>
      </c>
      <c r="J54" s="4"/>
      <c r="K54" s="4"/>
    </row>
    <row r="55" ht="16" customHeight="1" s="4" customFormat="1">
      <c r="A55" s="4" t="s">
        <v>3345</v>
      </c>
      <c r="B55" s="4" t="s">
        <v>3390</v>
      </c>
      <c r="C55" s="4" t="s">
        <v>3498</v>
      </c>
      <c r="D55" s="4" t="s">
        <v>3403</v>
      </c>
      <c r="E55" s="4" t="s">
        <v>3440</v>
      </c>
      <c r="F55" s="4" t="s">
        <v>10</v>
      </c>
      <c r="G55" s="4" t="s">
        <v>10</v>
      </c>
      <c r="H55" s="4" t="s">
        <v>3499</v>
      </c>
      <c r="I55" s="4" t="s">
        <v>3500</v>
      </c>
      <c r="J55" s="4"/>
      <c r="K55" s="4"/>
    </row>
    <row r="56" ht="16" customHeight="1" s="4" customFormat="1">
      <c r="A56" s="4" t="s">
        <v>3345</v>
      </c>
      <c r="B56" s="4" t="s">
        <v>3390</v>
      </c>
      <c r="C56" s="4" t="s">
        <v>3498</v>
      </c>
      <c r="D56" s="4" t="s">
        <v>3403</v>
      </c>
      <c r="E56" s="4" t="s">
        <v>3440</v>
      </c>
      <c r="F56" s="4" t="s">
        <v>10</v>
      </c>
      <c r="G56" s="4" t="s">
        <v>10</v>
      </c>
      <c r="H56" s="4" t="s">
        <v>3501</v>
      </c>
      <c r="I56" s="4" t="s">
        <v>3502</v>
      </c>
      <c r="J56" s="4"/>
      <c r="K56" s="4"/>
    </row>
    <row r="57" ht="16" customHeight="1" s="4" customFormat="1">
      <c r="A57" s="4" t="s">
        <v>3345</v>
      </c>
      <c r="B57" s="4" t="s">
        <v>3390</v>
      </c>
      <c r="C57" s="4" t="s">
        <v>3498</v>
      </c>
      <c r="D57" s="4" t="s">
        <v>3403</v>
      </c>
      <c r="E57" s="4" t="s">
        <v>3440</v>
      </c>
      <c r="F57" s="4" t="s">
        <v>10</v>
      </c>
      <c r="G57" s="4" t="s">
        <v>10</v>
      </c>
      <c r="H57" s="4" t="s">
        <v>3503</v>
      </c>
      <c r="I57" s="4" t="s">
        <v>3504</v>
      </c>
      <c r="J57" s="4"/>
      <c r="K57" s="4"/>
    </row>
    <row r="58" ht="16" customHeight="1" s="4" customFormat="1">
      <c r="A58" s="4" t="s">
        <v>3345</v>
      </c>
      <c r="B58" s="4" t="s">
        <v>3390</v>
      </c>
      <c r="C58" s="4" t="s">
        <v>3498</v>
      </c>
      <c r="D58" s="4" t="s">
        <v>3403</v>
      </c>
      <c r="E58" s="4" t="s">
        <v>3440</v>
      </c>
      <c r="F58" s="4" t="s">
        <v>10</v>
      </c>
      <c r="G58" s="4" t="s">
        <v>10</v>
      </c>
      <c r="H58" s="4" t="s">
        <v>3505</v>
      </c>
      <c r="I58" s="4" t="s">
        <v>3506</v>
      </c>
      <c r="J58" s="4"/>
      <c r="K58" s="4"/>
    </row>
    <row r="59" ht="16" customHeight="1" s="4" customFormat="1">
      <c r="A59" s="4" t="s">
        <v>3345</v>
      </c>
      <c r="B59" s="4" t="s">
        <v>3390</v>
      </c>
      <c r="C59" s="4" t="s">
        <v>3498</v>
      </c>
      <c r="D59" s="4" t="s">
        <v>3403</v>
      </c>
      <c r="E59" s="4" t="s">
        <v>3440</v>
      </c>
      <c r="F59" s="4" t="s">
        <v>10</v>
      </c>
      <c r="G59" s="4" t="s">
        <v>10</v>
      </c>
      <c r="H59" s="4" t="s">
        <v>3507</v>
      </c>
      <c r="I59" s="4" t="s">
        <v>3508</v>
      </c>
      <c r="J59" s="4"/>
      <c r="K59" s="4"/>
    </row>
    <row r="60" ht="16" customHeight="1" s="4" customFormat="1">
      <c r="A60" s="4" t="s">
        <v>3345</v>
      </c>
      <c r="B60" s="4" t="s">
        <v>3390</v>
      </c>
      <c r="C60" s="4" t="s">
        <v>3498</v>
      </c>
      <c r="D60" s="4" t="s">
        <v>3403</v>
      </c>
      <c r="E60" s="4" t="s">
        <v>3440</v>
      </c>
      <c r="F60" s="4" t="s">
        <v>10</v>
      </c>
      <c r="G60" s="4" t="s">
        <v>10</v>
      </c>
      <c r="H60" s="4" t="s">
        <v>3509</v>
      </c>
      <c r="I60" s="4" t="s">
        <v>3510</v>
      </c>
      <c r="J60" s="4"/>
      <c r="K60" s="4"/>
    </row>
    <row r="61" ht="16" customHeight="1" s="4" customFormat="1">
      <c r="A61" s="4" t="s">
        <v>3345</v>
      </c>
      <c r="B61" s="4" t="s">
        <v>3390</v>
      </c>
      <c r="C61" s="4" t="s">
        <v>3498</v>
      </c>
      <c r="D61" s="4" t="s">
        <v>3403</v>
      </c>
      <c r="E61" s="4" t="s">
        <v>3440</v>
      </c>
      <c r="F61" s="4" t="s">
        <v>10</v>
      </c>
      <c r="G61" s="4" t="s">
        <v>10</v>
      </c>
      <c r="H61" s="4" t="s">
        <v>3511</v>
      </c>
      <c r="I61" s="4" t="s">
        <v>3512</v>
      </c>
      <c r="J61" s="4"/>
      <c r="K61" s="4"/>
    </row>
    <row r="62" ht="16" customHeight="1" s="4" customFormat="1">
      <c r="A62" s="4" t="s">
        <v>3345</v>
      </c>
      <c r="B62" s="4" t="s">
        <v>3390</v>
      </c>
      <c r="C62" s="4" t="s">
        <v>3498</v>
      </c>
      <c r="D62" s="4" t="s">
        <v>3403</v>
      </c>
      <c r="E62" s="4" t="s">
        <v>3440</v>
      </c>
      <c r="F62" s="4" t="s">
        <v>10</v>
      </c>
      <c r="G62" s="4" t="s">
        <v>10</v>
      </c>
      <c r="H62" s="4" t="s">
        <v>3449</v>
      </c>
      <c r="I62" s="4" t="s">
        <v>3450</v>
      </c>
      <c r="J62" s="4"/>
      <c r="K62" s="4"/>
    </row>
    <row r="63" ht="16" customHeight="1" s="4" customFormat="1">
      <c r="A63" s="4" t="s">
        <v>3345</v>
      </c>
      <c r="B63" s="4" t="s">
        <v>3390</v>
      </c>
      <c r="C63" s="4" t="s">
        <v>3498</v>
      </c>
      <c r="D63" s="4" t="s">
        <v>3403</v>
      </c>
      <c r="E63" s="4" t="s">
        <v>3440</v>
      </c>
      <c r="F63" s="4" t="s">
        <v>10</v>
      </c>
      <c r="G63" s="4" t="s">
        <v>10</v>
      </c>
      <c r="H63" s="4" t="s">
        <v>3513</v>
      </c>
      <c r="I63" s="4" t="s">
        <v>3514</v>
      </c>
      <c r="J63" s="4"/>
      <c r="K63" s="4"/>
    </row>
    <row r="64" ht="16" customHeight="1" s="4" customFormat="1">
      <c r="A64" s="4" t="s">
        <v>3345</v>
      </c>
      <c r="B64" s="4" t="s">
        <v>3390</v>
      </c>
      <c r="C64" s="4" t="s">
        <v>3498</v>
      </c>
      <c r="D64" s="4" t="s">
        <v>3403</v>
      </c>
      <c r="E64" s="4" t="s">
        <v>3440</v>
      </c>
      <c r="F64" s="4" t="s">
        <v>10</v>
      </c>
      <c r="G64" s="4" t="s">
        <v>10</v>
      </c>
      <c r="H64" s="4" t="s">
        <v>3515</v>
      </c>
      <c r="I64" s="4" t="s">
        <v>3516</v>
      </c>
      <c r="J64" s="4"/>
      <c r="K64" s="4"/>
    </row>
    <row r="65" ht="16" customHeight="1" s="4" customFormat="1">
      <c r="A65" s="4" t="s">
        <v>3345</v>
      </c>
      <c r="B65" s="4" t="s">
        <v>3390</v>
      </c>
      <c r="C65" s="4" t="s">
        <v>3498</v>
      </c>
      <c r="D65" s="4" t="s">
        <v>3403</v>
      </c>
      <c r="E65" s="4" t="s">
        <v>3440</v>
      </c>
      <c r="F65" s="4" t="s">
        <v>10</v>
      </c>
      <c r="G65" s="4" t="s">
        <v>10</v>
      </c>
      <c r="H65" s="4" t="s">
        <v>3517</v>
      </c>
      <c r="I65" s="4" t="s">
        <v>3518</v>
      </c>
      <c r="J65" s="4"/>
      <c r="K65" s="4"/>
    </row>
    <row r="66" ht="16" customHeight="1" s="4" customFormat="1">
      <c r="A66" s="4" t="s">
        <v>3345</v>
      </c>
      <c r="B66" s="4" t="s">
        <v>3390</v>
      </c>
      <c r="C66" s="4" t="s">
        <v>3498</v>
      </c>
      <c r="D66" s="4" t="s">
        <v>3403</v>
      </c>
      <c r="E66" s="4" t="s">
        <v>3440</v>
      </c>
      <c r="F66" s="4" t="s">
        <v>10</v>
      </c>
      <c r="G66" s="4" t="s">
        <v>10</v>
      </c>
      <c r="H66" s="4" t="s">
        <v>3519</v>
      </c>
      <c r="I66" s="4" t="s">
        <v>3520</v>
      </c>
      <c r="J66" s="4"/>
      <c r="K66" s="4"/>
    </row>
    <row r="67" ht="16" customHeight="1" s="4" customFormat="1">
      <c r="A67" s="4" t="s">
        <v>3345</v>
      </c>
      <c r="B67" s="4" t="s">
        <v>3390</v>
      </c>
      <c r="C67" s="4" t="s">
        <v>3498</v>
      </c>
      <c r="D67" s="4" t="s">
        <v>3403</v>
      </c>
      <c r="E67" s="4" t="s">
        <v>3440</v>
      </c>
      <c r="F67" s="4" t="s">
        <v>10</v>
      </c>
      <c r="G67" s="4" t="s">
        <v>10</v>
      </c>
      <c r="H67" s="4" t="s">
        <v>3521</v>
      </c>
      <c r="I67" s="4" t="s">
        <v>3522</v>
      </c>
      <c r="J67" s="4"/>
      <c r="K67" s="4"/>
    </row>
    <row r="68" ht="16" customHeight="1" s="4" customFormat="1">
      <c r="A68" s="4" t="s">
        <v>3345</v>
      </c>
      <c r="B68" s="4" t="s">
        <v>3390</v>
      </c>
      <c r="C68" s="4" t="s">
        <v>3498</v>
      </c>
      <c r="D68" s="4" t="s">
        <v>3403</v>
      </c>
      <c r="E68" s="4" t="s">
        <v>3440</v>
      </c>
      <c r="F68" s="4" t="s">
        <v>10</v>
      </c>
      <c r="G68" s="4" t="s">
        <v>10</v>
      </c>
      <c r="H68" s="4" t="s">
        <v>3523</v>
      </c>
      <c r="I68" s="4" t="s">
        <v>3524</v>
      </c>
      <c r="J68" s="4"/>
      <c r="K68" s="4"/>
    </row>
    <row r="69" ht="16" customHeight="1" s="4" customFormat="1">
      <c r="A69" s="4" t="s">
        <v>3345</v>
      </c>
      <c r="B69" s="4" t="s">
        <v>3390</v>
      </c>
      <c r="C69" s="4" t="s">
        <v>3498</v>
      </c>
      <c r="D69" s="4" t="s">
        <v>3403</v>
      </c>
      <c r="E69" s="4" t="s">
        <v>3440</v>
      </c>
      <c r="F69" s="4" t="s">
        <v>10</v>
      </c>
      <c r="G69" s="4" t="s">
        <v>10</v>
      </c>
      <c r="H69" s="4" t="s">
        <v>3525</v>
      </c>
      <c r="I69" s="4" t="s">
        <v>3526</v>
      </c>
      <c r="J69" s="4"/>
      <c r="K69" s="4"/>
    </row>
    <row r="70" ht="16" customHeight="1" s="4" customFormat="1">
      <c r="A70" s="4" t="s">
        <v>3345</v>
      </c>
      <c r="B70" s="4" t="s">
        <v>3390</v>
      </c>
      <c r="C70" s="4" t="s">
        <v>3498</v>
      </c>
      <c r="D70" s="4" t="s">
        <v>3403</v>
      </c>
      <c r="E70" s="4" t="s">
        <v>3440</v>
      </c>
      <c r="F70" s="4" t="s">
        <v>10</v>
      </c>
      <c r="G70" s="4" t="s">
        <v>10</v>
      </c>
      <c r="H70" s="4" t="s">
        <v>3527</v>
      </c>
      <c r="I70" s="4" t="s">
        <v>3528</v>
      </c>
      <c r="J70" s="4"/>
      <c r="K70" s="4"/>
    </row>
    <row r="71" ht="16" customHeight="1" s="4" customFormat="1">
      <c r="A71" s="4" t="s">
        <v>3345</v>
      </c>
      <c r="B71" s="4" t="s">
        <v>3390</v>
      </c>
      <c r="C71" s="4" t="s">
        <v>3498</v>
      </c>
      <c r="D71" s="4" t="s">
        <v>3403</v>
      </c>
      <c r="E71" s="4" t="s">
        <v>3440</v>
      </c>
      <c r="F71" s="4" t="s">
        <v>10</v>
      </c>
      <c r="G71" s="4" t="s">
        <v>10</v>
      </c>
      <c r="H71" s="4" t="s">
        <v>3529</v>
      </c>
      <c r="I71" s="4" t="s">
        <v>3530</v>
      </c>
      <c r="J71" s="4"/>
      <c r="K71" s="4"/>
    </row>
    <row r="72" ht="16" customHeight="1" s="4" customFormat="1">
      <c r="A72" s="4" t="s">
        <v>3345</v>
      </c>
      <c r="B72" s="4" t="s">
        <v>3390</v>
      </c>
      <c r="C72" s="4" t="s">
        <v>3531</v>
      </c>
      <c r="D72" s="4" t="s">
        <v>3473</v>
      </c>
      <c r="E72" s="4" t="s">
        <v>3532</v>
      </c>
      <c r="F72" s="4" t="s">
        <v>10</v>
      </c>
      <c r="G72" s="4" t="s">
        <v>10</v>
      </c>
      <c r="H72" s="4" t="s">
        <v>3533</v>
      </c>
      <c r="I72" s="4" t="s">
        <v>3534</v>
      </c>
      <c r="J72" s="4"/>
      <c r="K72" s="4"/>
    </row>
    <row r="73" ht="16" customHeight="1" s="4" customFormat="1">
      <c r="A73" s="4" t="s">
        <v>3345</v>
      </c>
      <c r="B73" s="4" t="s">
        <v>3390</v>
      </c>
      <c r="C73" s="4" t="s">
        <v>3535</v>
      </c>
      <c r="D73" s="4" t="s">
        <v>3403</v>
      </c>
      <c r="E73" s="4" t="s">
        <v>3536</v>
      </c>
      <c r="F73" s="4" t="s">
        <v>3537</v>
      </c>
      <c r="G73" s="4" t="s">
        <v>10</v>
      </c>
      <c r="H73" s="4" t="s">
        <v>3538</v>
      </c>
      <c r="I73" s="4" t="s">
        <v>3539</v>
      </c>
      <c r="J73" s="4"/>
      <c r="K73" s="4"/>
    </row>
    <row r="74" ht="16" customHeight="1" s="4" customFormat="1">
      <c r="A74" s="4" t="s">
        <v>3345</v>
      </c>
      <c r="B74" s="4" t="s">
        <v>3390</v>
      </c>
      <c r="C74" s="4" t="s">
        <v>3540</v>
      </c>
      <c r="D74" s="4" t="s">
        <v>3403</v>
      </c>
      <c r="E74" s="4" t="s">
        <v>3536</v>
      </c>
      <c r="F74" s="4" t="s">
        <v>3537</v>
      </c>
      <c r="G74" s="4" t="s">
        <v>10</v>
      </c>
      <c r="H74" s="4" t="s">
        <v>3541</v>
      </c>
      <c r="I74" s="4" t="s">
        <v>3542</v>
      </c>
      <c r="J74" s="4"/>
      <c r="K74" s="4"/>
    </row>
    <row r="75" ht="16" customHeight="1" s="4" customFormat="1">
      <c r="A75" s="4" t="s">
        <v>3345</v>
      </c>
      <c r="B75" s="4" t="s">
        <v>3390</v>
      </c>
      <c r="C75" s="4" t="s">
        <v>3543</v>
      </c>
      <c r="D75" s="4" t="s">
        <v>3403</v>
      </c>
      <c r="E75" s="4" t="s">
        <v>3536</v>
      </c>
      <c r="F75" s="4" t="s">
        <v>3537</v>
      </c>
      <c r="G75" s="4" t="s">
        <v>10</v>
      </c>
      <c r="H75" s="4" t="s">
        <v>3544</v>
      </c>
      <c r="I75" s="4" t="s">
        <v>3545</v>
      </c>
      <c r="J75" s="4"/>
      <c r="K75" s="4"/>
    </row>
    <row r="76" ht="16" customHeight="1" s="4" customFormat="1">
      <c r="A76" s="4" t="s">
        <v>3345</v>
      </c>
      <c r="B76" s="4" t="s">
        <v>3390</v>
      </c>
      <c r="C76" s="4" t="s">
        <v>3546</v>
      </c>
      <c r="D76" s="4" t="s">
        <v>3473</v>
      </c>
      <c r="E76" s="4" t="s">
        <v>3536</v>
      </c>
      <c r="F76" s="4" t="s">
        <v>3537</v>
      </c>
      <c r="G76" s="4" t="s">
        <v>10</v>
      </c>
      <c r="H76" s="4" t="s">
        <v>3547</v>
      </c>
      <c r="I76" s="4" t="s">
        <v>3548</v>
      </c>
      <c r="J76" s="4"/>
      <c r="K76" s="4"/>
    </row>
    <row r="77" ht="16" customHeight="1" s="4" customFormat="1">
      <c r="A77" s="4" t="s">
        <v>3345</v>
      </c>
      <c r="B77" s="4" t="s">
        <v>3390</v>
      </c>
      <c r="C77" s="4" t="s">
        <v>3546</v>
      </c>
      <c r="D77" s="4" t="s">
        <v>3403</v>
      </c>
      <c r="E77" s="4" t="s">
        <v>3536</v>
      </c>
      <c r="F77" s="4" t="s">
        <v>3537</v>
      </c>
      <c r="G77" s="4" t="s">
        <v>10</v>
      </c>
      <c r="H77" s="4" t="s">
        <v>3549</v>
      </c>
      <c r="I77" s="4" t="s">
        <v>3550</v>
      </c>
      <c r="J77" s="4"/>
      <c r="K77" s="4"/>
    </row>
    <row r="78" ht="16" customHeight="1" s="4" customFormat="1">
      <c r="A78" s="4" t="s">
        <v>3345</v>
      </c>
      <c r="B78" s="4" t="s">
        <v>3390</v>
      </c>
      <c r="C78" s="4" t="s">
        <v>3546</v>
      </c>
      <c r="D78" s="4" t="s">
        <v>3403</v>
      </c>
      <c r="E78" s="4" t="s">
        <v>3536</v>
      </c>
      <c r="F78" s="4" t="s">
        <v>3537</v>
      </c>
      <c r="G78" s="4" t="s">
        <v>10</v>
      </c>
      <c r="H78" s="4" t="s">
        <v>3551</v>
      </c>
      <c r="I78" s="4" t="s">
        <v>3552</v>
      </c>
      <c r="J78" s="4"/>
      <c r="K78" s="4"/>
    </row>
    <row r="79" ht="16" customHeight="1" s="4" customFormat="1">
      <c r="A79" s="4" t="s">
        <v>3345</v>
      </c>
      <c r="B79" s="4" t="s">
        <v>3390</v>
      </c>
      <c r="C79" s="4" t="s">
        <v>3546</v>
      </c>
      <c r="D79" s="4" t="s">
        <v>3403</v>
      </c>
      <c r="E79" s="4" t="s">
        <v>3536</v>
      </c>
      <c r="F79" s="4" t="s">
        <v>3537</v>
      </c>
      <c r="G79" s="4" t="s">
        <v>10</v>
      </c>
      <c r="H79" s="4" t="s">
        <v>3553</v>
      </c>
      <c r="I79" s="4" t="s">
        <v>3554</v>
      </c>
      <c r="J79" s="4"/>
      <c r="K79" s="4"/>
    </row>
    <row r="80" ht="16" customHeight="1" s="4" customFormat="1">
      <c r="A80" s="4" t="s">
        <v>3345</v>
      </c>
      <c r="B80" s="4" t="s">
        <v>3390</v>
      </c>
      <c r="C80" s="4" t="s">
        <v>3546</v>
      </c>
      <c r="D80" s="4" t="s">
        <v>3403</v>
      </c>
      <c r="E80" s="4" t="s">
        <v>3536</v>
      </c>
      <c r="F80" s="4" t="s">
        <v>3537</v>
      </c>
      <c r="G80" s="4" t="s">
        <v>10</v>
      </c>
      <c r="H80" s="4" t="s">
        <v>3555</v>
      </c>
      <c r="I80" s="4" t="s">
        <v>3556</v>
      </c>
      <c r="J80" s="4"/>
      <c r="K80" s="4"/>
    </row>
    <row r="81" ht="16" customHeight="1" s="4" customFormat="1">
      <c r="A81" s="4" t="s">
        <v>3345</v>
      </c>
      <c r="B81" s="4" t="s">
        <v>3390</v>
      </c>
      <c r="C81" s="4" t="s">
        <v>3546</v>
      </c>
      <c r="D81" s="4" t="s">
        <v>3403</v>
      </c>
      <c r="E81" s="4" t="s">
        <v>3536</v>
      </c>
      <c r="F81" s="4" t="s">
        <v>3537</v>
      </c>
      <c r="G81" s="4" t="s">
        <v>10</v>
      </c>
      <c r="H81" s="4" t="s">
        <v>3557</v>
      </c>
      <c r="I81" s="4" t="s">
        <v>3558</v>
      </c>
      <c r="J81" s="4"/>
      <c r="K81" s="4"/>
    </row>
    <row r="82" ht="16" customHeight="1" s="4" customFormat="1">
      <c r="A82" s="4" t="s">
        <v>3345</v>
      </c>
      <c r="B82" s="4" t="s">
        <v>3390</v>
      </c>
      <c r="C82" s="4" t="s">
        <v>3559</v>
      </c>
      <c r="D82" s="4" t="s">
        <v>3403</v>
      </c>
      <c r="E82" s="4" t="s">
        <v>3536</v>
      </c>
      <c r="F82" s="4" t="s">
        <v>3537</v>
      </c>
      <c r="G82" s="4" t="s">
        <v>10</v>
      </c>
      <c r="H82" s="4" t="s">
        <v>3560</v>
      </c>
      <c r="I82" s="4" t="s">
        <v>3561</v>
      </c>
      <c r="J82" s="4"/>
      <c r="K82" s="4"/>
    </row>
    <row r="83" ht="16" customHeight="1" s="4" customFormat="1">
      <c r="A83" s="4" t="s">
        <v>3345</v>
      </c>
      <c r="B83" s="4" t="s">
        <v>3390</v>
      </c>
      <c r="C83" s="4" t="s">
        <v>3562</v>
      </c>
      <c r="D83" s="4" t="s">
        <v>3403</v>
      </c>
      <c r="E83" s="4" t="s">
        <v>3536</v>
      </c>
      <c r="F83" s="4" t="s">
        <v>3537</v>
      </c>
      <c r="G83" s="4" t="s">
        <v>10</v>
      </c>
      <c r="H83" s="4" t="s">
        <v>3563</v>
      </c>
      <c r="I83" s="4" t="s">
        <v>3564</v>
      </c>
      <c r="J83" s="4"/>
      <c r="K83" s="4"/>
    </row>
    <row r="84" ht="16" customHeight="1" s="4" customFormat="1">
      <c r="A84" s="4" t="s">
        <v>3345</v>
      </c>
      <c r="B84" s="4" t="s">
        <v>3390</v>
      </c>
      <c r="C84" s="4" t="s">
        <v>3565</v>
      </c>
      <c r="D84" s="4" t="s">
        <v>3403</v>
      </c>
      <c r="E84" s="4" t="s">
        <v>3536</v>
      </c>
      <c r="F84" s="4" t="s">
        <v>3537</v>
      </c>
      <c r="G84" s="4" t="s">
        <v>10</v>
      </c>
      <c r="H84" s="4" t="s">
        <v>3566</v>
      </c>
      <c r="I84" s="4" t="s">
        <v>3567</v>
      </c>
      <c r="J84" s="4"/>
      <c r="K84" s="4"/>
    </row>
    <row r="85" ht="16" customHeight="1" s="4" customFormat="1">
      <c r="A85" s="4" t="s">
        <v>3345</v>
      </c>
      <c r="B85" s="4" t="s">
        <v>3390</v>
      </c>
      <c r="C85" s="4" t="s">
        <v>3568</v>
      </c>
      <c r="D85" s="4" t="s">
        <v>3403</v>
      </c>
      <c r="E85" s="4" t="s">
        <v>3536</v>
      </c>
      <c r="F85" s="4" t="s">
        <v>3537</v>
      </c>
      <c r="G85" s="4" t="s">
        <v>10</v>
      </c>
      <c r="H85" s="4" t="s">
        <v>3569</v>
      </c>
      <c r="I85" s="4" t="s">
        <v>3570</v>
      </c>
      <c r="J85" s="4"/>
      <c r="K85" s="4"/>
    </row>
    <row r="86" ht="16" customHeight="1" s="4" customFormat="1">
      <c r="A86" s="4" t="s">
        <v>3345</v>
      </c>
      <c r="B86" s="4" t="s">
        <v>3390</v>
      </c>
      <c r="C86" s="4" t="s">
        <v>3571</v>
      </c>
      <c r="D86" s="4" t="s">
        <v>3436</v>
      </c>
      <c r="E86" s="4" t="s">
        <v>3440</v>
      </c>
      <c r="F86" s="4" t="s">
        <v>10</v>
      </c>
      <c r="G86" s="4" t="s">
        <v>10</v>
      </c>
      <c r="H86" s="4" t="s">
        <v>3572</v>
      </c>
      <c r="I86" s="4" t="s">
        <v>3573</v>
      </c>
      <c r="J86" s="4"/>
      <c r="K86" s="4"/>
    </row>
    <row r="87" ht="16" customHeight="1" s="4" customFormat="1">
      <c r="A87" s="4" t="s">
        <v>3345</v>
      </c>
      <c r="B87" s="4" t="s">
        <v>3390</v>
      </c>
      <c r="C87" s="4" t="s">
        <v>3574</v>
      </c>
      <c r="D87" s="4" t="s">
        <v>3436</v>
      </c>
      <c r="E87" s="4" t="s">
        <v>3440</v>
      </c>
      <c r="F87" s="4" t="s">
        <v>10</v>
      </c>
      <c r="G87" s="4" t="s">
        <v>10</v>
      </c>
      <c r="H87" s="4" t="s">
        <v>3575</v>
      </c>
      <c r="I87" s="4" t="s">
        <v>3576</v>
      </c>
      <c r="J87" s="4"/>
      <c r="K87" s="4"/>
    </row>
    <row r="88" ht="16" customHeight="1" s="4" customFormat="1">
      <c r="A88" s="4" t="s">
        <v>3345</v>
      </c>
      <c r="B88" s="4" t="s">
        <v>3390</v>
      </c>
      <c r="C88" s="4" t="s">
        <v>3577</v>
      </c>
      <c r="D88" s="4" t="s">
        <v>3436</v>
      </c>
      <c r="E88" s="4" t="s">
        <v>3440</v>
      </c>
      <c r="F88" s="4" t="s">
        <v>3466</v>
      </c>
      <c r="G88" s="4" t="s">
        <v>10</v>
      </c>
      <c r="H88" s="4" t="s">
        <v>3578</v>
      </c>
      <c r="I88" s="4" t="s">
        <v>3579</v>
      </c>
      <c r="J88" s="4"/>
      <c r="K88" s="4"/>
    </row>
    <row r="89" ht="16" customHeight="1" s="4" customFormat="1">
      <c r="A89" s="4" t="s">
        <v>3345</v>
      </c>
      <c r="B89" s="4" t="s">
        <v>3390</v>
      </c>
      <c r="C89" s="4" t="s">
        <v>3580</v>
      </c>
      <c r="D89" s="4" t="s">
        <v>3581</v>
      </c>
      <c r="E89" s="4" t="s">
        <v>3582</v>
      </c>
      <c r="F89" s="4" t="s">
        <v>3583</v>
      </c>
      <c r="G89" s="4" t="s">
        <v>10</v>
      </c>
      <c r="H89" s="4" t="s">
        <v>3584</v>
      </c>
      <c r="I89" s="4" t="s">
        <v>3585</v>
      </c>
      <c r="J89" s="4"/>
      <c r="K89" s="4"/>
    </row>
    <row r="90" ht="16" customHeight="1" s="4" customFormat="1">
      <c r="A90" s="4" t="s">
        <v>3345</v>
      </c>
      <c r="B90" s="4" t="s">
        <v>3390</v>
      </c>
      <c r="C90" s="4" t="s">
        <v>3580</v>
      </c>
      <c r="D90" s="4" t="s">
        <v>3581</v>
      </c>
      <c r="E90" s="4" t="s">
        <v>3582</v>
      </c>
      <c r="F90" s="4" t="s">
        <v>3583</v>
      </c>
      <c r="G90" s="4" t="s">
        <v>10</v>
      </c>
      <c r="H90" s="4" t="s">
        <v>3586</v>
      </c>
      <c r="I90" s="4" t="s">
        <v>3587</v>
      </c>
      <c r="J90" s="4"/>
      <c r="K90" s="4"/>
    </row>
    <row r="91" ht="16" customHeight="1" s="4" customFormat="1">
      <c r="A91" s="4" t="s">
        <v>3345</v>
      </c>
      <c r="B91" s="4" t="s">
        <v>3390</v>
      </c>
      <c r="C91" s="4" t="s">
        <v>3580</v>
      </c>
      <c r="D91" s="4" t="s">
        <v>3581</v>
      </c>
      <c r="E91" s="4" t="s">
        <v>3582</v>
      </c>
      <c r="F91" s="4" t="s">
        <v>3583</v>
      </c>
      <c r="G91" s="4" t="s">
        <v>10</v>
      </c>
      <c r="H91" s="4" t="s">
        <v>3588</v>
      </c>
      <c r="I91" s="4" t="s">
        <v>3589</v>
      </c>
      <c r="J91" s="4"/>
      <c r="K91" s="4"/>
    </row>
    <row r="92" ht="16" customHeight="1" s="4" customFormat="1">
      <c r="A92" s="4" t="s">
        <v>3345</v>
      </c>
      <c r="B92" s="4" t="s">
        <v>3390</v>
      </c>
      <c r="C92" s="4" t="s">
        <v>3580</v>
      </c>
      <c r="D92" s="4" t="s">
        <v>3581</v>
      </c>
      <c r="E92" s="4" t="s">
        <v>3582</v>
      </c>
      <c r="F92" s="4" t="s">
        <v>3583</v>
      </c>
      <c r="G92" s="4" t="s">
        <v>10</v>
      </c>
      <c r="H92" s="4" t="s">
        <v>3590</v>
      </c>
      <c r="I92" s="4" t="s">
        <v>3591</v>
      </c>
      <c r="J92" s="4"/>
      <c r="K92" s="4"/>
    </row>
    <row r="93" ht="16" customHeight="1" s="4" customFormat="1">
      <c r="A93" s="4" t="s">
        <v>3345</v>
      </c>
      <c r="B93" s="4" t="s">
        <v>3390</v>
      </c>
      <c r="C93" s="4" t="s">
        <v>3592</v>
      </c>
      <c r="D93" s="4" t="s">
        <v>3581</v>
      </c>
      <c r="E93" s="4" t="s">
        <v>3582</v>
      </c>
      <c r="F93" s="4" t="s">
        <v>3583</v>
      </c>
      <c r="G93" s="4" t="s">
        <v>10</v>
      </c>
      <c r="H93" s="4" t="s">
        <v>3593</v>
      </c>
      <c r="I93" s="4" t="s">
        <v>3594</v>
      </c>
      <c r="J93" s="4"/>
      <c r="K93" s="4"/>
    </row>
    <row r="94" ht="16" customHeight="1" s="4" customFormat="1">
      <c r="A94" s="4" t="s">
        <v>3345</v>
      </c>
      <c r="B94" s="4" t="s">
        <v>3390</v>
      </c>
      <c r="C94" s="4" t="s">
        <v>3592</v>
      </c>
      <c r="D94" s="4" t="s">
        <v>3581</v>
      </c>
      <c r="E94" s="4" t="s">
        <v>3582</v>
      </c>
      <c r="F94" s="4" t="s">
        <v>3583</v>
      </c>
      <c r="G94" s="4" t="s">
        <v>10</v>
      </c>
      <c r="H94" s="4" t="s">
        <v>3595</v>
      </c>
      <c r="I94" s="4" t="s">
        <v>3596</v>
      </c>
      <c r="J94" s="4"/>
      <c r="K94" s="4"/>
    </row>
    <row r="95" ht="16" customHeight="1" s="4" customFormat="1">
      <c r="A95" s="4" t="s">
        <v>3345</v>
      </c>
      <c r="B95" s="4" t="s">
        <v>3390</v>
      </c>
      <c r="C95" s="4" t="s">
        <v>3592</v>
      </c>
      <c r="D95" s="4" t="s">
        <v>3581</v>
      </c>
      <c r="E95" s="4" t="s">
        <v>3582</v>
      </c>
      <c r="F95" s="4" t="s">
        <v>3583</v>
      </c>
      <c r="G95" s="4" t="s">
        <v>10</v>
      </c>
      <c r="H95" s="4" t="s">
        <v>3597</v>
      </c>
      <c r="I95" s="4" t="s">
        <v>3598</v>
      </c>
      <c r="J95" s="4"/>
      <c r="K95" s="4"/>
    </row>
    <row r="96" ht="16" customHeight="1" s="4" customFormat="1">
      <c r="A96" s="4" t="s">
        <v>3345</v>
      </c>
      <c r="B96" s="4" t="s">
        <v>3390</v>
      </c>
      <c r="C96" s="4" t="s">
        <v>3592</v>
      </c>
      <c r="D96" s="4" t="s">
        <v>3599</v>
      </c>
      <c r="E96" s="4" t="s">
        <v>3582</v>
      </c>
      <c r="F96" s="4" t="s">
        <v>3583</v>
      </c>
      <c r="G96" s="4" t="s">
        <v>10</v>
      </c>
      <c r="H96" s="4" t="s">
        <v>3600</v>
      </c>
      <c r="I96" s="4" t="s">
        <v>3601</v>
      </c>
      <c r="J96" s="4"/>
      <c r="K96" s="4"/>
    </row>
    <row r="97" ht="16" customHeight="1" s="4" customFormat="1">
      <c r="A97" s="4" t="s">
        <v>3345</v>
      </c>
      <c r="B97" s="4" t="s">
        <v>3390</v>
      </c>
      <c r="C97" s="4" t="s">
        <v>3602</v>
      </c>
      <c r="D97" s="4" t="s">
        <v>3603</v>
      </c>
      <c r="E97" s="4" t="s">
        <v>3604</v>
      </c>
      <c r="F97" s="4" t="s">
        <v>3605</v>
      </c>
      <c r="G97" s="4" t="s">
        <v>10</v>
      </c>
      <c r="H97" s="4" t="s">
        <v>3606</v>
      </c>
      <c r="I97" s="4" t="s">
        <v>3607</v>
      </c>
      <c r="J97" s="4"/>
      <c r="K97" s="4"/>
    </row>
    <row r="98" ht="16" customHeight="1" s="4" customFormat="1">
      <c r="A98" s="4" t="s">
        <v>3345</v>
      </c>
      <c r="B98" s="4" t="s">
        <v>3390</v>
      </c>
      <c r="C98" s="4" t="s">
        <v>3602</v>
      </c>
      <c r="D98" s="4" t="s">
        <v>3608</v>
      </c>
      <c r="E98" s="4" t="s">
        <v>3604</v>
      </c>
      <c r="F98" s="4" t="s">
        <v>3605</v>
      </c>
      <c r="G98" s="4" t="s">
        <v>10</v>
      </c>
      <c r="H98" s="4" t="s">
        <v>3609</v>
      </c>
      <c r="I98" s="4" t="s">
        <v>3610</v>
      </c>
      <c r="J98" s="4"/>
      <c r="K98" s="4"/>
    </row>
    <row r="99" ht="16" customHeight="1" s="4" customFormat="1">
      <c r="A99" s="4" t="s">
        <v>3345</v>
      </c>
      <c r="B99" s="4" t="s">
        <v>3390</v>
      </c>
      <c r="C99" s="4" t="s">
        <v>3611</v>
      </c>
      <c r="D99" s="4" t="s">
        <v>3612</v>
      </c>
      <c r="E99" s="4" t="s">
        <v>3613</v>
      </c>
      <c r="F99" s="4" t="s">
        <v>3614</v>
      </c>
      <c r="G99" s="4" t="s">
        <v>10</v>
      </c>
      <c r="H99" s="4" t="s">
        <v>3615</v>
      </c>
      <c r="I99" s="4" t="s">
        <v>3616</v>
      </c>
      <c r="J99" s="4"/>
      <c r="K99" s="4"/>
    </row>
    <row r="100" ht="16" customHeight="1" s="4" customFormat="1">
      <c r="A100" s="4" t="s">
        <v>3345</v>
      </c>
      <c r="B100" s="4" t="s">
        <v>3390</v>
      </c>
      <c r="C100" s="4" t="s">
        <v>3611</v>
      </c>
      <c r="D100" s="4" t="s">
        <v>3617</v>
      </c>
      <c r="E100" s="4" t="s">
        <v>3613</v>
      </c>
      <c r="F100" s="4" t="s">
        <v>3614</v>
      </c>
      <c r="G100" s="4" t="s">
        <v>10</v>
      </c>
      <c r="H100" s="4" t="s">
        <v>3618</v>
      </c>
      <c r="I100" s="4" t="s">
        <v>3619</v>
      </c>
      <c r="J100" s="4"/>
      <c r="K100" s="4"/>
    </row>
    <row r="101" ht="16" customHeight="1" s="4" customFormat="1">
      <c r="A101" s="4" t="s">
        <v>3345</v>
      </c>
      <c r="B101" s="4" t="s">
        <v>3390</v>
      </c>
      <c r="C101" s="4" t="s">
        <v>3611</v>
      </c>
      <c r="D101" s="4" t="s">
        <v>3620</v>
      </c>
      <c r="E101" s="4" t="s">
        <v>3613</v>
      </c>
      <c r="F101" s="4" t="s">
        <v>3614</v>
      </c>
      <c r="G101" s="4" t="s">
        <v>10</v>
      </c>
      <c r="H101" s="4" t="s">
        <v>3621</v>
      </c>
      <c r="I101" s="4" t="s">
        <v>3622</v>
      </c>
      <c r="J101" s="4"/>
      <c r="K101" s="4"/>
    </row>
    <row r="102" ht="16" customHeight="1" s="4" customFormat="1">
      <c r="A102" s="4" t="s">
        <v>3345</v>
      </c>
      <c r="B102" s="4" t="s">
        <v>3390</v>
      </c>
      <c r="C102" s="4" t="s">
        <v>3611</v>
      </c>
      <c r="D102" s="4" t="s">
        <v>3620</v>
      </c>
      <c r="E102" s="4" t="s">
        <v>3613</v>
      </c>
      <c r="F102" s="4" t="s">
        <v>3614</v>
      </c>
      <c r="G102" s="4" t="s">
        <v>10</v>
      </c>
      <c r="H102" s="4" t="s">
        <v>3623</v>
      </c>
      <c r="I102" s="4" t="s">
        <v>3579</v>
      </c>
      <c r="J102" s="4"/>
      <c r="K102" s="4"/>
    </row>
    <row r="103" ht="16" customHeight="1" s="4" customFormat="1">
      <c r="A103" s="4" t="s">
        <v>3345</v>
      </c>
      <c r="B103" s="4" t="s">
        <v>3390</v>
      </c>
      <c r="C103" s="4" t="s">
        <v>3611</v>
      </c>
      <c r="D103" s="4" t="s">
        <v>3624</v>
      </c>
      <c r="E103" s="4" t="s">
        <v>3613</v>
      </c>
      <c r="F103" s="4" t="s">
        <v>3614</v>
      </c>
      <c r="G103" s="4" t="s">
        <v>10</v>
      </c>
      <c r="H103" s="4" t="s">
        <v>3625</v>
      </c>
      <c r="I103" s="4" t="s">
        <v>3626</v>
      </c>
      <c r="J103" s="4"/>
      <c r="K103" s="4"/>
    </row>
    <row r="104" ht="16" customHeight="1" s="4" customFormat="1">
      <c r="A104" s="4" t="s">
        <v>3345</v>
      </c>
      <c r="B104" s="4" t="s">
        <v>3390</v>
      </c>
      <c r="C104" s="4" t="s">
        <v>3611</v>
      </c>
      <c r="D104" s="4" t="s">
        <v>3624</v>
      </c>
      <c r="E104" s="4" t="s">
        <v>3613</v>
      </c>
      <c r="F104" s="4" t="s">
        <v>3614</v>
      </c>
      <c r="G104" s="4" t="s">
        <v>10</v>
      </c>
      <c r="H104" s="4" t="s">
        <v>3627</v>
      </c>
      <c r="I104" s="4" t="s">
        <v>3628</v>
      </c>
      <c r="J104" s="4"/>
      <c r="K104" s="4"/>
    </row>
    <row r="105" ht="16" customHeight="1" s="4" customFormat="1">
      <c r="A105" s="4" t="s">
        <v>3345</v>
      </c>
      <c r="B105" s="4" t="s">
        <v>3390</v>
      </c>
      <c r="C105" s="4" t="s">
        <v>3611</v>
      </c>
      <c r="D105" s="4" t="s">
        <v>3629</v>
      </c>
      <c r="E105" s="4" t="s">
        <v>3613</v>
      </c>
      <c r="F105" s="4" t="s">
        <v>3614</v>
      </c>
      <c r="G105" s="4" t="s">
        <v>10</v>
      </c>
      <c r="H105" s="4" t="s">
        <v>3630</v>
      </c>
      <c r="I105" s="4" t="s">
        <v>3631</v>
      </c>
      <c r="J105" s="4"/>
      <c r="K105" s="4"/>
    </row>
    <row r="106" ht="16" customHeight="1" s="4" customFormat="1">
      <c r="A106" s="4" t="s">
        <v>3345</v>
      </c>
      <c r="B106" s="4" t="s">
        <v>3390</v>
      </c>
      <c r="C106" s="4" t="s">
        <v>3611</v>
      </c>
      <c r="D106" s="4" t="s">
        <v>3632</v>
      </c>
      <c r="E106" s="4" t="s">
        <v>3613</v>
      </c>
      <c r="F106" s="4" t="s">
        <v>3614</v>
      </c>
      <c r="G106" s="4" t="s">
        <v>10</v>
      </c>
      <c r="H106" s="4" t="s">
        <v>3633</v>
      </c>
      <c r="I106" s="4" t="s">
        <v>3634</v>
      </c>
      <c r="J106" s="4"/>
      <c r="K106" s="4"/>
    </row>
    <row r="107" ht="16" customHeight="1" s="4" customFormat="1">
      <c r="A107" s="4" t="s">
        <v>3345</v>
      </c>
      <c r="B107" s="4" t="s">
        <v>3390</v>
      </c>
      <c r="C107" s="4" t="s">
        <v>3611</v>
      </c>
      <c r="D107" s="4" t="s">
        <v>3635</v>
      </c>
      <c r="E107" s="4" t="s">
        <v>3613</v>
      </c>
      <c r="F107" s="4" t="s">
        <v>3614</v>
      </c>
      <c r="G107" s="4" t="s">
        <v>10</v>
      </c>
      <c r="H107" s="4" t="s">
        <v>3636</v>
      </c>
      <c r="I107" s="4" t="s">
        <v>3637</v>
      </c>
      <c r="J107" s="4"/>
      <c r="K107" s="4"/>
    </row>
    <row r="108" ht="16" customHeight="1" s="4" customFormat="1">
      <c r="A108" s="4" t="s">
        <v>3345</v>
      </c>
      <c r="B108" s="4" t="s">
        <v>3390</v>
      </c>
      <c r="C108" s="4" t="s">
        <v>3611</v>
      </c>
      <c r="D108" s="4" t="s">
        <v>3638</v>
      </c>
      <c r="E108" s="4" t="s">
        <v>3613</v>
      </c>
      <c r="F108" s="4" t="s">
        <v>3614</v>
      </c>
      <c r="G108" s="4" t="s">
        <v>10</v>
      </c>
      <c r="H108" s="4" t="s">
        <v>3639</v>
      </c>
      <c r="I108" s="4" t="s">
        <v>3640</v>
      </c>
      <c r="J108" s="4"/>
      <c r="K108" s="4"/>
    </row>
    <row r="109" ht="16" customHeight="1" s="4" customFormat="1">
      <c r="A109" s="4" t="s">
        <v>3345</v>
      </c>
      <c r="B109" s="4" t="s">
        <v>3390</v>
      </c>
      <c r="C109" s="4" t="s">
        <v>3641</v>
      </c>
      <c r="D109" s="4" t="s">
        <v>3642</v>
      </c>
      <c r="E109" s="4" t="s">
        <v>3613</v>
      </c>
      <c r="F109" s="4" t="s">
        <v>3614</v>
      </c>
      <c r="G109" s="4" t="s">
        <v>10</v>
      </c>
      <c r="H109" s="4" t="s">
        <v>3643</v>
      </c>
      <c r="I109" s="4" t="s">
        <v>3585</v>
      </c>
      <c r="J109" s="4"/>
      <c r="K109" s="4"/>
    </row>
    <row r="110" ht="16" customHeight="1" s="4" customFormat="1">
      <c r="A110" s="4" t="s">
        <v>3345</v>
      </c>
      <c r="B110" s="4" t="s">
        <v>3390</v>
      </c>
      <c r="C110" s="4" t="s">
        <v>3644</v>
      </c>
      <c r="D110" s="4" t="s">
        <v>3603</v>
      </c>
      <c r="E110" s="4" t="s">
        <v>3645</v>
      </c>
      <c r="F110" s="4" t="s">
        <v>3646</v>
      </c>
      <c r="G110" s="4" t="s">
        <v>10</v>
      </c>
      <c r="H110" s="4" t="s">
        <v>3647</v>
      </c>
      <c r="I110" s="4" t="s">
        <v>3648</v>
      </c>
      <c r="J110" s="4"/>
      <c r="K110" s="4"/>
    </row>
    <row r="111" ht="16" customHeight="1" s="4" customFormat="1">
      <c r="A111" s="4" t="s">
        <v>3345</v>
      </c>
      <c r="B111" s="4" t="s">
        <v>3390</v>
      </c>
      <c r="C111" s="4" t="s">
        <v>3644</v>
      </c>
      <c r="D111" s="4" t="s">
        <v>3603</v>
      </c>
      <c r="E111" s="4" t="s">
        <v>3645</v>
      </c>
      <c r="F111" s="4" t="s">
        <v>3646</v>
      </c>
      <c r="G111" s="4" t="s">
        <v>10</v>
      </c>
      <c r="H111" s="4" t="s">
        <v>3649</v>
      </c>
      <c r="I111" s="4" t="s">
        <v>3650</v>
      </c>
      <c r="J111" s="4"/>
      <c r="K111" s="4"/>
    </row>
    <row r="112" ht="16" customHeight="1" s="4" customFormat="1">
      <c r="A112" s="4" t="s">
        <v>3345</v>
      </c>
      <c r="B112" s="4" t="s">
        <v>3390</v>
      </c>
      <c r="C112" s="4" t="s">
        <v>3644</v>
      </c>
      <c r="D112" s="4" t="s">
        <v>3603</v>
      </c>
      <c r="E112" s="4" t="s">
        <v>3645</v>
      </c>
      <c r="F112" s="4" t="s">
        <v>3646</v>
      </c>
      <c r="G112" s="4" t="s">
        <v>10</v>
      </c>
      <c r="H112" s="4" t="s">
        <v>3651</v>
      </c>
      <c r="I112" s="4" t="s">
        <v>3652</v>
      </c>
      <c r="J112" s="4"/>
      <c r="K112" s="4"/>
    </row>
    <row r="113" ht="16" customHeight="1" s="4" customFormat="1">
      <c r="A113" s="4" t="s">
        <v>3345</v>
      </c>
      <c r="B113" s="4" t="s">
        <v>3390</v>
      </c>
      <c r="C113" s="4" t="s">
        <v>3644</v>
      </c>
      <c r="D113" s="4" t="s">
        <v>3603</v>
      </c>
      <c r="E113" s="4" t="s">
        <v>3645</v>
      </c>
      <c r="F113" s="4" t="s">
        <v>3646</v>
      </c>
      <c r="G113" s="4" t="s">
        <v>10</v>
      </c>
      <c r="H113" s="4" t="s">
        <v>3653</v>
      </c>
      <c r="I113" s="4" t="s">
        <v>3654</v>
      </c>
      <c r="J113" s="4"/>
      <c r="K113" s="4"/>
    </row>
    <row r="114" ht="16" customHeight="1" s="4" customFormat="1">
      <c r="A114" s="4" t="s">
        <v>3345</v>
      </c>
      <c r="B114" s="4" t="s">
        <v>3390</v>
      </c>
      <c r="C114" s="4" t="s">
        <v>3644</v>
      </c>
      <c r="D114" s="4" t="s">
        <v>3603</v>
      </c>
      <c r="E114" s="4" t="s">
        <v>3645</v>
      </c>
      <c r="F114" s="4" t="s">
        <v>3646</v>
      </c>
      <c r="G114" s="4" t="s">
        <v>10</v>
      </c>
      <c r="H114" s="4" t="s">
        <v>3655</v>
      </c>
      <c r="I114" s="4" t="s">
        <v>3656</v>
      </c>
      <c r="J114" s="4"/>
      <c r="K114" s="4"/>
    </row>
    <row r="115" ht="16" customHeight="1" s="4" customFormat="1">
      <c r="A115" s="4" t="s">
        <v>3345</v>
      </c>
      <c r="B115" s="4" t="s">
        <v>3390</v>
      </c>
      <c r="C115" s="4" t="s">
        <v>3644</v>
      </c>
      <c r="D115" s="4" t="s">
        <v>3603</v>
      </c>
      <c r="E115" s="4" t="s">
        <v>3645</v>
      </c>
      <c r="F115" s="4" t="s">
        <v>3646</v>
      </c>
      <c r="G115" s="4" t="s">
        <v>10</v>
      </c>
      <c r="H115" s="4" t="s">
        <v>3657</v>
      </c>
      <c r="I115" s="4" t="s">
        <v>3658</v>
      </c>
      <c r="J115" s="4"/>
      <c r="K115" s="4"/>
    </row>
    <row r="116" ht="16" customHeight="1" s="4" customFormat="1">
      <c r="A116" s="4" t="s">
        <v>3345</v>
      </c>
      <c r="B116" s="4" t="s">
        <v>3390</v>
      </c>
      <c r="C116" s="4" t="s">
        <v>3644</v>
      </c>
      <c r="D116" s="4" t="s">
        <v>3659</v>
      </c>
      <c r="E116" s="4" t="s">
        <v>3645</v>
      </c>
      <c r="F116" s="4" t="s">
        <v>3646</v>
      </c>
      <c r="G116" s="4" t="s">
        <v>10</v>
      </c>
      <c r="H116" s="4" t="s">
        <v>3660</v>
      </c>
      <c r="I116" s="4" t="s">
        <v>3661</v>
      </c>
      <c r="J116" s="4"/>
      <c r="K116" s="4"/>
    </row>
    <row r="117" ht="16" customHeight="1" s="4" customFormat="1">
      <c r="A117" s="4" t="s">
        <v>3345</v>
      </c>
      <c r="B117" s="4" t="s">
        <v>3390</v>
      </c>
      <c r="C117" s="4" t="s">
        <v>3644</v>
      </c>
      <c r="D117" s="4" t="s">
        <v>3662</v>
      </c>
      <c r="E117" s="4" t="s">
        <v>3645</v>
      </c>
      <c r="F117" s="4" t="s">
        <v>3646</v>
      </c>
      <c r="G117" s="4" t="s">
        <v>10</v>
      </c>
      <c r="H117" s="4" t="s">
        <v>3663</v>
      </c>
      <c r="I117" s="4" t="s">
        <v>3664</v>
      </c>
      <c r="J117" s="4"/>
      <c r="K117" s="4"/>
    </row>
    <row r="118" ht="16" customHeight="1" s="4" customFormat="1">
      <c r="A118" s="4" t="s">
        <v>3345</v>
      </c>
      <c r="B118" s="4" t="s">
        <v>3390</v>
      </c>
      <c r="C118" s="4" t="s">
        <v>3665</v>
      </c>
      <c r="D118" s="4" t="s">
        <v>3603</v>
      </c>
      <c r="E118" s="4" t="s">
        <v>3645</v>
      </c>
      <c r="F118" s="4" t="s">
        <v>3666</v>
      </c>
      <c r="G118" s="4" t="s">
        <v>10</v>
      </c>
      <c r="H118" s="4" t="s">
        <v>3657</v>
      </c>
      <c r="I118" s="4" t="s">
        <v>3658</v>
      </c>
      <c r="J118" s="4"/>
      <c r="K118" s="4"/>
    </row>
    <row r="119" ht="16" customHeight="1" s="4" customFormat="1">
      <c r="A119" s="4" t="s">
        <v>3345</v>
      </c>
      <c r="B119" s="4" t="s">
        <v>3390</v>
      </c>
      <c r="C119" s="4" t="s">
        <v>3665</v>
      </c>
      <c r="D119" s="4" t="s">
        <v>3659</v>
      </c>
      <c r="E119" s="4" t="s">
        <v>3645</v>
      </c>
      <c r="F119" s="4" t="s">
        <v>3666</v>
      </c>
      <c r="G119" s="4" t="s">
        <v>10</v>
      </c>
      <c r="H119" s="4" t="s">
        <v>3667</v>
      </c>
      <c r="I119" s="4" t="s">
        <v>3668</v>
      </c>
      <c r="J119" s="4"/>
      <c r="K119" s="4"/>
    </row>
    <row r="120" ht="16" customHeight="1" s="4" customFormat="1">
      <c r="A120" s="4" t="s">
        <v>3345</v>
      </c>
      <c r="B120" s="4" t="s">
        <v>3390</v>
      </c>
      <c r="C120" s="4" t="s">
        <v>3665</v>
      </c>
      <c r="D120" s="4" t="s">
        <v>3669</v>
      </c>
      <c r="E120" s="4" t="s">
        <v>3645</v>
      </c>
      <c r="F120" s="4" t="s">
        <v>3666</v>
      </c>
      <c r="G120" s="4" t="s">
        <v>10</v>
      </c>
      <c r="H120" s="4" t="s">
        <v>3670</v>
      </c>
      <c r="I120" s="4" t="s">
        <v>3671</v>
      </c>
      <c r="J120" s="4"/>
      <c r="K120" s="4"/>
    </row>
    <row r="121" ht="16" customHeight="1" s="4" customFormat="1">
      <c r="A121" s="4" t="s">
        <v>3345</v>
      </c>
      <c r="B121" s="4" t="s">
        <v>3390</v>
      </c>
      <c r="C121" s="4" t="s">
        <v>3672</v>
      </c>
      <c r="D121" s="4" t="s">
        <v>3603</v>
      </c>
      <c r="E121" s="4" t="s">
        <v>3536</v>
      </c>
      <c r="F121" s="4" t="s">
        <v>3673</v>
      </c>
      <c r="G121" s="4" t="s">
        <v>10</v>
      </c>
      <c r="H121" s="4" t="s">
        <v>3674</v>
      </c>
      <c r="I121" s="4" t="s">
        <v>3675</v>
      </c>
      <c r="J121" s="4"/>
      <c r="K121" s="4"/>
    </row>
    <row r="122" ht="16" customHeight="1" s="4" customFormat="1">
      <c r="A122" s="4" t="s">
        <v>3345</v>
      </c>
      <c r="B122" s="4" t="s">
        <v>3390</v>
      </c>
      <c r="C122" s="4" t="s">
        <v>3672</v>
      </c>
      <c r="D122" s="4" t="s">
        <v>3603</v>
      </c>
      <c r="E122" s="4" t="s">
        <v>3536</v>
      </c>
      <c r="F122" s="4" t="s">
        <v>3673</v>
      </c>
      <c r="G122" s="4" t="s">
        <v>10</v>
      </c>
      <c r="H122" s="4" t="s">
        <v>3660</v>
      </c>
      <c r="I122" s="4" t="s">
        <v>3661</v>
      </c>
      <c r="J122" s="4"/>
      <c r="K122" s="4"/>
    </row>
    <row r="123" ht="16" customHeight="1" s="4" customFormat="1">
      <c r="A123" s="4" t="s">
        <v>3345</v>
      </c>
      <c r="B123" s="4" t="s">
        <v>3390</v>
      </c>
      <c r="C123" s="4" t="s">
        <v>3672</v>
      </c>
      <c r="D123" s="4" t="s">
        <v>3603</v>
      </c>
      <c r="E123" s="4" t="s">
        <v>3536</v>
      </c>
      <c r="F123" s="4" t="s">
        <v>3673</v>
      </c>
      <c r="G123" s="4" t="s">
        <v>10</v>
      </c>
      <c r="H123" s="4" t="s">
        <v>3676</v>
      </c>
      <c r="I123" s="4" t="s">
        <v>3677</v>
      </c>
      <c r="J123" s="4"/>
      <c r="K123" s="4"/>
    </row>
    <row r="124" ht="16" customHeight="1" s="4" customFormat="1">
      <c r="A124" s="4" t="s">
        <v>3345</v>
      </c>
      <c r="B124" s="4" t="s">
        <v>3390</v>
      </c>
      <c r="C124" s="4" t="s">
        <v>3678</v>
      </c>
      <c r="D124" s="4" t="s">
        <v>3603</v>
      </c>
      <c r="E124" s="4" t="s">
        <v>3645</v>
      </c>
      <c r="F124" s="4" t="s">
        <v>3646</v>
      </c>
      <c r="G124" s="4" t="s">
        <v>10</v>
      </c>
      <c r="H124" s="4" t="s">
        <v>3679</v>
      </c>
      <c r="I124" s="4" t="s">
        <v>3680</v>
      </c>
      <c r="J124" s="4"/>
      <c r="K124" s="4"/>
    </row>
    <row r="125" ht="16" customHeight="1" s="4" customFormat="1">
      <c r="A125" s="4" t="s">
        <v>3345</v>
      </c>
      <c r="B125" s="4" t="s">
        <v>3390</v>
      </c>
      <c r="C125" s="4" t="s">
        <v>3678</v>
      </c>
      <c r="D125" s="4" t="s">
        <v>3603</v>
      </c>
      <c r="E125" s="4" t="s">
        <v>3645</v>
      </c>
      <c r="F125" s="4" t="s">
        <v>3646</v>
      </c>
      <c r="G125" s="4" t="s">
        <v>10</v>
      </c>
      <c r="H125" s="4" t="s">
        <v>3681</v>
      </c>
      <c r="I125" s="4" t="s">
        <v>3682</v>
      </c>
      <c r="J125" s="4"/>
      <c r="K125" s="4"/>
    </row>
    <row r="126" ht="16" customHeight="1" s="4" customFormat="1">
      <c r="A126" s="4" t="s">
        <v>3345</v>
      </c>
      <c r="B126" s="4" t="s">
        <v>3390</v>
      </c>
      <c r="C126" s="4" t="s">
        <v>3683</v>
      </c>
      <c r="D126" s="4" t="s">
        <v>3603</v>
      </c>
      <c r="E126" s="4" t="s">
        <v>3645</v>
      </c>
      <c r="F126" s="4" t="s">
        <v>3684</v>
      </c>
      <c r="G126" s="4" t="s">
        <v>10</v>
      </c>
      <c r="H126" s="4" t="s">
        <v>3685</v>
      </c>
      <c r="I126" s="4" t="s">
        <v>3686</v>
      </c>
      <c r="J126" s="4"/>
      <c r="K126" s="4"/>
    </row>
    <row r="127" ht="16" customHeight="1" s="4" customFormat="1">
      <c r="A127" s="4" t="s">
        <v>3345</v>
      </c>
      <c r="B127" s="4" t="s">
        <v>3390</v>
      </c>
      <c r="C127" s="4" t="s">
        <v>3683</v>
      </c>
      <c r="D127" s="4" t="s">
        <v>3603</v>
      </c>
      <c r="E127" s="4" t="s">
        <v>3645</v>
      </c>
      <c r="F127" s="4" t="s">
        <v>3684</v>
      </c>
      <c r="G127" s="4" t="s">
        <v>10</v>
      </c>
      <c r="H127" s="4" t="s">
        <v>3687</v>
      </c>
      <c r="I127" s="4" t="s">
        <v>3688</v>
      </c>
      <c r="J127" s="4"/>
      <c r="K127" s="4"/>
    </row>
    <row r="128" ht="16" customHeight="1" s="4" customFormat="1">
      <c r="A128" s="4" t="s">
        <v>3345</v>
      </c>
      <c r="B128" s="4" t="s">
        <v>3390</v>
      </c>
      <c r="C128" s="4" t="s">
        <v>3683</v>
      </c>
      <c r="D128" s="4" t="s">
        <v>3603</v>
      </c>
      <c r="E128" s="4" t="s">
        <v>3645</v>
      </c>
      <c r="F128" s="4" t="s">
        <v>3684</v>
      </c>
      <c r="G128" s="4" t="s">
        <v>10</v>
      </c>
      <c r="H128" s="4" t="s">
        <v>3689</v>
      </c>
      <c r="I128" s="4" t="s">
        <v>3690</v>
      </c>
      <c r="J128" s="4"/>
      <c r="K128" s="4"/>
    </row>
    <row r="129" ht="16" customHeight="1" s="4" customFormat="1">
      <c r="A129" s="4" t="s">
        <v>3345</v>
      </c>
      <c r="B129" s="4" t="s">
        <v>3390</v>
      </c>
      <c r="C129" s="4" t="s">
        <v>3683</v>
      </c>
      <c r="D129" s="4" t="s">
        <v>3603</v>
      </c>
      <c r="E129" s="4" t="s">
        <v>3645</v>
      </c>
      <c r="F129" s="4" t="s">
        <v>3684</v>
      </c>
      <c r="G129" s="4" t="s">
        <v>10</v>
      </c>
      <c r="H129" s="4" t="s">
        <v>3691</v>
      </c>
      <c r="I129" s="4" t="s">
        <v>3692</v>
      </c>
      <c r="J129" s="4"/>
      <c r="K129" s="4"/>
    </row>
    <row r="130" ht="16" customHeight="1" s="4" customFormat="1">
      <c r="A130" s="4" t="s">
        <v>3345</v>
      </c>
      <c r="B130" s="4" t="s">
        <v>3390</v>
      </c>
      <c r="C130" s="4" t="s">
        <v>3683</v>
      </c>
      <c r="D130" s="4" t="s">
        <v>3662</v>
      </c>
      <c r="E130" s="4" t="s">
        <v>3645</v>
      </c>
      <c r="F130" s="4" t="s">
        <v>3684</v>
      </c>
      <c r="G130" s="4" t="s">
        <v>10</v>
      </c>
      <c r="H130" s="4" t="s">
        <v>3693</v>
      </c>
      <c r="I130" s="4" t="s">
        <v>3530</v>
      </c>
      <c r="J130" s="4"/>
      <c r="K130" s="4"/>
    </row>
    <row r="131" ht="16" customHeight="1" s="4" customFormat="1">
      <c r="A131" s="4" t="s">
        <v>3345</v>
      </c>
      <c r="B131" s="4" t="s">
        <v>3390</v>
      </c>
      <c r="C131" s="4" t="s">
        <v>3694</v>
      </c>
      <c r="D131" s="4" t="s">
        <v>3603</v>
      </c>
      <c r="E131" s="4" t="s">
        <v>3645</v>
      </c>
      <c r="F131" s="4" t="s">
        <v>3666</v>
      </c>
      <c r="G131" s="4" t="s">
        <v>10</v>
      </c>
      <c r="H131" s="4" t="s">
        <v>3681</v>
      </c>
      <c r="I131" s="4" t="s">
        <v>3682</v>
      </c>
      <c r="J131" s="4"/>
      <c r="K131" s="4"/>
    </row>
    <row r="132" ht="16" customHeight="1" s="4" customFormat="1">
      <c r="A132" s="4" t="s">
        <v>3345</v>
      </c>
      <c r="B132" s="4" t="s">
        <v>3390</v>
      </c>
      <c r="C132" s="4" t="s">
        <v>3695</v>
      </c>
      <c r="D132" s="4" t="s">
        <v>3659</v>
      </c>
      <c r="E132" s="4" t="s">
        <v>3696</v>
      </c>
      <c r="F132" s="4" t="s">
        <v>10</v>
      </c>
      <c r="G132" s="4" t="s">
        <v>10</v>
      </c>
      <c r="H132" s="4" t="s">
        <v>3697</v>
      </c>
      <c r="I132" s="4" t="s">
        <v>3698</v>
      </c>
      <c r="J132" s="4"/>
      <c r="K132" s="4"/>
    </row>
    <row r="133" ht="16" customHeight="1" s="4" customFormat="1">
      <c r="A133" s="4" t="s">
        <v>3345</v>
      </c>
      <c r="B133" s="4" t="s">
        <v>3390</v>
      </c>
      <c r="C133" s="4" t="s">
        <v>3699</v>
      </c>
      <c r="D133" s="4" t="s">
        <v>3603</v>
      </c>
      <c r="E133" s="4" t="s">
        <v>3645</v>
      </c>
      <c r="F133" s="4" t="s">
        <v>3700</v>
      </c>
      <c r="G133" s="4" t="s">
        <v>10</v>
      </c>
      <c r="H133" s="4" t="s">
        <v>3670</v>
      </c>
      <c r="I133" s="4" t="s">
        <v>3671</v>
      </c>
      <c r="J133" s="4"/>
      <c r="K133" s="4"/>
    </row>
    <row r="134" ht="16" customHeight="1" s="4" customFormat="1">
      <c r="A134" s="4" t="s">
        <v>3345</v>
      </c>
      <c r="B134" s="4" t="s">
        <v>3390</v>
      </c>
      <c r="C134" s="4" t="s">
        <v>3699</v>
      </c>
      <c r="D134" s="4" t="s">
        <v>3603</v>
      </c>
      <c r="E134" s="4" t="s">
        <v>3645</v>
      </c>
      <c r="F134" s="4" t="s">
        <v>3700</v>
      </c>
      <c r="G134" s="4" t="s">
        <v>10</v>
      </c>
      <c r="H134" s="4" t="s">
        <v>3701</v>
      </c>
      <c r="I134" s="4" t="s">
        <v>3702</v>
      </c>
      <c r="J134" s="4"/>
      <c r="K134" s="4"/>
    </row>
    <row r="135" ht="16" customHeight="1" s="4" customFormat="1">
      <c r="A135" s="4" t="s">
        <v>3345</v>
      </c>
      <c r="B135" s="4" t="s">
        <v>3390</v>
      </c>
      <c r="C135" s="4" t="s">
        <v>3699</v>
      </c>
      <c r="D135" s="4" t="s">
        <v>3603</v>
      </c>
      <c r="E135" s="4" t="s">
        <v>3645</v>
      </c>
      <c r="F135" s="4" t="s">
        <v>3700</v>
      </c>
      <c r="G135" s="4" t="s">
        <v>10</v>
      </c>
      <c r="H135" s="4" t="s">
        <v>3703</v>
      </c>
      <c r="I135" s="4" t="s">
        <v>3561</v>
      </c>
      <c r="J135" s="4"/>
      <c r="K135" s="4"/>
    </row>
    <row r="136" ht="16" customHeight="1" s="4" customFormat="1">
      <c r="A136" s="4" t="s">
        <v>3345</v>
      </c>
      <c r="B136" s="4" t="s">
        <v>3390</v>
      </c>
      <c r="C136" s="4" t="s">
        <v>3699</v>
      </c>
      <c r="D136" s="4" t="s">
        <v>3603</v>
      </c>
      <c r="E136" s="4" t="s">
        <v>3645</v>
      </c>
      <c r="F136" s="4" t="s">
        <v>3700</v>
      </c>
      <c r="G136" s="4" t="s">
        <v>10</v>
      </c>
      <c r="H136" s="4" t="s">
        <v>3667</v>
      </c>
      <c r="I136" s="4" t="s">
        <v>3668</v>
      </c>
      <c r="J136" s="4"/>
      <c r="K136" s="4"/>
    </row>
    <row r="137" ht="16" customHeight="1" s="4" customFormat="1">
      <c r="A137" s="4" t="s">
        <v>3345</v>
      </c>
      <c r="B137" s="4" t="s">
        <v>3390</v>
      </c>
      <c r="C137" s="4" t="s">
        <v>3699</v>
      </c>
      <c r="D137" s="4" t="s">
        <v>3659</v>
      </c>
      <c r="E137" s="4" t="s">
        <v>3645</v>
      </c>
      <c r="F137" s="4" t="s">
        <v>3700</v>
      </c>
      <c r="G137" s="4" t="s">
        <v>10</v>
      </c>
      <c r="H137" s="4" t="s">
        <v>3704</v>
      </c>
      <c r="I137" s="4" t="s">
        <v>3705</v>
      </c>
      <c r="J137" s="4"/>
      <c r="K137" s="4"/>
    </row>
    <row r="138" ht="16" customHeight="1" s="4" customFormat="1">
      <c r="A138" s="4" t="s">
        <v>3345</v>
      </c>
      <c r="B138" s="4" t="s">
        <v>3390</v>
      </c>
      <c r="C138" s="4" t="s">
        <v>3706</v>
      </c>
      <c r="D138" s="4" t="s">
        <v>3707</v>
      </c>
      <c r="E138" s="4" t="s">
        <v>3645</v>
      </c>
      <c r="F138" s="4" t="s">
        <v>3708</v>
      </c>
      <c r="G138" s="4" t="s">
        <v>10</v>
      </c>
      <c r="H138" s="4" t="s">
        <v>3709</v>
      </c>
      <c r="I138" s="4" t="s">
        <v>3710</v>
      </c>
      <c r="J138" s="4"/>
      <c r="K138" s="4"/>
    </row>
    <row r="139" ht="16" customHeight="1" s="4" customFormat="1">
      <c r="A139" s="4" t="s">
        <v>3345</v>
      </c>
      <c r="B139" s="4" t="s">
        <v>3390</v>
      </c>
      <c r="C139" s="4" t="s">
        <v>3711</v>
      </c>
      <c r="D139" s="4" t="s">
        <v>3712</v>
      </c>
      <c r="E139" s="4" t="s">
        <v>3613</v>
      </c>
      <c r="F139" s="4" t="s">
        <v>3713</v>
      </c>
      <c r="G139" s="4" t="s">
        <v>10</v>
      </c>
      <c r="H139" s="4" t="s">
        <v>3714</v>
      </c>
      <c r="I139" s="4" t="s">
        <v>3715</v>
      </c>
      <c r="J139" s="4"/>
      <c r="K139" s="4"/>
    </row>
    <row r="140" ht="16" customHeight="1" s="4" customFormat="1">
      <c r="A140" s="4" t="s">
        <v>3345</v>
      </c>
      <c r="B140" s="4" t="s">
        <v>3390</v>
      </c>
      <c r="C140" s="4" t="s">
        <v>3711</v>
      </c>
      <c r="D140" s="4" t="s">
        <v>3712</v>
      </c>
      <c r="E140" s="4" t="s">
        <v>3613</v>
      </c>
      <c r="F140" s="4" t="s">
        <v>3713</v>
      </c>
      <c r="G140" s="4" t="s">
        <v>10</v>
      </c>
      <c r="H140" s="4" t="s">
        <v>3716</v>
      </c>
      <c r="I140" s="4" t="s">
        <v>3438</v>
      </c>
      <c r="J140" s="4"/>
      <c r="K140" s="4"/>
    </row>
    <row r="141" ht="16" customHeight="1" s="4" customFormat="1">
      <c r="A141" s="4" t="s">
        <v>3345</v>
      </c>
      <c r="B141" s="4" t="s">
        <v>3390</v>
      </c>
      <c r="C141" s="4" t="s">
        <v>3711</v>
      </c>
      <c r="D141" s="4" t="s">
        <v>3712</v>
      </c>
      <c r="E141" s="4" t="s">
        <v>3613</v>
      </c>
      <c r="F141" s="4" t="s">
        <v>3713</v>
      </c>
      <c r="G141" s="4" t="s">
        <v>10</v>
      </c>
      <c r="H141" s="4" t="s">
        <v>3717</v>
      </c>
      <c r="I141" s="4" t="s">
        <v>3718</v>
      </c>
      <c r="J141" s="4"/>
      <c r="K141" s="4"/>
    </row>
    <row r="142" ht="16" customHeight="1" s="4" customFormat="1">
      <c r="A142" s="4" t="s">
        <v>3345</v>
      </c>
      <c r="B142" s="4" t="s">
        <v>3390</v>
      </c>
      <c r="C142" s="4" t="s">
        <v>3711</v>
      </c>
      <c r="D142" s="4" t="s">
        <v>3712</v>
      </c>
      <c r="E142" s="4" t="s">
        <v>3613</v>
      </c>
      <c r="F142" s="4" t="s">
        <v>3713</v>
      </c>
      <c r="G142" s="4" t="s">
        <v>10</v>
      </c>
      <c r="H142" s="4" t="s">
        <v>3719</v>
      </c>
      <c r="I142" s="4" t="s">
        <v>3720</v>
      </c>
      <c r="J142" s="4"/>
      <c r="K142" s="4"/>
    </row>
    <row r="143" ht="16" customHeight="1" s="4" customFormat="1">
      <c r="A143" s="4" t="s">
        <v>3345</v>
      </c>
      <c r="B143" s="4" t="s">
        <v>3390</v>
      </c>
      <c r="C143" s="4" t="s">
        <v>3721</v>
      </c>
      <c r="D143" s="4" t="s">
        <v>3632</v>
      </c>
      <c r="E143" s="4" t="s">
        <v>3613</v>
      </c>
      <c r="F143" s="4" t="s">
        <v>3713</v>
      </c>
      <c r="G143" s="4" t="s">
        <v>10</v>
      </c>
      <c r="H143" s="4" t="s">
        <v>3722</v>
      </c>
      <c r="I143" s="4" t="s">
        <v>3723</v>
      </c>
      <c r="J143" s="4"/>
      <c r="K143" s="4"/>
    </row>
    <row r="144" ht="16" customHeight="1" s="4" customFormat="1">
      <c r="A144" s="4" t="s">
        <v>3345</v>
      </c>
      <c r="B144" s="4" t="s">
        <v>3390</v>
      </c>
      <c r="C144" s="4" t="s">
        <v>3721</v>
      </c>
      <c r="D144" s="4" t="s">
        <v>3659</v>
      </c>
      <c r="E144" s="4" t="s">
        <v>3613</v>
      </c>
      <c r="F144" s="4" t="s">
        <v>3713</v>
      </c>
      <c r="G144" s="4" t="s">
        <v>10</v>
      </c>
      <c r="H144" s="4" t="s">
        <v>3724</v>
      </c>
      <c r="I144" s="4" t="s">
        <v>3725</v>
      </c>
      <c r="J144" s="4"/>
      <c r="K144" s="4"/>
    </row>
    <row r="145" ht="16" customHeight="1" s="4" customFormat="1">
      <c r="A145" s="4" t="s">
        <v>3345</v>
      </c>
      <c r="B145" s="4" t="s">
        <v>3390</v>
      </c>
      <c r="C145" s="4" t="s">
        <v>3726</v>
      </c>
      <c r="D145" s="4" t="s">
        <v>3659</v>
      </c>
      <c r="E145" s="4" t="s">
        <v>3645</v>
      </c>
      <c r="F145" s="4" t="s">
        <v>3684</v>
      </c>
      <c r="G145" s="4" t="s">
        <v>10</v>
      </c>
      <c r="H145" s="4" t="s">
        <v>3727</v>
      </c>
      <c r="I145" s="4" t="s">
        <v>3728</v>
      </c>
      <c r="J145" s="4"/>
      <c r="K145" s="4"/>
    </row>
    <row r="146" ht="16" customHeight="1" s="4" customFormat="1">
      <c r="A146" s="4" t="s">
        <v>3345</v>
      </c>
      <c r="B146" s="4" t="s">
        <v>3390</v>
      </c>
      <c r="C146" s="4" t="s">
        <v>3729</v>
      </c>
      <c r="D146" s="4" t="s">
        <v>3603</v>
      </c>
      <c r="E146" s="4" t="s">
        <v>3536</v>
      </c>
      <c r="F146" s="4" t="s">
        <v>3673</v>
      </c>
      <c r="G146" s="4" t="s">
        <v>10</v>
      </c>
      <c r="H146" s="4" t="s">
        <v>3730</v>
      </c>
      <c r="I146" s="4" t="s">
        <v>3731</v>
      </c>
      <c r="J146" s="4"/>
      <c r="K146" s="4"/>
    </row>
    <row r="147" ht="16" customHeight="1" s="4" customFormat="1">
      <c r="A147" s="4" t="s">
        <v>3345</v>
      </c>
      <c r="B147" s="4" t="s">
        <v>3390</v>
      </c>
      <c r="C147" s="4" t="s">
        <v>3732</v>
      </c>
      <c r="D147" s="4" t="s">
        <v>3733</v>
      </c>
      <c r="E147" s="4" t="s">
        <v>3582</v>
      </c>
      <c r="F147" s="4" t="s">
        <v>3583</v>
      </c>
      <c r="G147" s="4" t="s">
        <v>10</v>
      </c>
      <c r="H147" s="4" t="s">
        <v>3734</v>
      </c>
      <c r="I147" s="4" t="s">
        <v>3735</v>
      </c>
      <c r="J147" s="4"/>
      <c r="K147" s="4"/>
    </row>
    <row r="148" ht="16" customHeight="1" s="4" customFormat="1">
      <c r="A148" s="4" t="s">
        <v>3345</v>
      </c>
      <c r="B148" s="4" t="s">
        <v>3390</v>
      </c>
      <c r="C148" s="4" t="s">
        <v>3736</v>
      </c>
      <c r="D148" s="4" t="s">
        <v>3737</v>
      </c>
      <c r="E148" s="4" t="s">
        <v>3738</v>
      </c>
      <c r="F148" s="4" t="s">
        <v>3739</v>
      </c>
      <c r="G148" s="4" t="s">
        <v>10</v>
      </c>
      <c r="H148" s="4" t="s">
        <v>3740</v>
      </c>
      <c r="I148" s="4" t="s">
        <v>3741</v>
      </c>
      <c r="J148" s="4"/>
      <c r="K148" s="4"/>
    </row>
    <row r="149" ht="16" customHeight="1" s="4" customFormat="1">
      <c r="A149" s="4" t="s">
        <v>3345</v>
      </c>
      <c r="B149" s="4" t="s">
        <v>3390</v>
      </c>
      <c r="C149" s="4" t="s">
        <v>3742</v>
      </c>
      <c r="D149" s="4" t="s">
        <v>3436</v>
      </c>
      <c r="E149" s="4" t="s">
        <v>3743</v>
      </c>
      <c r="F149" s="4" t="s">
        <v>3744</v>
      </c>
      <c r="G149" s="4" t="s">
        <v>10</v>
      </c>
      <c r="H149" s="4" t="s">
        <v>3745</v>
      </c>
      <c r="I149" s="4" t="s">
        <v>3746</v>
      </c>
      <c r="J149" s="4"/>
      <c r="K149" s="4"/>
    </row>
    <row r="150" ht="16" customHeight="1" s="4" customFormat="1">
      <c r="A150" s="4" t="s">
        <v>3345</v>
      </c>
      <c r="B150" s="4" t="s">
        <v>3390</v>
      </c>
      <c r="C150" s="4" t="s">
        <v>3747</v>
      </c>
      <c r="D150" s="4" t="s">
        <v>3436</v>
      </c>
      <c r="E150" s="4" t="s">
        <v>3748</v>
      </c>
      <c r="F150" s="4" t="s">
        <v>3749</v>
      </c>
      <c r="G150" s="4" t="s">
        <v>10</v>
      </c>
      <c r="H150" s="4" t="s">
        <v>3750</v>
      </c>
      <c r="I150" s="4" t="s">
        <v>3751</v>
      </c>
      <c r="J150" s="4"/>
      <c r="K150" s="4"/>
    </row>
    <row r="151" ht="16" customHeight="1" s="4" customFormat="1">
      <c r="A151" s="4" t="s">
        <v>3752</v>
      </c>
      <c r="B151" s="4" t="s">
        <v>3346</v>
      </c>
      <c r="C151" s="4" t="s">
        <v>3753</v>
      </c>
      <c r="D151" s="4"/>
      <c r="E151" s="4"/>
      <c r="F151" s="4" t="s">
        <v>10</v>
      </c>
      <c r="G151" s="4" t="s">
        <v>10</v>
      </c>
      <c r="H151" s="4" t="s">
        <v>3754</v>
      </c>
      <c r="I151" s="4" t="s">
        <v>3389</v>
      </c>
      <c r="J151" s="4"/>
      <c r="K151" s="4"/>
    </row>
    <row r="152" ht="16" customHeight="1" s="4" customFormat="1">
      <c r="A152" s="4" t="s">
        <v>3752</v>
      </c>
      <c r="B152" s="4" t="s">
        <v>3346</v>
      </c>
      <c r="C152" s="4" t="s">
        <v>3755</v>
      </c>
      <c r="D152" s="4"/>
      <c r="E152" s="4"/>
      <c r="F152" s="4" t="s">
        <v>10</v>
      </c>
      <c r="G152" s="4" t="s">
        <v>10</v>
      </c>
      <c r="H152" s="4" t="s">
        <v>3754</v>
      </c>
      <c r="I152" s="4" t="s">
        <v>3389</v>
      </c>
      <c r="J152" s="4"/>
      <c r="K152" s="4"/>
    </row>
    <row r="153" ht="16" customHeight="1" s="4" customFormat="1">
      <c r="A153" s="4" t="s">
        <v>3752</v>
      </c>
      <c r="B153" s="4" t="s">
        <v>3346</v>
      </c>
      <c r="C153" s="4" t="s">
        <v>3756</v>
      </c>
      <c r="D153" s="4"/>
      <c r="E153" s="4"/>
      <c r="F153" s="4" t="s">
        <v>3757</v>
      </c>
      <c r="G153" s="4" t="s">
        <v>10</v>
      </c>
      <c r="H153" s="4" t="s">
        <v>3758</v>
      </c>
      <c r="I153" s="4" t="s">
        <v>3374</v>
      </c>
      <c r="J153" s="4"/>
      <c r="K153" s="4"/>
    </row>
    <row r="154" ht="16" customHeight="1" s="4" customFormat="1">
      <c r="A154" s="4" t="s">
        <v>3752</v>
      </c>
      <c r="B154" s="4" t="s">
        <v>3346</v>
      </c>
      <c r="C154" s="4" t="s">
        <v>3759</v>
      </c>
      <c r="D154" s="4"/>
      <c r="E154" s="4"/>
      <c r="F154" s="4" t="s">
        <v>3760</v>
      </c>
      <c r="G154" s="4" t="s">
        <v>10</v>
      </c>
      <c r="H154" s="4" t="s">
        <v>3758</v>
      </c>
      <c r="I154" s="4" t="s">
        <v>3374</v>
      </c>
      <c r="J154" s="4"/>
      <c r="K154" s="4"/>
    </row>
    <row r="155" ht="16" customHeight="1" s="4" customFormat="1">
      <c r="A155" s="4" t="s">
        <v>3761</v>
      </c>
      <c r="B155" s="4" t="s">
        <v>3390</v>
      </c>
      <c r="C155" s="4" t="s">
        <v>3762</v>
      </c>
      <c r="D155" s="4"/>
      <c r="E155" s="4" t="s">
        <v>3763</v>
      </c>
      <c r="F155" s="4" t="s">
        <v>3764</v>
      </c>
      <c r="G155" s="4" t="s">
        <v>10</v>
      </c>
      <c r="H155" s="4" t="s">
        <v>3765</v>
      </c>
      <c r="I155" s="4" t="s">
        <v>3428</v>
      </c>
      <c r="J155" s="4"/>
      <c r="K155" s="4"/>
    </row>
    <row r="156" ht="16" customHeight="1" s="4" customFormat="1">
      <c r="A156" s="4" t="s">
        <v>3761</v>
      </c>
      <c r="B156" s="4" t="s">
        <v>3390</v>
      </c>
      <c r="C156" s="4" t="s">
        <v>3762</v>
      </c>
      <c r="D156" s="4"/>
      <c r="E156" s="4" t="s">
        <v>3763</v>
      </c>
      <c r="F156" s="4" t="s">
        <v>3766</v>
      </c>
      <c r="G156" s="4" t="s">
        <v>10</v>
      </c>
      <c r="H156" s="4" t="s">
        <v>3765</v>
      </c>
      <c r="I156" s="4" t="s">
        <v>3428</v>
      </c>
      <c r="J156" s="4"/>
      <c r="K156" s="4"/>
    </row>
    <row r="157" ht="16" customHeight="1" s="4" customFormat="1">
      <c r="A157" s="4" t="s">
        <v>3761</v>
      </c>
      <c r="B157" s="4" t="s">
        <v>3390</v>
      </c>
      <c r="C157" s="4" t="s">
        <v>3767</v>
      </c>
      <c r="D157" s="4"/>
      <c r="E157" s="4"/>
      <c r="F157" s="4" t="s">
        <v>3768</v>
      </c>
      <c r="G157" s="4" t="s">
        <v>10</v>
      </c>
      <c r="H157" s="4" t="s">
        <v>3769</v>
      </c>
      <c r="I157" s="4" t="s">
        <v>3435</v>
      </c>
      <c r="J157" s="4"/>
      <c r="K157" s="4"/>
    </row>
    <row r="158" ht="16" customHeight="1" s="4" customFormat="1">
      <c r="A158" s="4" t="s">
        <v>3761</v>
      </c>
      <c r="B158" s="4" t="s">
        <v>3390</v>
      </c>
      <c r="C158" s="4" t="s">
        <v>3767</v>
      </c>
      <c r="D158" s="4"/>
      <c r="E158" s="4"/>
      <c r="F158" s="4" t="s">
        <v>3768</v>
      </c>
      <c r="G158" s="4" t="s">
        <v>10</v>
      </c>
      <c r="H158" s="4" t="s">
        <v>3770</v>
      </c>
      <c r="I158" s="4" t="s">
        <v>3442</v>
      </c>
      <c r="J158" s="4"/>
      <c r="K158" s="4"/>
    </row>
    <row r="159" ht="16" customHeight="1" s="4" customFormat="1">
      <c r="A159" s="4" t="s">
        <v>3761</v>
      </c>
      <c r="B159" s="4" t="s">
        <v>3390</v>
      </c>
      <c r="C159" s="4" t="s">
        <v>3767</v>
      </c>
      <c r="D159" s="4"/>
      <c r="E159" s="4"/>
      <c r="F159" s="4" t="s">
        <v>3768</v>
      </c>
      <c r="G159" s="4" t="s">
        <v>10</v>
      </c>
      <c r="H159" s="4" t="s">
        <v>3771</v>
      </c>
      <c r="I159" s="4" t="s">
        <v>3464</v>
      </c>
      <c r="J159" s="4"/>
      <c r="K159" s="4"/>
    </row>
    <row r="160" ht="16" customHeight="1" s="4" customFormat="1">
      <c r="A160" s="4" t="s">
        <v>3761</v>
      </c>
      <c r="B160" s="4" t="s">
        <v>3390</v>
      </c>
      <c r="C160" s="4" t="s">
        <v>3767</v>
      </c>
      <c r="D160" s="4"/>
      <c r="E160" s="4"/>
      <c r="F160" s="4" t="s">
        <v>3768</v>
      </c>
      <c r="G160" s="4" t="s">
        <v>10</v>
      </c>
      <c r="H160" s="4" t="s">
        <v>3772</v>
      </c>
      <c r="I160" s="4" t="s">
        <v>3579</v>
      </c>
      <c r="J160" s="4"/>
      <c r="K160" s="4"/>
    </row>
    <row r="161" ht="16" customHeight="1" s="4" customFormat="1">
      <c r="A161" s="4" t="s">
        <v>3761</v>
      </c>
      <c r="B161" s="4" t="s">
        <v>3390</v>
      </c>
      <c r="C161" s="4" t="s">
        <v>3767</v>
      </c>
      <c r="D161" s="4"/>
      <c r="E161" s="4"/>
      <c r="F161" s="4" t="s">
        <v>3768</v>
      </c>
      <c r="G161" s="4" t="s">
        <v>10</v>
      </c>
      <c r="H161" s="4" t="s">
        <v>3773</v>
      </c>
      <c r="I161" s="4" t="s">
        <v>3468</v>
      </c>
      <c r="J161" s="4"/>
      <c r="K161" s="4"/>
    </row>
    <row r="162" ht="16" customHeight="1" s="4" customFormat="1">
      <c r="A162" s="4" t="s">
        <v>3761</v>
      </c>
      <c r="B162" s="4" t="s">
        <v>3390</v>
      </c>
      <c r="C162" s="4" t="s">
        <v>3767</v>
      </c>
      <c r="D162" s="4"/>
      <c r="E162" s="4"/>
      <c r="F162" s="4" t="s">
        <v>3768</v>
      </c>
      <c r="G162" s="4" t="s">
        <v>10</v>
      </c>
      <c r="H162" s="4" t="s">
        <v>3774</v>
      </c>
      <c r="I162" s="4" t="s">
        <v>3447</v>
      </c>
      <c r="J162" s="4"/>
      <c r="K162" s="4"/>
    </row>
    <row r="163" ht="16" customHeight="1" s="4" customFormat="1">
      <c r="A163" s="4" t="s">
        <v>3761</v>
      </c>
      <c r="B163" s="4" t="s">
        <v>3390</v>
      </c>
      <c r="C163" s="4" t="s">
        <v>3767</v>
      </c>
      <c r="D163" s="4"/>
      <c r="E163" s="4"/>
      <c r="F163" s="4" t="s">
        <v>3768</v>
      </c>
      <c r="G163" s="4" t="s">
        <v>10</v>
      </c>
      <c r="H163" s="4" t="s">
        <v>3775</v>
      </c>
      <c r="I163" s="4" t="s">
        <v>3471</v>
      </c>
      <c r="J163" s="4"/>
      <c r="K163" s="4"/>
    </row>
    <row r="164" ht="16" customHeight="1" s="4" customFormat="1">
      <c r="A164" s="4" t="s">
        <v>3761</v>
      </c>
      <c r="B164" s="4" t="s">
        <v>3390</v>
      </c>
      <c r="C164" s="4" t="s">
        <v>3767</v>
      </c>
      <c r="D164" s="4"/>
      <c r="E164" s="4"/>
      <c r="F164" s="4" t="s">
        <v>3768</v>
      </c>
      <c r="G164" s="4" t="s">
        <v>10</v>
      </c>
      <c r="H164" s="4" t="s">
        <v>3776</v>
      </c>
      <c r="I164" s="4" t="s">
        <v>3456</v>
      </c>
      <c r="J164" s="4"/>
      <c r="K164" s="4"/>
    </row>
    <row r="165" ht="16" customHeight="1" s="4" customFormat="1">
      <c r="A165" s="4" t="s">
        <v>3761</v>
      </c>
      <c r="B165" s="4" t="s">
        <v>3390</v>
      </c>
      <c r="C165" s="4" t="s">
        <v>3767</v>
      </c>
      <c r="D165" s="4"/>
      <c r="E165" s="4"/>
      <c r="F165" s="4" t="s">
        <v>3768</v>
      </c>
      <c r="G165" s="4" t="s">
        <v>10</v>
      </c>
      <c r="H165" s="4" t="s">
        <v>3777</v>
      </c>
      <c r="I165" s="4" t="s">
        <v>3461</v>
      </c>
      <c r="J165" s="4"/>
      <c r="K165" s="4"/>
    </row>
    <row r="166" ht="16" customHeight="1" s="4" customFormat="1">
      <c r="A166" s="4" t="s">
        <v>3761</v>
      </c>
      <c r="B166" s="4" t="s">
        <v>3390</v>
      </c>
      <c r="C166" s="4" t="s">
        <v>3767</v>
      </c>
      <c r="D166" s="4"/>
      <c r="E166" s="4"/>
      <c r="F166" s="4" t="s">
        <v>3768</v>
      </c>
      <c r="G166" s="4" t="s">
        <v>10</v>
      </c>
      <c r="H166" s="4" t="s">
        <v>3778</v>
      </c>
      <c r="I166" s="4" t="s">
        <v>3573</v>
      </c>
      <c r="J166" s="4"/>
      <c r="K166" s="4"/>
    </row>
    <row r="167" ht="16" customHeight="1" s="4" customFormat="1">
      <c r="A167" s="4" t="s">
        <v>3761</v>
      </c>
      <c r="B167" s="4" t="s">
        <v>3390</v>
      </c>
      <c r="C167" s="4" t="s">
        <v>3779</v>
      </c>
      <c r="D167" s="4"/>
      <c r="E167" s="4"/>
      <c r="F167" s="4" t="s">
        <v>10</v>
      </c>
      <c r="G167" s="4" t="s">
        <v>10</v>
      </c>
      <c r="H167" s="4" t="s">
        <v>3780</v>
      </c>
      <c r="I167" s="4" t="s">
        <v>3478</v>
      </c>
      <c r="J167" s="4"/>
      <c r="K167" s="4"/>
    </row>
    <row r="168" ht="16" customHeight="1" s="4" customFormat="1">
      <c r="A168" s="4" t="s">
        <v>3761</v>
      </c>
      <c r="B168" s="4" t="s">
        <v>3390</v>
      </c>
      <c r="C168" s="4" t="s">
        <v>3779</v>
      </c>
      <c r="D168" s="4"/>
      <c r="E168" s="4"/>
      <c r="F168" s="4" t="s">
        <v>10</v>
      </c>
      <c r="G168" s="4" t="s">
        <v>10</v>
      </c>
      <c r="H168" s="4" t="s">
        <v>3781</v>
      </c>
      <c r="I168" s="4" t="s">
        <v>3534</v>
      </c>
      <c r="J168" s="4"/>
      <c r="K168" s="4"/>
    </row>
    <row r="169" ht="16" customHeight="1" s="4" customFormat="1">
      <c r="A169" s="4" t="s">
        <v>3761</v>
      </c>
      <c r="B169" s="4" t="s">
        <v>3390</v>
      </c>
      <c r="C169" s="4" t="s">
        <v>3779</v>
      </c>
      <c r="D169" s="4"/>
      <c r="E169" s="4"/>
      <c r="F169" s="4" t="s">
        <v>10</v>
      </c>
      <c r="G169" s="4" t="s">
        <v>10</v>
      </c>
      <c r="H169" s="4" t="s">
        <v>3782</v>
      </c>
      <c r="I169" s="4" t="s">
        <v>3495</v>
      </c>
      <c r="J169" s="4"/>
      <c r="K169" s="4"/>
    </row>
    <row r="170" ht="16" customHeight="1" s="4" customFormat="1">
      <c r="A170" s="4" t="s">
        <v>3761</v>
      </c>
      <c r="B170" s="4" t="s">
        <v>3390</v>
      </c>
      <c r="C170" s="4" t="s">
        <v>3779</v>
      </c>
      <c r="D170" s="4"/>
      <c r="E170" s="4"/>
      <c r="F170" s="4" t="s">
        <v>10</v>
      </c>
      <c r="G170" s="4" t="s">
        <v>10</v>
      </c>
      <c r="H170" s="4" t="s">
        <v>3783</v>
      </c>
      <c r="I170" s="4" t="s">
        <v>3481</v>
      </c>
      <c r="J170" s="4"/>
      <c r="K170" s="4"/>
    </row>
    <row r="171" ht="16" customHeight="1" s="4" customFormat="1">
      <c r="A171" s="4" t="s">
        <v>3761</v>
      </c>
      <c r="B171" s="4" t="s">
        <v>3390</v>
      </c>
      <c r="C171" s="4" t="s">
        <v>3779</v>
      </c>
      <c r="D171" s="4"/>
      <c r="E171" s="4"/>
      <c r="F171" s="4" t="s">
        <v>10</v>
      </c>
      <c r="G171" s="4" t="s">
        <v>10</v>
      </c>
      <c r="H171" s="4" t="s">
        <v>3784</v>
      </c>
      <c r="I171" s="4" t="s">
        <v>3483</v>
      </c>
      <c r="J171" s="4"/>
      <c r="K171" s="4"/>
    </row>
    <row r="172" ht="16" customHeight="1" s="4" customFormat="1">
      <c r="A172" s="4" t="s">
        <v>3761</v>
      </c>
      <c r="B172" s="4" t="s">
        <v>3390</v>
      </c>
      <c r="C172" s="4" t="s">
        <v>3779</v>
      </c>
      <c r="D172" s="4"/>
      <c r="E172" s="4"/>
      <c r="F172" s="4" t="s">
        <v>10</v>
      </c>
      <c r="G172" s="4" t="s">
        <v>10</v>
      </c>
      <c r="H172" s="4" t="s">
        <v>3785</v>
      </c>
      <c r="I172" s="4" t="s">
        <v>3485</v>
      </c>
      <c r="J172" s="4"/>
      <c r="K172" s="4"/>
    </row>
    <row r="173" ht="16" customHeight="1" s="4" customFormat="1">
      <c r="A173" s="4" t="s">
        <v>3761</v>
      </c>
      <c r="B173" s="4" t="s">
        <v>3390</v>
      </c>
      <c r="C173" s="4" t="s">
        <v>3779</v>
      </c>
      <c r="D173" s="4"/>
      <c r="E173" s="4"/>
      <c r="F173" s="4" t="s">
        <v>10</v>
      </c>
      <c r="G173" s="4" t="s">
        <v>10</v>
      </c>
      <c r="H173" s="4" t="s">
        <v>3786</v>
      </c>
      <c r="I173" s="4" t="s">
        <v>3491</v>
      </c>
      <c r="J173" s="4"/>
      <c r="K173" s="4"/>
    </row>
    <row r="174" ht="16" customHeight="1" s="4" customFormat="1">
      <c r="A174" s="4" t="s">
        <v>3761</v>
      </c>
      <c r="B174" s="4" t="s">
        <v>3390</v>
      </c>
      <c r="C174" s="4" t="s">
        <v>3779</v>
      </c>
      <c r="D174" s="4"/>
      <c r="E174" s="4"/>
      <c r="F174" s="4" t="s">
        <v>10</v>
      </c>
      <c r="G174" s="4" t="s">
        <v>10</v>
      </c>
      <c r="H174" s="4" t="s">
        <v>3787</v>
      </c>
      <c r="I174" s="4" t="s">
        <v>3487</v>
      </c>
      <c r="J174" s="4"/>
      <c r="K174" s="4"/>
    </row>
    <row r="175" ht="16" customHeight="1" s="4" customFormat="1">
      <c r="A175" s="4" t="s">
        <v>3761</v>
      </c>
      <c r="B175" s="4" t="s">
        <v>3390</v>
      </c>
      <c r="C175" s="4" t="s">
        <v>3779</v>
      </c>
      <c r="D175" s="4"/>
      <c r="E175" s="4"/>
      <c r="F175" s="4" t="s">
        <v>10</v>
      </c>
      <c r="G175" s="4" t="s">
        <v>10</v>
      </c>
      <c r="H175" s="4" t="s">
        <v>3788</v>
      </c>
      <c r="I175" s="4" t="s">
        <v>3489</v>
      </c>
      <c r="J175" s="4"/>
      <c r="K175" s="4"/>
    </row>
    <row r="176" ht="16" customHeight="1" s="4" customFormat="1">
      <c r="A176" s="4" t="s">
        <v>3761</v>
      </c>
      <c r="B176" s="4" t="s">
        <v>3390</v>
      </c>
      <c r="C176" s="4" t="s">
        <v>3779</v>
      </c>
      <c r="D176" s="4"/>
      <c r="E176" s="4"/>
      <c r="F176" s="4" t="s">
        <v>10</v>
      </c>
      <c r="G176" s="4" t="s">
        <v>10</v>
      </c>
      <c r="H176" s="4" t="s">
        <v>3789</v>
      </c>
      <c r="I176" s="4" t="s">
        <v>3500</v>
      </c>
      <c r="J176" s="4"/>
      <c r="K176" s="4"/>
    </row>
    <row r="177" ht="16" customHeight="1" s="4" customFormat="1">
      <c r="A177" s="4" t="s">
        <v>3761</v>
      </c>
      <c r="B177" s="4" t="s">
        <v>3390</v>
      </c>
      <c r="C177" s="4" t="s">
        <v>3779</v>
      </c>
      <c r="D177" s="4"/>
      <c r="E177" s="4"/>
      <c r="F177" s="4" t="s">
        <v>10</v>
      </c>
      <c r="G177" s="4" t="s">
        <v>10</v>
      </c>
      <c r="H177" s="4" t="s">
        <v>3790</v>
      </c>
      <c r="I177" s="4" t="s">
        <v>3516</v>
      </c>
      <c r="J177" s="4"/>
      <c r="K177" s="4"/>
    </row>
    <row r="178" ht="16" customHeight="1" s="4" customFormat="1">
      <c r="A178" s="4" t="s">
        <v>3761</v>
      </c>
      <c r="B178" s="4" t="s">
        <v>3390</v>
      </c>
      <c r="C178" s="4" t="s">
        <v>3779</v>
      </c>
      <c r="D178" s="4"/>
      <c r="E178" s="4"/>
      <c r="F178" s="4" t="s">
        <v>10</v>
      </c>
      <c r="G178" s="4" t="s">
        <v>10</v>
      </c>
      <c r="H178" s="4" t="s">
        <v>3791</v>
      </c>
      <c r="I178" s="4" t="s">
        <v>3518</v>
      </c>
      <c r="J178" s="4"/>
      <c r="K178" s="4"/>
    </row>
    <row r="179" ht="16" customHeight="1" s="4" customFormat="1">
      <c r="A179" s="4" t="s">
        <v>3761</v>
      </c>
      <c r="B179" s="4" t="s">
        <v>3390</v>
      </c>
      <c r="C179" s="4" t="s">
        <v>3779</v>
      </c>
      <c r="D179" s="4"/>
      <c r="E179" s="4"/>
      <c r="F179" s="4" t="s">
        <v>10</v>
      </c>
      <c r="G179" s="4" t="s">
        <v>10</v>
      </c>
      <c r="H179" s="4" t="s">
        <v>3792</v>
      </c>
      <c r="I179" s="4" t="s">
        <v>3530</v>
      </c>
      <c r="J179" s="4"/>
      <c r="K179" s="4"/>
    </row>
    <row r="180" ht="16" customHeight="1" s="4" customFormat="1">
      <c r="A180" s="4" t="s">
        <v>3761</v>
      </c>
      <c r="B180" s="4" t="s">
        <v>3390</v>
      </c>
      <c r="C180" s="4" t="s">
        <v>3779</v>
      </c>
      <c r="D180" s="4"/>
      <c r="E180" s="4"/>
      <c r="F180" s="4" t="s">
        <v>10</v>
      </c>
      <c r="G180" s="4" t="s">
        <v>10</v>
      </c>
      <c r="H180" s="4" t="s">
        <v>3793</v>
      </c>
      <c r="I180" s="4" t="s">
        <v>3506</v>
      </c>
      <c r="J180" s="4"/>
      <c r="K180" s="4"/>
    </row>
    <row r="181" ht="16" customHeight="1" s="4" customFormat="1">
      <c r="A181" s="4" t="s">
        <v>3761</v>
      </c>
      <c r="B181" s="4" t="s">
        <v>3390</v>
      </c>
      <c r="C181" s="4" t="s">
        <v>3779</v>
      </c>
      <c r="D181" s="4"/>
      <c r="E181" s="4"/>
      <c r="F181" s="4" t="s">
        <v>10</v>
      </c>
      <c r="G181" s="4" t="s">
        <v>10</v>
      </c>
      <c r="H181" s="4" t="s">
        <v>3794</v>
      </c>
      <c r="I181" s="4" t="s">
        <v>3502</v>
      </c>
      <c r="J181" s="4"/>
      <c r="K181" s="4"/>
    </row>
    <row r="182" ht="16" customHeight="1" s="4" customFormat="1">
      <c r="A182" s="4" t="s">
        <v>3761</v>
      </c>
      <c r="B182" s="4" t="s">
        <v>3390</v>
      </c>
      <c r="C182" s="4" t="s">
        <v>3779</v>
      </c>
      <c r="D182" s="4"/>
      <c r="E182" s="4"/>
      <c r="F182" s="4" t="s">
        <v>10</v>
      </c>
      <c r="G182" s="4" t="s">
        <v>10</v>
      </c>
      <c r="H182" s="4" t="s">
        <v>3795</v>
      </c>
      <c r="I182" s="4" t="s">
        <v>3526</v>
      </c>
      <c r="J182" s="4"/>
      <c r="K182" s="4"/>
    </row>
    <row r="183" ht="16" customHeight="1" s="4" customFormat="1">
      <c r="A183" s="4" t="s">
        <v>3761</v>
      </c>
      <c r="B183" s="4" t="s">
        <v>3390</v>
      </c>
      <c r="C183" s="4" t="s">
        <v>3779</v>
      </c>
      <c r="D183" s="4"/>
      <c r="E183" s="4"/>
      <c r="F183" s="4" t="s">
        <v>10</v>
      </c>
      <c r="G183" s="4" t="s">
        <v>10</v>
      </c>
      <c r="H183" s="4" t="s">
        <v>3796</v>
      </c>
      <c r="I183" s="4" t="s">
        <v>3524</v>
      </c>
      <c r="J183" s="4"/>
      <c r="K183" s="4"/>
    </row>
    <row r="184" ht="16" customHeight="1" s="4" customFormat="1">
      <c r="A184" s="4" t="s">
        <v>3761</v>
      </c>
      <c r="B184" s="4" t="s">
        <v>3390</v>
      </c>
      <c r="C184" s="4" t="s">
        <v>3779</v>
      </c>
      <c r="D184" s="4"/>
      <c r="E184" s="4"/>
      <c r="F184" s="4" t="s">
        <v>10</v>
      </c>
      <c r="G184" s="4" t="s">
        <v>10</v>
      </c>
      <c r="H184" s="4" t="s">
        <v>3797</v>
      </c>
      <c r="I184" s="4" t="s">
        <v>3508</v>
      </c>
      <c r="J184" s="4"/>
      <c r="K184" s="4"/>
    </row>
    <row r="185" ht="16" customHeight="1" s="4" customFormat="1">
      <c r="A185" s="4" t="s">
        <v>3761</v>
      </c>
      <c r="B185" s="4" t="s">
        <v>3390</v>
      </c>
      <c r="C185" s="4" t="s">
        <v>3779</v>
      </c>
      <c r="D185" s="4"/>
      <c r="E185" s="4"/>
      <c r="F185" s="4" t="s">
        <v>10</v>
      </c>
      <c r="G185" s="4" t="s">
        <v>10</v>
      </c>
      <c r="H185" s="4" t="s">
        <v>3798</v>
      </c>
      <c r="I185" s="4" t="s">
        <v>3510</v>
      </c>
      <c r="J185" s="4"/>
      <c r="K185" s="4"/>
    </row>
    <row r="186" ht="16" customHeight="1" s="4" customFormat="1">
      <c r="A186" s="4" t="s">
        <v>3761</v>
      </c>
      <c r="B186" s="4" t="s">
        <v>3390</v>
      </c>
      <c r="C186" s="4" t="s">
        <v>3779</v>
      </c>
      <c r="D186" s="4"/>
      <c r="E186" s="4"/>
      <c r="F186" s="4" t="s">
        <v>10</v>
      </c>
      <c r="G186" s="4" t="s">
        <v>10</v>
      </c>
      <c r="H186" s="4" t="s">
        <v>3799</v>
      </c>
      <c r="I186" s="4" t="s">
        <v>3522</v>
      </c>
      <c r="J186" s="4"/>
      <c r="K186" s="4"/>
    </row>
    <row r="187" ht="16" customHeight="1" s="4" customFormat="1">
      <c r="A187" s="4" t="s">
        <v>3761</v>
      </c>
      <c r="B187" s="4" t="s">
        <v>3390</v>
      </c>
      <c r="C187" s="4" t="s">
        <v>3779</v>
      </c>
      <c r="D187" s="4"/>
      <c r="E187" s="4"/>
      <c r="F187" s="4" t="s">
        <v>10</v>
      </c>
      <c r="G187" s="4" t="s">
        <v>10</v>
      </c>
      <c r="H187" s="4" t="s">
        <v>3800</v>
      </c>
      <c r="I187" s="4" t="s">
        <v>3504</v>
      </c>
      <c r="J187" s="4"/>
      <c r="K187" s="4"/>
    </row>
    <row r="188" ht="16" customHeight="1" s="4" customFormat="1">
      <c r="A188" s="4" t="s">
        <v>3761</v>
      </c>
      <c r="B188" s="4" t="s">
        <v>3390</v>
      </c>
      <c r="C188" s="4" t="s">
        <v>3779</v>
      </c>
      <c r="D188" s="4"/>
      <c r="E188" s="4"/>
      <c r="F188" s="4" t="s">
        <v>10</v>
      </c>
      <c r="G188" s="4" t="s">
        <v>10</v>
      </c>
      <c r="H188" s="4" t="s">
        <v>3801</v>
      </c>
      <c r="I188" s="4" t="s">
        <v>3450</v>
      </c>
      <c r="J188" s="4"/>
      <c r="K188" s="4"/>
    </row>
    <row r="189" ht="16" customHeight="1" s="4" customFormat="1">
      <c r="A189" s="4" t="s">
        <v>3761</v>
      </c>
      <c r="B189" s="4" t="s">
        <v>3390</v>
      </c>
      <c r="C189" s="4" t="s">
        <v>3802</v>
      </c>
      <c r="D189" s="4"/>
      <c r="E189" s="4"/>
      <c r="F189" s="4" t="s">
        <v>3768</v>
      </c>
      <c r="G189" s="4" t="s">
        <v>10</v>
      </c>
      <c r="H189" s="4" t="s">
        <v>3803</v>
      </c>
      <c r="I189" s="4" t="s">
        <v>3461</v>
      </c>
      <c r="J189" s="4"/>
      <c r="K189" s="4"/>
    </row>
    <row r="190" ht="16" customHeight="1" s="4" customFormat="1">
      <c r="A190" s="4" t="s">
        <v>3761</v>
      </c>
      <c r="B190" s="4" t="s">
        <v>3390</v>
      </c>
      <c r="C190" s="4" t="s">
        <v>3804</v>
      </c>
      <c r="D190" s="4"/>
      <c r="E190" s="4"/>
      <c r="F190" s="4" t="s">
        <v>10</v>
      </c>
      <c r="G190" s="4" t="s">
        <v>10</v>
      </c>
      <c r="H190" s="4" t="s">
        <v>3805</v>
      </c>
      <c r="I190" s="4" t="s">
        <v>3497</v>
      </c>
      <c r="J190" s="4"/>
      <c r="K190" s="4"/>
    </row>
    <row r="191" ht="16" customHeight="1" s="4" customFormat="1">
      <c r="A191" s="4" t="s">
        <v>3761</v>
      </c>
      <c r="B191" s="4" t="s">
        <v>3390</v>
      </c>
      <c r="C191" s="4" t="s">
        <v>3806</v>
      </c>
      <c r="D191" s="4"/>
      <c r="E191" s="4"/>
      <c r="F191" s="4" t="s">
        <v>3807</v>
      </c>
      <c r="G191" s="4" t="s">
        <v>10</v>
      </c>
      <c r="H191" s="4" t="s">
        <v>3808</v>
      </c>
      <c r="I191" s="4" t="s">
        <v>3573</v>
      </c>
      <c r="J191" s="4"/>
      <c r="K191" s="4"/>
    </row>
    <row r="192" ht="16" customHeight="1" s="4" customFormat="1">
      <c r="A192" s="4" t="s">
        <v>3761</v>
      </c>
      <c r="B192" s="4" t="s">
        <v>3390</v>
      </c>
      <c r="C192" s="4" t="s">
        <v>3809</v>
      </c>
      <c r="D192" s="4"/>
      <c r="E192" s="4"/>
      <c r="F192" s="4" t="s">
        <v>3810</v>
      </c>
      <c r="G192" s="4" t="s">
        <v>10</v>
      </c>
      <c r="H192" s="4" t="s">
        <v>3811</v>
      </c>
      <c r="I192" s="4" t="s">
        <v>3530</v>
      </c>
      <c r="J192" s="4"/>
      <c r="K192" s="4"/>
    </row>
    <row r="193" ht="16" customHeight="1" s="4" customFormat="1">
      <c r="A193" s="4" t="s">
        <v>3761</v>
      </c>
      <c r="B193" s="4" t="s">
        <v>3390</v>
      </c>
      <c r="C193" s="4" t="s">
        <v>3812</v>
      </c>
      <c r="D193" s="4"/>
      <c r="E193" s="4"/>
      <c r="F193" s="4" t="s">
        <v>3813</v>
      </c>
      <c r="G193" s="4" t="s">
        <v>10</v>
      </c>
      <c r="H193" s="4" t="s">
        <v>3814</v>
      </c>
      <c r="I193" s="4" t="s">
        <v>3746</v>
      </c>
      <c r="J193" s="4"/>
      <c r="K193" s="4"/>
    </row>
    <row r="194" ht="16" customHeight="1" s="4" customFormat="1">
      <c r="A194" s="4" t="s">
        <v>3761</v>
      </c>
      <c r="B194" s="4" t="s">
        <v>3390</v>
      </c>
      <c r="C194" s="4" t="s">
        <v>3815</v>
      </c>
      <c r="D194" s="4"/>
      <c r="E194" s="4"/>
      <c r="F194" s="4" t="s">
        <v>3813</v>
      </c>
      <c r="G194" s="4" t="s">
        <v>10</v>
      </c>
      <c r="H194" s="4" t="s">
        <v>3816</v>
      </c>
      <c r="I194" s="4" t="s">
        <v>3751</v>
      </c>
      <c r="J194" s="4"/>
      <c r="K194" s="4"/>
    </row>
    <row r="195" ht="16" customHeight="1" s="4" customFormat="1">
      <c r="A195" s="4" t="s">
        <v>3761</v>
      </c>
      <c r="B195" s="4" t="s">
        <v>3390</v>
      </c>
      <c r="C195" s="4" t="s">
        <v>3817</v>
      </c>
      <c r="D195" s="4"/>
      <c r="E195" s="4"/>
      <c r="F195" s="4" t="s">
        <v>10</v>
      </c>
      <c r="G195" s="4" t="s">
        <v>10</v>
      </c>
      <c r="H195" s="4" t="s">
        <v>3818</v>
      </c>
      <c r="I195" s="4" t="s">
        <v>3698</v>
      </c>
      <c r="J195" s="4"/>
      <c r="K195" s="4"/>
    </row>
    <row r="196" ht="16" customHeight="1" s="4" customFormat="1">
      <c r="A196" s="4" t="s">
        <v>3819</v>
      </c>
      <c r="B196" s="4" t="s">
        <v>3346</v>
      </c>
      <c r="C196" s="4" t="s">
        <v>3753</v>
      </c>
      <c r="D196" s="4"/>
      <c r="E196" s="4"/>
      <c r="F196" s="4" t="s">
        <v>10</v>
      </c>
      <c r="G196" s="4" t="s">
        <v>10</v>
      </c>
      <c r="H196" s="4" t="s">
        <v>3820</v>
      </c>
      <c r="I196" s="4" t="s">
        <v>3384</v>
      </c>
      <c r="J196" s="4"/>
      <c r="K196" s="4"/>
    </row>
    <row r="197" ht="16" customHeight="1" s="4" customFormat="1">
      <c r="A197" s="4" t="s">
        <v>3819</v>
      </c>
      <c r="B197" s="4" t="s">
        <v>3346</v>
      </c>
      <c r="C197" s="4" t="s">
        <v>3753</v>
      </c>
      <c r="D197" s="4"/>
      <c r="E197" s="4"/>
      <c r="F197" s="4" t="s">
        <v>10</v>
      </c>
      <c r="G197" s="4" t="s">
        <v>10</v>
      </c>
      <c r="H197" s="4" t="s">
        <v>3821</v>
      </c>
      <c r="I197" s="4" t="s">
        <v>3387</v>
      </c>
      <c r="J197" s="4"/>
      <c r="K197" s="4"/>
    </row>
    <row r="198" ht="16" customHeight="1" s="4" customFormat="1">
      <c r="A198" s="4" t="s">
        <v>3819</v>
      </c>
      <c r="B198" s="4" t="s">
        <v>3346</v>
      </c>
      <c r="C198" s="4" t="s">
        <v>3755</v>
      </c>
      <c r="D198" s="4"/>
      <c r="E198" s="4"/>
      <c r="F198" s="4" t="s">
        <v>10</v>
      </c>
      <c r="G198" s="4" t="s">
        <v>10</v>
      </c>
      <c r="H198" s="4" t="s">
        <v>3820</v>
      </c>
      <c r="I198" s="4" t="s">
        <v>3384</v>
      </c>
      <c r="J198" s="4"/>
      <c r="K198" s="4"/>
    </row>
    <row r="199" ht="16" customHeight="1" s="4" customFormat="1">
      <c r="A199" s="4" t="s">
        <v>3819</v>
      </c>
      <c r="B199" s="4" t="s">
        <v>3346</v>
      </c>
      <c r="C199" s="4" t="s">
        <v>3755</v>
      </c>
      <c r="D199" s="4"/>
      <c r="E199" s="4"/>
      <c r="F199" s="4" t="s">
        <v>10</v>
      </c>
      <c r="G199" s="4" t="s">
        <v>10</v>
      </c>
      <c r="H199" s="4" t="s">
        <v>3821</v>
      </c>
      <c r="I199" s="4" t="s">
        <v>3387</v>
      </c>
      <c r="J199" s="4"/>
      <c r="K199" s="4"/>
    </row>
    <row r="200" ht="16" customHeight="1" s="4" customFormat="1">
      <c r="A200" s="4" t="s">
        <v>3819</v>
      </c>
      <c r="B200" s="4" t="s">
        <v>3346</v>
      </c>
      <c r="C200" s="4" t="s">
        <v>3822</v>
      </c>
      <c r="D200" s="4"/>
      <c r="E200" s="4"/>
      <c r="F200" s="4" t="s">
        <v>3823</v>
      </c>
      <c r="G200" s="4" t="s">
        <v>10</v>
      </c>
      <c r="H200" s="4" t="s">
        <v>3824</v>
      </c>
      <c r="I200" s="4" t="s">
        <v>3368</v>
      </c>
      <c r="J200" s="4"/>
      <c r="K200" s="4"/>
    </row>
    <row r="201" ht="16" customHeight="1" s="4" customFormat="1">
      <c r="A201" s="4" t="s">
        <v>3819</v>
      </c>
      <c r="B201" s="4" t="s">
        <v>3346</v>
      </c>
      <c r="C201" s="4" t="s">
        <v>3822</v>
      </c>
      <c r="D201" s="4"/>
      <c r="E201" s="4"/>
      <c r="F201" s="4" t="s">
        <v>3825</v>
      </c>
      <c r="G201" s="4" t="s">
        <v>10</v>
      </c>
      <c r="H201" s="4" t="s">
        <v>3826</v>
      </c>
      <c r="I201" s="4" t="s">
        <v>3353</v>
      </c>
      <c r="J201" s="4"/>
      <c r="K201" s="4"/>
    </row>
    <row r="202" ht="16" customHeight="1" s="4" customFormat="1">
      <c r="A202" s="4" t="s">
        <v>3819</v>
      </c>
      <c r="B202" s="4" t="s">
        <v>3346</v>
      </c>
      <c r="C202" s="4" t="s">
        <v>3827</v>
      </c>
      <c r="D202" s="4"/>
      <c r="E202" s="4"/>
      <c r="F202" s="4" t="s">
        <v>3825</v>
      </c>
      <c r="G202" s="4" t="s">
        <v>10</v>
      </c>
      <c r="H202" s="4" t="s">
        <v>3828</v>
      </c>
      <c r="I202" s="4" t="s">
        <v>3355</v>
      </c>
      <c r="J202" s="4"/>
      <c r="K202" s="4"/>
    </row>
    <row r="203" ht="16" customHeight="1" s="4" customFormat="1">
      <c r="A203" s="4" t="s">
        <v>3819</v>
      </c>
      <c r="B203" s="4" t="s">
        <v>3346</v>
      </c>
      <c r="C203" s="4" t="s">
        <v>3827</v>
      </c>
      <c r="D203" s="4"/>
      <c r="E203" s="4"/>
      <c r="F203" s="4" t="s">
        <v>3825</v>
      </c>
      <c r="G203" s="4" t="s">
        <v>10</v>
      </c>
      <c r="H203" s="4" t="s">
        <v>3829</v>
      </c>
      <c r="I203" s="4" t="s">
        <v>3366</v>
      </c>
      <c r="J203" s="4"/>
      <c r="K203" s="4"/>
    </row>
    <row r="204" ht="16" customHeight="1" s="4" customFormat="1">
      <c r="A204" s="4" t="s">
        <v>3819</v>
      </c>
      <c r="B204" s="4" t="s">
        <v>3346</v>
      </c>
      <c r="C204" s="4" t="s">
        <v>3830</v>
      </c>
      <c r="D204" s="4"/>
      <c r="E204" s="4"/>
      <c r="F204" s="4" t="s">
        <v>3831</v>
      </c>
      <c r="G204" s="4" t="s">
        <v>10</v>
      </c>
      <c r="H204" s="4" t="s">
        <v>3832</v>
      </c>
      <c r="I204" s="4" t="s">
        <v>3364</v>
      </c>
      <c r="J204" s="4"/>
      <c r="K204" s="4"/>
    </row>
    <row r="205" ht="16" customHeight="1" s="4" customFormat="1">
      <c r="A205" s="4" t="s">
        <v>3819</v>
      </c>
      <c r="B205" s="4" t="s">
        <v>3346</v>
      </c>
      <c r="C205" s="4" t="s">
        <v>3830</v>
      </c>
      <c r="D205" s="4"/>
      <c r="E205" s="4"/>
      <c r="F205" s="4" t="s">
        <v>3833</v>
      </c>
      <c r="G205" s="4" t="s">
        <v>10</v>
      </c>
      <c r="H205" s="4" t="s">
        <v>3826</v>
      </c>
      <c r="I205" s="4" t="s">
        <v>3353</v>
      </c>
      <c r="J205" s="4"/>
      <c r="K205" s="4"/>
    </row>
    <row r="206" ht="16" customHeight="1" s="4" customFormat="1">
      <c r="A206" s="4" t="s">
        <v>3819</v>
      </c>
      <c r="B206" s="4" t="s">
        <v>3346</v>
      </c>
      <c r="C206" s="4" t="s">
        <v>3834</v>
      </c>
      <c r="D206" s="4"/>
      <c r="E206" s="4"/>
      <c r="F206" s="4" t="s">
        <v>3833</v>
      </c>
      <c r="G206" s="4" t="s">
        <v>10</v>
      </c>
      <c r="H206" s="4" t="s">
        <v>3828</v>
      </c>
      <c r="I206" s="4" t="s">
        <v>3355</v>
      </c>
      <c r="J206" s="4"/>
      <c r="K206" s="4"/>
    </row>
    <row r="207" ht="16" customHeight="1" s="4" customFormat="1">
      <c r="A207" s="4" t="s">
        <v>3819</v>
      </c>
      <c r="B207" s="4" t="s">
        <v>3346</v>
      </c>
      <c r="C207" s="4" t="s">
        <v>3756</v>
      </c>
      <c r="D207" s="4"/>
      <c r="E207" s="4"/>
      <c r="F207" s="4" t="s">
        <v>3835</v>
      </c>
      <c r="G207" s="4" t="s">
        <v>10</v>
      </c>
      <c r="H207" s="4" t="s">
        <v>3836</v>
      </c>
      <c r="I207" s="4" t="s">
        <v>3376</v>
      </c>
      <c r="J207" s="4"/>
      <c r="K207" s="4"/>
    </row>
    <row r="208" ht="16" customHeight="1" s="4" customFormat="1">
      <c r="A208" s="4" t="s">
        <v>3819</v>
      </c>
      <c r="B208" s="4" t="s">
        <v>3346</v>
      </c>
      <c r="C208" s="4" t="s">
        <v>3756</v>
      </c>
      <c r="D208" s="4"/>
      <c r="E208" s="4"/>
      <c r="F208" s="4" t="s">
        <v>3837</v>
      </c>
      <c r="G208" s="4" t="s">
        <v>10</v>
      </c>
      <c r="H208" s="4" t="s">
        <v>3838</v>
      </c>
      <c r="I208" s="4" t="s">
        <v>3378</v>
      </c>
      <c r="J208" s="4"/>
      <c r="K208" s="4"/>
    </row>
    <row r="209" ht="16" customHeight="1" s="4" customFormat="1">
      <c r="A209" s="4" t="s">
        <v>3819</v>
      </c>
      <c r="B209" s="4" t="s">
        <v>3346</v>
      </c>
      <c r="C209" s="4" t="s">
        <v>3756</v>
      </c>
      <c r="D209" s="4"/>
      <c r="E209" s="4"/>
      <c r="F209" s="4" t="s">
        <v>3837</v>
      </c>
      <c r="G209" s="4" t="s">
        <v>10</v>
      </c>
      <c r="H209" s="4" t="s">
        <v>3839</v>
      </c>
      <c r="I209" s="4" t="s">
        <v>3380</v>
      </c>
      <c r="J209" s="4"/>
      <c r="K209" s="4"/>
    </row>
    <row r="210" ht="16" customHeight="1" s="4" customFormat="1">
      <c r="A210" s="4" t="s">
        <v>3819</v>
      </c>
      <c r="B210" s="4" t="s">
        <v>3346</v>
      </c>
      <c r="C210" s="4" t="s">
        <v>3756</v>
      </c>
      <c r="D210" s="4"/>
      <c r="E210" s="4"/>
      <c r="F210" s="4" t="s">
        <v>3757</v>
      </c>
      <c r="G210" s="4" t="s">
        <v>10</v>
      </c>
      <c r="H210" s="4" t="s">
        <v>3840</v>
      </c>
      <c r="I210" s="4" t="s">
        <v>3372</v>
      </c>
      <c r="J210" s="4"/>
      <c r="K210" s="4"/>
    </row>
    <row r="211" ht="16" customHeight="1" s="4" customFormat="1">
      <c r="A211" s="4" t="s">
        <v>3819</v>
      </c>
      <c r="B211" s="4" t="s">
        <v>3346</v>
      </c>
      <c r="C211" s="4" t="s">
        <v>3759</v>
      </c>
      <c r="D211" s="4"/>
      <c r="E211" s="4"/>
      <c r="F211" s="4" t="s">
        <v>3760</v>
      </c>
      <c r="G211" s="4" t="s">
        <v>10</v>
      </c>
      <c r="H211" s="4" t="s">
        <v>3836</v>
      </c>
      <c r="I211" s="4" t="s">
        <v>3376</v>
      </c>
      <c r="J211" s="4"/>
      <c r="K211" s="4"/>
    </row>
    <row r="212" ht="16" customHeight="1" s="4" customFormat="1">
      <c r="A212" s="4" t="s">
        <v>3819</v>
      </c>
      <c r="B212" s="4" t="s">
        <v>3346</v>
      </c>
      <c r="C212" s="4" t="s">
        <v>3759</v>
      </c>
      <c r="D212" s="4"/>
      <c r="E212" s="4"/>
      <c r="F212" s="4" t="s">
        <v>3760</v>
      </c>
      <c r="G212" s="4" t="s">
        <v>10</v>
      </c>
      <c r="H212" s="4" t="s">
        <v>3838</v>
      </c>
      <c r="I212" s="4" t="s">
        <v>3378</v>
      </c>
      <c r="J212" s="4"/>
      <c r="K212" s="4"/>
    </row>
    <row r="213" ht="16" customHeight="1" s="4" customFormat="1">
      <c r="A213" s="4" t="s">
        <v>3819</v>
      </c>
      <c r="B213" s="4" t="s">
        <v>3346</v>
      </c>
      <c r="C213" s="4" t="s">
        <v>3759</v>
      </c>
      <c r="D213" s="4"/>
      <c r="E213" s="4"/>
      <c r="F213" s="4" t="s">
        <v>3760</v>
      </c>
      <c r="G213" s="4" t="s">
        <v>10</v>
      </c>
      <c r="H213" s="4" t="s">
        <v>3839</v>
      </c>
      <c r="I213" s="4" t="s">
        <v>3380</v>
      </c>
      <c r="J213" s="4"/>
      <c r="K213" s="4"/>
    </row>
    <row r="214" ht="16" customHeight="1" s="4" customFormat="1">
      <c r="A214" s="4" t="s">
        <v>3819</v>
      </c>
      <c r="B214" s="4" t="s">
        <v>3346</v>
      </c>
      <c r="C214" s="4" t="s">
        <v>3759</v>
      </c>
      <c r="D214" s="4"/>
      <c r="E214" s="4"/>
      <c r="F214" s="4" t="s">
        <v>3760</v>
      </c>
      <c r="G214" s="4" t="s">
        <v>10</v>
      </c>
      <c r="H214" s="4" t="s">
        <v>3840</v>
      </c>
      <c r="I214" s="4" t="s">
        <v>3372</v>
      </c>
      <c r="J214" s="4"/>
      <c r="K214" s="4"/>
    </row>
    <row r="215" ht="16" customHeight="1" s="4" customFormat="1">
      <c r="A215" s="4" t="s">
        <v>3819</v>
      </c>
      <c r="B215" s="4" t="s">
        <v>3346</v>
      </c>
      <c r="C215" s="4" t="s">
        <v>3841</v>
      </c>
      <c r="D215" s="4"/>
      <c r="E215" s="4"/>
      <c r="F215" s="4" t="s">
        <v>3842</v>
      </c>
      <c r="G215" s="4" t="s">
        <v>10</v>
      </c>
      <c r="H215" s="4" t="s">
        <v>3843</v>
      </c>
      <c r="I215" s="4" t="s">
        <v>3844</v>
      </c>
      <c r="J215" s="4"/>
      <c r="K215" s="4"/>
    </row>
    <row r="216" ht="16" customHeight="1" s="4" customFormat="1">
      <c r="A216" s="4" t="s">
        <v>3819</v>
      </c>
      <c r="B216" s="4" t="s">
        <v>3390</v>
      </c>
      <c r="C216" s="4" t="s">
        <v>3845</v>
      </c>
      <c r="D216" s="4"/>
      <c r="E216" s="4">
        <v>9</v>
      </c>
      <c r="F216" s="4" t="s">
        <v>3846</v>
      </c>
      <c r="G216" s="4" t="s">
        <v>10</v>
      </c>
      <c r="H216" s="4" t="s">
        <v>3847</v>
      </c>
      <c r="I216" s="4" t="s">
        <v>3402</v>
      </c>
      <c r="J216" s="4"/>
      <c r="K216" s="4"/>
    </row>
    <row r="217" ht="16" customHeight="1" s="4" customFormat="1">
      <c r="A217" s="4" t="s">
        <v>3819</v>
      </c>
      <c r="B217" s="4" t="s">
        <v>3390</v>
      </c>
      <c r="C217" s="4" t="s">
        <v>3845</v>
      </c>
      <c r="D217" s="4"/>
      <c r="E217" s="4">
        <v>9</v>
      </c>
      <c r="F217" s="4" t="s">
        <v>3766</v>
      </c>
      <c r="G217" s="4" t="s">
        <v>10</v>
      </c>
      <c r="H217" s="4" t="s">
        <v>3848</v>
      </c>
      <c r="I217" s="4" t="s">
        <v>3849</v>
      </c>
      <c r="J217" s="4"/>
      <c r="K217" s="4"/>
    </row>
    <row r="218" ht="16" customHeight="1" s="4" customFormat="1">
      <c r="A218" s="4" t="s">
        <v>3819</v>
      </c>
      <c r="B218" s="4" t="s">
        <v>3390</v>
      </c>
      <c r="C218" s="4" t="s">
        <v>3845</v>
      </c>
      <c r="D218" s="4"/>
      <c r="E218" s="4" t="s">
        <v>3850</v>
      </c>
      <c r="F218" s="4" t="s">
        <v>3851</v>
      </c>
      <c r="G218" s="4" t="s">
        <v>10</v>
      </c>
      <c r="H218" s="4" t="s">
        <v>3852</v>
      </c>
      <c r="I218" s="4" t="s">
        <v>3408</v>
      </c>
      <c r="J218" s="4"/>
      <c r="K218" s="4"/>
    </row>
    <row r="219" ht="16" customHeight="1" s="4" customFormat="1">
      <c r="A219" s="4" t="s">
        <v>3819</v>
      </c>
      <c r="B219" s="4" t="s">
        <v>3390</v>
      </c>
      <c r="C219" s="4" t="s">
        <v>3853</v>
      </c>
      <c r="D219" s="4"/>
      <c r="E219" s="4">
        <v>9</v>
      </c>
      <c r="F219" s="4" t="s">
        <v>3851</v>
      </c>
      <c r="G219" s="4" t="s">
        <v>10</v>
      </c>
      <c r="H219" s="4" t="s">
        <v>3854</v>
      </c>
      <c r="I219" s="4" t="s">
        <v>3396</v>
      </c>
      <c r="J219" s="4"/>
      <c r="K219" s="4"/>
    </row>
    <row r="220" ht="16" customHeight="1" s="4" customFormat="1">
      <c r="A220" s="4" t="s">
        <v>3819</v>
      </c>
      <c r="B220" s="4" t="s">
        <v>3390</v>
      </c>
      <c r="C220" s="4" t="s">
        <v>3853</v>
      </c>
      <c r="D220" s="4"/>
      <c r="E220" s="4" t="s">
        <v>3855</v>
      </c>
      <c r="F220" s="4" t="s">
        <v>3856</v>
      </c>
      <c r="G220" s="4" t="s">
        <v>10</v>
      </c>
      <c r="H220" s="4" t="s">
        <v>3857</v>
      </c>
      <c r="I220" s="4" t="s">
        <v>3423</v>
      </c>
      <c r="J220" s="4"/>
      <c r="K220" s="4"/>
    </row>
    <row r="221" ht="16" customHeight="1" s="4" customFormat="1">
      <c r="A221" s="4" t="s">
        <v>3819</v>
      </c>
      <c r="B221" s="4" t="s">
        <v>3390</v>
      </c>
      <c r="C221" s="4" t="s">
        <v>3858</v>
      </c>
      <c r="D221" s="4"/>
      <c r="E221" s="4" t="s">
        <v>3859</v>
      </c>
      <c r="F221" s="4" t="s">
        <v>3851</v>
      </c>
      <c r="G221" s="4" t="s">
        <v>10</v>
      </c>
      <c r="H221" s="4" t="s">
        <v>3860</v>
      </c>
      <c r="I221" s="4" t="s">
        <v>3419</v>
      </c>
      <c r="J221" s="4"/>
      <c r="K221" s="4"/>
    </row>
    <row r="222" ht="16" customHeight="1" s="4" customFormat="1">
      <c r="A222" s="4" t="s">
        <v>3819</v>
      </c>
      <c r="B222" s="4" t="s">
        <v>3390</v>
      </c>
      <c r="C222" s="4" t="s">
        <v>3412</v>
      </c>
      <c r="D222" s="4"/>
      <c r="E222" s="4" t="s">
        <v>3855</v>
      </c>
      <c r="F222" s="4" t="s">
        <v>3766</v>
      </c>
      <c r="G222" s="4" t="s">
        <v>10</v>
      </c>
      <c r="H222" s="4" t="s">
        <v>3861</v>
      </c>
      <c r="I222" s="4" t="s">
        <v>3421</v>
      </c>
      <c r="J222" s="4"/>
      <c r="K222" s="4"/>
    </row>
    <row r="223" ht="16" customHeight="1" s="4" customFormat="1">
      <c r="A223" s="4" t="s">
        <v>3819</v>
      </c>
      <c r="B223" s="4" t="s">
        <v>3390</v>
      </c>
      <c r="C223" s="4" t="s">
        <v>3412</v>
      </c>
      <c r="D223" s="4"/>
      <c r="E223" s="4" t="s">
        <v>3855</v>
      </c>
      <c r="F223" s="4" t="s">
        <v>3766</v>
      </c>
      <c r="G223" s="4" t="s">
        <v>10</v>
      </c>
      <c r="H223" s="4" t="s">
        <v>3862</v>
      </c>
      <c r="I223" s="4" t="s">
        <v>3406</v>
      </c>
      <c r="J223" s="4"/>
      <c r="K223" s="4"/>
    </row>
    <row r="224" ht="16" customHeight="1" s="4" customFormat="1">
      <c r="A224" s="4" t="s">
        <v>3819</v>
      </c>
      <c r="B224" s="4" t="s">
        <v>3390</v>
      </c>
      <c r="C224" s="4" t="s">
        <v>3863</v>
      </c>
      <c r="D224" s="4"/>
      <c r="E224" s="4" t="s">
        <v>3763</v>
      </c>
      <c r="F224" s="4" t="s">
        <v>3864</v>
      </c>
      <c r="G224" s="4" t="s">
        <v>10</v>
      </c>
      <c r="H224" s="4" t="s">
        <v>3865</v>
      </c>
      <c r="I224" s="4" t="s">
        <v>3425</v>
      </c>
      <c r="J224" s="4"/>
      <c r="K224" s="4"/>
    </row>
    <row r="225" ht="16" customHeight="1" s="4" customFormat="1">
      <c r="A225" s="4" t="s">
        <v>3819</v>
      </c>
      <c r="B225" s="4" t="s">
        <v>3390</v>
      </c>
      <c r="C225" s="4" t="s">
        <v>3866</v>
      </c>
      <c r="D225" s="4"/>
      <c r="E225" s="4" t="s">
        <v>3763</v>
      </c>
      <c r="F225" s="4" t="s">
        <v>3864</v>
      </c>
      <c r="G225" s="4" t="s">
        <v>10</v>
      </c>
      <c r="H225" s="4" t="s">
        <v>3867</v>
      </c>
      <c r="I225" s="4" t="s">
        <v>3868</v>
      </c>
      <c r="J225" s="4"/>
      <c r="K225" s="4"/>
    </row>
    <row r="226" ht="16" customHeight="1" s="4" customFormat="1">
      <c r="A226" s="4" t="s">
        <v>3819</v>
      </c>
      <c r="B226" s="4" t="s">
        <v>3390</v>
      </c>
      <c r="C226" s="4" t="s">
        <v>3866</v>
      </c>
      <c r="D226" s="4"/>
      <c r="E226" s="4" t="s">
        <v>3763</v>
      </c>
      <c r="F226" s="4" t="s">
        <v>3851</v>
      </c>
      <c r="G226" s="4" t="s">
        <v>10</v>
      </c>
      <c r="H226" s="4" t="s">
        <v>3869</v>
      </c>
      <c r="I226" s="4" t="s">
        <v>3870</v>
      </c>
      <c r="J226" s="4"/>
      <c r="K226" s="4"/>
    </row>
    <row r="227" ht="16" customHeight="1" s="4" customFormat="1">
      <c r="A227" s="4" t="s">
        <v>3819</v>
      </c>
      <c r="B227" s="4" t="s">
        <v>3390</v>
      </c>
      <c r="C227" s="4" t="s">
        <v>3866</v>
      </c>
      <c r="D227" s="4"/>
      <c r="E227" s="4" t="s">
        <v>3855</v>
      </c>
      <c r="F227" s="4" t="s">
        <v>3851</v>
      </c>
      <c r="G227" s="4" t="s">
        <v>10</v>
      </c>
      <c r="H227" s="4" t="s">
        <v>3871</v>
      </c>
      <c r="I227" s="4" t="s">
        <v>3411</v>
      </c>
      <c r="J227" s="4"/>
      <c r="K227" s="4"/>
    </row>
    <row r="228" ht="16" customHeight="1" s="4" customFormat="1">
      <c r="A228" s="4" t="s">
        <v>3819</v>
      </c>
      <c r="B228" s="4" t="s">
        <v>3390</v>
      </c>
      <c r="C228" s="4" t="s">
        <v>3762</v>
      </c>
      <c r="D228" s="4"/>
      <c r="E228" s="4" t="s">
        <v>3763</v>
      </c>
      <c r="F228" s="4" t="s">
        <v>3851</v>
      </c>
      <c r="G228" s="4" t="s">
        <v>10</v>
      </c>
      <c r="H228" s="4" t="s">
        <v>3872</v>
      </c>
      <c r="I228" s="4" t="s">
        <v>3416</v>
      </c>
      <c r="J228" s="4"/>
      <c r="K228" s="4"/>
    </row>
    <row r="229" ht="16" customHeight="1" s="4" customFormat="1">
      <c r="A229" s="4" t="s">
        <v>3819</v>
      </c>
      <c r="B229" s="4" t="s">
        <v>3390</v>
      </c>
      <c r="C229" s="4" t="s">
        <v>3767</v>
      </c>
      <c r="D229" s="4"/>
      <c r="E229" s="4"/>
      <c r="F229" s="4" t="s">
        <v>3768</v>
      </c>
      <c r="G229" s="4" t="s">
        <v>10</v>
      </c>
      <c r="H229" s="4" t="s">
        <v>3873</v>
      </c>
      <c r="I229" s="4" t="s">
        <v>3438</v>
      </c>
      <c r="J229" s="4"/>
      <c r="K229" s="4"/>
    </row>
    <row r="230" ht="16" customHeight="1" s="4" customFormat="1">
      <c r="A230" s="4" t="s">
        <v>3819</v>
      </c>
      <c r="B230" s="4" t="s">
        <v>3390</v>
      </c>
      <c r="C230" s="4" t="s">
        <v>3767</v>
      </c>
      <c r="D230" s="4"/>
      <c r="E230" s="4"/>
      <c r="F230" s="4" t="s">
        <v>3768</v>
      </c>
      <c r="G230" s="4" t="s">
        <v>10</v>
      </c>
      <c r="H230" s="4" t="s">
        <v>3874</v>
      </c>
      <c r="I230" s="4" t="s">
        <v>3444</v>
      </c>
      <c r="J230" s="4"/>
      <c r="K230" s="4"/>
    </row>
    <row r="231" ht="16" customHeight="1" s="4" customFormat="1">
      <c r="A231" s="4" t="s">
        <v>3819</v>
      </c>
      <c r="B231" s="4" t="s">
        <v>3390</v>
      </c>
      <c r="C231" s="4" t="s">
        <v>3767</v>
      </c>
      <c r="D231" s="4"/>
      <c r="E231" s="4"/>
      <c r="F231" s="4" t="s">
        <v>3768</v>
      </c>
      <c r="G231" s="4" t="s">
        <v>10</v>
      </c>
      <c r="H231" s="4" t="s">
        <v>3875</v>
      </c>
      <c r="I231" s="4" t="s">
        <v>3450</v>
      </c>
      <c r="J231" s="4"/>
      <c r="K231" s="4"/>
    </row>
    <row r="232" ht="16" customHeight="1" s="4" customFormat="1">
      <c r="A232" s="4" t="s">
        <v>3819</v>
      </c>
      <c r="B232" s="4" t="s">
        <v>3390</v>
      </c>
      <c r="C232" s="4" t="s">
        <v>3767</v>
      </c>
      <c r="D232" s="4"/>
      <c r="E232" s="4"/>
      <c r="F232" s="4" t="s">
        <v>3768</v>
      </c>
      <c r="G232" s="4" t="s">
        <v>10</v>
      </c>
      <c r="H232" s="4" t="s">
        <v>3876</v>
      </c>
      <c r="I232" s="4" t="s">
        <v>3458</v>
      </c>
      <c r="J232" s="4"/>
      <c r="K232" s="4"/>
    </row>
    <row r="233" ht="16" customHeight="1" s="4" customFormat="1">
      <c r="A233" s="4" t="s">
        <v>3819</v>
      </c>
      <c r="B233" s="4" t="s">
        <v>3390</v>
      </c>
      <c r="C233" s="4" t="s">
        <v>3767</v>
      </c>
      <c r="D233" s="4"/>
      <c r="E233" s="4"/>
      <c r="F233" s="4" t="s">
        <v>3768</v>
      </c>
      <c r="G233" s="4" t="s">
        <v>10</v>
      </c>
      <c r="H233" s="4" t="s">
        <v>3877</v>
      </c>
      <c r="I233" s="4" t="s">
        <v>3576</v>
      </c>
      <c r="J233" s="4"/>
      <c r="K233" s="4"/>
    </row>
    <row r="234" ht="16" customHeight="1" s="4" customFormat="1">
      <c r="A234" s="4" t="s">
        <v>3819</v>
      </c>
      <c r="B234" s="4" t="s">
        <v>3390</v>
      </c>
      <c r="C234" s="4" t="s">
        <v>3767</v>
      </c>
      <c r="D234" s="4"/>
      <c r="E234" s="4"/>
      <c r="F234" s="4" t="s">
        <v>3768</v>
      </c>
      <c r="G234" s="4" t="s">
        <v>10</v>
      </c>
      <c r="H234" s="4" t="s">
        <v>3878</v>
      </c>
      <c r="I234" s="4" t="s">
        <v>3453</v>
      </c>
      <c r="J234" s="4"/>
      <c r="K234" s="4"/>
    </row>
    <row r="235" ht="16" customHeight="1" s="4" customFormat="1">
      <c r="A235" s="4" t="s">
        <v>3819</v>
      </c>
      <c r="B235" s="4" t="s">
        <v>3390</v>
      </c>
      <c r="C235" s="4" t="s">
        <v>3779</v>
      </c>
      <c r="D235" s="4"/>
      <c r="E235" s="4"/>
      <c r="F235" s="4" t="s">
        <v>10</v>
      </c>
      <c r="G235" s="4" t="s">
        <v>10</v>
      </c>
      <c r="H235" s="4" t="s">
        <v>3879</v>
      </c>
      <c r="I235" s="4" t="s">
        <v>3475</v>
      </c>
      <c r="J235" s="4"/>
      <c r="K235" s="4"/>
    </row>
    <row r="236" ht="16" customHeight="1" s="4" customFormat="1">
      <c r="A236" s="4" t="s">
        <v>3819</v>
      </c>
      <c r="B236" s="4" t="s">
        <v>3390</v>
      </c>
      <c r="C236" s="4" t="s">
        <v>3779</v>
      </c>
      <c r="D236" s="4"/>
      <c r="E236" s="4"/>
      <c r="F236" s="4" t="s">
        <v>10</v>
      </c>
      <c r="G236" s="4" t="s">
        <v>10</v>
      </c>
      <c r="H236" s="4" t="s">
        <v>3880</v>
      </c>
      <c r="I236" s="4" t="s">
        <v>3528</v>
      </c>
      <c r="J236" s="4"/>
      <c r="K236" s="4"/>
    </row>
    <row r="237" ht="16" customHeight="1" s="4" customFormat="1">
      <c r="A237" s="4" t="s">
        <v>3819</v>
      </c>
      <c r="B237" s="4" t="s">
        <v>3390</v>
      </c>
      <c r="C237" s="4" t="s">
        <v>3881</v>
      </c>
      <c r="D237" s="4"/>
      <c r="E237" s="4"/>
      <c r="F237" s="4" t="s">
        <v>10</v>
      </c>
      <c r="G237" s="4" t="s">
        <v>10</v>
      </c>
      <c r="H237" s="4" t="s">
        <v>3882</v>
      </c>
      <c r="I237" s="4" t="s">
        <v>3481</v>
      </c>
      <c r="J237" s="4"/>
      <c r="K237" s="4"/>
    </row>
    <row r="238" ht="16" customHeight="1" s="4" customFormat="1">
      <c r="A238" s="4" t="s">
        <v>3819</v>
      </c>
      <c r="B238" s="4" t="s">
        <v>3390</v>
      </c>
      <c r="C238" s="4" t="s">
        <v>3881</v>
      </c>
      <c r="D238" s="4"/>
      <c r="E238" s="4"/>
      <c r="F238" s="4" t="s">
        <v>10</v>
      </c>
      <c r="G238" s="4" t="s">
        <v>10</v>
      </c>
      <c r="H238" s="4" t="s">
        <v>3883</v>
      </c>
      <c r="I238" s="4" t="s">
        <v>3483</v>
      </c>
      <c r="J238" s="4"/>
      <c r="K238" s="4"/>
    </row>
    <row r="239" ht="16" customHeight="1" s="4" customFormat="1">
      <c r="A239" s="4" t="s">
        <v>3819</v>
      </c>
      <c r="B239" s="4" t="s">
        <v>3390</v>
      </c>
      <c r="C239" s="4" t="s">
        <v>3881</v>
      </c>
      <c r="D239" s="4"/>
      <c r="E239" s="4"/>
      <c r="F239" s="4" t="s">
        <v>10</v>
      </c>
      <c r="G239" s="4" t="s">
        <v>10</v>
      </c>
      <c r="H239" s="4" t="s">
        <v>3884</v>
      </c>
      <c r="I239" s="4" t="s">
        <v>3485</v>
      </c>
      <c r="J239" s="4"/>
      <c r="K239" s="4"/>
    </row>
    <row r="240" ht="16" customHeight="1" s="4" customFormat="1">
      <c r="A240" s="4" t="s">
        <v>3819</v>
      </c>
      <c r="B240" s="4" t="s">
        <v>3390</v>
      </c>
      <c r="C240" s="4" t="s">
        <v>3881</v>
      </c>
      <c r="D240" s="4"/>
      <c r="E240" s="4"/>
      <c r="F240" s="4" t="s">
        <v>10</v>
      </c>
      <c r="G240" s="4" t="s">
        <v>10</v>
      </c>
      <c r="H240" s="4" t="s">
        <v>3885</v>
      </c>
      <c r="I240" s="4" t="s">
        <v>3491</v>
      </c>
      <c r="J240" s="4"/>
      <c r="K240" s="4"/>
    </row>
    <row r="241" ht="16" customHeight="1" s="4" customFormat="1">
      <c r="A241" s="4" t="s">
        <v>3819</v>
      </c>
      <c r="B241" s="4" t="s">
        <v>3390</v>
      </c>
      <c r="C241" s="4" t="s">
        <v>3881</v>
      </c>
      <c r="D241" s="4"/>
      <c r="E241" s="4"/>
      <c r="F241" s="4" t="s">
        <v>10</v>
      </c>
      <c r="G241" s="4" t="s">
        <v>10</v>
      </c>
      <c r="H241" s="4" t="s">
        <v>3886</v>
      </c>
      <c r="I241" s="4" t="s">
        <v>3487</v>
      </c>
      <c r="J241" s="4"/>
      <c r="K241" s="4"/>
    </row>
    <row r="242" ht="16" customHeight="1" s="4" customFormat="1">
      <c r="A242" s="4" t="s">
        <v>3819</v>
      </c>
      <c r="B242" s="4" t="s">
        <v>3390</v>
      </c>
      <c r="C242" s="4" t="s">
        <v>3881</v>
      </c>
      <c r="D242" s="4"/>
      <c r="E242" s="4"/>
      <c r="F242" s="4" t="s">
        <v>10</v>
      </c>
      <c r="G242" s="4" t="s">
        <v>10</v>
      </c>
      <c r="H242" s="4" t="s">
        <v>3887</v>
      </c>
      <c r="I242" s="4" t="s">
        <v>3489</v>
      </c>
      <c r="J242" s="4"/>
      <c r="K242" s="4"/>
    </row>
    <row r="243" ht="16" customHeight="1" s="4" customFormat="1">
      <c r="A243" s="4" t="s">
        <v>3819</v>
      </c>
      <c r="B243" s="4" t="s">
        <v>3390</v>
      </c>
      <c r="C243" s="4" t="s">
        <v>3881</v>
      </c>
      <c r="D243" s="4"/>
      <c r="E243" s="4"/>
      <c r="F243" s="4" t="s">
        <v>10</v>
      </c>
      <c r="G243" s="4" t="s">
        <v>10</v>
      </c>
      <c r="H243" s="4" t="s">
        <v>3888</v>
      </c>
      <c r="I243" s="4" t="s">
        <v>3500</v>
      </c>
      <c r="J243" s="4"/>
      <c r="K243" s="4"/>
    </row>
    <row r="244" ht="16" customHeight="1" s="4" customFormat="1">
      <c r="A244" s="4" t="s">
        <v>3819</v>
      </c>
      <c r="B244" s="4" t="s">
        <v>3390</v>
      </c>
      <c r="C244" s="4" t="s">
        <v>3881</v>
      </c>
      <c r="D244" s="4"/>
      <c r="E244" s="4"/>
      <c r="F244" s="4" t="s">
        <v>10</v>
      </c>
      <c r="G244" s="4" t="s">
        <v>10</v>
      </c>
      <c r="H244" s="4" t="s">
        <v>3889</v>
      </c>
      <c r="I244" s="4" t="s">
        <v>3516</v>
      </c>
      <c r="J244" s="4"/>
      <c r="K244" s="4"/>
    </row>
    <row r="245" ht="16" customHeight="1" s="4" customFormat="1">
      <c r="A245" s="4" t="s">
        <v>3819</v>
      </c>
      <c r="B245" s="4" t="s">
        <v>3390</v>
      </c>
      <c r="C245" s="4" t="s">
        <v>3881</v>
      </c>
      <c r="D245" s="4"/>
      <c r="E245" s="4"/>
      <c r="F245" s="4" t="s">
        <v>10</v>
      </c>
      <c r="G245" s="4" t="s">
        <v>10</v>
      </c>
      <c r="H245" s="4" t="s">
        <v>3890</v>
      </c>
      <c r="I245" s="4" t="s">
        <v>3514</v>
      </c>
      <c r="J245" s="4"/>
      <c r="K245" s="4"/>
    </row>
    <row r="246" ht="16" customHeight="1" s="4" customFormat="1">
      <c r="A246" s="4" t="s">
        <v>3819</v>
      </c>
      <c r="B246" s="4" t="s">
        <v>3390</v>
      </c>
      <c r="C246" s="4" t="s">
        <v>3881</v>
      </c>
      <c r="D246" s="4"/>
      <c r="E246" s="4"/>
      <c r="F246" s="4" t="s">
        <v>10</v>
      </c>
      <c r="G246" s="4" t="s">
        <v>10</v>
      </c>
      <c r="H246" s="4" t="s">
        <v>3891</v>
      </c>
      <c r="I246" s="4" t="s">
        <v>3512</v>
      </c>
      <c r="J246" s="4"/>
      <c r="K246" s="4"/>
    </row>
    <row r="247" ht="16" customHeight="1" s="4" customFormat="1">
      <c r="A247" s="4" t="s">
        <v>3819</v>
      </c>
      <c r="B247" s="4" t="s">
        <v>3390</v>
      </c>
      <c r="C247" s="4" t="s">
        <v>3881</v>
      </c>
      <c r="D247" s="4"/>
      <c r="E247" s="4"/>
      <c r="F247" s="4" t="s">
        <v>10</v>
      </c>
      <c r="G247" s="4" t="s">
        <v>10</v>
      </c>
      <c r="H247" s="4" t="s">
        <v>3892</v>
      </c>
      <c r="I247" s="4" t="s">
        <v>3518</v>
      </c>
      <c r="J247" s="4"/>
      <c r="K247" s="4"/>
    </row>
    <row r="248" ht="16" customHeight="1" s="4" customFormat="1">
      <c r="A248" s="4" t="s">
        <v>3819</v>
      </c>
      <c r="B248" s="4" t="s">
        <v>3390</v>
      </c>
      <c r="C248" s="4" t="s">
        <v>3881</v>
      </c>
      <c r="D248" s="4"/>
      <c r="E248" s="4"/>
      <c r="F248" s="4" t="s">
        <v>10</v>
      </c>
      <c r="G248" s="4" t="s">
        <v>10</v>
      </c>
      <c r="H248" s="4" t="s">
        <v>3893</v>
      </c>
      <c r="I248" s="4" t="s">
        <v>3530</v>
      </c>
      <c r="J248" s="4"/>
      <c r="K248" s="4"/>
    </row>
    <row r="249" ht="16" customHeight="1" s="4" customFormat="1">
      <c r="A249" s="4" t="s">
        <v>3819</v>
      </c>
      <c r="B249" s="4" t="s">
        <v>3390</v>
      </c>
      <c r="C249" s="4" t="s">
        <v>3881</v>
      </c>
      <c r="D249" s="4"/>
      <c r="E249" s="4"/>
      <c r="F249" s="4" t="s">
        <v>10</v>
      </c>
      <c r="G249" s="4" t="s">
        <v>10</v>
      </c>
      <c r="H249" s="4" t="s">
        <v>3894</v>
      </c>
      <c r="I249" s="4" t="s">
        <v>3506</v>
      </c>
      <c r="J249" s="4"/>
      <c r="K249" s="4"/>
    </row>
    <row r="250" ht="16" customHeight="1" s="4" customFormat="1">
      <c r="A250" s="4" t="s">
        <v>3819</v>
      </c>
      <c r="B250" s="4" t="s">
        <v>3390</v>
      </c>
      <c r="C250" s="4" t="s">
        <v>3881</v>
      </c>
      <c r="D250" s="4"/>
      <c r="E250" s="4"/>
      <c r="F250" s="4" t="s">
        <v>10</v>
      </c>
      <c r="G250" s="4" t="s">
        <v>10</v>
      </c>
      <c r="H250" s="4" t="s">
        <v>3895</v>
      </c>
      <c r="I250" s="4" t="s">
        <v>3502</v>
      </c>
      <c r="J250" s="4"/>
      <c r="K250" s="4"/>
    </row>
    <row r="251" ht="16" customHeight="1" s="4" customFormat="1">
      <c r="A251" s="4" t="s">
        <v>3819</v>
      </c>
      <c r="B251" s="4" t="s">
        <v>3390</v>
      </c>
      <c r="C251" s="4" t="s">
        <v>3881</v>
      </c>
      <c r="D251" s="4"/>
      <c r="E251" s="4"/>
      <c r="F251" s="4" t="s">
        <v>10</v>
      </c>
      <c r="G251" s="4" t="s">
        <v>10</v>
      </c>
      <c r="H251" s="4" t="s">
        <v>3896</v>
      </c>
      <c r="I251" s="4" t="s">
        <v>3526</v>
      </c>
      <c r="J251" s="4"/>
      <c r="K251" s="4"/>
    </row>
    <row r="252" ht="16" customHeight="1" s="4" customFormat="1">
      <c r="A252" s="4" t="s">
        <v>3819</v>
      </c>
      <c r="B252" s="4" t="s">
        <v>3390</v>
      </c>
      <c r="C252" s="4" t="s">
        <v>3881</v>
      </c>
      <c r="D252" s="4"/>
      <c r="E252" s="4"/>
      <c r="F252" s="4" t="s">
        <v>10</v>
      </c>
      <c r="G252" s="4" t="s">
        <v>10</v>
      </c>
      <c r="H252" s="4" t="s">
        <v>3897</v>
      </c>
      <c r="I252" s="4" t="s">
        <v>3524</v>
      </c>
      <c r="J252" s="4"/>
      <c r="K252" s="4"/>
    </row>
    <row r="253" ht="16" customHeight="1" s="4" customFormat="1">
      <c r="A253" s="4" t="s">
        <v>3819</v>
      </c>
      <c r="B253" s="4" t="s">
        <v>3390</v>
      </c>
      <c r="C253" s="4" t="s">
        <v>3881</v>
      </c>
      <c r="D253" s="4"/>
      <c r="E253" s="4"/>
      <c r="F253" s="4" t="s">
        <v>10</v>
      </c>
      <c r="G253" s="4" t="s">
        <v>10</v>
      </c>
      <c r="H253" s="4" t="s">
        <v>3898</v>
      </c>
      <c r="I253" s="4" t="s">
        <v>3508</v>
      </c>
      <c r="J253" s="4"/>
      <c r="K253" s="4"/>
    </row>
    <row r="254" ht="16" customHeight="1" s="4" customFormat="1">
      <c r="A254" s="4" t="s">
        <v>3819</v>
      </c>
      <c r="B254" s="4" t="s">
        <v>3390</v>
      </c>
      <c r="C254" s="4" t="s">
        <v>3881</v>
      </c>
      <c r="D254" s="4"/>
      <c r="E254" s="4"/>
      <c r="F254" s="4" t="s">
        <v>10</v>
      </c>
      <c r="G254" s="4" t="s">
        <v>10</v>
      </c>
      <c r="H254" s="4" t="s">
        <v>3899</v>
      </c>
      <c r="I254" s="4" t="s">
        <v>3510</v>
      </c>
      <c r="J254" s="4"/>
      <c r="K254" s="4"/>
    </row>
    <row r="255" ht="16" customHeight="1" s="4" customFormat="1">
      <c r="A255" s="4" t="s">
        <v>3819</v>
      </c>
      <c r="B255" s="4" t="s">
        <v>3390</v>
      </c>
      <c r="C255" s="4" t="s">
        <v>3881</v>
      </c>
      <c r="D255" s="4"/>
      <c r="E255" s="4"/>
      <c r="F255" s="4" t="s">
        <v>10</v>
      </c>
      <c r="G255" s="4" t="s">
        <v>10</v>
      </c>
      <c r="H255" s="4" t="s">
        <v>3900</v>
      </c>
      <c r="I255" s="4" t="s">
        <v>3520</v>
      </c>
      <c r="J255" s="4"/>
      <c r="K255" s="4"/>
    </row>
    <row r="256" ht="16" customHeight="1" s="4" customFormat="1">
      <c r="A256" s="4" t="s">
        <v>3819</v>
      </c>
      <c r="B256" s="4" t="s">
        <v>3390</v>
      </c>
      <c r="C256" s="4" t="s">
        <v>3881</v>
      </c>
      <c r="D256" s="4"/>
      <c r="E256" s="4"/>
      <c r="F256" s="4" t="s">
        <v>10</v>
      </c>
      <c r="G256" s="4" t="s">
        <v>10</v>
      </c>
      <c r="H256" s="4" t="s">
        <v>3901</v>
      </c>
      <c r="I256" s="4" t="s">
        <v>3522</v>
      </c>
      <c r="J256" s="4"/>
      <c r="K256" s="4"/>
    </row>
    <row r="257" ht="16" customHeight="1" s="4" customFormat="1">
      <c r="A257" s="4" t="s">
        <v>3819</v>
      </c>
      <c r="B257" s="4" t="s">
        <v>3390</v>
      </c>
      <c r="C257" s="4" t="s">
        <v>3881</v>
      </c>
      <c r="D257" s="4"/>
      <c r="E257" s="4"/>
      <c r="F257" s="4" t="s">
        <v>10</v>
      </c>
      <c r="G257" s="4" t="s">
        <v>10</v>
      </c>
      <c r="H257" s="4" t="s">
        <v>3902</v>
      </c>
      <c r="I257" s="4" t="s">
        <v>3528</v>
      </c>
      <c r="J257" s="4"/>
      <c r="K257" s="4"/>
    </row>
    <row r="258" ht="16" customHeight="1" s="4" customFormat="1">
      <c r="A258" s="4" t="s">
        <v>3819</v>
      </c>
      <c r="B258" s="4" t="s">
        <v>3390</v>
      </c>
      <c r="C258" s="4" t="s">
        <v>3881</v>
      </c>
      <c r="D258" s="4"/>
      <c r="E258" s="4"/>
      <c r="F258" s="4" t="s">
        <v>10</v>
      </c>
      <c r="G258" s="4" t="s">
        <v>10</v>
      </c>
      <c r="H258" s="4" t="s">
        <v>3903</v>
      </c>
      <c r="I258" s="4" t="s">
        <v>3504</v>
      </c>
      <c r="J258" s="4"/>
      <c r="K258" s="4"/>
    </row>
    <row r="259" ht="16" customHeight="1" s="4" customFormat="1">
      <c r="A259" s="4" t="s">
        <v>3819</v>
      </c>
      <c r="B259" s="4" t="s">
        <v>3390</v>
      </c>
      <c r="C259" s="4" t="s">
        <v>3802</v>
      </c>
      <c r="D259" s="4"/>
      <c r="E259" s="4"/>
      <c r="F259" s="4" t="s">
        <v>3768</v>
      </c>
      <c r="G259" s="4" t="s">
        <v>10</v>
      </c>
      <c r="H259" s="4" t="s">
        <v>3904</v>
      </c>
      <c r="I259" s="4" t="s">
        <v>3444</v>
      </c>
      <c r="J259" s="4"/>
      <c r="K259" s="4"/>
    </row>
    <row r="260" ht="16" customHeight="1" s="4" customFormat="1">
      <c r="A260" s="4" t="s">
        <v>3819</v>
      </c>
      <c r="B260" s="4" t="s">
        <v>3390</v>
      </c>
      <c r="C260" s="4" t="s">
        <v>3802</v>
      </c>
      <c r="D260" s="4"/>
      <c r="E260" s="4"/>
      <c r="F260" s="4" t="s">
        <v>3768</v>
      </c>
      <c r="G260" s="4" t="s">
        <v>10</v>
      </c>
      <c r="H260" s="4" t="s">
        <v>3905</v>
      </c>
      <c r="I260" s="4" t="s">
        <v>3442</v>
      </c>
      <c r="J260" s="4"/>
      <c r="K260" s="4"/>
    </row>
    <row r="261" ht="16" customHeight="1" s="4" customFormat="1">
      <c r="A261" s="4" t="s">
        <v>3819</v>
      </c>
      <c r="B261" s="4" t="s">
        <v>3390</v>
      </c>
      <c r="C261" s="4" t="s">
        <v>3802</v>
      </c>
      <c r="D261" s="4"/>
      <c r="E261" s="4"/>
      <c r="F261" s="4" t="s">
        <v>3768</v>
      </c>
      <c r="G261" s="4" t="s">
        <v>10</v>
      </c>
      <c r="H261" s="4" t="s">
        <v>3906</v>
      </c>
      <c r="I261" s="4" t="s">
        <v>3458</v>
      </c>
      <c r="J261" s="4"/>
      <c r="K261" s="4"/>
    </row>
    <row r="262" ht="16" customHeight="1" s="4" customFormat="1">
      <c r="A262" s="4" t="s">
        <v>3819</v>
      </c>
      <c r="B262" s="4" t="s">
        <v>3390</v>
      </c>
      <c r="C262" s="4" t="s">
        <v>3802</v>
      </c>
      <c r="D262" s="4"/>
      <c r="E262" s="4"/>
      <c r="F262" s="4" t="s">
        <v>3768</v>
      </c>
      <c r="G262" s="4" t="s">
        <v>10</v>
      </c>
      <c r="H262" s="4" t="s">
        <v>3907</v>
      </c>
      <c r="I262" s="4" t="s">
        <v>3579</v>
      </c>
      <c r="J262" s="4"/>
      <c r="K262" s="4"/>
    </row>
    <row r="263" ht="16" customHeight="1" s="4" customFormat="1">
      <c r="A263" s="4" t="s">
        <v>3819</v>
      </c>
      <c r="B263" s="4" t="s">
        <v>3390</v>
      </c>
      <c r="C263" s="4" t="s">
        <v>3802</v>
      </c>
      <c r="D263" s="4"/>
      <c r="E263" s="4"/>
      <c r="F263" s="4" t="s">
        <v>3768</v>
      </c>
      <c r="G263" s="4" t="s">
        <v>10</v>
      </c>
      <c r="H263" s="4" t="s">
        <v>3908</v>
      </c>
      <c r="I263" s="4" t="s">
        <v>3468</v>
      </c>
      <c r="J263" s="4"/>
      <c r="K263" s="4"/>
    </row>
    <row r="264" ht="16" customHeight="1" s="4" customFormat="1">
      <c r="A264" s="4" t="s">
        <v>3819</v>
      </c>
      <c r="B264" s="4" t="s">
        <v>3390</v>
      </c>
      <c r="C264" s="4" t="s">
        <v>3802</v>
      </c>
      <c r="D264" s="4"/>
      <c r="E264" s="4"/>
      <c r="F264" s="4" t="s">
        <v>3768</v>
      </c>
      <c r="G264" s="4" t="s">
        <v>10</v>
      </c>
      <c r="H264" s="4" t="s">
        <v>3909</v>
      </c>
      <c r="I264" s="4" t="s">
        <v>3471</v>
      </c>
      <c r="J264" s="4"/>
      <c r="K264" s="4"/>
    </row>
    <row r="265" ht="16" customHeight="1" s="4" customFormat="1">
      <c r="A265" s="4" t="s">
        <v>3819</v>
      </c>
      <c r="B265" s="4" t="s">
        <v>3390</v>
      </c>
      <c r="C265" s="4" t="s">
        <v>3802</v>
      </c>
      <c r="D265" s="4"/>
      <c r="E265" s="4"/>
      <c r="F265" s="4" t="s">
        <v>3768</v>
      </c>
      <c r="G265" s="4" t="s">
        <v>10</v>
      </c>
      <c r="H265" s="4" t="s">
        <v>3910</v>
      </c>
      <c r="I265" s="4" t="s">
        <v>3456</v>
      </c>
      <c r="J265" s="4"/>
      <c r="K265" s="4"/>
    </row>
    <row r="266" ht="16" customHeight="1" s="4" customFormat="1">
      <c r="A266" s="4" t="s">
        <v>3819</v>
      </c>
      <c r="B266" s="4" t="s">
        <v>3390</v>
      </c>
      <c r="C266" s="4" t="s">
        <v>3802</v>
      </c>
      <c r="D266" s="4"/>
      <c r="E266" s="4"/>
      <c r="F266" s="4" t="s">
        <v>3911</v>
      </c>
      <c r="G266" s="4" t="s">
        <v>10</v>
      </c>
      <c r="H266" s="4" t="s">
        <v>3912</v>
      </c>
      <c r="I266" s="4" t="s">
        <v>3576</v>
      </c>
      <c r="J266" s="4"/>
      <c r="K266" s="4"/>
    </row>
    <row r="267" ht="16" customHeight="1" s="4" customFormat="1">
      <c r="A267" s="4" t="s">
        <v>3819</v>
      </c>
      <c r="B267" s="4" t="s">
        <v>3390</v>
      </c>
      <c r="C267" s="4" t="s">
        <v>3802</v>
      </c>
      <c r="D267" s="4"/>
      <c r="E267" s="4"/>
      <c r="F267" s="4" t="s">
        <v>3911</v>
      </c>
      <c r="G267" s="4" t="s">
        <v>10</v>
      </c>
      <c r="H267" s="4" t="s">
        <v>3913</v>
      </c>
      <c r="I267" s="4" t="s">
        <v>3464</v>
      </c>
      <c r="J267" s="4"/>
      <c r="K267" s="4"/>
    </row>
    <row r="268" ht="16" customHeight="1" s="4" customFormat="1">
      <c r="A268" s="4" t="s">
        <v>3819</v>
      </c>
      <c r="B268" s="4" t="s">
        <v>3390</v>
      </c>
      <c r="C268" s="4" t="s">
        <v>3804</v>
      </c>
      <c r="D268" s="4"/>
      <c r="E268" s="4"/>
      <c r="F268" s="4" t="s">
        <v>10</v>
      </c>
      <c r="G268" s="4" t="s">
        <v>10</v>
      </c>
      <c r="H268" s="4" t="s">
        <v>3914</v>
      </c>
      <c r="I268" s="4" t="s">
        <v>3534</v>
      </c>
      <c r="J268" s="4"/>
      <c r="K268" s="4"/>
    </row>
    <row r="269" ht="16" customHeight="1" s="4" customFormat="1">
      <c r="A269" s="4" t="s">
        <v>3819</v>
      </c>
      <c r="B269" s="4" t="s">
        <v>3390</v>
      </c>
      <c r="C269" s="4" t="s">
        <v>3804</v>
      </c>
      <c r="D269" s="4"/>
      <c r="E269" s="4"/>
      <c r="F269" s="4" t="s">
        <v>10</v>
      </c>
      <c r="G269" s="4" t="s">
        <v>10</v>
      </c>
      <c r="H269" s="4" t="s">
        <v>3915</v>
      </c>
      <c r="I269" s="4" t="s">
        <v>3495</v>
      </c>
      <c r="J269" s="4"/>
      <c r="K269" s="4"/>
    </row>
    <row r="270" ht="16" customHeight="1" s="4" customFormat="1">
      <c r="A270" s="4" t="s">
        <v>3819</v>
      </c>
      <c r="B270" s="4" t="s">
        <v>3390</v>
      </c>
      <c r="C270" s="4" t="s">
        <v>3916</v>
      </c>
      <c r="D270" s="4"/>
      <c r="E270" s="4"/>
      <c r="F270" s="4" t="s">
        <v>3917</v>
      </c>
      <c r="G270" s="4" t="s">
        <v>10</v>
      </c>
      <c r="H270" s="4" t="s">
        <v>3918</v>
      </c>
      <c r="I270" s="4" t="s">
        <v>3735</v>
      </c>
      <c r="J270" s="4"/>
      <c r="K270" s="4"/>
    </row>
    <row r="271" ht="16" customHeight="1" s="4" customFormat="1">
      <c r="A271" s="4" t="s">
        <v>3819</v>
      </c>
      <c r="B271" s="4" t="s">
        <v>3390</v>
      </c>
      <c r="C271" s="4" t="s">
        <v>3916</v>
      </c>
      <c r="D271" s="4"/>
      <c r="E271" s="4"/>
      <c r="F271" s="4" t="s">
        <v>3917</v>
      </c>
      <c r="G271" s="4" t="s">
        <v>10</v>
      </c>
      <c r="H271" s="4" t="s">
        <v>3919</v>
      </c>
      <c r="I271" s="4" t="s">
        <v>3598</v>
      </c>
      <c r="J271" s="4"/>
      <c r="K271" s="4"/>
    </row>
    <row r="272" ht="16" customHeight="1" s="4" customFormat="1">
      <c r="A272" s="4" t="s">
        <v>3819</v>
      </c>
      <c r="B272" s="4" t="s">
        <v>3390</v>
      </c>
      <c r="C272" s="4" t="s">
        <v>3920</v>
      </c>
      <c r="D272" s="4"/>
      <c r="E272" s="4"/>
      <c r="F272" s="4" t="s">
        <v>3921</v>
      </c>
      <c r="G272" s="4" t="s">
        <v>10</v>
      </c>
      <c r="H272" s="4" t="s">
        <v>3922</v>
      </c>
      <c r="I272" s="4" t="s">
        <v>3715</v>
      </c>
      <c r="J272" s="4"/>
      <c r="K272" s="4"/>
    </row>
    <row r="273" ht="16" customHeight="1" s="4" customFormat="1">
      <c r="A273" s="4" t="s">
        <v>3819</v>
      </c>
      <c r="B273" s="4" t="s">
        <v>3390</v>
      </c>
      <c r="C273" s="4" t="s">
        <v>3920</v>
      </c>
      <c r="D273" s="4"/>
      <c r="E273" s="4"/>
      <c r="F273" s="4" t="s">
        <v>3923</v>
      </c>
      <c r="G273" s="4" t="s">
        <v>10</v>
      </c>
      <c r="H273" s="4" t="s">
        <v>3924</v>
      </c>
      <c r="I273" s="4" t="s">
        <v>3718</v>
      </c>
      <c r="J273" s="4"/>
      <c r="K273" s="4"/>
    </row>
    <row r="274" ht="16" customHeight="1" s="4" customFormat="1">
      <c r="A274" s="4" t="s">
        <v>3819</v>
      </c>
      <c r="B274" s="4" t="s">
        <v>3390</v>
      </c>
      <c r="C274" s="4" t="s">
        <v>3920</v>
      </c>
      <c r="D274" s="4"/>
      <c r="E274" s="4"/>
      <c r="F274" s="4" t="s">
        <v>3923</v>
      </c>
      <c r="G274" s="4" t="s">
        <v>10</v>
      </c>
      <c r="H274" s="4" t="s">
        <v>3925</v>
      </c>
      <c r="I274" s="4" t="s">
        <v>3607</v>
      </c>
      <c r="J274" s="4"/>
      <c r="K274" s="4"/>
    </row>
    <row r="275" ht="16" customHeight="1" s="4" customFormat="1">
      <c r="A275" s="4" t="s">
        <v>3819</v>
      </c>
      <c r="B275" s="4" t="s">
        <v>3390</v>
      </c>
      <c r="C275" s="4" t="s">
        <v>3920</v>
      </c>
      <c r="D275" s="4"/>
      <c r="E275" s="4"/>
      <c r="F275" s="4" t="s">
        <v>3926</v>
      </c>
      <c r="G275" s="4" t="s">
        <v>10</v>
      </c>
      <c r="H275" s="4" t="s">
        <v>3927</v>
      </c>
      <c r="I275" s="4" t="s">
        <v>3723</v>
      </c>
      <c r="J275" s="4"/>
      <c r="K275" s="4"/>
    </row>
    <row r="276" ht="16" customHeight="1" s="4" customFormat="1">
      <c r="A276" s="4" t="s">
        <v>3819</v>
      </c>
      <c r="B276" s="4" t="s">
        <v>3390</v>
      </c>
      <c r="C276" s="4" t="s">
        <v>3920</v>
      </c>
      <c r="D276" s="4"/>
      <c r="E276" s="4"/>
      <c r="F276" s="4" t="s">
        <v>3928</v>
      </c>
      <c r="G276" s="4" t="s">
        <v>10</v>
      </c>
      <c r="H276" s="4" t="s">
        <v>3929</v>
      </c>
      <c r="I276" s="4" t="s">
        <v>3438</v>
      </c>
      <c r="J276" s="4"/>
      <c r="K276" s="4"/>
    </row>
    <row r="277" ht="16" customHeight="1" s="4" customFormat="1">
      <c r="A277" s="4" t="s">
        <v>3819</v>
      </c>
      <c r="B277" s="4" t="s">
        <v>3390</v>
      </c>
      <c r="C277" s="4" t="s">
        <v>3920</v>
      </c>
      <c r="D277" s="4"/>
      <c r="E277" s="4"/>
      <c r="F277" s="4" t="s">
        <v>3930</v>
      </c>
      <c r="G277" s="4" t="s">
        <v>10</v>
      </c>
      <c r="H277" s="4" t="s">
        <v>3931</v>
      </c>
      <c r="I277" s="4" t="s">
        <v>3720</v>
      </c>
      <c r="J277" s="4"/>
      <c r="K277" s="4"/>
    </row>
    <row r="278" ht="16" customHeight="1" s="4" customFormat="1">
      <c r="A278" s="4" t="s">
        <v>3819</v>
      </c>
      <c r="B278" s="4" t="s">
        <v>3390</v>
      </c>
      <c r="C278" s="4" t="s">
        <v>3932</v>
      </c>
      <c r="D278" s="4"/>
      <c r="E278" s="4"/>
      <c r="F278" s="4" t="s">
        <v>3933</v>
      </c>
      <c r="G278" s="4" t="s">
        <v>10</v>
      </c>
      <c r="H278" s="4" t="s">
        <v>3934</v>
      </c>
      <c r="I278" s="4" t="s">
        <v>3650</v>
      </c>
      <c r="J278" s="4"/>
      <c r="K278" s="4"/>
    </row>
    <row r="279" ht="16" customHeight="1" s="4" customFormat="1">
      <c r="A279" s="4" t="s">
        <v>3819</v>
      </c>
      <c r="B279" s="4" t="s">
        <v>3390</v>
      </c>
      <c r="C279" s="4" t="s">
        <v>3932</v>
      </c>
      <c r="D279" s="4"/>
      <c r="E279" s="4"/>
      <c r="F279" s="4" t="s">
        <v>3933</v>
      </c>
      <c r="G279" s="4" t="s">
        <v>10</v>
      </c>
      <c r="H279" s="4" t="s">
        <v>3935</v>
      </c>
      <c r="I279" s="4" t="s">
        <v>3652</v>
      </c>
      <c r="J279" s="4"/>
      <c r="K279" s="4"/>
    </row>
    <row r="280" ht="16" customHeight="1" s="4" customFormat="1">
      <c r="A280" s="4" t="s">
        <v>3819</v>
      </c>
      <c r="B280" s="4" t="s">
        <v>3390</v>
      </c>
      <c r="C280" s="4" t="s">
        <v>3809</v>
      </c>
      <c r="D280" s="4"/>
      <c r="E280" s="4"/>
      <c r="F280" s="4" t="s">
        <v>3810</v>
      </c>
      <c r="G280" s="4" t="s">
        <v>10</v>
      </c>
      <c r="H280" s="4" t="s">
        <v>3936</v>
      </c>
      <c r="I280" s="4" t="s">
        <v>3728</v>
      </c>
      <c r="J280" s="4"/>
      <c r="K280" s="4"/>
    </row>
    <row r="281" ht="16" customHeight="1" s="4" customFormat="1">
      <c r="A281" s="4" t="s">
        <v>3819</v>
      </c>
      <c r="B281" s="4" t="s">
        <v>3390</v>
      </c>
      <c r="C281" s="4" t="s">
        <v>3809</v>
      </c>
      <c r="D281" s="4"/>
      <c r="E281" s="4"/>
      <c r="F281" s="4" t="s">
        <v>3810</v>
      </c>
      <c r="G281" s="4" t="s">
        <v>10</v>
      </c>
      <c r="H281" s="4" t="s">
        <v>3937</v>
      </c>
      <c r="I281" s="4" t="s">
        <v>3690</v>
      </c>
      <c r="J281" s="4"/>
      <c r="K281" s="4"/>
    </row>
    <row r="282" ht="16" customHeight="1" s="4" customFormat="1">
      <c r="A282" s="4" t="s">
        <v>3819</v>
      </c>
      <c r="B282" s="4" t="s">
        <v>3390</v>
      </c>
      <c r="C282" s="4" t="s">
        <v>3809</v>
      </c>
      <c r="D282" s="4"/>
      <c r="E282" s="4"/>
      <c r="F282" s="4" t="s">
        <v>3810</v>
      </c>
      <c r="G282" s="4" t="s">
        <v>10</v>
      </c>
      <c r="H282" s="4" t="s">
        <v>3938</v>
      </c>
      <c r="I282" s="4" t="s">
        <v>3692</v>
      </c>
      <c r="J282" s="4"/>
      <c r="K282" s="4"/>
    </row>
    <row r="283" ht="16" customHeight="1" s="4" customFormat="1">
      <c r="A283" s="4" t="s">
        <v>3819</v>
      </c>
      <c r="B283" s="4" t="s">
        <v>3390</v>
      </c>
      <c r="C283" s="4" t="s">
        <v>3809</v>
      </c>
      <c r="D283" s="4"/>
      <c r="E283" s="4"/>
      <c r="F283" s="4" t="s">
        <v>3810</v>
      </c>
      <c r="G283" s="4" t="s">
        <v>10</v>
      </c>
      <c r="H283" s="4" t="s">
        <v>3939</v>
      </c>
      <c r="I283" s="4" t="s">
        <v>3688</v>
      </c>
      <c r="J283" s="4"/>
      <c r="K283" s="4"/>
    </row>
    <row r="284" ht="16" customHeight="1" s="4" customFormat="1">
      <c r="A284" s="4" t="s">
        <v>3819</v>
      </c>
      <c r="B284" s="4" t="s">
        <v>3390</v>
      </c>
      <c r="C284" s="4" t="s">
        <v>3809</v>
      </c>
      <c r="D284" s="4"/>
      <c r="E284" s="4"/>
      <c r="F284" s="4" t="s">
        <v>3810</v>
      </c>
      <c r="G284" s="4" t="s">
        <v>10</v>
      </c>
      <c r="H284" s="4" t="s">
        <v>3940</v>
      </c>
      <c r="I284" s="4" t="s">
        <v>3686</v>
      </c>
      <c r="J284" s="4"/>
      <c r="K284" s="4"/>
    </row>
    <row r="285" ht="16" customHeight="1" s="4" customFormat="1">
      <c r="A285" s="4" t="s">
        <v>3819</v>
      </c>
      <c r="B285" s="4" t="s">
        <v>3390</v>
      </c>
      <c r="C285" s="4" t="s">
        <v>3941</v>
      </c>
      <c r="D285" s="4"/>
      <c r="E285" s="4"/>
      <c r="F285" s="4" t="s">
        <v>3942</v>
      </c>
      <c r="G285" s="4" t="s">
        <v>10</v>
      </c>
      <c r="H285" s="4" t="s">
        <v>3943</v>
      </c>
      <c r="I285" s="4" t="s">
        <v>3637</v>
      </c>
      <c r="J285" s="4"/>
      <c r="K285" s="4"/>
    </row>
    <row r="286" ht="16" customHeight="1" s="4" customFormat="1">
      <c r="A286" s="4" t="s">
        <v>3819</v>
      </c>
      <c r="B286" s="4" t="s">
        <v>3390</v>
      </c>
      <c r="C286" s="4" t="s">
        <v>3941</v>
      </c>
      <c r="D286" s="4"/>
      <c r="E286" s="4"/>
      <c r="F286" s="4" t="s">
        <v>3942</v>
      </c>
      <c r="G286" s="4" t="s">
        <v>10</v>
      </c>
      <c r="H286" s="4" t="s">
        <v>3944</v>
      </c>
      <c r="I286" s="4" t="s">
        <v>3634</v>
      </c>
      <c r="J286" s="4"/>
      <c r="K286" s="4"/>
    </row>
    <row r="287" ht="16" customHeight="1" s="4" customFormat="1">
      <c r="A287" s="4" t="s">
        <v>3819</v>
      </c>
      <c r="B287" s="4" t="s">
        <v>3390</v>
      </c>
      <c r="C287" s="4" t="s">
        <v>3941</v>
      </c>
      <c r="D287" s="4"/>
      <c r="E287" s="4"/>
      <c r="F287" s="4" t="s">
        <v>3942</v>
      </c>
      <c r="G287" s="4" t="s">
        <v>10</v>
      </c>
      <c r="H287" s="4" t="s">
        <v>3945</v>
      </c>
      <c r="I287" s="4" t="s">
        <v>3616</v>
      </c>
      <c r="J287" s="4"/>
      <c r="K287" s="4"/>
    </row>
    <row r="288" ht="16" customHeight="1" s="4" customFormat="1">
      <c r="A288" s="4" t="s">
        <v>3819</v>
      </c>
      <c r="B288" s="4" t="s">
        <v>3390</v>
      </c>
      <c r="C288" s="4" t="s">
        <v>3941</v>
      </c>
      <c r="D288" s="4"/>
      <c r="E288" s="4"/>
      <c r="F288" s="4" t="s">
        <v>3942</v>
      </c>
      <c r="G288" s="4" t="s">
        <v>10</v>
      </c>
      <c r="H288" s="4" t="s">
        <v>3946</v>
      </c>
      <c r="I288" s="4" t="s">
        <v>3619</v>
      </c>
      <c r="J288" s="4"/>
      <c r="K288" s="4"/>
    </row>
    <row r="289" ht="16" customHeight="1" s="4" customFormat="1">
      <c r="A289" s="4" t="s">
        <v>3819</v>
      </c>
      <c r="B289" s="4" t="s">
        <v>3390</v>
      </c>
      <c r="C289" s="4" t="s">
        <v>3941</v>
      </c>
      <c r="D289" s="4"/>
      <c r="E289" s="4"/>
      <c r="F289" s="4" t="s">
        <v>3942</v>
      </c>
      <c r="G289" s="4" t="s">
        <v>10</v>
      </c>
      <c r="H289" s="4" t="s">
        <v>3947</v>
      </c>
      <c r="I289" s="4" t="s">
        <v>3626</v>
      </c>
      <c r="J289" s="4"/>
      <c r="K289" s="4"/>
    </row>
    <row r="290" ht="16" customHeight="1" s="4" customFormat="1">
      <c r="A290" s="4" t="s">
        <v>3819</v>
      </c>
      <c r="B290" s="4" t="s">
        <v>3390</v>
      </c>
      <c r="C290" s="4" t="s">
        <v>3941</v>
      </c>
      <c r="D290" s="4"/>
      <c r="E290" s="4"/>
      <c r="F290" s="4" t="s">
        <v>3942</v>
      </c>
      <c r="G290" s="4" t="s">
        <v>10</v>
      </c>
      <c r="H290" s="4" t="s">
        <v>3948</v>
      </c>
      <c r="I290" s="4" t="s">
        <v>3628</v>
      </c>
      <c r="J290" s="4"/>
      <c r="K290" s="4"/>
    </row>
    <row r="291" ht="16" customHeight="1" s="4" customFormat="1">
      <c r="A291" s="4" t="s">
        <v>3819</v>
      </c>
      <c r="B291" s="4" t="s">
        <v>3390</v>
      </c>
      <c r="C291" s="4" t="s">
        <v>3941</v>
      </c>
      <c r="D291" s="4"/>
      <c r="E291" s="4"/>
      <c r="F291" s="4" t="s">
        <v>3942</v>
      </c>
      <c r="G291" s="4" t="s">
        <v>10</v>
      </c>
      <c r="H291" s="4" t="s">
        <v>3949</v>
      </c>
      <c r="I291" s="4" t="s">
        <v>3579</v>
      </c>
      <c r="J291" s="4"/>
      <c r="K291" s="4"/>
    </row>
    <row r="292" ht="16" customHeight="1" s="4" customFormat="1">
      <c r="A292" s="4" t="s">
        <v>3819</v>
      </c>
      <c r="B292" s="4" t="s">
        <v>3390</v>
      </c>
      <c r="C292" s="4" t="s">
        <v>3941</v>
      </c>
      <c r="D292" s="4"/>
      <c r="E292" s="4"/>
      <c r="F292" s="4" t="s">
        <v>3942</v>
      </c>
      <c r="G292" s="4" t="s">
        <v>10</v>
      </c>
      <c r="H292" s="4" t="s">
        <v>3950</v>
      </c>
      <c r="I292" s="4" t="s">
        <v>3622</v>
      </c>
      <c r="J292" s="4"/>
      <c r="K292" s="4"/>
    </row>
    <row r="293" ht="16" customHeight="1" s="4" customFormat="1">
      <c r="A293" s="4" t="s">
        <v>3819</v>
      </c>
      <c r="B293" s="4" t="s">
        <v>3390</v>
      </c>
      <c r="C293" s="4" t="s">
        <v>3941</v>
      </c>
      <c r="D293" s="4"/>
      <c r="E293" s="4"/>
      <c r="F293" s="4" t="s">
        <v>3942</v>
      </c>
      <c r="G293" s="4" t="s">
        <v>10</v>
      </c>
      <c r="H293" s="4" t="s">
        <v>3951</v>
      </c>
      <c r="I293" s="4" t="s">
        <v>3640</v>
      </c>
      <c r="J293" s="4"/>
      <c r="K293" s="4"/>
    </row>
    <row r="294" ht="16" customHeight="1">
      <c r="A294" s="3" t="s">
        <v>3819</v>
      </c>
      <c r="B294" s="3" t="s">
        <v>3390</v>
      </c>
      <c r="C294" s="3" t="s">
        <v>3941</v>
      </c>
      <c r="D294" s="3"/>
      <c r="E294" s="3"/>
      <c r="F294" s="3" t="s">
        <v>3942</v>
      </c>
      <c r="G294" s="3" t="s">
        <v>10</v>
      </c>
      <c r="H294" s="3" t="s">
        <v>3952</v>
      </c>
      <c r="I294" s="3" t="s">
        <v>3585</v>
      </c>
    </row>
  </sheetData>
  <headerFooter/>
</worksheet>
</file>

<file path=xl/worksheets/sheet37.xml><?xml version="1.0" encoding="utf-8"?>
<worksheet xmlns:r="http://schemas.openxmlformats.org/officeDocument/2006/relationships" xmlns="http://schemas.openxmlformats.org/spreadsheetml/2006/main">
  <dimension ref="A1:K488"/>
  <sheetViews>
    <sheetView workbookViewId="0"/>
  </sheetViews>
  <sheetFormatPr defaultRowHeight="15"/>
  <cols>
    <col min="1" max="1" width="14.9232988357544" customWidth="1" style="3"/>
    <col min="2" max="2" width="9.140625" customWidth="1" style="3"/>
    <col min="3" max="3" width="165.698532104492" customWidth="1" style="3"/>
    <col min="4" max="4" width="55.4847640991211" customWidth="1" style="3"/>
    <col min="5" max="5" width="22.6668796539307" customWidth="1" style="3"/>
    <col min="6" max="6" width="626.665161132813" customWidth="1" style="3"/>
    <col min="7" max="7" width="17.7234287261963" customWidth="1" style="3"/>
    <col min="8" max="8" width="191.145248413086" customWidth="1" style="3"/>
    <col min="9" max="16384" width="12.6679658889771" customWidth="1" style="3"/>
    <col min="10" max="16384" width="9.140625" customWidth="1" style="3"/>
    <col min="11" max="16384" width="9.140625" customWidth="1" style="3"/>
  </cols>
  <sheetData>
    <row r="1" ht="20" customHeight="1" s="1" customFormat="1">
      <c r="A1" s="2" t="s">
        <v>826</v>
      </c>
      <c r="B1" s="2" t="s">
        <v>823</v>
      </c>
      <c r="C1" s="2" t="s">
        <v>3338</v>
      </c>
      <c r="D1" s="2" t="s">
        <v>3339</v>
      </c>
      <c r="E1" s="2" t="s">
        <v>3340</v>
      </c>
      <c r="F1" s="2" t="s">
        <v>3341</v>
      </c>
      <c r="G1" s="2" t="s">
        <v>3953</v>
      </c>
      <c r="H1" s="2" t="s">
        <v>3343</v>
      </c>
      <c r="I1" s="2" t="s">
        <v>3344</v>
      </c>
    </row>
    <row r="2" ht="16" customHeight="1" s="4" customFormat="1">
      <c r="A2" s="4" t="s">
        <v>3345</v>
      </c>
      <c r="B2" s="4" t="s">
        <v>3346</v>
      </c>
      <c r="C2" s="4" t="s">
        <v>3954</v>
      </c>
      <c r="D2" s="4"/>
      <c r="E2" s="4"/>
      <c r="F2" s="4" t="s">
        <v>3955</v>
      </c>
      <c r="G2" s="4" t="s">
        <v>10</v>
      </c>
      <c r="H2" s="4" t="s">
        <v>3956</v>
      </c>
      <c r="I2" s="4" t="s">
        <v>3957</v>
      </c>
      <c r="J2" s="4"/>
      <c r="K2" s="4"/>
    </row>
    <row r="3" ht="16" customHeight="1" s="4" customFormat="1">
      <c r="A3" s="4" t="s">
        <v>3345</v>
      </c>
      <c r="B3" s="4" t="s">
        <v>3346</v>
      </c>
      <c r="C3" s="4" t="s">
        <v>3954</v>
      </c>
      <c r="D3" s="4"/>
      <c r="E3" s="4"/>
      <c r="F3" s="4" t="s">
        <v>3955</v>
      </c>
      <c r="G3" s="4" t="s">
        <v>10</v>
      </c>
      <c r="H3" s="4" t="s">
        <v>3958</v>
      </c>
      <c r="I3" s="4" t="s">
        <v>3959</v>
      </c>
      <c r="J3" s="4"/>
      <c r="K3" s="4"/>
    </row>
    <row r="4" ht="16" customHeight="1" s="4" customFormat="1">
      <c r="A4" s="4" t="s">
        <v>3345</v>
      </c>
      <c r="B4" s="4" t="s">
        <v>3346</v>
      </c>
      <c r="C4" s="4" t="s">
        <v>3960</v>
      </c>
      <c r="D4" s="4"/>
      <c r="E4" s="4"/>
      <c r="F4" s="4" t="s">
        <v>3955</v>
      </c>
      <c r="G4" s="4" t="s">
        <v>10</v>
      </c>
      <c r="H4" s="4" t="s">
        <v>3961</v>
      </c>
      <c r="I4" s="4" t="s">
        <v>3962</v>
      </c>
      <c r="J4" s="4"/>
      <c r="K4" s="4"/>
    </row>
    <row r="5" ht="16" customHeight="1" s="4" customFormat="1">
      <c r="A5" s="4" t="s">
        <v>3345</v>
      </c>
      <c r="B5" s="4" t="s">
        <v>3346</v>
      </c>
      <c r="C5" s="4" t="s">
        <v>3960</v>
      </c>
      <c r="D5" s="4"/>
      <c r="E5" s="4"/>
      <c r="F5" s="4" t="s">
        <v>3955</v>
      </c>
      <c r="G5" s="4" t="s">
        <v>10</v>
      </c>
      <c r="H5" s="4" t="s">
        <v>3963</v>
      </c>
      <c r="I5" s="4" t="s">
        <v>3964</v>
      </c>
      <c r="J5" s="4"/>
      <c r="K5" s="4"/>
    </row>
    <row r="6" ht="16" customHeight="1" s="4" customFormat="1">
      <c r="A6" s="4" t="s">
        <v>3345</v>
      </c>
      <c r="B6" s="4" t="s">
        <v>3346</v>
      </c>
      <c r="C6" s="4" t="s">
        <v>3960</v>
      </c>
      <c r="D6" s="4"/>
      <c r="E6" s="4"/>
      <c r="F6" s="4" t="s">
        <v>3955</v>
      </c>
      <c r="G6" s="4" t="s">
        <v>10</v>
      </c>
      <c r="H6" s="4" t="s">
        <v>3965</v>
      </c>
      <c r="I6" s="4" t="s">
        <v>3966</v>
      </c>
      <c r="J6" s="4"/>
      <c r="K6" s="4"/>
    </row>
    <row r="7" ht="16" customHeight="1" s="4" customFormat="1">
      <c r="A7" s="4" t="s">
        <v>3345</v>
      </c>
      <c r="B7" s="4" t="s">
        <v>3346</v>
      </c>
      <c r="C7" s="4" t="s">
        <v>3967</v>
      </c>
      <c r="D7" s="4"/>
      <c r="E7" s="4"/>
      <c r="F7" s="4" t="s">
        <v>3955</v>
      </c>
      <c r="G7" s="4" t="s">
        <v>10</v>
      </c>
      <c r="H7" s="4" t="s">
        <v>3968</v>
      </c>
      <c r="I7" s="4" t="s">
        <v>3502</v>
      </c>
      <c r="J7" s="4"/>
      <c r="K7" s="4"/>
    </row>
    <row r="8" ht="16" customHeight="1" s="4" customFormat="1">
      <c r="A8" s="4" t="s">
        <v>3345</v>
      </c>
      <c r="B8" s="4" t="s">
        <v>3346</v>
      </c>
      <c r="C8" s="4" t="s">
        <v>3967</v>
      </c>
      <c r="D8" s="4"/>
      <c r="E8" s="4"/>
      <c r="F8" s="4" t="s">
        <v>3955</v>
      </c>
      <c r="G8" s="4" t="s">
        <v>10</v>
      </c>
      <c r="H8" s="4" t="s">
        <v>3969</v>
      </c>
      <c r="I8" s="4" t="s">
        <v>3970</v>
      </c>
      <c r="J8" s="4"/>
      <c r="K8" s="4"/>
    </row>
    <row r="9" ht="16" customHeight="1" s="4" customFormat="1">
      <c r="A9" s="4" t="s">
        <v>3345</v>
      </c>
      <c r="B9" s="4" t="s">
        <v>3346</v>
      </c>
      <c r="C9" s="4" t="s">
        <v>3971</v>
      </c>
      <c r="D9" s="4"/>
      <c r="E9" s="4"/>
      <c r="F9" s="4" t="s">
        <v>3955</v>
      </c>
      <c r="G9" s="4" t="s">
        <v>10</v>
      </c>
      <c r="H9" s="4" t="s">
        <v>3972</v>
      </c>
      <c r="I9" s="4" t="s">
        <v>3973</v>
      </c>
      <c r="J9" s="4"/>
      <c r="K9" s="4"/>
    </row>
    <row r="10" ht="16" customHeight="1" s="4" customFormat="1">
      <c r="A10" s="4" t="s">
        <v>3345</v>
      </c>
      <c r="B10" s="4" t="s">
        <v>3346</v>
      </c>
      <c r="C10" s="4" t="s">
        <v>3971</v>
      </c>
      <c r="D10" s="4"/>
      <c r="E10" s="4"/>
      <c r="F10" s="4" t="s">
        <v>3955</v>
      </c>
      <c r="G10" s="4" t="s">
        <v>10</v>
      </c>
      <c r="H10" s="4" t="s">
        <v>3974</v>
      </c>
      <c r="I10" s="4" t="s">
        <v>3975</v>
      </c>
      <c r="J10" s="4"/>
      <c r="K10" s="4"/>
    </row>
    <row r="11" ht="16" customHeight="1" s="4" customFormat="1">
      <c r="A11" s="4" t="s">
        <v>3345</v>
      </c>
      <c r="B11" s="4" t="s">
        <v>3346</v>
      </c>
      <c r="C11" s="4" t="s">
        <v>3976</v>
      </c>
      <c r="D11" s="4"/>
      <c r="E11" s="4"/>
      <c r="F11" s="4" t="s">
        <v>3977</v>
      </c>
      <c r="G11" s="4" t="s">
        <v>10</v>
      </c>
      <c r="H11" s="4" t="s">
        <v>3978</v>
      </c>
      <c r="I11" s="4" t="s">
        <v>3979</v>
      </c>
      <c r="J11" s="4"/>
      <c r="K11" s="4"/>
    </row>
    <row r="12" ht="16" customHeight="1" s="4" customFormat="1">
      <c r="A12" s="4" t="s">
        <v>3345</v>
      </c>
      <c r="B12" s="4" t="s">
        <v>3346</v>
      </c>
      <c r="C12" s="4" t="s">
        <v>3976</v>
      </c>
      <c r="D12" s="4"/>
      <c r="E12" s="4"/>
      <c r="F12" s="4" t="s">
        <v>3977</v>
      </c>
      <c r="G12" s="4" t="s">
        <v>10</v>
      </c>
      <c r="H12" s="4" t="s">
        <v>3980</v>
      </c>
      <c r="I12" s="4" t="s">
        <v>3981</v>
      </c>
      <c r="J12" s="4"/>
      <c r="K12" s="4"/>
    </row>
    <row r="13" ht="16" customHeight="1" s="4" customFormat="1">
      <c r="A13" s="4" t="s">
        <v>3345</v>
      </c>
      <c r="B13" s="4" t="s">
        <v>3346</v>
      </c>
      <c r="C13" s="4" t="s">
        <v>3976</v>
      </c>
      <c r="D13" s="4"/>
      <c r="E13" s="4"/>
      <c r="F13" s="4" t="s">
        <v>3977</v>
      </c>
      <c r="G13" s="4" t="s">
        <v>10</v>
      </c>
      <c r="H13" s="4" t="s">
        <v>3982</v>
      </c>
      <c r="I13" s="4" t="s">
        <v>3983</v>
      </c>
      <c r="J13" s="4"/>
      <c r="K13" s="4"/>
    </row>
    <row r="14" ht="16" customHeight="1" s="4" customFormat="1">
      <c r="A14" s="4" t="s">
        <v>3345</v>
      </c>
      <c r="B14" s="4" t="s">
        <v>3346</v>
      </c>
      <c r="C14" s="4" t="s">
        <v>3976</v>
      </c>
      <c r="D14" s="4"/>
      <c r="E14" s="4"/>
      <c r="F14" s="4" t="s">
        <v>3977</v>
      </c>
      <c r="G14" s="4" t="s">
        <v>10</v>
      </c>
      <c r="H14" s="4" t="s">
        <v>3984</v>
      </c>
      <c r="I14" s="4" t="s">
        <v>3985</v>
      </c>
      <c r="J14" s="4"/>
      <c r="K14" s="4"/>
    </row>
    <row r="15" ht="16" customHeight="1" s="4" customFormat="1">
      <c r="A15" s="4" t="s">
        <v>3345</v>
      </c>
      <c r="B15" s="4" t="s">
        <v>3346</v>
      </c>
      <c r="C15" s="4" t="s">
        <v>3976</v>
      </c>
      <c r="D15" s="4"/>
      <c r="E15" s="4"/>
      <c r="F15" s="4" t="s">
        <v>3977</v>
      </c>
      <c r="G15" s="4" t="s">
        <v>10</v>
      </c>
      <c r="H15" s="4" t="s">
        <v>3986</v>
      </c>
      <c r="I15" s="4" t="s">
        <v>3987</v>
      </c>
      <c r="J15" s="4"/>
      <c r="K15" s="4"/>
    </row>
    <row r="16" ht="16" customHeight="1" s="4" customFormat="1">
      <c r="A16" s="4" t="s">
        <v>3345</v>
      </c>
      <c r="B16" s="4" t="s">
        <v>3346</v>
      </c>
      <c r="C16" s="4" t="s">
        <v>3976</v>
      </c>
      <c r="D16" s="4"/>
      <c r="E16" s="4"/>
      <c r="F16" s="4" t="s">
        <v>3955</v>
      </c>
      <c r="G16" s="4" t="s">
        <v>10</v>
      </c>
      <c r="H16" s="4" t="s">
        <v>3988</v>
      </c>
      <c r="I16" s="4" t="s">
        <v>3989</v>
      </c>
      <c r="J16" s="4"/>
      <c r="K16" s="4"/>
    </row>
    <row r="17" ht="16" customHeight="1" s="4" customFormat="1">
      <c r="A17" s="4" t="s">
        <v>3345</v>
      </c>
      <c r="B17" s="4" t="s">
        <v>3346</v>
      </c>
      <c r="C17" s="4" t="s">
        <v>3976</v>
      </c>
      <c r="D17" s="4"/>
      <c r="E17" s="4"/>
      <c r="F17" s="4" t="s">
        <v>3955</v>
      </c>
      <c r="G17" s="4" t="s">
        <v>10</v>
      </c>
      <c r="H17" s="4" t="s">
        <v>3990</v>
      </c>
      <c r="I17" s="4" t="s">
        <v>3458</v>
      </c>
      <c r="J17" s="4"/>
      <c r="K17" s="4"/>
    </row>
    <row r="18" ht="16" customHeight="1" s="4" customFormat="1">
      <c r="A18" s="4" t="s">
        <v>3345</v>
      </c>
      <c r="B18" s="4" t="s">
        <v>3346</v>
      </c>
      <c r="C18" s="4" t="s">
        <v>3976</v>
      </c>
      <c r="D18" s="4"/>
      <c r="E18" s="4"/>
      <c r="F18" s="4" t="s">
        <v>3955</v>
      </c>
      <c r="G18" s="4" t="s">
        <v>10</v>
      </c>
      <c r="H18" s="4" t="s">
        <v>3991</v>
      </c>
      <c r="I18" s="4" t="s">
        <v>3992</v>
      </c>
      <c r="J18" s="4"/>
      <c r="K18" s="4"/>
    </row>
    <row r="19" ht="16" customHeight="1" s="4" customFormat="1">
      <c r="A19" s="4" t="s">
        <v>3345</v>
      </c>
      <c r="B19" s="4" t="s">
        <v>3346</v>
      </c>
      <c r="C19" s="4" t="s">
        <v>3993</v>
      </c>
      <c r="D19" s="4"/>
      <c r="E19" s="4"/>
      <c r="F19" s="4" t="s">
        <v>3994</v>
      </c>
      <c r="G19" s="4" t="s">
        <v>10</v>
      </c>
      <c r="H19" s="4" t="s">
        <v>3995</v>
      </c>
      <c r="I19" s="4" t="s">
        <v>3996</v>
      </c>
      <c r="J19" s="4"/>
      <c r="K19" s="4"/>
    </row>
    <row r="20" ht="16" customHeight="1" s="4" customFormat="1">
      <c r="A20" s="4" t="s">
        <v>3345</v>
      </c>
      <c r="B20" s="4" t="s">
        <v>3346</v>
      </c>
      <c r="C20" s="4" t="s">
        <v>3997</v>
      </c>
      <c r="D20" s="4"/>
      <c r="E20" s="4"/>
      <c r="F20" s="4" t="s">
        <v>3998</v>
      </c>
      <c r="G20" s="4" t="s">
        <v>10</v>
      </c>
      <c r="H20" s="4" t="s">
        <v>3999</v>
      </c>
      <c r="I20" s="4" t="s">
        <v>4000</v>
      </c>
      <c r="J20" s="4"/>
      <c r="K20" s="4"/>
    </row>
    <row r="21" ht="16" customHeight="1" s="4" customFormat="1">
      <c r="A21" s="4" t="s">
        <v>3345</v>
      </c>
      <c r="B21" s="4" t="s">
        <v>3346</v>
      </c>
      <c r="C21" s="4" t="s">
        <v>3997</v>
      </c>
      <c r="D21" s="4"/>
      <c r="E21" s="4"/>
      <c r="F21" s="4" t="s">
        <v>3998</v>
      </c>
      <c r="G21" s="4" t="s">
        <v>10</v>
      </c>
      <c r="H21" s="4" t="s">
        <v>4001</v>
      </c>
      <c r="I21" s="4" t="s">
        <v>4002</v>
      </c>
      <c r="J21" s="4"/>
      <c r="K21" s="4"/>
    </row>
    <row r="22" ht="16" customHeight="1" s="4" customFormat="1">
      <c r="A22" s="4" t="s">
        <v>3345</v>
      </c>
      <c r="B22" s="4" t="s">
        <v>3346</v>
      </c>
      <c r="C22" s="4" t="s">
        <v>3997</v>
      </c>
      <c r="D22" s="4"/>
      <c r="E22" s="4"/>
      <c r="F22" s="4" t="s">
        <v>3998</v>
      </c>
      <c r="G22" s="4" t="s">
        <v>10</v>
      </c>
      <c r="H22" s="4" t="s">
        <v>4003</v>
      </c>
      <c r="I22" s="4" t="s">
        <v>4004</v>
      </c>
      <c r="J22" s="4"/>
      <c r="K22" s="4"/>
    </row>
    <row r="23" ht="16" customHeight="1" s="4" customFormat="1">
      <c r="A23" s="4" t="s">
        <v>3345</v>
      </c>
      <c r="B23" s="4" t="s">
        <v>3346</v>
      </c>
      <c r="C23" s="4" t="s">
        <v>3997</v>
      </c>
      <c r="D23" s="4"/>
      <c r="E23" s="4"/>
      <c r="F23" s="4" t="s">
        <v>4005</v>
      </c>
      <c r="G23" s="4" t="s">
        <v>10</v>
      </c>
      <c r="H23" s="4" t="s">
        <v>4006</v>
      </c>
      <c r="I23" s="4" t="s">
        <v>4007</v>
      </c>
      <c r="J23" s="4"/>
      <c r="K23" s="4"/>
    </row>
    <row r="24" ht="16" customHeight="1" s="4" customFormat="1">
      <c r="A24" s="4" t="s">
        <v>3345</v>
      </c>
      <c r="B24" s="4" t="s">
        <v>3346</v>
      </c>
      <c r="C24" s="4" t="s">
        <v>4008</v>
      </c>
      <c r="D24" s="4"/>
      <c r="E24" s="4"/>
      <c r="F24" s="4" t="s">
        <v>3955</v>
      </c>
      <c r="G24" s="4" t="s">
        <v>10</v>
      </c>
      <c r="H24" s="4" t="s">
        <v>4009</v>
      </c>
      <c r="I24" s="4" t="s">
        <v>4010</v>
      </c>
      <c r="J24" s="4"/>
      <c r="K24" s="4"/>
    </row>
    <row r="25" ht="16" customHeight="1" s="4" customFormat="1">
      <c r="A25" s="4" t="s">
        <v>3345</v>
      </c>
      <c r="B25" s="4" t="s">
        <v>3346</v>
      </c>
      <c r="C25" s="4" t="s">
        <v>4008</v>
      </c>
      <c r="D25" s="4"/>
      <c r="E25" s="4"/>
      <c r="F25" s="4" t="s">
        <v>3955</v>
      </c>
      <c r="G25" s="4" t="s">
        <v>10</v>
      </c>
      <c r="H25" s="4" t="s">
        <v>4011</v>
      </c>
      <c r="I25" s="4" t="s">
        <v>4012</v>
      </c>
      <c r="J25" s="4"/>
      <c r="K25" s="4"/>
    </row>
    <row r="26" ht="16" customHeight="1" s="4" customFormat="1">
      <c r="A26" s="4" t="s">
        <v>3345</v>
      </c>
      <c r="B26" s="4" t="s">
        <v>3346</v>
      </c>
      <c r="C26" s="4" t="s">
        <v>4013</v>
      </c>
      <c r="D26" s="4"/>
      <c r="E26" s="4"/>
      <c r="F26" s="4" t="s">
        <v>3955</v>
      </c>
      <c r="G26" s="4" t="s">
        <v>10</v>
      </c>
      <c r="H26" s="4" t="s">
        <v>4014</v>
      </c>
      <c r="I26" s="4" t="s">
        <v>4015</v>
      </c>
      <c r="J26" s="4"/>
      <c r="K26" s="4"/>
    </row>
    <row r="27" ht="16" customHeight="1" s="4" customFormat="1">
      <c r="A27" s="4" t="s">
        <v>3345</v>
      </c>
      <c r="B27" s="4" t="s">
        <v>3346</v>
      </c>
      <c r="C27" s="4" t="s">
        <v>4013</v>
      </c>
      <c r="D27" s="4"/>
      <c r="E27" s="4"/>
      <c r="F27" s="4" t="s">
        <v>3955</v>
      </c>
      <c r="G27" s="4" t="s">
        <v>10</v>
      </c>
      <c r="H27" s="4" t="s">
        <v>4016</v>
      </c>
      <c r="I27" s="4" t="s">
        <v>4017</v>
      </c>
      <c r="J27" s="4"/>
      <c r="K27" s="4"/>
    </row>
    <row r="28" ht="16" customHeight="1" s="4" customFormat="1">
      <c r="A28" s="4" t="s">
        <v>3345</v>
      </c>
      <c r="B28" s="4" t="s">
        <v>3346</v>
      </c>
      <c r="C28" s="4" t="s">
        <v>4013</v>
      </c>
      <c r="D28" s="4"/>
      <c r="E28" s="4"/>
      <c r="F28" s="4" t="s">
        <v>3955</v>
      </c>
      <c r="G28" s="4" t="s">
        <v>10</v>
      </c>
      <c r="H28" s="4" t="s">
        <v>4018</v>
      </c>
      <c r="I28" s="4" t="s">
        <v>4019</v>
      </c>
      <c r="J28" s="4"/>
      <c r="K28" s="4"/>
    </row>
    <row r="29" ht="16" customHeight="1" s="4" customFormat="1">
      <c r="A29" s="4" t="s">
        <v>3345</v>
      </c>
      <c r="B29" s="4" t="s">
        <v>3346</v>
      </c>
      <c r="C29" s="4" t="s">
        <v>4020</v>
      </c>
      <c r="D29" s="4"/>
      <c r="E29" s="4"/>
      <c r="F29" s="4" t="s">
        <v>3955</v>
      </c>
      <c r="G29" s="4" t="s">
        <v>10</v>
      </c>
      <c r="H29" s="4" t="s">
        <v>4021</v>
      </c>
      <c r="I29" s="4" t="s">
        <v>4022</v>
      </c>
      <c r="J29" s="4"/>
      <c r="K29" s="4"/>
    </row>
    <row r="30" ht="16" customHeight="1" s="4" customFormat="1">
      <c r="A30" s="4" t="s">
        <v>3345</v>
      </c>
      <c r="B30" s="4" t="s">
        <v>3390</v>
      </c>
      <c r="C30" s="4" t="s">
        <v>3465</v>
      </c>
      <c r="D30" s="4" t="s">
        <v>3403</v>
      </c>
      <c r="E30" s="4" t="s">
        <v>3440</v>
      </c>
      <c r="F30" s="4" t="s">
        <v>3466</v>
      </c>
      <c r="G30" s="4" t="s">
        <v>10</v>
      </c>
      <c r="H30" s="4" t="s">
        <v>3467</v>
      </c>
      <c r="I30" s="4" t="s">
        <v>3468</v>
      </c>
      <c r="J30" s="4"/>
      <c r="K30" s="4"/>
    </row>
    <row r="31" ht="16" customHeight="1" s="4" customFormat="1">
      <c r="A31" s="4" t="s">
        <v>3345</v>
      </c>
      <c r="B31" s="4" t="s">
        <v>3390</v>
      </c>
      <c r="C31" s="4" t="s">
        <v>3469</v>
      </c>
      <c r="D31" s="4" t="s">
        <v>3403</v>
      </c>
      <c r="E31" s="4" t="s">
        <v>3440</v>
      </c>
      <c r="F31" s="4" t="s">
        <v>3466</v>
      </c>
      <c r="G31" s="4" t="s">
        <v>10</v>
      </c>
      <c r="H31" s="4" t="s">
        <v>3470</v>
      </c>
      <c r="I31" s="4" t="s">
        <v>3471</v>
      </c>
      <c r="J31" s="4"/>
      <c r="K31" s="4"/>
    </row>
    <row r="32" ht="16" customHeight="1" s="4" customFormat="1">
      <c r="A32" s="4" t="s">
        <v>3345</v>
      </c>
      <c r="B32" s="4" t="s">
        <v>3390</v>
      </c>
      <c r="C32" s="4" t="s">
        <v>4023</v>
      </c>
      <c r="D32" s="4" t="s">
        <v>3473</v>
      </c>
      <c r="E32" s="4" t="s">
        <v>4024</v>
      </c>
      <c r="F32" s="4" t="s">
        <v>4025</v>
      </c>
      <c r="G32" s="4" t="s">
        <v>10</v>
      </c>
      <c r="H32" s="4" t="s">
        <v>4026</v>
      </c>
      <c r="I32" s="4" t="s">
        <v>4027</v>
      </c>
      <c r="J32" s="4"/>
      <c r="K32" s="4"/>
    </row>
    <row r="33" ht="16" customHeight="1" s="4" customFormat="1">
      <c r="A33" s="4" t="s">
        <v>3345</v>
      </c>
      <c r="B33" s="4" t="s">
        <v>3390</v>
      </c>
      <c r="C33" s="4" t="s">
        <v>4023</v>
      </c>
      <c r="D33" s="4" t="s">
        <v>3473</v>
      </c>
      <c r="E33" s="4" t="s">
        <v>4024</v>
      </c>
      <c r="F33" s="4" t="s">
        <v>4025</v>
      </c>
      <c r="G33" s="4" t="s">
        <v>10</v>
      </c>
      <c r="H33" s="4" t="s">
        <v>4028</v>
      </c>
      <c r="I33" s="4" t="s">
        <v>4029</v>
      </c>
      <c r="J33" s="4"/>
      <c r="K33" s="4"/>
    </row>
    <row r="34" ht="16" customHeight="1" s="4" customFormat="1">
      <c r="A34" s="4" t="s">
        <v>3345</v>
      </c>
      <c r="B34" s="4" t="s">
        <v>3390</v>
      </c>
      <c r="C34" s="4" t="s">
        <v>4030</v>
      </c>
      <c r="D34" s="4" t="s">
        <v>3473</v>
      </c>
      <c r="E34" s="4" t="s">
        <v>3536</v>
      </c>
      <c r="F34" s="4" t="s">
        <v>4031</v>
      </c>
      <c r="G34" s="4" t="s">
        <v>10</v>
      </c>
      <c r="H34" s="4" t="s">
        <v>4032</v>
      </c>
      <c r="I34" s="4" t="s">
        <v>4033</v>
      </c>
      <c r="J34" s="4"/>
      <c r="K34" s="4"/>
    </row>
    <row r="35" ht="16" customHeight="1" s="4" customFormat="1">
      <c r="A35" s="4" t="s">
        <v>3345</v>
      </c>
      <c r="B35" s="4" t="s">
        <v>3390</v>
      </c>
      <c r="C35" s="4" t="s">
        <v>4030</v>
      </c>
      <c r="D35" s="4" t="s">
        <v>3403</v>
      </c>
      <c r="E35" s="4" t="s">
        <v>3536</v>
      </c>
      <c r="F35" s="4" t="s">
        <v>4031</v>
      </c>
      <c r="G35" s="4" t="s">
        <v>10</v>
      </c>
      <c r="H35" s="4" t="s">
        <v>4034</v>
      </c>
      <c r="I35" s="4" t="s">
        <v>4035</v>
      </c>
      <c r="J35" s="4"/>
      <c r="K35" s="4"/>
    </row>
    <row r="36" ht="16" customHeight="1" s="4" customFormat="1">
      <c r="A36" s="4" t="s">
        <v>3345</v>
      </c>
      <c r="B36" s="4" t="s">
        <v>3390</v>
      </c>
      <c r="C36" s="4" t="s">
        <v>4030</v>
      </c>
      <c r="D36" s="4" t="s">
        <v>3403</v>
      </c>
      <c r="E36" s="4" t="s">
        <v>3536</v>
      </c>
      <c r="F36" s="4" t="s">
        <v>4031</v>
      </c>
      <c r="G36" s="4" t="s">
        <v>10</v>
      </c>
      <c r="H36" s="4" t="s">
        <v>4036</v>
      </c>
      <c r="I36" s="4" t="s">
        <v>4037</v>
      </c>
      <c r="J36" s="4"/>
      <c r="K36" s="4"/>
    </row>
    <row r="37" ht="16" customHeight="1" s="4" customFormat="1">
      <c r="A37" s="4" t="s">
        <v>3345</v>
      </c>
      <c r="B37" s="4" t="s">
        <v>3390</v>
      </c>
      <c r="C37" s="4" t="s">
        <v>4030</v>
      </c>
      <c r="D37" s="4" t="s">
        <v>3403</v>
      </c>
      <c r="E37" s="4" t="s">
        <v>3536</v>
      </c>
      <c r="F37" s="4" t="s">
        <v>4031</v>
      </c>
      <c r="G37" s="4" t="s">
        <v>10</v>
      </c>
      <c r="H37" s="4" t="s">
        <v>4038</v>
      </c>
      <c r="I37" s="4" t="s">
        <v>4039</v>
      </c>
      <c r="J37" s="4"/>
      <c r="K37" s="4"/>
    </row>
    <row r="38" ht="16" customHeight="1" s="4" customFormat="1">
      <c r="A38" s="4" t="s">
        <v>3345</v>
      </c>
      <c r="B38" s="4" t="s">
        <v>3390</v>
      </c>
      <c r="C38" s="4" t="s">
        <v>4030</v>
      </c>
      <c r="D38" s="4" t="s">
        <v>3403</v>
      </c>
      <c r="E38" s="4" t="s">
        <v>3536</v>
      </c>
      <c r="F38" s="4" t="s">
        <v>4031</v>
      </c>
      <c r="G38" s="4" t="s">
        <v>10</v>
      </c>
      <c r="H38" s="4" t="s">
        <v>4040</v>
      </c>
      <c r="I38" s="4" t="s">
        <v>3682</v>
      </c>
      <c r="J38" s="4"/>
      <c r="K38" s="4"/>
    </row>
    <row r="39" ht="16" customHeight="1" s="4" customFormat="1">
      <c r="A39" s="4" t="s">
        <v>3345</v>
      </c>
      <c r="B39" s="4" t="s">
        <v>3390</v>
      </c>
      <c r="C39" s="4" t="s">
        <v>4041</v>
      </c>
      <c r="D39" s="4" t="s">
        <v>3403</v>
      </c>
      <c r="E39" s="4" t="s">
        <v>3536</v>
      </c>
      <c r="F39" s="4" t="s">
        <v>4031</v>
      </c>
      <c r="G39" s="4" t="s">
        <v>10</v>
      </c>
      <c r="H39" s="4" t="s">
        <v>4042</v>
      </c>
      <c r="I39" s="4" t="s">
        <v>4043</v>
      </c>
      <c r="J39" s="4"/>
      <c r="K39" s="4"/>
    </row>
    <row r="40" ht="16" customHeight="1" s="4" customFormat="1">
      <c r="A40" s="4" t="s">
        <v>3345</v>
      </c>
      <c r="B40" s="4" t="s">
        <v>3390</v>
      </c>
      <c r="C40" s="4" t="s">
        <v>4044</v>
      </c>
      <c r="D40" s="4" t="s">
        <v>3599</v>
      </c>
      <c r="E40" s="4" t="s">
        <v>3536</v>
      </c>
      <c r="F40" s="4" t="s">
        <v>4031</v>
      </c>
      <c r="G40" s="4" t="s">
        <v>10</v>
      </c>
      <c r="H40" s="4" t="s">
        <v>4045</v>
      </c>
      <c r="I40" s="4" t="s">
        <v>4046</v>
      </c>
      <c r="J40" s="4"/>
      <c r="K40" s="4"/>
    </row>
    <row r="41" ht="16" customHeight="1" s="4" customFormat="1">
      <c r="A41" s="4" t="s">
        <v>3345</v>
      </c>
      <c r="B41" s="4" t="s">
        <v>3390</v>
      </c>
      <c r="C41" s="4" t="s">
        <v>4044</v>
      </c>
      <c r="D41" s="4" t="s">
        <v>3737</v>
      </c>
      <c r="E41" s="4" t="s">
        <v>3536</v>
      </c>
      <c r="F41" s="4" t="s">
        <v>4031</v>
      </c>
      <c r="G41" s="4" t="s">
        <v>10</v>
      </c>
      <c r="H41" s="4" t="s">
        <v>4047</v>
      </c>
      <c r="I41" s="4" t="s">
        <v>4048</v>
      </c>
      <c r="J41" s="4"/>
      <c r="K41" s="4"/>
    </row>
    <row r="42" ht="16" customHeight="1" s="4" customFormat="1">
      <c r="A42" s="4" t="s">
        <v>3345</v>
      </c>
      <c r="B42" s="4" t="s">
        <v>3390</v>
      </c>
      <c r="C42" s="4" t="s">
        <v>4044</v>
      </c>
      <c r="D42" s="4" t="s">
        <v>3737</v>
      </c>
      <c r="E42" s="4" t="s">
        <v>3536</v>
      </c>
      <c r="F42" s="4" t="s">
        <v>4031</v>
      </c>
      <c r="G42" s="4" t="s">
        <v>10</v>
      </c>
      <c r="H42" s="4" t="s">
        <v>4049</v>
      </c>
      <c r="I42" s="4" t="s">
        <v>4050</v>
      </c>
      <c r="J42" s="4"/>
      <c r="K42" s="4"/>
    </row>
    <row r="43" ht="16" customHeight="1" s="4" customFormat="1">
      <c r="A43" s="4" t="s">
        <v>3345</v>
      </c>
      <c r="B43" s="4" t="s">
        <v>3390</v>
      </c>
      <c r="C43" s="4" t="s">
        <v>4051</v>
      </c>
      <c r="D43" s="4" t="s">
        <v>4052</v>
      </c>
      <c r="E43" s="4" t="s">
        <v>3536</v>
      </c>
      <c r="F43" s="4" t="s">
        <v>4031</v>
      </c>
      <c r="G43" s="4" t="s">
        <v>10</v>
      </c>
      <c r="H43" s="4" t="s">
        <v>4053</v>
      </c>
      <c r="I43" s="4" t="s">
        <v>4054</v>
      </c>
      <c r="J43" s="4"/>
      <c r="K43" s="4"/>
    </row>
    <row r="44" ht="16" customHeight="1" s="4" customFormat="1">
      <c r="A44" s="4" t="s">
        <v>3345</v>
      </c>
      <c r="B44" s="4" t="s">
        <v>3390</v>
      </c>
      <c r="C44" s="4" t="s">
        <v>4055</v>
      </c>
      <c r="D44" s="4" t="s">
        <v>3737</v>
      </c>
      <c r="E44" s="4" t="s">
        <v>3536</v>
      </c>
      <c r="F44" s="4" t="s">
        <v>4031</v>
      </c>
      <c r="G44" s="4" t="s">
        <v>10</v>
      </c>
      <c r="H44" s="4" t="s">
        <v>4056</v>
      </c>
      <c r="I44" s="4" t="s">
        <v>4057</v>
      </c>
      <c r="J44" s="4"/>
      <c r="K44" s="4"/>
    </row>
    <row r="45" ht="16" customHeight="1" s="4" customFormat="1">
      <c r="A45" s="4" t="s">
        <v>3345</v>
      </c>
      <c r="B45" s="4" t="s">
        <v>3390</v>
      </c>
      <c r="C45" s="4" t="s">
        <v>4055</v>
      </c>
      <c r="D45" s="4" t="s">
        <v>3737</v>
      </c>
      <c r="E45" s="4" t="s">
        <v>3536</v>
      </c>
      <c r="F45" s="4" t="s">
        <v>4031</v>
      </c>
      <c r="G45" s="4" t="s">
        <v>10</v>
      </c>
      <c r="H45" s="4" t="s">
        <v>4058</v>
      </c>
      <c r="I45" s="4" t="s">
        <v>4059</v>
      </c>
      <c r="J45" s="4"/>
      <c r="K45" s="4"/>
    </row>
    <row r="46" ht="16" customHeight="1" s="4" customFormat="1">
      <c r="A46" s="4" t="s">
        <v>3345</v>
      </c>
      <c r="B46" s="4" t="s">
        <v>3390</v>
      </c>
      <c r="C46" s="4" t="s">
        <v>4055</v>
      </c>
      <c r="D46" s="4" t="s">
        <v>3403</v>
      </c>
      <c r="E46" s="4" t="s">
        <v>3536</v>
      </c>
      <c r="F46" s="4" t="s">
        <v>4031</v>
      </c>
      <c r="G46" s="4" t="s">
        <v>10</v>
      </c>
      <c r="H46" s="4" t="s">
        <v>4060</v>
      </c>
      <c r="I46" s="4" t="s">
        <v>4061</v>
      </c>
      <c r="J46" s="4"/>
      <c r="K46" s="4"/>
    </row>
    <row r="47" ht="16" customHeight="1" s="4" customFormat="1">
      <c r="A47" s="4" t="s">
        <v>3345</v>
      </c>
      <c r="B47" s="4" t="s">
        <v>3390</v>
      </c>
      <c r="C47" s="4" t="s">
        <v>4055</v>
      </c>
      <c r="D47" s="4" t="s">
        <v>3403</v>
      </c>
      <c r="E47" s="4" t="s">
        <v>3536</v>
      </c>
      <c r="F47" s="4" t="s">
        <v>4031</v>
      </c>
      <c r="G47" s="4" t="s">
        <v>10</v>
      </c>
      <c r="H47" s="4" t="s">
        <v>4062</v>
      </c>
      <c r="I47" s="4" t="s">
        <v>4063</v>
      </c>
      <c r="J47" s="4"/>
      <c r="K47" s="4"/>
    </row>
    <row r="48" ht="16" customHeight="1" s="4" customFormat="1">
      <c r="A48" s="4" t="s">
        <v>3345</v>
      </c>
      <c r="B48" s="4" t="s">
        <v>3390</v>
      </c>
      <c r="C48" s="4" t="s">
        <v>4055</v>
      </c>
      <c r="D48" s="4" t="s">
        <v>3403</v>
      </c>
      <c r="E48" s="4" t="s">
        <v>3536</v>
      </c>
      <c r="F48" s="4" t="s">
        <v>4031</v>
      </c>
      <c r="G48" s="4" t="s">
        <v>10</v>
      </c>
      <c r="H48" s="4" t="s">
        <v>4064</v>
      </c>
      <c r="I48" s="4" t="s">
        <v>4065</v>
      </c>
      <c r="J48" s="4"/>
      <c r="K48" s="4"/>
    </row>
    <row r="49" ht="16" customHeight="1" s="4" customFormat="1">
      <c r="A49" s="4" t="s">
        <v>3345</v>
      </c>
      <c r="B49" s="4" t="s">
        <v>3390</v>
      </c>
      <c r="C49" s="4" t="s">
        <v>4066</v>
      </c>
      <c r="D49" s="4" t="s">
        <v>3599</v>
      </c>
      <c r="E49" s="4" t="s">
        <v>3536</v>
      </c>
      <c r="F49" s="4" t="s">
        <v>4067</v>
      </c>
      <c r="G49" s="4" t="s">
        <v>10</v>
      </c>
      <c r="H49" s="4" t="s">
        <v>4068</v>
      </c>
      <c r="I49" s="4" t="s">
        <v>4069</v>
      </c>
      <c r="J49" s="4"/>
      <c r="K49" s="4"/>
    </row>
    <row r="50" ht="16" customHeight="1" s="4" customFormat="1">
      <c r="A50" s="4" t="s">
        <v>3345</v>
      </c>
      <c r="B50" s="4" t="s">
        <v>3390</v>
      </c>
      <c r="C50" s="4" t="s">
        <v>4066</v>
      </c>
      <c r="D50" s="4" t="s">
        <v>3403</v>
      </c>
      <c r="E50" s="4" t="s">
        <v>3536</v>
      </c>
      <c r="F50" s="4" t="s">
        <v>4067</v>
      </c>
      <c r="G50" s="4" t="s">
        <v>10</v>
      </c>
      <c r="H50" s="4" t="s">
        <v>4070</v>
      </c>
      <c r="I50" s="4" t="s">
        <v>3751</v>
      </c>
      <c r="J50" s="4"/>
      <c r="K50" s="4"/>
    </row>
    <row r="51" ht="16" customHeight="1" s="4" customFormat="1">
      <c r="A51" s="4" t="s">
        <v>3345</v>
      </c>
      <c r="B51" s="4" t="s">
        <v>3390</v>
      </c>
      <c r="C51" s="4" t="s">
        <v>4066</v>
      </c>
      <c r="D51" s="4" t="s">
        <v>3403</v>
      </c>
      <c r="E51" s="4" t="s">
        <v>3536</v>
      </c>
      <c r="F51" s="4" t="s">
        <v>4067</v>
      </c>
      <c r="G51" s="4" t="s">
        <v>10</v>
      </c>
      <c r="H51" s="4" t="s">
        <v>4071</v>
      </c>
      <c r="I51" s="4" t="s">
        <v>4072</v>
      </c>
      <c r="J51" s="4"/>
      <c r="K51" s="4"/>
    </row>
    <row r="52" ht="16" customHeight="1" s="4" customFormat="1">
      <c r="A52" s="4" t="s">
        <v>3345</v>
      </c>
      <c r="B52" s="4" t="s">
        <v>3390</v>
      </c>
      <c r="C52" s="4" t="s">
        <v>4066</v>
      </c>
      <c r="D52" s="4" t="s">
        <v>3536</v>
      </c>
      <c r="E52" s="4" t="s">
        <v>3403</v>
      </c>
      <c r="F52" s="4" t="s">
        <v>4067</v>
      </c>
      <c r="G52" s="4" t="s">
        <v>10</v>
      </c>
      <c r="H52" s="4" t="s">
        <v>4073</v>
      </c>
      <c r="I52" s="4" t="s">
        <v>4074</v>
      </c>
      <c r="J52" s="4"/>
      <c r="K52" s="4"/>
    </row>
    <row r="53" ht="16" customHeight="1" s="4" customFormat="1">
      <c r="A53" s="4" t="s">
        <v>3345</v>
      </c>
      <c r="B53" s="4" t="s">
        <v>3390</v>
      </c>
      <c r="C53" s="4" t="s">
        <v>4066</v>
      </c>
      <c r="D53" s="4" t="s">
        <v>3536</v>
      </c>
      <c r="E53" s="4" t="s">
        <v>3403</v>
      </c>
      <c r="F53" s="4" t="s">
        <v>4067</v>
      </c>
      <c r="G53" s="4" t="s">
        <v>10</v>
      </c>
      <c r="H53" s="4" t="s">
        <v>4075</v>
      </c>
      <c r="I53" s="4" t="s">
        <v>4076</v>
      </c>
      <c r="J53" s="4"/>
      <c r="K53" s="4"/>
    </row>
    <row r="54" ht="16" customHeight="1" s="4" customFormat="1">
      <c r="A54" s="4" t="s">
        <v>3345</v>
      </c>
      <c r="B54" s="4" t="s">
        <v>3390</v>
      </c>
      <c r="C54" s="4" t="s">
        <v>4077</v>
      </c>
      <c r="D54" s="4" t="s">
        <v>3403</v>
      </c>
      <c r="E54" s="4" t="s">
        <v>3536</v>
      </c>
      <c r="F54" s="4" t="s">
        <v>4067</v>
      </c>
      <c r="G54" s="4" t="s">
        <v>10</v>
      </c>
      <c r="H54" s="4" t="s">
        <v>4078</v>
      </c>
      <c r="I54" s="4" t="s">
        <v>4079</v>
      </c>
      <c r="J54" s="4"/>
      <c r="K54" s="4"/>
    </row>
    <row r="55" ht="16" customHeight="1" s="4" customFormat="1">
      <c r="A55" s="4" t="s">
        <v>3345</v>
      </c>
      <c r="B55" s="4" t="s">
        <v>3390</v>
      </c>
      <c r="C55" s="4" t="s">
        <v>4077</v>
      </c>
      <c r="D55" s="4" t="s">
        <v>3403</v>
      </c>
      <c r="E55" s="4" t="s">
        <v>3536</v>
      </c>
      <c r="F55" s="4" t="s">
        <v>4067</v>
      </c>
      <c r="G55" s="4" t="s">
        <v>10</v>
      </c>
      <c r="H55" s="4" t="s">
        <v>4080</v>
      </c>
      <c r="I55" s="4" t="s">
        <v>4081</v>
      </c>
      <c r="J55" s="4"/>
      <c r="K55" s="4"/>
    </row>
    <row r="56" ht="16" customHeight="1" s="4" customFormat="1">
      <c r="A56" s="4" t="s">
        <v>3345</v>
      </c>
      <c r="B56" s="4" t="s">
        <v>3390</v>
      </c>
      <c r="C56" s="4" t="s">
        <v>4077</v>
      </c>
      <c r="D56" s="4" t="s">
        <v>3403</v>
      </c>
      <c r="E56" s="4" t="s">
        <v>3536</v>
      </c>
      <c r="F56" s="4" t="s">
        <v>4067</v>
      </c>
      <c r="G56" s="4" t="s">
        <v>10</v>
      </c>
      <c r="H56" s="4" t="s">
        <v>4082</v>
      </c>
      <c r="I56" s="4" t="s">
        <v>4083</v>
      </c>
      <c r="J56" s="4"/>
      <c r="K56" s="4"/>
    </row>
    <row r="57" ht="16" customHeight="1" s="4" customFormat="1">
      <c r="A57" s="4" t="s">
        <v>3345</v>
      </c>
      <c r="B57" s="4" t="s">
        <v>3390</v>
      </c>
      <c r="C57" s="4" t="s">
        <v>4077</v>
      </c>
      <c r="D57" s="4" t="s">
        <v>3403</v>
      </c>
      <c r="E57" s="4" t="s">
        <v>3536</v>
      </c>
      <c r="F57" s="4" t="s">
        <v>4067</v>
      </c>
      <c r="G57" s="4" t="s">
        <v>10</v>
      </c>
      <c r="H57" s="4" t="s">
        <v>4084</v>
      </c>
      <c r="I57" s="4" t="s">
        <v>4085</v>
      </c>
      <c r="J57" s="4"/>
      <c r="K57" s="4"/>
    </row>
    <row r="58" ht="16" customHeight="1" s="4" customFormat="1">
      <c r="A58" s="4" t="s">
        <v>3345</v>
      </c>
      <c r="B58" s="4" t="s">
        <v>3390</v>
      </c>
      <c r="C58" s="4" t="s">
        <v>4077</v>
      </c>
      <c r="D58" s="4" t="s">
        <v>3403</v>
      </c>
      <c r="E58" s="4" t="s">
        <v>3536</v>
      </c>
      <c r="F58" s="4" t="s">
        <v>4067</v>
      </c>
      <c r="G58" s="4" t="s">
        <v>10</v>
      </c>
      <c r="H58" s="4" t="s">
        <v>4086</v>
      </c>
      <c r="I58" s="4" t="s">
        <v>4029</v>
      </c>
      <c r="J58" s="4"/>
      <c r="K58" s="4"/>
    </row>
    <row r="59" ht="16" customHeight="1" s="4" customFormat="1">
      <c r="A59" s="4" t="s">
        <v>3345</v>
      </c>
      <c r="B59" s="4" t="s">
        <v>3390</v>
      </c>
      <c r="C59" s="4" t="s">
        <v>4077</v>
      </c>
      <c r="D59" s="4" t="s">
        <v>3403</v>
      </c>
      <c r="E59" s="4" t="s">
        <v>3536</v>
      </c>
      <c r="F59" s="4" t="s">
        <v>4067</v>
      </c>
      <c r="G59" s="4" t="s">
        <v>10</v>
      </c>
      <c r="H59" s="4" t="s">
        <v>4087</v>
      </c>
      <c r="I59" s="4" t="s">
        <v>4088</v>
      </c>
      <c r="J59" s="4"/>
      <c r="K59" s="4"/>
    </row>
    <row r="60" ht="16" customHeight="1" s="4" customFormat="1">
      <c r="A60" s="4" t="s">
        <v>3345</v>
      </c>
      <c r="B60" s="4" t="s">
        <v>3390</v>
      </c>
      <c r="C60" s="4" t="s">
        <v>4077</v>
      </c>
      <c r="D60" s="4" t="s">
        <v>3403</v>
      </c>
      <c r="E60" s="4" t="s">
        <v>3536</v>
      </c>
      <c r="F60" s="4" t="s">
        <v>4067</v>
      </c>
      <c r="G60" s="4" t="s">
        <v>10</v>
      </c>
      <c r="H60" s="4" t="s">
        <v>4089</v>
      </c>
      <c r="I60" s="4" t="s">
        <v>4090</v>
      </c>
      <c r="J60" s="4"/>
      <c r="K60" s="4"/>
    </row>
    <row r="61" ht="16" customHeight="1" s="4" customFormat="1">
      <c r="A61" s="4" t="s">
        <v>3345</v>
      </c>
      <c r="B61" s="4" t="s">
        <v>3390</v>
      </c>
      <c r="C61" s="4" t="s">
        <v>4091</v>
      </c>
      <c r="D61" s="4" t="s">
        <v>3737</v>
      </c>
      <c r="E61" s="4" t="s">
        <v>3536</v>
      </c>
      <c r="F61" s="4" t="s">
        <v>4031</v>
      </c>
      <c r="G61" s="4" t="s">
        <v>10</v>
      </c>
      <c r="H61" s="4" t="s">
        <v>4092</v>
      </c>
      <c r="I61" s="4" t="s">
        <v>4093</v>
      </c>
      <c r="J61" s="4"/>
      <c r="K61" s="4"/>
    </row>
    <row r="62" ht="16" customHeight="1" s="4" customFormat="1">
      <c r="A62" s="4" t="s">
        <v>3345</v>
      </c>
      <c r="B62" s="4" t="s">
        <v>3390</v>
      </c>
      <c r="C62" s="4" t="s">
        <v>4091</v>
      </c>
      <c r="D62" s="4" t="s">
        <v>3737</v>
      </c>
      <c r="E62" s="4" t="s">
        <v>3536</v>
      </c>
      <c r="F62" s="4" t="s">
        <v>4031</v>
      </c>
      <c r="G62" s="4" t="s">
        <v>10</v>
      </c>
      <c r="H62" s="4" t="s">
        <v>4094</v>
      </c>
      <c r="I62" s="4" t="s">
        <v>3522</v>
      </c>
      <c r="J62" s="4"/>
      <c r="K62" s="4"/>
    </row>
    <row r="63" ht="16" customHeight="1" s="4" customFormat="1">
      <c r="A63" s="4" t="s">
        <v>3345</v>
      </c>
      <c r="B63" s="4" t="s">
        <v>3390</v>
      </c>
      <c r="C63" s="4" t="s">
        <v>4091</v>
      </c>
      <c r="D63" s="4" t="s">
        <v>3737</v>
      </c>
      <c r="E63" s="4" t="s">
        <v>3536</v>
      </c>
      <c r="F63" s="4" t="s">
        <v>4031</v>
      </c>
      <c r="G63" s="4" t="s">
        <v>10</v>
      </c>
      <c r="H63" s="4" t="s">
        <v>4095</v>
      </c>
      <c r="I63" s="4" t="s">
        <v>4096</v>
      </c>
      <c r="J63" s="4"/>
      <c r="K63" s="4"/>
    </row>
    <row r="64" ht="16" customHeight="1" s="4" customFormat="1">
      <c r="A64" s="4" t="s">
        <v>4097</v>
      </c>
      <c r="B64" s="4" t="s">
        <v>3390</v>
      </c>
      <c r="C64" s="4" t="s">
        <v>4091</v>
      </c>
      <c r="D64" s="4" t="s">
        <v>3737</v>
      </c>
      <c r="E64" s="4" t="s">
        <v>3536</v>
      </c>
      <c r="F64" s="4" t="s">
        <v>4031</v>
      </c>
      <c r="G64" s="4" t="s">
        <v>10</v>
      </c>
      <c r="H64" s="4" t="s">
        <v>4098</v>
      </c>
      <c r="I64" s="4" t="s">
        <v>4099</v>
      </c>
      <c r="J64" s="4"/>
      <c r="K64" s="4"/>
    </row>
    <row r="65" ht="16" customHeight="1" s="4" customFormat="1">
      <c r="A65" s="4" t="s">
        <v>3345</v>
      </c>
      <c r="B65" s="4" t="s">
        <v>3390</v>
      </c>
      <c r="C65" s="4" t="s">
        <v>4100</v>
      </c>
      <c r="D65" s="4" t="s">
        <v>3536</v>
      </c>
      <c r="E65" s="4" t="s">
        <v>3403</v>
      </c>
      <c r="F65" s="4" t="s">
        <v>4067</v>
      </c>
      <c r="G65" s="4" t="s">
        <v>10</v>
      </c>
      <c r="H65" s="4" t="s">
        <v>4101</v>
      </c>
      <c r="I65" s="4" t="s">
        <v>4102</v>
      </c>
      <c r="J65" s="4"/>
      <c r="K65" s="4"/>
    </row>
    <row r="66" ht="16" customHeight="1" s="4" customFormat="1">
      <c r="A66" s="4" t="s">
        <v>3345</v>
      </c>
      <c r="B66" s="4" t="s">
        <v>3390</v>
      </c>
      <c r="C66" s="4" t="s">
        <v>4103</v>
      </c>
      <c r="D66" s="4" t="s">
        <v>3473</v>
      </c>
      <c r="E66" s="4" t="s">
        <v>4104</v>
      </c>
      <c r="F66" s="4" t="s">
        <v>4105</v>
      </c>
      <c r="G66" s="4" t="s">
        <v>10</v>
      </c>
      <c r="H66" s="4" t="s">
        <v>4106</v>
      </c>
      <c r="I66" s="4" t="s">
        <v>3610</v>
      </c>
      <c r="J66" s="4"/>
      <c r="K66" s="4"/>
    </row>
    <row r="67" ht="16" customHeight="1" s="4" customFormat="1">
      <c r="A67" s="4" t="s">
        <v>3345</v>
      </c>
      <c r="B67" s="4" t="s">
        <v>3390</v>
      </c>
      <c r="C67" s="4" t="s">
        <v>4103</v>
      </c>
      <c r="D67" s="4" t="s">
        <v>4107</v>
      </c>
      <c r="E67" s="4" t="s">
        <v>4104</v>
      </c>
      <c r="F67" s="4" t="s">
        <v>4105</v>
      </c>
      <c r="G67" s="4" t="s">
        <v>10</v>
      </c>
      <c r="H67" s="4" t="s">
        <v>4108</v>
      </c>
      <c r="I67" s="4" t="s">
        <v>4109</v>
      </c>
      <c r="J67" s="4"/>
      <c r="K67" s="4"/>
    </row>
    <row r="68" ht="16" customHeight="1" s="4" customFormat="1">
      <c r="A68" s="4" t="s">
        <v>3345</v>
      </c>
      <c r="B68" s="4" t="s">
        <v>3390</v>
      </c>
      <c r="C68" s="4" t="s">
        <v>4103</v>
      </c>
      <c r="D68" s="4" t="s">
        <v>4110</v>
      </c>
      <c r="E68" s="4" t="s">
        <v>4104</v>
      </c>
      <c r="F68" s="4" t="s">
        <v>4105</v>
      </c>
      <c r="G68" s="4" t="s">
        <v>10</v>
      </c>
      <c r="H68" s="4" t="s">
        <v>4111</v>
      </c>
      <c r="I68" s="4" t="s">
        <v>4112</v>
      </c>
      <c r="J68" s="4"/>
      <c r="K68" s="4"/>
    </row>
    <row r="69" ht="16" customHeight="1" s="4" customFormat="1">
      <c r="A69" s="4" t="s">
        <v>3345</v>
      </c>
      <c r="B69" s="4" t="s">
        <v>3390</v>
      </c>
      <c r="C69" s="4" t="s">
        <v>4103</v>
      </c>
      <c r="D69" s="4" t="s">
        <v>4113</v>
      </c>
      <c r="E69" s="4" t="s">
        <v>4104</v>
      </c>
      <c r="F69" s="4" t="s">
        <v>4105</v>
      </c>
      <c r="G69" s="4" t="s">
        <v>10</v>
      </c>
      <c r="H69" s="4" t="s">
        <v>4114</v>
      </c>
      <c r="I69" s="4" t="s">
        <v>4115</v>
      </c>
      <c r="J69" s="4"/>
      <c r="K69" s="4"/>
    </row>
    <row r="70" ht="16" customHeight="1" s="4" customFormat="1">
      <c r="A70" s="4" t="s">
        <v>3345</v>
      </c>
      <c r="B70" s="4" t="s">
        <v>3390</v>
      </c>
      <c r="C70" s="4" t="s">
        <v>4103</v>
      </c>
      <c r="D70" s="4" t="s">
        <v>4116</v>
      </c>
      <c r="E70" s="4" t="s">
        <v>4104</v>
      </c>
      <c r="F70" s="4" t="s">
        <v>4105</v>
      </c>
      <c r="G70" s="4" t="s">
        <v>10</v>
      </c>
      <c r="H70" s="4" t="s">
        <v>4117</v>
      </c>
      <c r="I70" s="4" t="s">
        <v>3634</v>
      </c>
      <c r="J70" s="4"/>
      <c r="K70" s="4"/>
    </row>
    <row r="71" ht="16" customHeight="1" s="4" customFormat="1">
      <c r="A71" s="4" t="s">
        <v>3345</v>
      </c>
      <c r="B71" s="4" t="s">
        <v>3390</v>
      </c>
      <c r="C71" s="4" t="s">
        <v>4103</v>
      </c>
      <c r="D71" s="4" t="s">
        <v>4118</v>
      </c>
      <c r="E71" s="4" t="s">
        <v>4104</v>
      </c>
      <c r="F71" s="4" t="s">
        <v>4105</v>
      </c>
      <c r="G71" s="4" t="s">
        <v>10</v>
      </c>
      <c r="H71" s="4" t="s">
        <v>4119</v>
      </c>
      <c r="I71" s="4" t="s">
        <v>4120</v>
      </c>
      <c r="J71" s="4"/>
      <c r="K71" s="4"/>
    </row>
    <row r="72" ht="16" customHeight="1" s="4" customFormat="1">
      <c r="A72" s="4" t="s">
        <v>3345</v>
      </c>
      <c r="B72" s="4" t="s">
        <v>3390</v>
      </c>
      <c r="C72" s="4" t="s">
        <v>4103</v>
      </c>
      <c r="D72" s="4" t="s">
        <v>4121</v>
      </c>
      <c r="E72" s="4" t="s">
        <v>4104</v>
      </c>
      <c r="F72" s="4" t="s">
        <v>4105</v>
      </c>
      <c r="G72" s="4" t="s">
        <v>10</v>
      </c>
      <c r="H72" s="4" t="s">
        <v>4122</v>
      </c>
      <c r="I72" s="4" t="s">
        <v>3631</v>
      </c>
      <c r="J72" s="4"/>
      <c r="K72" s="4"/>
    </row>
    <row r="73" ht="16" customHeight="1" s="4" customFormat="1">
      <c r="A73" s="4" t="s">
        <v>3345</v>
      </c>
      <c r="B73" s="4" t="s">
        <v>3390</v>
      </c>
      <c r="C73" s="4" t="s">
        <v>4103</v>
      </c>
      <c r="D73" s="4" t="s">
        <v>4123</v>
      </c>
      <c r="E73" s="4" t="s">
        <v>4104</v>
      </c>
      <c r="F73" s="4" t="s">
        <v>4105</v>
      </c>
      <c r="G73" s="4" t="s">
        <v>10</v>
      </c>
      <c r="H73" s="4" t="s">
        <v>3470</v>
      </c>
      <c r="I73" s="4" t="s">
        <v>3471</v>
      </c>
      <c r="J73" s="4"/>
      <c r="K73" s="4"/>
    </row>
    <row r="74" ht="16" customHeight="1" s="4" customFormat="1">
      <c r="A74" s="4" t="s">
        <v>3345</v>
      </c>
      <c r="B74" s="4" t="s">
        <v>3390</v>
      </c>
      <c r="C74" s="4" t="s">
        <v>4103</v>
      </c>
      <c r="D74" s="4" t="s">
        <v>4124</v>
      </c>
      <c r="E74" s="4" t="s">
        <v>4104</v>
      </c>
      <c r="F74" s="4" t="s">
        <v>4105</v>
      </c>
      <c r="G74" s="4" t="s">
        <v>10</v>
      </c>
      <c r="H74" s="4" t="s">
        <v>4125</v>
      </c>
      <c r="I74" s="4" t="s">
        <v>3585</v>
      </c>
      <c r="J74" s="4"/>
      <c r="K74" s="4"/>
    </row>
    <row r="75" ht="16" customHeight="1" s="4" customFormat="1">
      <c r="A75" s="4" t="s">
        <v>3345</v>
      </c>
      <c r="B75" s="4" t="s">
        <v>3390</v>
      </c>
      <c r="C75" s="4" t="s">
        <v>4103</v>
      </c>
      <c r="D75" s="4" t="s">
        <v>4126</v>
      </c>
      <c r="E75" s="4" t="s">
        <v>4104</v>
      </c>
      <c r="F75" s="4" t="s">
        <v>4105</v>
      </c>
      <c r="G75" s="4" t="s">
        <v>10</v>
      </c>
      <c r="H75" s="4" t="s">
        <v>4127</v>
      </c>
      <c r="I75" s="4" t="s">
        <v>4128</v>
      </c>
      <c r="J75" s="4"/>
      <c r="K75" s="4"/>
    </row>
    <row r="76" ht="16" customHeight="1" s="4" customFormat="1">
      <c r="A76" s="4" t="s">
        <v>3345</v>
      </c>
      <c r="B76" s="4" t="s">
        <v>3390</v>
      </c>
      <c r="C76" s="4" t="s">
        <v>4103</v>
      </c>
      <c r="D76" s="4" t="s">
        <v>4129</v>
      </c>
      <c r="E76" s="4" t="s">
        <v>4104</v>
      </c>
      <c r="F76" s="4" t="s">
        <v>4105</v>
      </c>
      <c r="G76" s="4" t="s">
        <v>10</v>
      </c>
      <c r="H76" s="4" t="s">
        <v>4130</v>
      </c>
      <c r="I76" s="4" t="s">
        <v>4131</v>
      </c>
      <c r="J76" s="4"/>
      <c r="K76" s="4"/>
    </row>
    <row r="77" ht="16" customHeight="1" s="4" customFormat="1">
      <c r="A77" s="4" t="s">
        <v>3345</v>
      </c>
      <c r="B77" s="4" t="s">
        <v>3390</v>
      </c>
      <c r="C77" s="4" t="s">
        <v>4103</v>
      </c>
      <c r="D77" s="4" t="s">
        <v>4132</v>
      </c>
      <c r="E77" s="4" t="s">
        <v>4104</v>
      </c>
      <c r="F77" s="4" t="s">
        <v>4105</v>
      </c>
      <c r="G77" s="4" t="s">
        <v>10</v>
      </c>
      <c r="H77" s="4" t="s">
        <v>4133</v>
      </c>
      <c r="I77" s="4" t="s">
        <v>4134</v>
      </c>
      <c r="J77" s="4"/>
      <c r="K77" s="4"/>
    </row>
    <row r="78" ht="16" customHeight="1" s="4" customFormat="1">
      <c r="A78" s="4" t="s">
        <v>3345</v>
      </c>
      <c r="B78" s="4" t="s">
        <v>3390</v>
      </c>
      <c r="C78" s="4" t="s">
        <v>4135</v>
      </c>
      <c r="D78" s="4" t="s">
        <v>3403</v>
      </c>
      <c r="E78" s="4" t="s">
        <v>4024</v>
      </c>
      <c r="F78" s="4" t="s">
        <v>4136</v>
      </c>
      <c r="G78" s="4" t="s">
        <v>10</v>
      </c>
      <c r="H78" s="4" t="s">
        <v>4137</v>
      </c>
      <c r="I78" s="4" t="s">
        <v>4138</v>
      </c>
      <c r="J78" s="4"/>
      <c r="K78" s="4"/>
    </row>
    <row r="79" ht="16" customHeight="1" s="4" customFormat="1">
      <c r="A79" s="4" t="s">
        <v>3345</v>
      </c>
      <c r="B79" s="4" t="s">
        <v>3390</v>
      </c>
      <c r="C79" s="4" t="s">
        <v>4135</v>
      </c>
      <c r="D79" s="4" t="s">
        <v>3403</v>
      </c>
      <c r="E79" s="4" t="s">
        <v>4024</v>
      </c>
      <c r="F79" s="4" t="s">
        <v>4136</v>
      </c>
      <c r="G79" s="4" t="s">
        <v>10</v>
      </c>
      <c r="H79" s="4" t="s">
        <v>4139</v>
      </c>
      <c r="I79" s="4" t="s">
        <v>3731</v>
      </c>
      <c r="J79" s="4"/>
      <c r="K79" s="4"/>
    </row>
    <row r="80" ht="16" customHeight="1" s="4" customFormat="1">
      <c r="A80" s="4" t="s">
        <v>3345</v>
      </c>
      <c r="B80" s="4" t="s">
        <v>3390</v>
      </c>
      <c r="C80" s="4" t="s">
        <v>4135</v>
      </c>
      <c r="D80" s="4" t="s">
        <v>3403</v>
      </c>
      <c r="E80" s="4" t="s">
        <v>4024</v>
      </c>
      <c r="F80" s="4" t="s">
        <v>4136</v>
      </c>
      <c r="G80" s="4" t="s">
        <v>10</v>
      </c>
      <c r="H80" s="4" t="s">
        <v>4140</v>
      </c>
      <c r="I80" s="4" t="s">
        <v>3558</v>
      </c>
      <c r="J80" s="4"/>
      <c r="K80" s="4"/>
    </row>
    <row r="81" ht="16" customHeight="1" s="4" customFormat="1">
      <c r="A81" s="4" t="s">
        <v>3345</v>
      </c>
      <c r="B81" s="4" t="s">
        <v>3390</v>
      </c>
      <c r="C81" s="4" t="s">
        <v>4135</v>
      </c>
      <c r="D81" s="4" t="s">
        <v>3403</v>
      </c>
      <c r="E81" s="4" t="s">
        <v>4024</v>
      </c>
      <c r="F81" s="4" t="s">
        <v>4136</v>
      </c>
      <c r="G81" s="4" t="s">
        <v>10</v>
      </c>
      <c r="H81" s="4" t="s">
        <v>4141</v>
      </c>
      <c r="I81" s="4" t="s">
        <v>4142</v>
      </c>
      <c r="J81" s="4"/>
      <c r="K81" s="4"/>
    </row>
    <row r="82" ht="16" customHeight="1" s="4" customFormat="1">
      <c r="A82" s="4" t="s">
        <v>3345</v>
      </c>
      <c r="B82" s="4" t="s">
        <v>3390</v>
      </c>
      <c r="C82" s="4" t="s">
        <v>4143</v>
      </c>
      <c r="D82" s="4" t="s">
        <v>3473</v>
      </c>
      <c r="E82" s="4" t="s">
        <v>4024</v>
      </c>
      <c r="F82" s="4" t="s">
        <v>4136</v>
      </c>
      <c r="G82" s="4" t="s">
        <v>10</v>
      </c>
      <c r="H82" s="4" t="s">
        <v>4144</v>
      </c>
      <c r="I82" s="4" t="s">
        <v>4145</v>
      </c>
      <c r="J82" s="4"/>
      <c r="K82" s="4"/>
    </row>
    <row r="83" ht="16" customHeight="1" s="4" customFormat="1">
      <c r="A83" s="4" t="s">
        <v>3345</v>
      </c>
      <c r="B83" s="4" t="s">
        <v>3390</v>
      </c>
      <c r="C83" s="4" t="s">
        <v>3577</v>
      </c>
      <c r="D83" s="4" t="s">
        <v>3436</v>
      </c>
      <c r="E83" s="4" t="s">
        <v>3440</v>
      </c>
      <c r="F83" s="4" t="s">
        <v>3466</v>
      </c>
      <c r="G83" s="4" t="s">
        <v>10</v>
      </c>
      <c r="H83" s="4" t="s">
        <v>3578</v>
      </c>
      <c r="I83" s="4" t="s">
        <v>3579</v>
      </c>
      <c r="J83" s="4"/>
      <c r="K83" s="4"/>
    </row>
    <row r="84" ht="16" customHeight="1" s="4" customFormat="1">
      <c r="A84" s="4" t="s">
        <v>3345</v>
      </c>
      <c r="B84" s="4" t="s">
        <v>3390</v>
      </c>
      <c r="C84" s="4" t="s">
        <v>4146</v>
      </c>
      <c r="D84" s="4" t="s">
        <v>4147</v>
      </c>
      <c r="E84" s="4" t="s">
        <v>4104</v>
      </c>
      <c r="F84" s="4" t="s">
        <v>4148</v>
      </c>
      <c r="G84" s="4" t="s">
        <v>10</v>
      </c>
      <c r="H84" s="4" t="s">
        <v>4149</v>
      </c>
      <c r="I84" s="4" t="s">
        <v>4150</v>
      </c>
      <c r="J84" s="4"/>
      <c r="K84" s="4"/>
    </row>
    <row r="85" ht="16" customHeight="1" s="4" customFormat="1">
      <c r="A85" s="4" t="s">
        <v>3345</v>
      </c>
      <c r="B85" s="4" t="s">
        <v>3390</v>
      </c>
      <c r="C85" s="4" t="s">
        <v>4146</v>
      </c>
      <c r="D85" s="4" t="s">
        <v>4147</v>
      </c>
      <c r="E85" s="4" t="s">
        <v>4104</v>
      </c>
      <c r="F85" s="4" t="s">
        <v>4151</v>
      </c>
      <c r="G85" s="4" t="s">
        <v>10</v>
      </c>
      <c r="H85" s="4" t="s">
        <v>4152</v>
      </c>
      <c r="I85" s="4" t="s">
        <v>4153</v>
      </c>
      <c r="J85" s="4"/>
      <c r="K85" s="4"/>
    </row>
    <row r="86" ht="16" customHeight="1" s="4" customFormat="1">
      <c r="A86" s="4" t="s">
        <v>3345</v>
      </c>
      <c r="B86" s="4" t="s">
        <v>3390</v>
      </c>
      <c r="C86" s="4" t="s">
        <v>4146</v>
      </c>
      <c r="D86" s="4" t="s">
        <v>3608</v>
      </c>
      <c r="E86" s="4" t="s">
        <v>4104</v>
      </c>
      <c r="F86" s="4" t="s">
        <v>4151</v>
      </c>
      <c r="G86" s="4" t="s">
        <v>10</v>
      </c>
      <c r="H86" s="4" t="s">
        <v>4154</v>
      </c>
      <c r="I86" s="4" t="s">
        <v>4155</v>
      </c>
      <c r="J86" s="4"/>
      <c r="K86" s="4"/>
    </row>
    <row r="87" ht="16" customHeight="1" s="4" customFormat="1">
      <c r="A87" s="4" t="s">
        <v>3345</v>
      </c>
      <c r="B87" s="4" t="s">
        <v>3390</v>
      </c>
      <c r="C87" s="4" t="s">
        <v>4146</v>
      </c>
      <c r="D87" s="4" t="s">
        <v>4156</v>
      </c>
      <c r="E87" s="4" t="s">
        <v>4104</v>
      </c>
      <c r="F87" s="4" t="s">
        <v>4151</v>
      </c>
      <c r="G87" s="4" t="s">
        <v>10</v>
      </c>
      <c r="H87" s="4" t="s">
        <v>4157</v>
      </c>
      <c r="I87" s="4" t="s">
        <v>4158</v>
      </c>
      <c r="J87" s="4"/>
      <c r="K87" s="4"/>
    </row>
    <row r="88" ht="16" customHeight="1" s="4" customFormat="1">
      <c r="A88" s="4" t="s">
        <v>3345</v>
      </c>
      <c r="B88" s="4" t="s">
        <v>3390</v>
      </c>
      <c r="C88" s="4" t="s">
        <v>4146</v>
      </c>
      <c r="D88" s="4" t="s">
        <v>4156</v>
      </c>
      <c r="E88" s="4" t="s">
        <v>4104</v>
      </c>
      <c r="F88" s="4" t="s">
        <v>4151</v>
      </c>
      <c r="G88" s="4" t="s">
        <v>10</v>
      </c>
      <c r="H88" s="4" t="s">
        <v>4159</v>
      </c>
      <c r="I88" s="4" t="s">
        <v>4160</v>
      </c>
      <c r="J88" s="4"/>
      <c r="K88" s="4"/>
    </row>
    <row r="89" ht="16" customHeight="1" s="4" customFormat="1">
      <c r="A89" s="4" t="s">
        <v>3345</v>
      </c>
      <c r="B89" s="4" t="s">
        <v>3390</v>
      </c>
      <c r="C89" s="4" t="s">
        <v>4146</v>
      </c>
      <c r="D89" s="4" t="s">
        <v>4156</v>
      </c>
      <c r="E89" s="4" t="s">
        <v>4104</v>
      </c>
      <c r="F89" s="4" t="s">
        <v>4151</v>
      </c>
      <c r="G89" s="4" t="s">
        <v>10</v>
      </c>
      <c r="H89" s="4" t="s">
        <v>4161</v>
      </c>
      <c r="I89" s="4" t="s">
        <v>4162</v>
      </c>
      <c r="J89" s="4"/>
      <c r="K89" s="4"/>
    </row>
    <row r="90" ht="16" customHeight="1" s="4" customFormat="1">
      <c r="A90" s="4" t="s">
        <v>3345</v>
      </c>
      <c r="B90" s="4" t="s">
        <v>3390</v>
      </c>
      <c r="C90" s="4" t="s">
        <v>4146</v>
      </c>
      <c r="D90" s="4" t="s">
        <v>4156</v>
      </c>
      <c r="E90" s="4" t="s">
        <v>4104</v>
      </c>
      <c r="F90" s="4" t="s">
        <v>4151</v>
      </c>
      <c r="G90" s="4" t="s">
        <v>10</v>
      </c>
      <c r="H90" s="4" t="s">
        <v>4163</v>
      </c>
      <c r="I90" s="4" t="s">
        <v>4164</v>
      </c>
      <c r="J90" s="4"/>
      <c r="K90" s="4"/>
    </row>
    <row r="91" ht="16" customHeight="1" s="4" customFormat="1">
      <c r="A91" s="4" t="s">
        <v>3345</v>
      </c>
      <c r="B91" s="4" t="s">
        <v>3390</v>
      </c>
      <c r="C91" s="4" t="s">
        <v>4146</v>
      </c>
      <c r="D91" s="4" t="s">
        <v>4156</v>
      </c>
      <c r="E91" s="4" t="s">
        <v>4104</v>
      </c>
      <c r="F91" s="4" t="s">
        <v>4151</v>
      </c>
      <c r="G91" s="4" t="s">
        <v>10</v>
      </c>
      <c r="H91" s="4" t="s">
        <v>4165</v>
      </c>
      <c r="I91" s="4" t="s">
        <v>4166</v>
      </c>
      <c r="J91" s="4"/>
      <c r="K91" s="4"/>
    </row>
    <row r="92" ht="16" customHeight="1" s="4" customFormat="1">
      <c r="A92" s="4" t="s">
        <v>3345</v>
      </c>
      <c r="B92" s="4" t="s">
        <v>3390</v>
      </c>
      <c r="C92" s="4" t="s">
        <v>4146</v>
      </c>
      <c r="D92" s="4" t="s">
        <v>4156</v>
      </c>
      <c r="E92" s="4" t="s">
        <v>4104</v>
      </c>
      <c r="F92" s="4" t="s">
        <v>4151</v>
      </c>
      <c r="G92" s="4" t="s">
        <v>10</v>
      </c>
      <c r="H92" s="4" t="s">
        <v>4167</v>
      </c>
      <c r="I92" s="4" t="s">
        <v>4168</v>
      </c>
      <c r="J92" s="4"/>
      <c r="K92" s="4"/>
    </row>
    <row r="93" ht="16" customHeight="1" s="4" customFormat="1">
      <c r="A93" s="4" t="s">
        <v>3345</v>
      </c>
      <c r="B93" s="4" t="s">
        <v>3390</v>
      </c>
      <c r="C93" s="4" t="s">
        <v>4146</v>
      </c>
      <c r="D93" s="4" t="s">
        <v>4156</v>
      </c>
      <c r="E93" s="4" t="s">
        <v>4104</v>
      </c>
      <c r="F93" s="4" t="s">
        <v>4151</v>
      </c>
      <c r="G93" s="4" t="s">
        <v>10</v>
      </c>
      <c r="H93" s="4" t="s">
        <v>4169</v>
      </c>
      <c r="I93" s="4" t="s">
        <v>4170</v>
      </c>
      <c r="J93" s="4"/>
      <c r="K93" s="4"/>
    </row>
    <row r="94" ht="16" customHeight="1" s="4" customFormat="1">
      <c r="A94" s="4" t="s">
        <v>3345</v>
      </c>
      <c r="B94" s="4" t="s">
        <v>3390</v>
      </c>
      <c r="C94" s="4" t="s">
        <v>4146</v>
      </c>
      <c r="D94" s="4" t="s">
        <v>4171</v>
      </c>
      <c r="E94" s="4" t="s">
        <v>4104</v>
      </c>
      <c r="F94" s="4" t="s">
        <v>4151</v>
      </c>
      <c r="G94" s="4" t="s">
        <v>10</v>
      </c>
      <c r="H94" s="4" t="s">
        <v>4172</v>
      </c>
      <c r="I94" s="4" t="s">
        <v>4004</v>
      </c>
      <c r="J94" s="4"/>
      <c r="K94" s="4"/>
    </row>
    <row r="95" ht="16" customHeight="1" s="4" customFormat="1">
      <c r="A95" s="4" t="s">
        <v>3345</v>
      </c>
      <c r="B95" s="4" t="s">
        <v>3390</v>
      </c>
      <c r="C95" s="4" t="s">
        <v>4173</v>
      </c>
      <c r="D95" s="4" t="s">
        <v>4156</v>
      </c>
      <c r="E95" s="4" t="s">
        <v>4104</v>
      </c>
      <c r="F95" s="4" t="s">
        <v>4174</v>
      </c>
      <c r="G95" s="4" t="s">
        <v>10</v>
      </c>
      <c r="H95" s="4" t="s">
        <v>4175</v>
      </c>
      <c r="I95" s="4" t="s">
        <v>4176</v>
      </c>
      <c r="J95" s="4"/>
      <c r="K95" s="4"/>
    </row>
    <row r="96" ht="16" customHeight="1" s="4" customFormat="1">
      <c r="A96" s="4" t="s">
        <v>3345</v>
      </c>
      <c r="B96" s="4" t="s">
        <v>3390</v>
      </c>
      <c r="C96" s="4" t="s">
        <v>4173</v>
      </c>
      <c r="D96" s="4" t="s">
        <v>4156</v>
      </c>
      <c r="E96" s="4" t="s">
        <v>4104</v>
      </c>
      <c r="F96" s="4" t="s">
        <v>4174</v>
      </c>
      <c r="G96" s="4" t="s">
        <v>10</v>
      </c>
      <c r="H96" s="4" t="s">
        <v>4161</v>
      </c>
      <c r="I96" s="4" t="s">
        <v>4162</v>
      </c>
      <c r="J96" s="4"/>
      <c r="K96" s="4"/>
    </row>
    <row r="97" ht="16" customHeight="1" s="4" customFormat="1">
      <c r="A97" s="4" t="s">
        <v>4097</v>
      </c>
      <c r="B97" s="4" t="s">
        <v>3390</v>
      </c>
      <c r="C97" s="4" t="s">
        <v>4173</v>
      </c>
      <c r="D97" s="4" t="s">
        <v>4156</v>
      </c>
      <c r="E97" s="4" t="s">
        <v>4104</v>
      </c>
      <c r="F97" s="4" t="s">
        <v>4174</v>
      </c>
      <c r="G97" s="4" t="s">
        <v>10</v>
      </c>
      <c r="H97" s="4" t="s">
        <v>4177</v>
      </c>
      <c r="I97" s="4" t="s">
        <v>4178</v>
      </c>
      <c r="J97" s="4"/>
      <c r="K97" s="4"/>
    </row>
    <row r="98" ht="16" customHeight="1" s="4" customFormat="1">
      <c r="A98" s="4" t="s">
        <v>3345</v>
      </c>
      <c r="B98" s="4" t="s">
        <v>3390</v>
      </c>
      <c r="C98" s="4" t="s">
        <v>4173</v>
      </c>
      <c r="D98" s="4" t="s">
        <v>4156</v>
      </c>
      <c r="E98" s="4" t="s">
        <v>4104</v>
      </c>
      <c r="F98" s="4" t="s">
        <v>4174</v>
      </c>
      <c r="G98" s="4" t="s">
        <v>10</v>
      </c>
      <c r="H98" s="4" t="s">
        <v>4179</v>
      </c>
      <c r="I98" s="4" t="s">
        <v>4180</v>
      </c>
      <c r="J98" s="4"/>
      <c r="K98" s="4"/>
    </row>
    <row r="99" ht="16" customHeight="1" s="4" customFormat="1">
      <c r="A99" s="4" t="s">
        <v>3345</v>
      </c>
      <c r="B99" s="4" t="s">
        <v>3390</v>
      </c>
      <c r="C99" s="4" t="s">
        <v>4173</v>
      </c>
      <c r="D99" s="4" t="s">
        <v>4156</v>
      </c>
      <c r="E99" s="4" t="s">
        <v>4104</v>
      </c>
      <c r="F99" s="4" t="s">
        <v>4174</v>
      </c>
      <c r="G99" s="4" t="s">
        <v>10</v>
      </c>
      <c r="H99" s="4" t="s">
        <v>4163</v>
      </c>
      <c r="I99" s="4" t="s">
        <v>4164</v>
      </c>
      <c r="J99" s="4"/>
      <c r="K99" s="4"/>
    </row>
    <row r="100" ht="16" customHeight="1" s="4" customFormat="1">
      <c r="A100" s="4" t="s">
        <v>3345</v>
      </c>
      <c r="B100" s="4" t="s">
        <v>3390</v>
      </c>
      <c r="C100" s="4" t="s">
        <v>4173</v>
      </c>
      <c r="D100" s="4" t="s">
        <v>4156</v>
      </c>
      <c r="E100" s="4" t="s">
        <v>4104</v>
      </c>
      <c r="F100" s="4" t="s">
        <v>4174</v>
      </c>
      <c r="G100" s="4" t="s">
        <v>10</v>
      </c>
      <c r="H100" s="4" t="s">
        <v>4181</v>
      </c>
      <c r="I100" s="4" t="s">
        <v>4182</v>
      </c>
      <c r="J100" s="4"/>
      <c r="K100" s="4"/>
    </row>
    <row r="101" ht="16" customHeight="1" s="4" customFormat="1">
      <c r="A101" s="4" t="s">
        <v>3345</v>
      </c>
      <c r="B101" s="4" t="s">
        <v>3390</v>
      </c>
      <c r="C101" s="4" t="s">
        <v>4173</v>
      </c>
      <c r="D101" s="4" t="s">
        <v>4156</v>
      </c>
      <c r="E101" s="4" t="s">
        <v>4104</v>
      </c>
      <c r="F101" s="4" t="s">
        <v>4174</v>
      </c>
      <c r="G101" s="4" t="s">
        <v>10</v>
      </c>
      <c r="H101" s="4" t="s">
        <v>4183</v>
      </c>
      <c r="I101" s="4" t="s">
        <v>4184</v>
      </c>
      <c r="J101" s="4"/>
      <c r="K101" s="4"/>
    </row>
    <row r="102" ht="16" customHeight="1" s="4" customFormat="1">
      <c r="A102" s="4" t="s">
        <v>3345</v>
      </c>
      <c r="B102" s="4" t="s">
        <v>3390</v>
      </c>
      <c r="C102" s="4" t="s">
        <v>4173</v>
      </c>
      <c r="D102" s="4" t="s">
        <v>4156</v>
      </c>
      <c r="E102" s="4" t="s">
        <v>4104</v>
      </c>
      <c r="F102" s="4" t="s">
        <v>4174</v>
      </c>
      <c r="G102" s="4" t="s">
        <v>10</v>
      </c>
      <c r="H102" s="4" t="s">
        <v>4185</v>
      </c>
      <c r="I102" s="4" t="s">
        <v>4186</v>
      </c>
      <c r="J102" s="4"/>
      <c r="K102" s="4"/>
    </row>
    <row r="103" ht="16" customHeight="1" s="4" customFormat="1">
      <c r="A103" s="4" t="s">
        <v>3345</v>
      </c>
      <c r="B103" s="4" t="s">
        <v>3390</v>
      </c>
      <c r="C103" s="4" t="s">
        <v>4173</v>
      </c>
      <c r="D103" s="4" t="s">
        <v>4156</v>
      </c>
      <c r="E103" s="4" t="s">
        <v>4104</v>
      </c>
      <c r="F103" s="4" t="s">
        <v>4174</v>
      </c>
      <c r="G103" s="4" t="s">
        <v>10</v>
      </c>
      <c r="H103" s="4" t="s">
        <v>4187</v>
      </c>
      <c r="I103" s="4" t="s">
        <v>4188</v>
      </c>
      <c r="J103" s="4"/>
      <c r="K103" s="4"/>
    </row>
    <row r="104" ht="16" customHeight="1" s="4" customFormat="1">
      <c r="A104" s="4" t="s">
        <v>3345</v>
      </c>
      <c r="B104" s="4" t="s">
        <v>3390</v>
      </c>
      <c r="C104" s="4" t="s">
        <v>4173</v>
      </c>
      <c r="D104" s="4" t="s">
        <v>4156</v>
      </c>
      <c r="E104" s="4" t="s">
        <v>4104</v>
      </c>
      <c r="F104" s="4" t="s">
        <v>4174</v>
      </c>
      <c r="G104" s="4" t="s">
        <v>10</v>
      </c>
      <c r="H104" s="4" t="s">
        <v>4189</v>
      </c>
      <c r="I104" s="4" t="s">
        <v>4190</v>
      </c>
      <c r="J104" s="4"/>
      <c r="K104" s="4"/>
    </row>
    <row r="105" ht="16" customHeight="1" s="4" customFormat="1">
      <c r="A105" s="4" t="s">
        <v>3345</v>
      </c>
      <c r="B105" s="4" t="s">
        <v>3390</v>
      </c>
      <c r="C105" s="4" t="s">
        <v>4173</v>
      </c>
      <c r="D105" s="4" t="s">
        <v>4156</v>
      </c>
      <c r="E105" s="4" t="s">
        <v>4104</v>
      </c>
      <c r="F105" s="4" t="s">
        <v>4174</v>
      </c>
      <c r="G105" s="4" t="s">
        <v>10</v>
      </c>
      <c r="H105" s="4" t="s">
        <v>4191</v>
      </c>
      <c r="I105" s="4" t="s">
        <v>4192</v>
      </c>
      <c r="J105" s="4"/>
      <c r="K105" s="4"/>
    </row>
    <row r="106" ht="16" customHeight="1" s="4" customFormat="1">
      <c r="A106" s="4" t="s">
        <v>3345</v>
      </c>
      <c r="B106" s="4" t="s">
        <v>3390</v>
      </c>
      <c r="C106" s="4" t="s">
        <v>4173</v>
      </c>
      <c r="D106" s="4" t="s">
        <v>4156</v>
      </c>
      <c r="E106" s="4" t="s">
        <v>4104</v>
      </c>
      <c r="F106" s="4" t="s">
        <v>4174</v>
      </c>
      <c r="G106" s="4" t="s">
        <v>10</v>
      </c>
      <c r="H106" s="4" t="s">
        <v>4169</v>
      </c>
      <c r="I106" s="4" t="s">
        <v>4170</v>
      </c>
      <c r="J106" s="4"/>
      <c r="K106" s="4"/>
    </row>
    <row r="107" ht="16" customHeight="1" s="4" customFormat="1">
      <c r="A107" s="4" t="s">
        <v>3345</v>
      </c>
      <c r="B107" s="4" t="s">
        <v>3390</v>
      </c>
      <c r="C107" s="4" t="s">
        <v>4173</v>
      </c>
      <c r="D107" s="4" t="s">
        <v>4156</v>
      </c>
      <c r="E107" s="4" t="s">
        <v>4104</v>
      </c>
      <c r="F107" s="4" t="s">
        <v>4174</v>
      </c>
      <c r="G107" s="4" t="s">
        <v>10</v>
      </c>
      <c r="H107" s="4" t="s">
        <v>4193</v>
      </c>
      <c r="I107" s="4" t="s">
        <v>4194</v>
      </c>
      <c r="J107" s="4"/>
      <c r="K107" s="4"/>
    </row>
    <row r="108" ht="16" customHeight="1" s="4" customFormat="1">
      <c r="A108" s="4" t="s">
        <v>3345</v>
      </c>
      <c r="B108" s="4" t="s">
        <v>3390</v>
      </c>
      <c r="C108" s="4" t="s">
        <v>4173</v>
      </c>
      <c r="D108" s="4" t="s">
        <v>4171</v>
      </c>
      <c r="E108" s="4" t="s">
        <v>4104</v>
      </c>
      <c r="F108" s="4" t="s">
        <v>4195</v>
      </c>
      <c r="G108" s="4" t="s">
        <v>10</v>
      </c>
      <c r="H108" s="4" t="s">
        <v>4196</v>
      </c>
      <c r="I108" s="4" t="s">
        <v>4197</v>
      </c>
      <c r="J108" s="4"/>
      <c r="K108" s="4"/>
    </row>
    <row r="109" ht="16" customHeight="1" s="4" customFormat="1">
      <c r="A109" s="4" t="s">
        <v>3345</v>
      </c>
      <c r="B109" s="4" t="s">
        <v>3390</v>
      </c>
      <c r="C109" s="4" t="s">
        <v>4198</v>
      </c>
      <c r="D109" s="4" t="s">
        <v>3403</v>
      </c>
      <c r="E109" s="4" t="s">
        <v>4104</v>
      </c>
      <c r="F109" s="4" t="s">
        <v>4199</v>
      </c>
      <c r="G109" s="4" t="s">
        <v>10</v>
      </c>
      <c r="H109" s="4" t="s">
        <v>4200</v>
      </c>
      <c r="I109" s="4" t="s">
        <v>4201</v>
      </c>
      <c r="J109" s="4"/>
      <c r="K109" s="4"/>
    </row>
    <row r="110" ht="16" customHeight="1" s="4" customFormat="1">
      <c r="A110" s="4" t="s">
        <v>3345</v>
      </c>
      <c r="B110" s="4" t="s">
        <v>3390</v>
      </c>
      <c r="C110" s="4" t="s">
        <v>4198</v>
      </c>
      <c r="D110" s="4" t="s">
        <v>3403</v>
      </c>
      <c r="E110" s="4" t="s">
        <v>4104</v>
      </c>
      <c r="F110" s="4" t="s">
        <v>4199</v>
      </c>
      <c r="G110" s="4" t="s">
        <v>10</v>
      </c>
      <c r="H110" s="4" t="s">
        <v>4202</v>
      </c>
      <c r="I110" s="4" t="s">
        <v>4203</v>
      </c>
      <c r="J110" s="4"/>
      <c r="K110" s="4"/>
    </row>
    <row r="111" ht="16" customHeight="1" s="4" customFormat="1">
      <c r="A111" s="4" t="s">
        <v>3345</v>
      </c>
      <c r="B111" s="4" t="s">
        <v>3390</v>
      </c>
      <c r="C111" s="4" t="s">
        <v>4198</v>
      </c>
      <c r="D111" s="4" t="s">
        <v>3403</v>
      </c>
      <c r="E111" s="4" t="s">
        <v>4104</v>
      </c>
      <c r="F111" s="4" t="s">
        <v>4199</v>
      </c>
      <c r="G111" s="4" t="s">
        <v>10</v>
      </c>
      <c r="H111" s="4" t="s">
        <v>4204</v>
      </c>
      <c r="I111" s="4" t="s">
        <v>4205</v>
      </c>
      <c r="J111" s="4"/>
      <c r="K111" s="4"/>
    </row>
    <row r="112" ht="16" customHeight="1" s="4" customFormat="1">
      <c r="A112" s="4" t="s">
        <v>3345</v>
      </c>
      <c r="B112" s="4" t="s">
        <v>3390</v>
      </c>
      <c r="C112" s="4" t="s">
        <v>4198</v>
      </c>
      <c r="D112" s="4" t="s">
        <v>3403</v>
      </c>
      <c r="E112" s="4" t="s">
        <v>4104</v>
      </c>
      <c r="F112" s="4" t="s">
        <v>4199</v>
      </c>
      <c r="G112" s="4" t="s">
        <v>10</v>
      </c>
      <c r="H112" s="4" t="s">
        <v>3477</v>
      </c>
      <c r="I112" s="4" t="s">
        <v>3478</v>
      </c>
      <c r="J112" s="4"/>
      <c r="K112" s="4"/>
    </row>
    <row r="113" ht="16" customHeight="1" s="4" customFormat="1">
      <c r="A113" s="4" t="s">
        <v>3345</v>
      </c>
      <c r="B113" s="4" t="s">
        <v>3390</v>
      </c>
      <c r="C113" s="4" t="s">
        <v>4206</v>
      </c>
      <c r="D113" s="4" t="s">
        <v>3473</v>
      </c>
      <c r="E113" s="4" t="s">
        <v>4104</v>
      </c>
      <c r="F113" s="4" t="s">
        <v>4199</v>
      </c>
      <c r="G113" s="4" t="s">
        <v>10</v>
      </c>
      <c r="H113" s="4" t="s">
        <v>4207</v>
      </c>
      <c r="I113" s="4" t="s">
        <v>4208</v>
      </c>
      <c r="J113" s="4"/>
      <c r="K113" s="4"/>
    </row>
    <row r="114" ht="16" customHeight="1" s="4" customFormat="1">
      <c r="A114" s="4" t="s">
        <v>3345</v>
      </c>
      <c r="B114" s="4" t="s">
        <v>3390</v>
      </c>
      <c r="C114" s="4" t="s">
        <v>4206</v>
      </c>
      <c r="D114" s="4" t="s">
        <v>3403</v>
      </c>
      <c r="E114" s="4" t="s">
        <v>4104</v>
      </c>
      <c r="F114" s="4" t="s">
        <v>4199</v>
      </c>
      <c r="G114" s="4" t="s">
        <v>10</v>
      </c>
      <c r="H114" s="4" t="s">
        <v>4209</v>
      </c>
      <c r="I114" s="4" t="s">
        <v>4210</v>
      </c>
      <c r="J114" s="4"/>
      <c r="K114" s="4"/>
    </row>
    <row r="115" ht="16" customHeight="1" s="4" customFormat="1">
      <c r="A115" s="4" t="s">
        <v>3345</v>
      </c>
      <c r="B115" s="4" t="s">
        <v>3390</v>
      </c>
      <c r="C115" s="4" t="s">
        <v>4211</v>
      </c>
      <c r="D115" s="4" t="s">
        <v>4212</v>
      </c>
      <c r="E115" s="4" t="s">
        <v>4024</v>
      </c>
      <c r="F115" s="4" t="s">
        <v>4213</v>
      </c>
      <c r="G115" s="4" t="s">
        <v>10</v>
      </c>
      <c r="H115" s="4" t="s">
        <v>4214</v>
      </c>
      <c r="I115" s="4" t="s">
        <v>4215</v>
      </c>
      <c r="J115" s="4"/>
      <c r="K115" s="4"/>
    </row>
    <row r="116" ht="16" customHeight="1" s="4" customFormat="1">
      <c r="A116" s="4" t="s">
        <v>3345</v>
      </c>
      <c r="B116" s="4" t="s">
        <v>3390</v>
      </c>
      <c r="C116" s="4" t="s">
        <v>4216</v>
      </c>
      <c r="D116" s="4" t="s">
        <v>4217</v>
      </c>
      <c r="E116" s="4" t="s">
        <v>4024</v>
      </c>
      <c r="F116" s="4" t="s">
        <v>4218</v>
      </c>
      <c r="G116" s="4" t="s">
        <v>10</v>
      </c>
      <c r="H116" s="4" t="s">
        <v>4219</v>
      </c>
      <c r="I116" s="4" t="s">
        <v>4220</v>
      </c>
      <c r="J116" s="4"/>
      <c r="K116" s="4"/>
    </row>
    <row r="117" ht="16" customHeight="1" s="4" customFormat="1">
      <c r="A117" s="4" t="s">
        <v>3345</v>
      </c>
      <c r="B117" s="4" t="s">
        <v>3390</v>
      </c>
      <c r="C117" s="4" t="s">
        <v>4216</v>
      </c>
      <c r="D117" s="4" t="s">
        <v>3473</v>
      </c>
      <c r="E117" s="4" t="s">
        <v>4024</v>
      </c>
      <c r="F117" s="4" t="s">
        <v>4218</v>
      </c>
      <c r="G117" s="4" t="s">
        <v>10</v>
      </c>
      <c r="H117" s="4" t="s">
        <v>4221</v>
      </c>
      <c r="I117" s="4" t="s">
        <v>4222</v>
      </c>
      <c r="J117" s="4"/>
      <c r="K117" s="4"/>
    </row>
    <row r="118" ht="16" customHeight="1" s="4" customFormat="1">
      <c r="A118" s="4" t="s">
        <v>3345</v>
      </c>
      <c r="B118" s="4" t="s">
        <v>3390</v>
      </c>
      <c r="C118" s="4" t="s">
        <v>4216</v>
      </c>
      <c r="D118" s="4" t="s">
        <v>4223</v>
      </c>
      <c r="E118" s="4" t="s">
        <v>4024</v>
      </c>
      <c r="F118" s="4" t="s">
        <v>4218</v>
      </c>
      <c r="G118" s="4" t="s">
        <v>10</v>
      </c>
      <c r="H118" s="4" t="s">
        <v>4224</v>
      </c>
      <c r="I118" s="4" t="s">
        <v>4225</v>
      </c>
      <c r="J118" s="4"/>
      <c r="K118" s="4"/>
    </row>
    <row r="119" ht="16" customHeight="1" s="4" customFormat="1">
      <c r="A119" s="4" t="s">
        <v>3345</v>
      </c>
      <c r="B119" s="4" t="s">
        <v>3390</v>
      </c>
      <c r="C119" s="4" t="s">
        <v>4216</v>
      </c>
      <c r="D119" s="4" t="s">
        <v>3403</v>
      </c>
      <c r="E119" s="4" t="s">
        <v>4024</v>
      </c>
      <c r="F119" s="4" t="s">
        <v>4218</v>
      </c>
      <c r="G119" s="4" t="s">
        <v>10</v>
      </c>
      <c r="H119" s="4" t="s">
        <v>4226</v>
      </c>
      <c r="I119" s="4" t="s">
        <v>3366</v>
      </c>
      <c r="J119" s="4"/>
      <c r="K119" s="4"/>
    </row>
    <row r="120" ht="16" customHeight="1" s="4" customFormat="1">
      <c r="A120" s="4" t="s">
        <v>3345</v>
      </c>
      <c r="B120" s="4" t="s">
        <v>3390</v>
      </c>
      <c r="C120" s="4" t="s">
        <v>4227</v>
      </c>
      <c r="D120" s="4" t="s">
        <v>4228</v>
      </c>
      <c r="E120" s="4">
        <v>425</v>
      </c>
      <c r="F120" s="4" t="s">
        <v>4229</v>
      </c>
      <c r="G120" s="4" t="s">
        <v>10</v>
      </c>
      <c r="H120" s="4" t="s">
        <v>4230</v>
      </c>
      <c r="I120" s="4" t="s">
        <v>4231</v>
      </c>
      <c r="J120" s="4"/>
      <c r="K120" s="4"/>
    </row>
    <row r="121" ht="16" customHeight="1" s="4" customFormat="1">
      <c r="A121" s="4" t="s">
        <v>3345</v>
      </c>
      <c r="B121" s="4" t="s">
        <v>3390</v>
      </c>
      <c r="C121" s="4" t="s">
        <v>4227</v>
      </c>
      <c r="D121" s="4" t="s">
        <v>4232</v>
      </c>
      <c r="E121" s="4">
        <v>425</v>
      </c>
      <c r="F121" s="4" t="s">
        <v>4229</v>
      </c>
      <c r="G121" s="4" t="s">
        <v>10</v>
      </c>
      <c r="H121" s="4" t="s">
        <v>4233</v>
      </c>
      <c r="I121" s="4" t="s">
        <v>4234</v>
      </c>
      <c r="J121" s="4"/>
      <c r="K121" s="4"/>
    </row>
    <row r="122" ht="16" customHeight="1" s="4" customFormat="1">
      <c r="A122" s="4" t="s">
        <v>3345</v>
      </c>
      <c r="B122" s="4" t="s">
        <v>3390</v>
      </c>
      <c r="C122" s="4" t="s">
        <v>4227</v>
      </c>
      <c r="D122" s="4" t="s">
        <v>4232</v>
      </c>
      <c r="E122" s="4">
        <v>425</v>
      </c>
      <c r="F122" s="4" t="s">
        <v>4229</v>
      </c>
      <c r="G122" s="4" t="s">
        <v>10</v>
      </c>
      <c r="H122" s="4" t="s">
        <v>4235</v>
      </c>
      <c r="I122" s="4" t="s">
        <v>4236</v>
      </c>
      <c r="J122" s="4"/>
      <c r="K122" s="4"/>
    </row>
    <row r="123" ht="16" customHeight="1" s="4" customFormat="1">
      <c r="A123" s="4" t="s">
        <v>3345</v>
      </c>
      <c r="B123" s="4" t="s">
        <v>3390</v>
      </c>
      <c r="C123" s="4" t="s">
        <v>4227</v>
      </c>
      <c r="D123" s="4" t="s">
        <v>4232</v>
      </c>
      <c r="E123" s="4">
        <v>425</v>
      </c>
      <c r="F123" s="4" t="s">
        <v>4229</v>
      </c>
      <c r="G123" s="4" t="s">
        <v>10</v>
      </c>
      <c r="H123" s="4" t="s">
        <v>4237</v>
      </c>
      <c r="I123" s="4" t="s">
        <v>4238</v>
      </c>
      <c r="J123" s="4"/>
      <c r="K123" s="4"/>
    </row>
    <row r="124" ht="16" customHeight="1" s="4" customFormat="1">
      <c r="A124" s="4" t="s">
        <v>3345</v>
      </c>
      <c r="B124" s="4" t="s">
        <v>3390</v>
      </c>
      <c r="C124" s="4" t="s">
        <v>4227</v>
      </c>
      <c r="D124" s="4" t="s">
        <v>4232</v>
      </c>
      <c r="E124" s="4">
        <v>425</v>
      </c>
      <c r="F124" s="4" t="s">
        <v>4239</v>
      </c>
      <c r="G124" s="4" t="s">
        <v>10</v>
      </c>
      <c r="H124" s="4" t="s">
        <v>4240</v>
      </c>
      <c r="I124" s="4" t="s">
        <v>4241</v>
      </c>
      <c r="J124" s="4"/>
      <c r="K124" s="4"/>
    </row>
    <row r="125" ht="16" customHeight="1" s="4" customFormat="1">
      <c r="A125" s="4" t="s">
        <v>3345</v>
      </c>
      <c r="B125" s="4" t="s">
        <v>3390</v>
      </c>
      <c r="C125" s="4" t="s">
        <v>4242</v>
      </c>
      <c r="D125" s="4" t="s">
        <v>4243</v>
      </c>
      <c r="E125" s="4">
        <v>425</v>
      </c>
      <c r="F125" s="4" t="s">
        <v>4244</v>
      </c>
      <c r="G125" s="4" t="s">
        <v>10</v>
      </c>
      <c r="H125" s="4" t="s">
        <v>4245</v>
      </c>
      <c r="I125" s="4" t="s">
        <v>4246</v>
      </c>
      <c r="J125" s="4"/>
      <c r="K125" s="4"/>
    </row>
    <row r="126" ht="16" customHeight="1" s="4" customFormat="1">
      <c r="A126" s="4" t="s">
        <v>3345</v>
      </c>
      <c r="B126" s="4" t="s">
        <v>3390</v>
      </c>
      <c r="C126" s="4" t="s">
        <v>4247</v>
      </c>
      <c r="D126" s="4" t="s">
        <v>3712</v>
      </c>
      <c r="E126" s="4" t="s">
        <v>3613</v>
      </c>
      <c r="F126" s="4" t="s">
        <v>4248</v>
      </c>
      <c r="G126" s="4" t="s">
        <v>10</v>
      </c>
      <c r="H126" s="4" t="s">
        <v>4249</v>
      </c>
      <c r="I126" s="4" t="s">
        <v>4250</v>
      </c>
      <c r="J126" s="4"/>
      <c r="K126" s="4"/>
    </row>
    <row r="127" ht="16" customHeight="1" s="4" customFormat="1">
      <c r="A127" s="4" t="s">
        <v>3345</v>
      </c>
      <c r="B127" s="4" t="s">
        <v>3390</v>
      </c>
      <c r="C127" s="4" t="s">
        <v>4247</v>
      </c>
      <c r="D127" s="4" t="s">
        <v>4251</v>
      </c>
      <c r="E127" s="4" t="s">
        <v>3613</v>
      </c>
      <c r="F127" s="4" t="s">
        <v>4248</v>
      </c>
      <c r="G127" s="4" t="s">
        <v>10</v>
      </c>
      <c r="H127" s="4" t="s">
        <v>4252</v>
      </c>
      <c r="I127" s="4" t="s">
        <v>4253</v>
      </c>
      <c r="J127" s="4"/>
      <c r="K127" s="4"/>
    </row>
    <row r="128" ht="16" customHeight="1" s="4" customFormat="1">
      <c r="A128" s="4" t="s">
        <v>3345</v>
      </c>
      <c r="B128" s="4" t="s">
        <v>3390</v>
      </c>
      <c r="C128" s="4" t="s">
        <v>4247</v>
      </c>
      <c r="D128" s="4" t="s">
        <v>3603</v>
      </c>
      <c r="E128" s="4" t="s">
        <v>3613</v>
      </c>
      <c r="F128" s="4" t="s">
        <v>4248</v>
      </c>
      <c r="G128" s="4" t="s">
        <v>10</v>
      </c>
      <c r="H128" s="4" t="s">
        <v>4254</v>
      </c>
      <c r="I128" s="4" t="s">
        <v>4255</v>
      </c>
      <c r="J128" s="4"/>
      <c r="K128" s="4"/>
    </row>
    <row r="129" ht="16" customHeight="1" s="4" customFormat="1">
      <c r="A129" s="4" t="s">
        <v>3345</v>
      </c>
      <c r="B129" s="4" t="s">
        <v>3390</v>
      </c>
      <c r="C129" s="4" t="s">
        <v>4247</v>
      </c>
      <c r="D129" s="4" t="s">
        <v>3608</v>
      </c>
      <c r="E129" s="4" t="s">
        <v>3613</v>
      </c>
      <c r="F129" s="4" t="s">
        <v>4248</v>
      </c>
      <c r="G129" s="4" t="s">
        <v>10</v>
      </c>
      <c r="H129" s="4" t="s">
        <v>4256</v>
      </c>
      <c r="I129" s="4" t="s">
        <v>3844</v>
      </c>
      <c r="J129" s="4"/>
      <c r="K129" s="4"/>
    </row>
    <row r="130" ht="16" customHeight="1" s="4" customFormat="1">
      <c r="A130" s="4" t="s">
        <v>3345</v>
      </c>
      <c r="B130" s="4" t="s">
        <v>3390</v>
      </c>
      <c r="C130" s="4" t="s">
        <v>4247</v>
      </c>
      <c r="D130" s="4" t="s">
        <v>3632</v>
      </c>
      <c r="E130" s="4" t="s">
        <v>3613</v>
      </c>
      <c r="F130" s="4" t="s">
        <v>4248</v>
      </c>
      <c r="G130" s="4" t="s">
        <v>10</v>
      </c>
      <c r="H130" s="4" t="s">
        <v>4257</v>
      </c>
      <c r="I130" s="4" t="s">
        <v>4258</v>
      </c>
      <c r="J130" s="4"/>
      <c r="K130" s="4"/>
    </row>
    <row r="131" ht="16" customHeight="1" s="4" customFormat="1">
      <c r="A131" s="4" t="s">
        <v>3345</v>
      </c>
      <c r="B131" s="4" t="s">
        <v>3390</v>
      </c>
      <c r="C131" s="4" t="s">
        <v>4259</v>
      </c>
      <c r="D131" s="4" t="s">
        <v>4156</v>
      </c>
      <c r="E131" s="4" t="s">
        <v>4260</v>
      </c>
      <c r="F131" s="4" t="s">
        <v>4261</v>
      </c>
      <c r="G131" s="4" t="s">
        <v>10</v>
      </c>
      <c r="H131" s="4" t="s">
        <v>4262</v>
      </c>
      <c r="I131" s="4" t="s">
        <v>4263</v>
      </c>
      <c r="J131" s="4"/>
      <c r="K131" s="4"/>
    </row>
    <row r="132" ht="16" customHeight="1" s="4" customFormat="1">
      <c r="A132" s="4" t="s">
        <v>3345</v>
      </c>
      <c r="B132" s="4" t="s">
        <v>3390</v>
      </c>
      <c r="C132" s="4" t="s">
        <v>4259</v>
      </c>
      <c r="D132" s="4" t="s">
        <v>4156</v>
      </c>
      <c r="E132" s="4" t="s">
        <v>4260</v>
      </c>
      <c r="F132" s="4" t="s">
        <v>4261</v>
      </c>
      <c r="G132" s="4" t="s">
        <v>10</v>
      </c>
      <c r="H132" s="4" t="s">
        <v>4264</v>
      </c>
      <c r="I132" s="4" t="s">
        <v>4265</v>
      </c>
      <c r="J132" s="4"/>
      <c r="K132" s="4"/>
    </row>
    <row r="133" ht="16" customHeight="1" s="4" customFormat="1">
      <c r="A133" s="4" t="s">
        <v>3345</v>
      </c>
      <c r="B133" s="4" t="s">
        <v>3390</v>
      </c>
      <c r="C133" s="4" t="s">
        <v>4259</v>
      </c>
      <c r="D133" s="4" t="s">
        <v>4156</v>
      </c>
      <c r="E133" s="4" t="s">
        <v>4260</v>
      </c>
      <c r="F133" s="4" t="s">
        <v>4261</v>
      </c>
      <c r="G133" s="4" t="s">
        <v>10</v>
      </c>
      <c r="H133" s="4" t="s">
        <v>4266</v>
      </c>
      <c r="I133" s="4" t="s">
        <v>4267</v>
      </c>
      <c r="J133" s="4"/>
      <c r="K133" s="4"/>
    </row>
    <row r="134" ht="16" customHeight="1" s="4" customFormat="1">
      <c r="A134" s="4" t="s">
        <v>3345</v>
      </c>
      <c r="B134" s="4" t="s">
        <v>3390</v>
      </c>
      <c r="C134" s="4" t="s">
        <v>4268</v>
      </c>
      <c r="D134" s="4" t="s">
        <v>3659</v>
      </c>
      <c r="E134" s="4" t="s">
        <v>4269</v>
      </c>
      <c r="F134" s="4" t="s">
        <v>4270</v>
      </c>
      <c r="G134" s="4" t="s">
        <v>10</v>
      </c>
      <c r="H134" s="4" t="s">
        <v>4271</v>
      </c>
      <c r="I134" s="4" t="s">
        <v>4272</v>
      </c>
      <c r="J134" s="4"/>
      <c r="K134" s="4"/>
    </row>
    <row r="135" ht="16" customHeight="1" s="4" customFormat="1">
      <c r="A135" s="4" t="s">
        <v>3345</v>
      </c>
      <c r="B135" s="4" t="s">
        <v>3390</v>
      </c>
      <c r="C135" s="4" t="s">
        <v>4273</v>
      </c>
      <c r="D135" s="4" t="s">
        <v>3603</v>
      </c>
      <c r="E135" s="4" t="s">
        <v>3645</v>
      </c>
      <c r="F135" s="4" t="s">
        <v>4274</v>
      </c>
      <c r="G135" s="4" t="s">
        <v>10</v>
      </c>
      <c r="H135" s="4" t="s">
        <v>3653</v>
      </c>
      <c r="I135" s="4" t="s">
        <v>3654</v>
      </c>
      <c r="J135" s="4"/>
      <c r="K135" s="4"/>
    </row>
    <row r="136" ht="16" customHeight="1" s="4" customFormat="1">
      <c r="A136" s="4" t="s">
        <v>3345</v>
      </c>
      <c r="B136" s="4" t="s">
        <v>3390</v>
      </c>
      <c r="C136" s="4" t="s">
        <v>4273</v>
      </c>
      <c r="D136" s="4" t="s">
        <v>3659</v>
      </c>
      <c r="E136" s="4" t="s">
        <v>3645</v>
      </c>
      <c r="F136" s="4" t="s">
        <v>4274</v>
      </c>
      <c r="G136" s="4" t="s">
        <v>10</v>
      </c>
      <c r="H136" s="4" t="s">
        <v>4275</v>
      </c>
      <c r="I136" s="4" t="s">
        <v>4276</v>
      </c>
      <c r="J136" s="4"/>
      <c r="K136" s="4"/>
    </row>
    <row r="137" ht="16" customHeight="1" s="4" customFormat="1">
      <c r="A137" s="4" t="s">
        <v>3345</v>
      </c>
      <c r="B137" s="4" t="s">
        <v>3390</v>
      </c>
      <c r="C137" s="4" t="s">
        <v>4277</v>
      </c>
      <c r="D137" s="4"/>
      <c r="E137" s="4" t="s">
        <v>3645</v>
      </c>
      <c r="F137" s="4" t="s">
        <v>4274</v>
      </c>
      <c r="G137" s="4" t="s">
        <v>10</v>
      </c>
      <c r="H137" s="4" t="s">
        <v>4278</v>
      </c>
      <c r="I137" s="4" t="s">
        <v>4279</v>
      </c>
      <c r="J137" s="4"/>
      <c r="K137" s="4"/>
    </row>
    <row r="138" ht="16" customHeight="1" s="4" customFormat="1">
      <c r="A138" s="4" t="s">
        <v>3345</v>
      </c>
      <c r="B138" s="4" t="s">
        <v>3390</v>
      </c>
      <c r="C138" s="4" t="s">
        <v>4277</v>
      </c>
      <c r="D138" s="4" t="s">
        <v>3603</v>
      </c>
      <c r="E138" s="4" t="s">
        <v>3645</v>
      </c>
      <c r="F138" s="4" t="s">
        <v>4280</v>
      </c>
      <c r="G138" s="4" t="s">
        <v>10</v>
      </c>
      <c r="H138" s="4" t="s">
        <v>3681</v>
      </c>
      <c r="I138" s="4" t="s">
        <v>3682</v>
      </c>
      <c r="J138" s="4"/>
      <c r="K138" s="4"/>
    </row>
    <row r="139" ht="16" customHeight="1" s="4" customFormat="1">
      <c r="A139" s="4" t="s">
        <v>3345</v>
      </c>
      <c r="B139" s="4" t="s">
        <v>3390</v>
      </c>
      <c r="C139" s="4" t="s">
        <v>4277</v>
      </c>
      <c r="D139" s="4" t="s">
        <v>3603</v>
      </c>
      <c r="E139" s="4" t="s">
        <v>3645</v>
      </c>
      <c r="F139" s="4" t="s">
        <v>4274</v>
      </c>
      <c r="G139" s="4" t="s">
        <v>10</v>
      </c>
      <c r="H139" s="4" t="s">
        <v>4281</v>
      </c>
      <c r="I139" s="4" t="s">
        <v>4282</v>
      </c>
      <c r="J139" s="4"/>
      <c r="K139" s="4"/>
    </row>
    <row r="140" ht="16" customHeight="1" s="4" customFormat="1">
      <c r="A140" s="4" t="s">
        <v>3345</v>
      </c>
      <c r="B140" s="4" t="s">
        <v>3390</v>
      </c>
      <c r="C140" s="4" t="s">
        <v>4277</v>
      </c>
      <c r="D140" s="4" t="s">
        <v>3603</v>
      </c>
      <c r="E140" s="4" t="s">
        <v>3645</v>
      </c>
      <c r="F140" s="4" t="s">
        <v>4274</v>
      </c>
      <c r="G140" s="4" t="s">
        <v>10</v>
      </c>
      <c r="H140" s="4" t="s">
        <v>4283</v>
      </c>
      <c r="I140" s="4" t="s">
        <v>4284</v>
      </c>
      <c r="J140" s="4"/>
      <c r="K140" s="4"/>
    </row>
    <row r="141" ht="16" customHeight="1" s="4" customFormat="1">
      <c r="A141" s="4" t="s">
        <v>3345</v>
      </c>
      <c r="B141" s="4" t="s">
        <v>3390</v>
      </c>
      <c r="C141" s="4" t="s">
        <v>4285</v>
      </c>
      <c r="D141" s="4" t="s">
        <v>3659</v>
      </c>
      <c r="E141" s="4" t="s">
        <v>4286</v>
      </c>
      <c r="F141" s="4" t="s">
        <v>4287</v>
      </c>
      <c r="G141" s="4" t="s">
        <v>10</v>
      </c>
      <c r="H141" s="4" t="s">
        <v>4288</v>
      </c>
      <c r="I141" s="4" t="s">
        <v>4289</v>
      </c>
      <c r="J141" s="4"/>
      <c r="K141" s="4"/>
    </row>
    <row r="142" ht="16" customHeight="1" s="4" customFormat="1">
      <c r="A142" s="4" t="s">
        <v>3345</v>
      </c>
      <c r="B142" s="4" t="s">
        <v>3390</v>
      </c>
      <c r="C142" s="4" t="s">
        <v>4290</v>
      </c>
      <c r="D142" s="4" t="s">
        <v>4052</v>
      </c>
      <c r="E142" s="4" t="s">
        <v>3536</v>
      </c>
      <c r="F142" s="4" t="s">
        <v>4031</v>
      </c>
      <c r="G142" s="4" t="s">
        <v>10</v>
      </c>
      <c r="H142" s="4" t="s">
        <v>3740</v>
      </c>
      <c r="I142" s="4" t="s">
        <v>3741</v>
      </c>
      <c r="J142" s="4"/>
      <c r="K142" s="4"/>
    </row>
    <row r="143" ht="16" customHeight="1" s="4" customFormat="1">
      <c r="A143" s="4" t="s">
        <v>3761</v>
      </c>
      <c r="B143" s="4" t="s">
        <v>3346</v>
      </c>
      <c r="C143" s="4" t="s">
        <v>4291</v>
      </c>
      <c r="D143" s="4"/>
      <c r="E143" s="4" t="s">
        <v>4292</v>
      </c>
      <c r="F143" s="4" t="s">
        <v>4293</v>
      </c>
      <c r="G143" s="4" t="s">
        <v>10</v>
      </c>
      <c r="H143" s="4" t="s">
        <v>4294</v>
      </c>
      <c r="I143" s="4" t="s">
        <v>4007</v>
      </c>
      <c r="J143" s="4"/>
      <c r="K143" s="4"/>
    </row>
    <row r="144" ht="16" customHeight="1" s="4" customFormat="1">
      <c r="A144" s="4" t="s">
        <v>3752</v>
      </c>
      <c r="B144" s="4" t="s">
        <v>3346</v>
      </c>
      <c r="C144" s="4" t="s">
        <v>4295</v>
      </c>
      <c r="D144" s="4"/>
      <c r="E144" s="4"/>
      <c r="F144" s="4" t="s">
        <v>4296</v>
      </c>
      <c r="G144" s="4" t="s">
        <v>10</v>
      </c>
      <c r="H144" s="4" t="s">
        <v>4297</v>
      </c>
      <c r="I144" s="4" t="s">
        <v>3690</v>
      </c>
      <c r="J144" s="4"/>
      <c r="K144" s="4"/>
    </row>
    <row r="145" ht="16" customHeight="1" s="4" customFormat="1">
      <c r="A145" s="4" t="s">
        <v>3752</v>
      </c>
      <c r="B145" s="4" t="s">
        <v>3346</v>
      </c>
      <c r="C145" s="4" t="s">
        <v>4298</v>
      </c>
      <c r="D145" s="4"/>
      <c r="E145" s="4"/>
      <c r="F145" s="4" t="s">
        <v>4299</v>
      </c>
      <c r="G145" s="4" t="s">
        <v>10</v>
      </c>
      <c r="H145" s="4" t="s">
        <v>4300</v>
      </c>
      <c r="I145" s="4" t="s">
        <v>4301</v>
      </c>
      <c r="J145" s="4"/>
      <c r="K145" s="4"/>
    </row>
    <row r="146" ht="16" customHeight="1" s="4" customFormat="1">
      <c r="A146" s="4" t="s">
        <v>3752</v>
      </c>
      <c r="B146" s="4" t="s">
        <v>3346</v>
      </c>
      <c r="C146" s="4" t="s">
        <v>4298</v>
      </c>
      <c r="D146" s="4"/>
      <c r="E146" s="4"/>
      <c r="F146" s="4" t="s">
        <v>4302</v>
      </c>
      <c r="G146" s="4" t="s">
        <v>10</v>
      </c>
      <c r="H146" s="4" t="s">
        <v>4303</v>
      </c>
      <c r="I146" s="4" t="s">
        <v>4301</v>
      </c>
      <c r="J146" s="4"/>
      <c r="K146" s="4"/>
    </row>
    <row r="147" ht="16" customHeight="1" s="4" customFormat="1">
      <c r="A147" s="4" t="s">
        <v>3761</v>
      </c>
      <c r="B147" s="4" t="s">
        <v>3346</v>
      </c>
      <c r="C147" s="4" t="s">
        <v>4304</v>
      </c>
      <c r="D147" s="4"/>
      <c r="E147" s="4"/>
      <c r="F147" s="4" t="s">
        <v>4305</v>
      </c>
      <c r="G147" s="4" t="s">
        <v>10</v>
      </c>
      <c r="H147" s="4" t="s">
        <v>4306</v>
      </c>
      <c r="I147" s="4" t="s">
        <v>4307</v>
      </c>
      <c r="J147" s="4"/>
      <c r="K147" s="4"/>
    </row>
    <row r="148" ht="16" customHeight="1" s="4" customFormat="1">
      <c r="A148" s="4" t="s">
        <v>3761</v>
      </c>
      <c r="B148" s="4" t="s">
        <v>3346</v>
      </c>
      <c r="C148" s="4" t="s">
        <v>4308</v>
      </c>
      <c r="D148" s="4"/>
      <c r="E148" s="4"/>
      <c r="F148" s="4" t="s">
        <v>4309</v>
      </c>
      <c r="G148" s="4" t="s">
        <v>10</v>
      </c>
      <c r="H148" s="4" t="s">
        <v>4310</v>
      </c>
      <c r="I148" s="4" t="s">
        <v>4307</v>
      </c>
      <c r="J148" s="4"/>
      <c r="K148" s="4"/>
    </row>
    <row r="149" ht="16" customHeight="1" s="4" customFormat="1">
      <c r="A149" s="4" t="s">
        <v>3761</v>
      </c>
      <c r="B149" s="4" t="s">
        <v>3346</v>
      </c>
      <c r="C149" s="4" t="s">
        <v>4311</v>
      </c>
      <c r="D149" s="4"/>
      <c r="E149" s="4"/>
      <c r="F149" s="4" t="s">
        <v>4305</v>
      </c>
      <c r="G149" s="4" t="s">
        <v>10</v>
      </c>
      <c r="H149" s="4" t="s">
        <v>4310</v>
      </c>
      <c r="I149" s="4" t="s">
        <v>4307</v>
      </c>
      <c r="J149" s="4"/>
      <c r="K149" s="4"/>
    </row>
    <row r="150" ht="16" customHeight="1" s="4" customFormat="1">
      <c r="A150" s="4" t="s">
        <v>3761</v>
      </c>
      <c r="B150" s="4" t="s">
        <v>3346</v>
      </c>
      <c r="C150" s="4" t="s">
        <v>4312</v>
      </c>
      <c r="D150" s="4"/>
      <c r="E150" s="4"/>
      <c r="F150" s="4" t="s">
        <v>4305</v>
      </c>
      <c r="G150" s="4" t="s">
        <v>10</v>
      </c>
      <c r="H150" s="4" t="s">
        <v>4310</v>
      </c>
      <c r="I150" s="4" t="s">
        <v>4307</v>
      </c>
      <c r="J150" s="4"/>
      <c r="K150" s="4"/>
    </row>
    <row r="151" ht="16" customHeight="1" s="4" customFormat="1">
      <c r="A151" s="4" t="s">
        <v>3761</v>
      </c>
      <c r="B151" s="4" t="s">
        <v>3346</v>
      </c>
      <c r="C151" s="4" t="s">
        <v>4313</v>
      </c>
      <c r="D151" s="4"/>
      <c r="E151" s="4"/>
      <c r="F151" s="4" t="s">
        <v>4305</v>
      </c>
      <c r="G151" s="4" t="s">
        <v>10</v>
      </c>
      <c r="H151" s="4" t="s">
        <v>4310</v>
      </c>
      <c r="I151" s="4" t="s">
        <v>4307</v>
      </c>
      <c r="J151" s="4"/>
      <c r="K151" s="4"/>
    </row>
    <row r="152" ht="16" customHeight="1" s="4" customFormat="1">
      <c r="A152" s="4" t="s">
        <v>3761</v>
      </c>
      <c r="B152" s="4" t="s">
        <v>3346</v>
      </c>
      <c r="C152" s="4" t="s">
        <v>4314</v>
      </c>
      <c r="D152" s="4"/>
      <c r="E152" s="4"/>
      <c r="F152" s="4" t="s">
        <v>4305</v>
      </c>
      <c r="G152" s="4" t="s">
        <v>10</v>
      </c>
      <c r="H152" s="4" t="s">
        <v>4310</v>
      </c>
      <c r="I152" s="4" t="s">
        <v>4307</v>
      </c>
      <c r="J152" s="4"/>
      <c r="K152" s="4"/>
    </row>
    <row r="153" ht="16" customHeight="1" s="4" customFormat="1">
      <c r="A153" s="4" t="s">
        <v>3761</v>
      </c>
      <c r="B153" s="4" t="s">
        <v>3346</v>
      </c>
      <c r="C153" s="4" t="s">
        <v>4315</v>
      </c>
      <c r="D153" s="4"/>
      <c r="E153" s="4"/>
      <c r="F153" s="4" t="s">
        <v>4305</v>
      </c>
      <c r="G153" s="4" t="s">
        <v>10</v>
      </c>
      <c r="H153" s="4" t="s">
        <v>4310</v>
      </c>
      <c r="I153" s="4" t="s">
        <v>4307</v>
      </c>
      <c r="J153" s="4"/>
      <c r="K153" s="4"/>
    </row>
    <row r="154" ht="16" customHeight="1" s="4" customFormat="1">
      <c r="A154" s="4" t="s">
        <v>3752</v>
      </c>
      <c r="B154" s="4" t="s">
        <v>3346</v>
      </c>
      <c r="C154" s="4" t="s">
        <v>4316</v>
      </c>
      <c r="D154" s="4"/>
      <c r="E154" s="4"/>
      <c r="F154" s="4" t="s">
        <v>4317</v>
      </c>
      <c r="G154" s="4" t="s">
        <v>10</v>
      </c>
      <c r="H154" s="4" t="s">
        <v>4303</v>
      </c>
      <c r="I154" s="4" t="s">
        <v>4301</v>
      </c>
      <c r="J154" s="4"/>
      <c r="K154" s="4"/>
    </row>
    <row r="155" ht="16" customHeight="1" s="4" customFormat="1">
      <c r="A155" s="4" t="s">
        <v>3752</v>
      </c>
      <c r="B155" s="4" t="s">
        <v>3346</v>
      </c>
      <c r="C155" s="4" t="s">
        <v>4318</v>
      </c>
      <c r="D155" s="4"/>
      <c r="E155" s="4"/>
      <c r="F155" s="4" t="s">
        <v>4317</v>
      </c>
      <c r="G155" s="4" t="s">
        <v>10</v>
      </c>
      <c r="H155" s="4" t="s">
        <v>4303</v>
      </c>
      <c r="I155" s="4" t="s">
        <v>4301</v>
      </c>
      <c r="J155" s="4"/>
      <c r="K155" s="4"/>
    </row>
    <row r="156" ht="16" customHeight="1" s="4" customFormat="1">
      <c r="A156" s="4" t="s">
        <v>3752</v>
      </c>
      <c r="B156" s="4" t="s">
        <v>3346</v>
      </c>
      <c r="C156" s="4" t="s">
        <v>4319</v>
      </c>
      <c r="D156" s="4"/>
      <c r="E156" s="4"/>
      <c r="F156" s="4" t="s">
        <v>4320</v>
      </c>
      <c r="G156" s="4" t="s">
        <v>10</v>
      </c>
      <c r="H156" s="4" t="s">
        <v>4297</v>
      </c>
      <c r="I156" s="4" t="s">
        <v>3690</v>
      </c>
      <c r="J156" s="4"/>
      <c r="K156" s="4"/>
    </row>
    <row r="157" ht="16" customHeight="1" s="4" customFormat="1">
      <c r="A157" s="4" t="s">
        <v>3752</v>
      </c>
      <c r="B157" s="4" t="s">
        <v>3346</v>
      </c>
      <c r="C157" s="4" t="s">
        <v>4321</v>
      </c>
      <c r="D157" s="4"/>
      <c r="E157" s="4"/>
      <c r="F157" s="4" t="s">
        <v>4320</v>
      </c>
      <c r="G157" s="4" t="s">
        <v>10</v>
      </c>
      <c r="H157" s="4" t="s">
        <v>4297</v>
      </c>
      <c r="I157" s="4" t="s">
        <v>3690</v>
      </c>
      <c r="J157" s="4"/>
      <c r="K157" s="4"/>
    </row>
    <row r="158" ht="16" customHeight="1" s="4" customFormat="1">
      <c r="A158" s="4" t="s">
        <v>3761</v>
      </c>
      <c r="B158" s="4" t="s">
        <v>3390</v>
      </c>
      <c r="C158" s="4" t="s">
        <v>4322</v>
      </c>
      <c r="D158" s="4"/>
      <c r="E158" s="4"/>
      <c r="F158" s="4" t="s">
        <v>4323</v>
      </c>
      <c r="G158" s="4" t="s">
        <v>10</v>
      </c>
      <c r="H158" s="4" t="s">
        <v>4324</v>
      </c>
      <c r="I158" s="4" t="s">
        <v>4215</v>
      </c>
      <c r="J158" s="4"/>
      <c r="K158" s="4"/>
    </row>
    <row r="159" ht="16" customHeight="1" s="4" customFormat="1">
      <c r="A159" s="4" t="s">
        <v>3761</v>
      </c>
      <c r="B159" s="4" t="s">
        <v>3390</v>
      </c>
      <c r="C159" s="4" t="s">
        <v>4325</v>
      </c>
      <c r="D159" s="4"/>
      <c r="E159" s="4"/>
      <c r="F159" s="4" t="s">
        <v>4326</v>
      </c>
      <c r="G159" s="4" t="s">
        <v>10</v>
      </c>
      <c r="H159" s="4" t="s">
        <v>4327</v>
      </c>
      <c r="I159" s="4" t="s">
        <v>3478</v>
      </c>
      <c r="J159" s="4"/>
      <c r="K159" s="4"/>
    </row>
    <row r="160" ht="16" customHeight="1" s="4" customFormat="1">
      <c r="A160" s="4" t="s">
        <v>3761</v>
      </c>
      <c r="B160" s="4" t="s">
        <v>3390</v>
      </c>
      <c r="C160" s="4" t="s">
        <v>4328</v>
      </c>
      <c r="D160" s="4"/>
      <c r="E160" s="4"/>
      <c r="F160" s="4" t="s">
        <v>4329</v>
      </c>
      <c r="G160" s="4" t="s">
        <v>10</v>
      </c>
      <c r="H160" s="4" t="s">
        <v>4330</v>
      </c>
      <c r="I160" s="4" t="s">
        <v>3558</v>
      </c>
      <c r="J160" s="4"/>
      <c r="K160" s="4"/>
    </row>
    <row r="161" ht="16" customHeight="1" s="4" customFormat="1">
      <c r="A161" s="4" t="s">
        <v>3761</v>
      </c>
      <c r="B161" s="4" t="s">
        <v>3390</v>
      </c>
      <c r="C161" s="4" t="s">
        <v>4328</v>
      </c>
      <c r="D161" s="4"/>
      <c r="E161" s="4"/>
      <c r="F161" s="4" t="s">
        <v>4329</v>
      </c>
      <c r="G161" s="4" t="s">
        <v>10</v>
      </c>
      <c r="H161" s="4" t="s">
        <v>4331</v>
      </c>
      <c r="I161" s="4" t="s">
        <v>4142</v>
      </c>
      <c r="J161" s="4"/>
      <c r="K161" s="4"/>
    </row>
    <row r="162" ht="16" customHeight="1" s="4" customFormat="1">
      <c r="A162" s="4" t="s">
        <v>3761</v>
      </c>
      <c r="B162" s="4" t="s">
        <v>3390</v>
      </c>
      <c r="C162" s="4" t="s">
        <v>4146</v>
      </c>
      <c r="D162" s="4"/>
      <c r="E162" s="4"/>
      <c r="F162" s="4" t="s">
        <v>4332</v>
      </c>
      <c r="G162" s="4" t="s">
        <v>10</v>
      </c>
      <c r="H162" s="4" t="s">
        <v>4333</v>
      </c>
      <c r="I162" s="4" t="s">
        <v>4155</v>
      </c>
      <c r="J162" s="4"/>
      <c r="K162" s="4"/>
    </row>
    <row r="163" ht="16" customHeight="1" s="4" customFormat="1">
      <c r="A163" s="4" t="s">
        <v>3761</v>
      </c>
      <c r="B163" s="4" t="s">
        <v>3390</v>
      </c>
      <c r="C163" s="4" t="s">
        <v>4173</v>
      </c>
      <c r="D163" s="4"/>
      <c r="E163" s="4"/>
      <c r="F163" s="4" t="s">
        <v>4334</v>
      </c>
      <c r="G163" s="4" t="s">
        <v>10</v>
      </c>
      <c r="H163" s="4" t="s">
        <v>4335</v>
      </c>
      <c r="I163" s="4" t="s">
        <v>4188</v>
      </c>
      <c r="J163" s="4"/>
      <c r="K163" s="4"/>
    </row>
    <row r="164" ht="16" customHeight="1" s="4" customFormat="1">
      <c r="A164" s="4" t="s">
        <v>3761</v>
      </c>
      <c r="B164" s="4" t="s">
        <v>3390</v>
      </c>
      <c r="C164" s="4" t="s">
        <v>4336</v>
      </c>
      <c r="D164" s="4"/>
      <c r="E164" s="4"/>
      <c r="F164" s="4" t="s">
        <v>4337</v>
      </c>
      <c r="G164" s="4" t="s">
        <v>10</v>
      </c>
      <c r="H164" s="4" t="s">
        <v>4338</v>
      </c>
      <c r="I164" s="4" t="s">
        <v>4339</v>
      </c>
      <c r="J164" s="4"/>
      <c r="K164" s="4"/>
    </row>
    <row r="165" ht="16" customHeight="1" s="4" customFormat="1">
      <c r="A165" s="4" t="s">
        <v>3761</v>
      </c>
      <c r="B165" s="4" t="s">
        <v>3390</v>
      </c>
      <c r="C165" s="4" t="s">
        <v>4340</v>
      </c>
      <c r="D165" s="4"/>
      <c r="E165" s="4"/>
      <c r="F165" s="4" t="s">
        <v>4341</v>
      </c>
      <c r="G165" s="4" t="s">
        <v>10</v>
      </c>
      <c r="H165" s="4" t="s">
        <v>4342</v>
      </c>
      <c r="I165" s="4" t="s">
        <v>4343</v>
      </c>
      <c r="J165" s="4"/>
      <c r="K165" s="4"/>
    </row>
    <row r="166" ht="16" customHeight="1" s="4" customFormat="1">
      <c r="A166" s="4" t="s">
        <v>3761</v>
      </c>
      <c r="B166" s="4" t="s">
        <v>3390</v>
      </c>
      <c r="C166" s="4" t="s">
        <v>4344</v>
      </c>
      <c r="D166" s="4"/>
      <c r="E166" s="4"/>
      <c r="F166" s="4" t="s">
        <v>4345</v>
      </c>
      <c r="G166" s="4" t="s">
        <v>10</v>
      </c>
      <c r="H166" s="4" t="s">
        <v>4346</v>
      </c>
      <c r="I166" s="4" t="s">
        <v>4347</v>
      </c>
      <c r="J166" s="4"/>
      <c r="K166" s="4"/>
    </row>
    <row r="167" ht="16" customHeight="1" s="4" customFormat="1">
      <c r="A167" s="4" t="s">
        <v>3761</v>
      </c>
      <c r="B167" s="4" t="s">
        <v>3390</v>
      </c>
      <c r="C167" s="4" t="s">
        <v>4348</v>
      </c>
      <c r="D167" s="4"/>
      <c r="E167" s="4"/>
      <c r="F167" s="4" t="s">
        <v>4349</v>
      </c>
      <c r="G167" s="4" t="s">
        <v>10</v>
      </c>
      <c r="H167" s="4" t="s">
        <v>4350</v>
      </c>
      <c r="I167" s="4" t="s">
        <v>4238</v>
      </c>
      <c r="J167" s="4"/>
      <c r="K167" s="4"/>
    </row>
    <row r="168" ht="16" customHeight="1" s="4" customFormat="1">
      <c r="A168" s="4" t="s">
        <v>3761</v>
      </c>
      <c r="B168" s="4" t="s">
        <v>3390</v>
      </c>
      <c r="C168" s="4" t="s">
        <v>4351</v>
      </c>
      <c r="D168" s="4"/>
      <c r="E168" s="4"/>
      <c r="F168" s="4" t="s">
        <v>4337</v>
      </c>
      <c r="G168" s="4" t="s">
        <v>10</v>
      </c>
      <c r="H168" s="4" t="s">
        <v>4352</v>
      </c>
      <c r="I168" s="4" t="s">
        <v>4347</v>
      </c>
      <c r="J168" s="4"/>
      <c r="K168" s="4"/>
    </row>
    <row r="169" ht="16" customHeight="1" s="4" customFormat="1">
      <c r="A169" s="4" t="s">
        <v>3761</v>
      </c>
      <c r="B169" s="4" t="s">
        <v>3390</v>
      </c>
      <c r="C169" s="4" t="s">
        <v>4353</v>
      </c>
      <c r="D169" s="4"/>
      <c r="E169" s="4" t="s">
        <v>4354</v>
      </c>
      <c r="F169" s="4" t="s">
        <v>4355</v>
      </c>
      <c r="G169" s="4" t="s">
        <v>10</v>
      </c>
      <c r="H169" s="4" t="s">
        <v>4356</v>
      </c>
      <c r="I169" s="4" t="s">
        <v>4263</v>
      </c>
      <c r="J169" s="4"/>
      <c r="K169" s="4"/>
    </row>
    <row r="170" ht="16" customHeight="1" s="4" customFormat="1">
      <c r="A170" s="4" t="s">
        <v>3761</v>
      </c>
      <c r="B170" s="4" t="s">
        <v>3390</v>
      </c>
      <c r="C170" s="4" t="s">
        <v>4357</v>
      </c>
      <c r="D170" s="4"/>
      <c r="E170" s="4"/>
      <c r="F170" s="4" t="s">
        <v>4358</v>
      </c>
      <c r="G170" s="4" t="s">
        <v>10</v>
      </c>
      <c r="H170" s="4" t="s">
        <v>4359</v>
      </c>
      <c r="I170" s="4" t="s">
        <v>4360</v>
      </c>
      <c r="J170" s="4"/>
      <c r="K170" s="4"/>
    </row>
    <row r="171" ht="16" customHeight="1" s="4" customFormat="1">
      <c r="A171" s="4" t="s">
        <v>3761</v>
      </c>
      <c r="B171" s="4" t="s">
        <v>3390</v>
      </c>
      <c r="C171" s="4" t="s">
        <v>4361</v>
      </c>
      <c r="D171" s="4"/>
      <c r="E171" s="4"/>
      <c r="F171" s="4" t="s">
        <v>4362</v>
      </c>
      <c r="G171" s="4" t="s">
        <v>10</v>
      </c>
      <c r="H171" s="4" t="s">
        <v>4363</v>
      </c>
      <c r="I171" s="4" t="s">
        <v>4364</v>
      </c>
      <c r="J171" s="4"/>
      <c r="K171" s="4"/>
    </row>
    <row r="172" ht="16" customHeight="1" s="4" customFormat="1">
      <c r="A172" s="4" t="s">
        <v>3761</v>
      </c>
      <c r="B172" s="4" t="s">
        <v>3390</v>
      </c>
      <c r="C172" s="4" t="s">
        <v>4365</v>
      </c>
      <c r="D172" s="4"/>
      <c r="E172" s="4"/>
      <c r="F172" s="4" t="s">
        <v>4366</v>
      </c>
      <c r="G172" s="4" t="s">
        <v>10</v>
      </c>
      <c r="H172" s="4" t="s">
        <v>4367</v>
      </c>
      <c r="I172" s="4" t="s">
        <v>4368</v>
      </c>
      <c r="J172" s="4"/>
      <c r="K172" s="4"/>
    </row>
    <row r="173" ht="16" customHeight="1" s="4" customFormat="1">
      <c r="A173" s="4" t="s">
        <v>3761</v>
      </c>
      <c r="B173" s="4" t="s">
        <v>3390</v>
      </c>
      <c r="C173" s="4" t="s">
        <v>4369</v>
      </c>
      <c r="D173" s="4"/>
      <c r="E173" s="4"/>
      <c r="F173" s="4" t="s">
        <v>4370</v>
      </c>
      <c r="G173" s="4" t="s">
        <v>10</v>
      </c>
      <c r="H173" s="4" t="s">
        <v>4371</v>
      </c>
      <c r="I173" s="4" t="s">
        <v>3844</v>
      </c>
      <c r="J173" s="4"/>
      <c r="K173" s="4"/>
    </row>
    <row r="174" ht="16" customHeight="1" s="4" customFormat="1">
      <c r="A174" s="4" t="s">
        <v>3761</v>
      </c>
      <c r="B174" s="4" t="s">
        <v>3390</v>
      </c>
      <c r="C174" s="4" t="s">
        <v>4372</v>
      </c>
      <c r="D174" s="4"/>
      <c r="E174" s="4"/>
      <c r="F174" s="4" t="s">
        <v>4373</v>
      </c>
      <c r="G174" s="4" t="s">
        <v>10</v>
      </c>
      <c r="H174" s="4" t="s">
        <v>4374</v>
      </c>
      <c r="I174" s="4" t="s">
        <v>4375</v>
      </c>
      <c r="J174" s="4"/>
      <c r="K174" s="4"/>
    </row>
    <row r="175" ht="16" customHeight="1" s="4" customFormat="1">
      <c r="A175" s="4" t="s">
        <v>3761</v>
      </c>
      <c r="B175" s="4" t="s">
        <v>3390</v>
      </c>
      <c r="C175" s="4" t="s">
        <v>4376</v>
      </c>
      <c r="D175" s="4"/>
      <c r="E175" s="4"/>
      <c r="F175" s="4" t="s">
        <v>4377</v>
      </c>
      <c r="G175" s="4" t="s">
        <v>10</v>
      </c>
      <c r="H175" s="4" t="s">
        <v>4378</v>
      </c>
      <c r="I175" s="4" t="s">
        <v>4379</v>
      </c>
      <c r="J175" s="4"/>
      <c r="K175" s="4"/>
    </row>
    <row r="176" ht="16" customHeight="1" s="4" customFormat="1">
      <c r="A176" s="4" t="s">
        <v>3761</v>
      </c>
      <c r="B176" s="4" t="s">
        <v>3390</v>
      </c>
      <c r="C176" s="4" t="s">
        <v>4380</v>
      </c>
      <c r="D176" s="4"/>
      <c r="E176" s="4"/>
      <c r="F176" s="4" t="s">
        <v>4381</v>
      </c>
      <c r="G176" s="4" t="s">
        <v>10</v>
      </c>
      <c r="H176" s="4" t="s">
        <v>4382</v>
      </c>
      <c r="I176" s="4" t="s">
        <v>3464</v>
      </c>
      <c r="J176" s="4"/>
      <c r="K176" s="4"/>
    </row>
    <row r="177" ht="16" customHeight="1" s="4" customFormat="1">
      <c r="A177" s="4" t="s">
        <v>3761</v>
      </c>
      <c r="B177" s="4" t="s">
        <v>3390</v>
      </c>
      <c r="C177" s="4" t="s">
        <v>4383</v>
      </c>
      <c r="D177" s="4"/>
      <c r="E177" s="4"/>
      <c r="F177" s="4" t="s">
        <v>4384</v>
      </c>
      <c r="G177" s="4" t="s">
        <v>10</v>
      </c>
      <c r="H177" s="4" t="s">
        <v>4385</v>
      </c>
      <c r="I177" s="4" t="s">
        <v>3471</v>
      </c>
      <c r="J177" s="4"/>
      <c r="K177" s="4"/>
    </row>
    <row r="178" ht="16" customHeight="1" s="4" customFormat="1">
      <c r="A178" s="4" t="s">
        <v>3819</v>
      </c>
      <c r="B178" s="4" t="s">
        <v>3346</v>
      </c>
      <c r="C178" s="4" t="s">
        <v>4386</v>
      </c>
      <c r="D178" s="4"/>
      <c r="E178" s="4" t="s">
        <v>4292</v>
      </c>
      <c r="F178" s="4" t="s">
        <v>4293</v>
      </c>
      <c r="G178" s="4" t="s">
        <v>10</v>
      </c>
      <c r="H178" s="4" t="s">
        <v>4387</v>
      </c>
      <c r="I178" s="4" t="s">
        <v>4004</v>
      </c>
      <c r="J178" s="4"/>
      <c r="K178" s="4"/>
    </row>
    <row r="179" ht="16" customHeight="1" s="4" customFormat="1">
      <c r="A179" s="4" t="s">
        <v>3819</v>
      </c>
      <c r="B179" s="4" t="s">
        <v>3346</v>
      </c>
      <c r="C179" s="4" t="s">
        <v>4386</v>
      </c>
      <c r="D179" s="4"/>
      <c r="E179" s="4" t="s">
        <v>4292</v>
      </c>
      <c r="F179" s="4" t="s">
        <v>4293</v>
      </c>
      <c r="G179" s="4" t="s">
        <v>10</v>
      </c>
      <c r="H179" s="4" t="s">
        <v>4388</v>
      </c>
      <c r="I179" s="4" t="s">
        <v>4000</v>
      </c>
      <c r="J179" s="4"/>
      <c r="K179" s="4"/>
    </row>
    <row r="180" ht="16" customHeight="1" s="4" customFormat="1">
      <c r="A180" s="4" t="s">
        <v>3819</v>
      </c>
      <c r="B180" s="4" t="s">
        <v>3346</v>
      </c>
      <c r="C180" s="4" t="s">
        <v>4386</v>
      </c>
      <c r="D180" s="4"/>
      <c r="E180" s="4" t="s">
        <v>4292</v>
      </c>
      <c r="F180" s="4" t="s">
        <v>4293</v>
      </c>
      <c r="G180" s="4" t="s">
        <v>10</v>
      </c>
      <c r="H180" s="4" t="s">
        <v>4389</v>
      </c>
      <c r="I180" s="4" t="s">
        <v>4002</v>
      </c>
      <c r="J180" s="4"/>
      <c r="K180" s="4"/>
    </row>
    <row r="181" ht="16" customHeight="1" s="4" customFormat="1">
      <c r="A181" s="4" t="s">
        <v>3819</v>
      </c>
      <c r="B181" s="4" t="s">
        <v>3346</v>
      </c>
      <c r="C181" s="4" t="s">
        <v>4386</v>
      </c>
      <c r="D181" s="4"/>
      <c r="E181" s="4" t="s">
        <v>4292</v>
      </c>
      <c r="F181" s="4" t="s">
        <v>4293</v>
      </c>
      <c r="G181" s="4" t="s">
        <v>10</v>
      </c>
      <c r="H181" s="4" t="s">
        <v>4390</v>
      </c>
      <c r="I181" s="4" t="s">
        <v>3996</v>
      </c>
      <c r="J181" s="4"/>
      <c r="K181" s="4"/>
    </row>
    <row r="182" ht="16" customHeight="1" s="4" customFormat="1">
      <c r="A182" s="4" t="s">
        <v>3819</v>
      </c>
      <c r="B182" s="4" t="s">
        <v>3346</v>
      </c>
      <c r="C182" s="4" t="s">
        <v>4391</v>
      </c>
      <c r="D182" s="4"/>
      <c r="E182" s="4"/>
      <c r="F182" s="4" t="s">
        <v>4392</v>
      </c>
      <c r="G182" s="4" t="s">
        <v>10</v>
      </c>
      <c r="H182" s="4" t="s">
        <v>4393</v>
      </c>
      <c r="I182" s="4" t="s">
        <v>4394</v>
      </c>
      <c r="J182" s="4"/>
      <c r="K182" s="4"/>
    </row>
    <row r="183" ht="16" customHeight="1" s="4" customFormat="1">
      <c r="A183" s="4" t="s">
        <v>3819</v>
      </c>
      <c r="B183" s="4" t="s">
        <v>3346</v>
      </c>
      <c r="C183" s="4" t="s">
        <v>4295</v>
      </c>
      <c r="D183" s="4"/>
      <c r="E183" s="4"/>
      <c r="F183" s="4" t="s">
        <v>4296</v>
      </c>
      <c r="G183" s="4" t="s">
        <v>10</v>
      </c>
      <c r="H183" s="4" t="s">
        <v>4395</v>
      </c>
      <c r="I183" s="4" t="s">
        <v>4396</v>
      </c>
      <c r="J183" s="4"/>
      <c r="K183" s="4"/>
    </row>
    <row r="184" ht="16" customHeight="1" s="4" customFormat="1">
      <c r="A184" s="4" t="s">
        <v>3819</v>
      </c>
      <c r="B184" s="4" t="s">
        <v>3346</v>
      </c>
      <c r="C184" s="4" t="s">
        <v>4295</v>
      </c>
      <c r="D184" s="4"/>
      <c r="E184" s="4"/>
      <c r="F184" s="4" t="s">
        <v>4397</v>
      </c>
      <c r="G184" s="4" t="s">
        <v>10</v>
      </c>
      <c r="H184" s="4" t="s">
        <v>4398</v>
      </c>
      <c r="I184" s="4" t="s">
        <v>4399</v>
      </c>
      <c r="J184" s="4"/>
      <c r="K184" s="4"/>
    </row>
    <row r="185" ht="16" customHeight="1" s="4" customFormat="1">
      <c r="A185" s="4" t="s">
        <v>3819</v>
      </c>
      <c r="B185" s="4" t="s">
        <v>3346</v>
      </c>
      <c r="C185" s="4" t="s">
        <v>4298</v>
      </c>
      <c r="D185" s="4"/>
      <c r="E185" s="4"/>
      <c r="F185" s="4" t="s">
        <v>4400</v>
      </c>
      <c r="G185" s="4" t="s">
        <v>10</v>
      </c>
      <c r="H185" s="4" t="s">
        <v>4401</v>
      </c>
      <c r="I185" s="4" t="s">
        <v>4402</v>
      </c>
      <c r="J185" s="4"/>
      <c r="K185" s="4"/>
    </row>
    <row r="186" ht="16" customHeight="1" s="4" customFormat="1">
      <c r="A186" s="4" t="s">
        <v>3819</v>
      </c>
      <c r="B186" s="4" t="s">
        <v>3346</v>
      </c>
      <c r="C186" s="4" t="s">
        <v>4298</v>
      </c>
      <c r="D186" s="4"/>
      <c r="E186" s="4"/>
      <c r="F186" s="4" t="s">
        <v>4400</v>
      </c>
      <c r="G186" s="4" t="s">
        <v>10</v>
      </c>
      <c r="H186" s="4" t="s">
        <v>4403</v>
      </c>
      <c r="I186" s="4" t="s">
        <v>4404</v>
      </c>
      <c r="J186" s="4"/>
      <c r="K186" s="4"/>
    </row>
    <row r="187" ht="16" customHeight="1" s="4" customFormat="1">
      <c r="A187" s="4" t="s">
        <v>3819</v>
      </c>
      <c r="B187" s="4" t="s">
        <v>3346</v>
      </c>
      <c r="C187" s="4" t="s">
        <v>4298</v>
      </c>
      <c r="D187" s="4"/>
      <c r="E187" s="4"/>
      <c r="F187" s="4" t="s">
        <v>4400</v>
      </c>
      <c r="G187" s="4" t="s">
        <v>10</v>
      </c>
      <c r="H187" s="4" t="s">
        <v>4405</v>
      </c>
      <c r="I187" s="4" t="s">
        <v>4406</v>
      </c>
      <c r="J187" s="4"/>
      <c r="K187" s="4"/>
    </row>
    <row r="188" ht="16" customHeight="1" s="4" customFormat="1">
      <c r="A188" s="4" t="s">
        <v>3819</v>
      </c>
      <c r="B188" s="4" t="s">
        <v>3346</v>
      </c>
      <c r="C188" s="4" t="s">
        <v>4298</v>
      </c>
      <c r="D188" s="4"/>
      <c r="E188" s="4"/>
      <c r="F188" s="4" t="s">
        <v>4400</v>
      </c>
      <c r="G188" s="4" t="s">
        <v>10</v>
      </c>
      <c r="H188" s="4" t="s">
        <v>4407</v>
      </c>
      <c r="I188" s="4" t="s">
        <v>4408</v>
      </c>
      <c r="J188" s="4"/>
      <c r="K188" s="4"/>
    </row>
    <row r="189" ht="16" customHeight="1" s="4" customFormat="1">
      <c r="A189" s="4" t="s">
        <v>3819</v>
      </c>
      <c r="B189" s="4" t="s">
        <v>3346</v>
      </c>
      <c r="C189" s="4" t="s">
        <v>4298</v>
      </c>
      <c r="D189" s="4"/>
      <c r="E189" s="4"/>
      <c r="F189" s="4" t="s">
        <v>4400</v>
      </c>
      <c r="G189" s="4" t="s">
        <v>10</v>
      </c>
      <c r="H189" s="4" t="s">
        <v>4409</v>
      </c>
      <c r="I189" s="4" t="s">
        <v>4410</v>
      </c>
      <c r="J189" s="4"/>
      <c r="K189" s="4"/>
    </row>
    <row r="190" ht="16" customHeight="1" s="4" customFormat="1">
      <c r="A190" s="4" t="s">
        <v>3819</v>
      </c>
      <c r="B190" s="4" t="s">
        <v>3346</v>
      </c>
      <c r="C190" s="4" t="s">
        <v>4298</v>
      </c>
      <c r="D190" s="4"/>
      <c r="E190" s="4"/>
      <c r="F190" s="4" t="s">
        <v>4299</v>
      </c>
      <c r="G190" s="4" t="s">
        <v>10</v>
      </c>
      <c r="H190" s="4" t="s">
        <v>4411</v>
      </c>
      <c r="I190" s="4" t="s">
        <v>4412</v>
      </c>
      <c r="J190" s="4"/>
      <c r="K190" s="4"/>
    </row>
    <row r="191" ht="16" customHeight="1" s="4" customFormat="1">
      <c r="A191" s="4" t="s">
        <v>3819</v>
      </c>
      <c r="B191" s="4" t="s">
        <v>3346</v>
      </c>
      <c r="C191" s="4" t="s">
        <v>4298</v>
      </c>
      <c r="D191" s="4"/>
      <c r="E191" s="4"/>
      <c r="F191" s="4" t="s">
        <v>4299</v>
      </c>
      <c r="G191" s="4" t="s">
        <v>10</v>
      </c>
      <c r="H191" s="4" t="s">
        <v>4413</v>
      </c>
      <c r="I191" s="4" t="s">
        <v>4414</v>
      </c>
      <c r="J191" s="4"/>
      <c r="K191" s="4"/>
    </row>
    <row r="192" ht="16" customHeight="1" s="4" customFormat="1">
      <c r="A192" s="4" t="s">
        <v>3819</v>
      </c>
      <c r="B192" s="4" t="s">
        <v>3346</v>
      </c>
      <c r="C192" s="4" t="s">
        <v>4298</v>
      </c>
      <c r="D192" s="4"/>
      <c r="E192" s="4"/>
      <c r="F192" s="4" t="s">
        <v>4299</v>
      </c>
      <c r="G192" s="4" t="s">
        <v>10</v>
      </c>
      <c r="H192" s="4" t="s">
        <v>4415</v>
      </c>
      <c r="I192" s="4" t="s">
        <v>4416</v>
      </c>
      <c r="J192" s="4"/>
      <c r="K192" s="4"/>
    </row>
    <row r="193" ht="16" customHeight="1" s="4" customFormat="1">
      <c r="A193" s="4" t="s">
        <v>3819</v>
      </c>
      <c r="B193" s="4" t="s">
        <v>3346</v>
      </c>
      <c r="C193" s="4" t="s">
        <v>4298</v>
      </c>
      <c r="D193" s="4"/>
      <c r="E193" s="4"/>
      <c r="F193" s="4" t="s">
        <v>4299</v>
      </c>
      <c r="G193" s="4" t="s">
        <v>10</v>
      </c>
      <c r="H193" s="4" t="s">
        <v>4417</v>
      </c>
      <c r="I193" s="4" t="s">
        <v>3652</v>
      </c>
      <c r="J193" s="4"/>
      <c r="K193" s="4"/>
    </row>
    <row r="194" ht="16" customHeight="1" s="4" customFormat="1">
      <c r="A194" s="4" t="s">
        <v>3819</v>
      </c>
      <c r="B194" s="4" t="s">
        <v>3346</v>
      </c>
      <c r="C194" s="4" t="s">
        <v>4298</v>
      </c>
      <c r="D194" s="4"/>
      <c r="E194" s="4"/>
      <c r="F194" s="4" t="s">
        <v>4299</v>
      </c>
      <c r="G194" s="4" t="s">
        <v>10</v>
      </c>
      <c r="H194" s="4" t="s">
        <v>4418</v>
      </c>
      <c r="I194" s="4" t="s">
        <v>4043</v>
      </c>
      <c r="J194" s="4"/>
      <c r="K194" s="4"/>
    </row>
    <row r="195" ht="16" customHeight="1" s="4" customFormat="1">
      <c r="A195" s="4" t="s">
        <v>3819</v>
      </c>
      <c r="B195" s="4" t="s">
        <v>3346</v>
      </c>
      <c r="C195" s="4" t="s">
        <v>4419</v>
      </c>
      <c r="D195" s="4"/>
      <c r="E195" s="4"/>
      <c r="F195" s="4" t="s">
        <v>4420</v>
      </c>
      <c r="G195" s="4" t="s">
        <v>10</v>
      </c>
      <c r="H195" s="4" t="s">
        <v>4421</v>
      </c>
      <c r="I195" s="4" t="s">
        <v>3979</v>
      </c>
      <c r="J195" s="4"/>
      <c r="K195" s="4"/>
    </row>
    <row r="196" ht="16" customHeight="1" s="4" customFormat="1">
      <c r="A196" s="4" t="s">
        <v>3819</v>
      </c>
      <c r="B196" s="4" t="s">
        <v>3346</v>
      </c>
      <c r="C196" s="4" t="s">
        <v>4422</v>
      </c>
      <c r="D196" s="4"/>
      <c r="E196" s="4"/>
      <c r="F196" s="4" t="s">
        <v>4423</v>
      </c>
      <c r="G196" s="4" t="s">
        <v>10</v>
      </c>
      <c r="H196" s="4" t="s">
        <v>4424</v>
      </c>
      <c r="I196" s="4" t="s">
        <v>3959</v>
      </c>
      <c r="J196" s="4"/>
      <c r="K196" s="4"/>
    </row>
    <row r="197" ht="16" customHeight="1" s="4" customFormat="1">
      <c r="A197" s="4" t="s">
        <v>3819</v>
      </c>
      <c r="B197" s="4" t="s">
        <v>3346</v>
      </c>
      <c r="C197" s="4" t="s">
        <v>4425</v>
      </c>
      <c r="D197" s="4"/>
      <c r="E197" s="4"/>
      <c r="F197" s="4" t="s">
        <v>4420</v>
      </c>
      <c r="G197" s="4" t="s">
        <v>10</v>
      </c>
      <c r="H197" s="4" t="s">
        <v>4426</v>
      </c>
      <c r="I197" s="4" t="s">
        <v>3987</v>
      </c>
      <c r="J197" s="4"/>
      <c r="K197" s="4"/>
    </row>
    <row r="198" ht="16" customHeight="1" s="4" customFormat="1">
      <c r="A198" s="4" t="s">
        <v>3819</v>
      </c>
      <c r="B198" s="4" t="s">
        <v>3346</v>
      </c>
      <c r="C198" s="4" t="s">
        <v>4427</v>
      </c>
      <c r="D198" s="4"/>
      <c r="E198" s="4"/>
      <c r="F198" s="4" t="s">
        <v>4420</v>
      </c>
      <c r="G198" s="4" t="s">
        <v>10</v>
      </c>
      <c r="H198" s="4" t="s">
        <v>4428</v>
      </c>
      <c r="I198" s="4" t="s">
        <v>3970</v>
      </c>
      <c r="J198" s="4"/>
      <c r="K198" s="4"/>
    </row>
    <row r="199" ht="16" customHeight="1" s="4" customFormat="1">
      <c r="A199" s="4" t="s">
        <v>3819</v>
      </c>
      <c r="B199" s="4" t="s">
        <v>3346</v>
      </c>
      <c r="C199" s="4" t="s">
        <v>4427</v>
      </c>
      <c r="D199" s="4"/>
      <c r="E199" s="4"/>
      <c r="F199" s="4" t="s">
        <v>4420</v>
      </c>
      <c r="G199" s="4" t="s">
        <v>10</v>
      </c>
      <c r="H199" s="4" t="s">
        <v>4429</v>
      </c>
      <c r="I199" s="4" t="s">
        <v>3502</v>
      </c>
      <c r="J199" s="4"/>
      <c r="K199" s="4"/>
    </row>
    <row r="200" ht="16" customHeight="1" s="4" customFormat="1">
      <c r="A200" s="4" t="s">
        <v>3819</v>
      </c>
      <c r="B200" s="4" t="s">
        <v>3346</v>
      </c>
      <c r="C200" s="4" t="s">
        <v>4427</v>
      </c>
      <c r="D200" s="4"/>
      <c r="E200" s="4"/>
      <c r="F200" s="4" t="s">
        <v>4420</v>
      </c>
      <c r="G200" s="4" t="s">
        <v>10</v>
      </c>
      <c r="H200" s="4" t="s">
        <v>4430</v>
      </c>
      <c r="I200" s="4" t="s">
        <v>3973</v>
      </c>
      <c r="J200" s="4"/>
      <c r="K200" s="4"/>
    </row>
    <row r="201" ht="16" customHeight="1" s="4" customFormat="1">
      <c r="A201" s="4" t="s">
        <v>3819</v>
      </c>
      <c r="B201" s="4" t="s">
        <v>3346</v>
      </c>
      <c r="C201" s="4" t="s">
        <v>4427</v>
      </c>
      <c r="D201" s="4"/>
      <c r="E201" s="4"/>
      <c r="F201" s="4" t="s">
        <v>4420</v>
      </c>
      <c r="G201" s="4" t="s">
        <v>10</v>
      </c>
      <c r="H201" s="4" t="s">
        <v>4431</v>
      </c>
      <c r="I201" s="4" t="s">
        <v>3975</v>
      </c>
      <c r="J201" s="4"/>
      <c r="K201" s="4"/>
    </row>
    <row r="202" ht="16" customHeight="1" s="4" customFormat="1">
      <c r="A202" s="4" t="s">
        <v>3819</v>
      </c>
      <c r="B202" s="4" t="s">
        <v>3346</v>
      </c>
      <c r="C202" s="4" t="s">
        <v>4427</v>
      </c>
      <c r="D202" s="4"/>
      <c r="E202" s="4"/>
      <c r="F202" s="4" t="s">
        <v>4420</v>
      </c>
      <c r="G202" s="4" t="s">
        <v>10</v>
      </c>
      <c r="H202" s="4" t="s">
        <v>4432</v>
      </c>
      <c r="I202" s="4" t="s">
        <v>4015</v>
      </c>
      <c r="J202" s="4"/>
      <c r="K202" s="4"/>
    </row>
    <row r="203" ht="16" customHeight="1" s="4" customFormat="1">
      <c r="A203" s="4" t="s">
        <v>3819</v>
      </c>
      <c r="B203" s="4" t="s">
        <v>3346</v>
      </c>
      <c r="C203" s="4" t="s">
        <v>4427</v>
      </c>
      <c r="D203" s="4"/>
      <c r="E203" s="4"/>
      <c r="F203" s="4" t="s">
        <v>4420</v>
      </c>
      <c r="G203" s="4" t="s">
        <v>10</v>
      </c>
      <c r="H203" s="4" t="s">
        <v>4433</v>
      </c>
      <c r="I203" s="4" t="s">
        <v>4019</v>
      </c>
      <c r="J203" s="4"/>
      <c r="K203" s="4"/>
    </row>
    <row r="204" ht="16" customHeight="1" s="4" customFormat="1">
      <c r="A204" s="4" t="s">
        <v>3819</v>
      </c>
      <c r="B204" s="4" t="s">
        <v>3346</v>
      </c>
      <c r="C204" s="4" t="s">
        <v>4427</v>
      </c>
      <c r="D204" s="4"/>
      <c r="E204" s="4"/>
      <c r="F204" s="4" t="s">
        <v>4420</v>
      </c>
      <c r="G204" s="4" t="s">
        <v>10</v>
      </c>
      <c r="H204" s="4" t="s">
        <v>4434</v>
      </c>
      <c r="I204" s="4" t="s">
        <v>4010</v>
      </c>
      <c r="J204" s="4"/>
      <c r="K204" s="4"/>
    </row>
    <row r="205" ht="16" customHeight="1" s="4" customFormat="1">
      <c r="A205" s="4" t="s">
        <v>3819</v>
      </c>
      <c r="B205" s="4" t="s">
        <v>3346</v>
      </c>
      <c r="C205" s="4" t="s">
        <v>4427</v>
      </c>
      <c r="D205" s="4"/>
      <c r="E205" s="4"/>
      <c r="F205" s="4" t="s">
        <v>4420</v>
      </c>
      <c r="G205" s="4" t="s">
        <v>10</v>
      </c>
      <c r="H205" s="4" t="s">
        <v>4435</v>
      </c>
      <c r="I205" s="4" t="s">
        <v>3433</v>
      </c>
      <c r="J205" s="4"/>
      <c r="K205" s="4"/>
    </row>
    <row r="206" ht="16" customHeight="1" s="4" customFormat="1">
      <c r="A206" s="4" t="s">
        <v>3819</v>
      </c>
      <c r="B206" s="4" t="s">
        <v>3346</v>
      </c>
      <c r="C206" s="4" t="s">
        <v>4427</v>
      </c>
      <c r="D206" s="4"/>
      <c r="E206" s="4"/>
      <c r="F206" s="4" t="s">
        <v>4420</v>
      </c>
      <c r="G206" s="4" t="s">
        <v>10</v>
      </c>
      <c r="H206" s="4" t="s">
        <v>4436</v>
      </c>
      <c r="I206" s="4" t="s">
        <v>4022</v>
      </c>
      <c r="J206" s="4"/>
      <c r="K206" s="4"/>
    </row>
    <row r="207" ht="16" customHeight="1" s="4" customFormat="1">
      <c r="A207" s="4" t="s">
        <v>3819</v>
      </c>
      <c r="B207" s="4" t="s">
        <v>3346</v>
      </c>
      <c r="C207" s="4" t="s">
        <v>4427</v>
      </c>
      <c r="D207" s="4"/>
      <c r="E207" s="4"/>
      <c r="F207" s="4" t="s">
        <v>4420</v>
      </c>
      <c r="G207" s="4" t="s">
        <v>10</v>
      </c>
      <c r="H207" s="4" t="s">
        <v>4437</v>
      </c>
      <c r="I207" s="4" t="s">
        <v>4438</v>
      </c>
      <c r="J207" s="4"/>
      <c r="K207" s="4"/>
    </row>
    <row r="208" ht="16" customHeight="1" s="4" customFormat="1">
      <c r="A208" s="4" t="s">
        <v>3819</v>
      </c>
      <c r="B208" s="4" t="s">
        <v>3346</v>
      </c>
      <c r="C208" s="4" t="s">
        <v>4439</v>
      </c>
      <c r="D208" s="4"/>
      <c r="E208" s="4"/>
      <c r="F208" s="4" t="s">
        <v>4440</v>
      </c>
      <c r="G208" s="4" t="s">
        <v>10</v>
      </c>
      <c r="H208" s="4" t="s">
        <v>4441</v>
      </c>
      <c r="I208" s="4" t="s">
        <v>4442</v>
      </c>
      <c r="J208" s="4"/>
      <c r="K208" s="4"/>
    </row>
    <row r="209" ht="16" customHeight="1" s="4" customFormat="1">
      <c r="A209" s="4" t="s">
        <v>3819</v>
      </c>
      <c r="B209" s="4" t="s">
        <v>3346</v>
      </c>
      <c r="C209" s="4" t="s">
        <v>4443</v>
      </c>
      <c r="D209" s="4"/>
      <c r="E209" s="4"/>
      <c r="F209" s="4" t="s">
        <v>4444</v>
      </c>
      <c r="G209" s="4" t="s">
        <v>10</v>
      </c>
      <c r="H209" s="4" t="s">
        <v>4445</v>
      </c>
      <c r="I209" s="4" t="s">
        <v>4220</v>
      </c>
      <c r="J209" s="4"/>
      <c r="K209" s="4"/>
    </row>
    <row r="210" ht="16" customHeight="1" s="4" customFormat="1">
      <c r="A210" s="4" t="s">
        <v>3819</v>
      </c>
      <c r="B210" s="4" t="s">
        <v>3346</v>
      </c>
      <c r="C210" s="4" t="s">
        <v>4446</v>
      </c>
      <c r="D210" s="4"/>
      <c r="E210" s="4"/>
      <c r="F210" s="4" t="s">
        <v>4440</v>
      </c>
      <c r="G210" s="4" t="s">
        <v>10</v>
      </c>
      <c r="H210" s="4" t="s">
        <v>4447</v>
      </c>
      <c r="I210" s="4" t="s">
        <v>3471</v>
      </c>
      <c r="J210" s="4"/>
      <c r="K210" s="4"/>
    </row>
    <row r="211" ht="16" customHeight="1" s="4" customFormat="1">
      <c r="A211" s="4" t="s">
        <v>3819</v>
      </c>
      <c r="B211" s="4" t="s">
        <v>3346</v>
      </c>
      <c r="C211" s="4" t="s">
        <v>4446</v>
      </c>
      <c r="D211" s="4"/>
      <c r="E211" s="4"/>
      <c r="F211" s="4" t="s">
        <v>4444</v>
      </c>
      <c r="G211" s="4" t="s">
        <v>10</v>
      </c>
      <c r="H211" s="4" t="s">
        <v>4448</v>
      </c>
      <c r="I211" s="4" t="s">
        <v>4449</v>
      </c>
      <c r="J211" s="4"/>
      <c r="K211" s="4"/>
    </row>
    <row r="212" ht="16" customHeight="1" s="4" customFormat="1">
      <c r="A212" s="4" t="s">
        <v>3819</v>
      </c>
      <c r="B212" s="4" t="s">
        <v>3346</v>
      </c>
      <c r="C212" s="4" t="s">
        <v>4446</v>
      </c>
      <c r="D212" s="4"/>
      <c r="E212" s="4"/>
      <c r="F212" s="4" t="s">
        <v>4444</v>
      </c>
      <c r="G212" s="4" t="s">
        <v>10</v>
      </c>
      <c r="H212" s="4" t="s">
        <v>4450</v>
      </c>
      <c r="I212" s="4" t="s">
        <v>4451</v>
      </c>
      <c r="J212" s="4"/>
      <c r="K212" s="4"/>
    </row>
    <row r="213" ht="16" customHeight="1" s="4" customFormat="1">
      <c r="A213" s="4" t="s">
        <v>3819</v>
      </c>
      <c r="B213" s="4" t="s">
        <v>3346</v>
      </c>
      <c r="C213" s="4" t="s">
        <v>4446</v>
      </c>
      <c r="D213" s="4"/>
      <c r="E213" s="4"/>
      <c r="F213" s="4" t="s">
        <v>4444</v>
      </c>
      <c r="G213" s="4" t="s">
        <v>10</v>
      </c>
      <c r="H213" s="4" t="s">
        <v>4452</v>
      </c>
      <c r="I213" s="4" t="s">
        <v>4453</v>
      </c>
      <c r="J213" s="4"/>
      <c r="K213" s="4"/>
    </row>
    <row r="214" ht="16" customHeight="1" s="4" customFormat="1">
      <c r="A214" s="4" t="s">
        <v>3819</v>
      </c>
      <c r="B214" s="4" t="s">
        <v>3346</v>
      </c>
      <c r="C214" s="4" t="s">
        <v>4454</v>
      </c>
      <c r="D214" s="4"/>
      <c r="E214" s="4"/>
      <c r="F214" s="4" t="s">
        <v>4455</v>
      </c>
      <c r="G214" s="4" t="s">
        <v>10</v>
      </c>
      <c r="H214" s="4" t="s">
        <v>4441</v>
      </c>
      <c r="I214" s="4" t="s">
        <v>4442</v>
      </c>
      <c r="J214" s="4"/>
      <c r="K214" s="4"/>
    </row>
    <row r="215" ht="16" customHeight="1" s="4" customFormat="1">
      <c r="A215" s="4" t="s">
        <v>3819</v>
      </c>
      <c r="B215" s="4" t="s">
        <v>3346</v>
      </c>
      <c r="C215" s="4" t="s">
        <v>4456</v>
      </c>
      <c r="D215" s="4"/>
      <c r="E215" s="4"/>
      <c r="F215" s="4" t="s">
        <v>4457</v>
      </c>
      <c r="G215" s="4" t="s">
        <v>10</v>
      </c>
      <c r="H215" s="4" t="s">
        <v>4445</v>
      </c>
      <c r="I215" s="4" t="s">
        <v>4220</v>
      </c>
      <c r="J215" s="4"/>
      <c r="K215" s="4"/>
    </row>
    <row r="216" ht="16" customHeight="1" s="4" customFormat="1">
      <c r="A216" s="4" t="s">
        <v>3819</v>
      </c>
      <c r="B216" s="4" t="s">
        <v>3346</v>
      </c>
      <c r="C216" s="4" t="s">
        <v>4458</v>
      </c>
      <c r="D216" s="4"/>
      <c r="E216" s="4"/>
      <c r="F216" s="4" t="s">
        <v>4459</v>
      </c>
      <c r="G216" s="4" t="s">
        <v>10</v>
      </c>
      <c r="H216" s="4" t="s">
        <v>4448</v>
      </c>
      <c r="I216" s="4" t="s">
        <v>4449</v>
      </c>
      <c r="J216" s="4"/>
      <c r="K216" s="4"/>
    </row>
    <row r="217" ht="16" customHeight="1" s="4" customFormat="1">
      <c r="A217" s="4" t="s">
        <v>3819</v>
      </c>
      <c r="B217" s="4" t="s">
        <v>3346</v>
      </c>
      <c r="C217" s="4" t="s">
        <v>4458</v>
      </c>
      <c r="D217" s="4"/>
      <c r="E217" s="4"/>
      <c r="F217" s="4" t="s">
        <v>4459</v>
      </c>
      <c r="G217" s="4" t="s">
        <v>10</v>
      </c>
      <c r="H217" s="4" t="s">
        <v>4460</v>
      </c>
      <c r="I217" s="4" t="s">
        <v>4461</v>
      </c>
      <c r="J217" s="4"/>
      <c r="K217" s="4"/>
    </row>
    <row r="218" ht="16" customHeight="1" s="4" customFormat="1">
      <c r="A218" s="4" t="s">
        <v>3819</v>
      </c>
      <c r="B218" s="4" t="s">
        <v>3346</v>
      </c>
      <c r="C218" s="4" t="s">
        <v>4462</v>
      </c>
      <c r="D218" s="4"/>
      <c r="E218" s="4"/>
      <c r="F218" s="4" t="s">
        <v>4463</v>
      </c>
      <c r="G218" s="4" t="s">
        <v>10</v>
      </c>
      <c r="H218" s="4" t="s">
        <v>4464</v>
      </c>
      <c r="I218" s="4" t="s">
        <v>4465</v>
      </c>
      <c r="J218" s="4"/>
      <c r="K218" s="4"/>
    </row>
    <row r="219" ht="16" customHeight="1" s="4" customFormat="1">
      <c r="A219" s="4" t="s">
        <v>3819</v>
      </c>
      <c r="B219" s="4" t="s">
        <v>3346</v>
      </c>
      <c r="C219" s="4" t="s">
        <v>4462</v>
      </c>
      <c r="D219" s="4"/>
      <c r="E219" s="4"/>
      <c r="F219" s="4" t="s">
        <v>4466</v>
      </c>
      <c r="G219" s="4" t="s">
        <v>10</v>
      </c>
      <c r="H219" s="4" t="s">
        <v>4441</v>
      </c>
      <c r="I219" s="4" t="s">
        <v>4442</v>
      </c>
      <c r="J219" s="4"/>
      <c r="K219" s="4"/>
    </row>
    <row r="220" ht="16" customHeight="1" s="4" customFormat="1">
      <c r="A220" s="4" t="s">
        <v>3819</v>
      </c>
      <c r="B220" s="4" t="s">
        <v>3346</v>
      </c>
      <c r="C220" s="4" t="s">
        <v>4467</v>
      </c>
      <c r="D220" s="4"/>
      <c r="E220" s="4"/>
      <c r="F220" s="4" t="s">
        <v>4468</v>
      </c>
      <c r="G220" s="4" t="s">
        <v>10</v>
      </c>
      <c r="H220" s="4" t="s">
        <v>4445</v>
      </c>
      <c r="I220" s="4" t="s">
        <v>4220</v>
      </c>
      <c r="J220" s="4"/>
      <c r="K220" s="4"/>
    </row>
    <row r="221" ht="16" customHeight="1" s="4" customFormat="1">
      <c r="A221" s="4" t="s">
        <v>3819</v>
      </c>
      <c r="B221" s="4" t="s">
        <v>3346</v>
      </c>
      <c r="C221" s="4" t="s">
        <v>4469</v>
      </c>
      <c r="D221" s="4"/>
      <c r="E221" s="4"/>
      <c r="F221" s="4" t="s">
        <v>4470</v>
      </c>
      <c r="G221" s="4" t="s">
        <v>10</v>
      </c>
      <c r="H221" s="4" t="s">
        <v>4471</v>
      </c>
      <c r="I221" s="4" t="s">
        <v>4131</v>
      </c>
      <c r="J221" s="4"/>
      <c r="K221" s="4"/>
    </row>
    <row r="222" ht="16" customHeight="1" s="4" customFormat="1">
      <c r="A222" s="4" t="s">
        <v>3819</v>
      </c>
      <c r="B222" s="4" t="s">
        <v>3346</v>
      </c>
      <c r="C222" s="4" t="s">
        <v>4469</v>
      </c>
      <c r="D222" s="4"/>
      <c r="E222" s="4"/>
      <c r="F222" s="4" t="s">
        <v>4466</v>
      </c>
      <c r="G222" s="4" t="s">
        <v>10</v>
      </c>
      <c r="H222" s="4" t="s">
        <v>4472</v>
      </c>
      <c r="I222" s="4" t="s">
        <v>4473</v>
      </c>
      <c r="J222" s="4"/>
      <c r="K222" s="4"/>
    </row>
    <row r="223" ht="16" customHeight="1" s="4" customFormat="1">
      <c r="A223" s="4" t="s">
        <v>3819</v>
      </c>
      <c r="B223" s="4" t="s">
        <v>3346</v>
      </c>
      <c r="C223" s="4" t="s">
        <v>4469</v>
      </c>
      <c r="D223" s="4"/>
      <c r="E223" s="4"/>
      <c r="F223" s="4" t="s">
        <v>4466</v>
      </c>
      <c r="G223" s="4" t="s">
        <v>10</v>
      </c>
      <c r="H223" s="4" t="s">
        <v>4474</v>
      </c>
      <c r="I223" s="4" t="s">
        <v>4475</v>
      </c>
      <c r="J223" s="4"/>
      <c r="K223" s="4"/>
    </row>
    <row r="224" ht="16" customHeight="1" s="4" customFormat="1">
      <c r="A224" s="4" t="s">
        <v>3819</v>
      </c>
      <c r="B224" s="4" t="s">
        <v>3346</v>
      </c>
      <c r="C224" s="4" t="s">
        <v>4469</v>
      </c>
      <c r="D224" s="4"/>
      <c r="E224" s="4"/>
      <c r="F224" s="4" t="s">
        <v>4468</v>
      </c>
      <c r="G224" s="4" t="s">
        <v>10</v>
      </c>
      <c r="H224" s="4" t="s">
        <v>4448</v>
      </c>
      <c r="I224" s="4" t="s">
        <v>4449</v>
      </c>
      <c r="J224" s="4"/>
      <c r="K224" s="4"/>
    </row>
    <row r="225" ht="16" customHeight="1" s="4" customFormat="1">
      <c r="A225" s="4" t="s">
        <v>3819</v>
      </c>
      <c r="B225" s="4" t="s">
        <v>3346</v>
      </c>
      <c r="C225" s="4" t="s">
        <v>4469</v>
      </c>
      <c r="D225" s="4"/>
      <c r="E225" s="4"/>
      <c r="F225" s="4" t="s">
        <v>4468</v>
      </c>
      <c r="G225" s="4" t="s">
        <v>10</v>
      </c>
      <c r="H225" s="4" t="s">
        <v>4450</v>
      </c>
      <c r="I225" s="4" t="s">
        <v>4451</v>
      </c>
      <c r="J225" s="4"/>
      <c r="K225" s="4"/>
    </row>
    <row r="226" ht="16" customHeight="1" s="4" customFormat="1">
      <c r="A226" s="4" t="s">
        <v>3819</v>
      </c>
      <c r="B226" s="4" t="s">
        <v>3346</v>
      </c>
      <c r="C226" s="4" t="s">
        <v>4469</v>
      </c>
      <c r="D226" s="4"/>
      <c r="E226" s="4"/>
      <c r="F226" s="4" t="s">
        <v>4468</v>
      </c>
      <c r="G226" s="4" t="s">
        <v>10</v>
      </c>
      <c r="H226" s="4" t="s">
        <v>4452</v>
      </c>
      <c r="I226" s="4" t="s">
        <v>4453</v>
      </c>
      <c r="J226" s="4"/>
      <c r="K226" s="4"/>
    </row>
    <row r="227" ht="16" customHeight="1" s="4" customFormat="1">
      <c r="A227" s="4" t="s">
        <v>3819</v>
      </c>
      <c r="B227" s="4" t="s">
        <v>3346</v>
      </c>
      <c r="C227" s="4" t="s">
        <v>4476</v>
      </c>
      <c r="D227" s="4"/>
      <c r="E227" s="4"/>
      <c r="F227" s="4" t="s">
        <v>4477</v>
      </c>
      <c r="G227" s="4" t="s">
        <v>10</v>
      </c>
      <c r="H227" s="4" t="s">
        <v>4426</v>
      </c>
      <c r="I227" s="4" t="s">
        <v>3987</v>
      </c>
      <c r="J227" s="4"/>
      <c r="K227" s="4"/>
    </row>
    <row r="228" ht="16" customHeight="1" s="4" customFormat="1">
      <c r="A228" s="4" t="s">
        <v>3819</v>
      </c>
      <c r="B228" s="4" t="s">
        <v>3346</v>
      </c>
      <c r="C228" s="4" t="s">
        <v>4478</v>
      </c>
      <c r="D228" s="4"/>
      <c r="E228" s="4"/>
      <c r="F228" s="4" t="s">
        <v>4455</v>
      </c>
      <c r="G228" s="4" t="s">
        <v>10</v>
      </c>
      <c r="H228" s="4" t="s">
        <v>4441</v>
      </c>
      <c r="I228" s="4" t="s">
        <v>4442</v>
      </c>
      <c r="J228" s="4"/>
      <c r="K228" s="4"/>
    </row>
    <row r="229" ht="16" customHeight="1" s="4" customFormat="1">
      <c r="A229" s="4" t="s">
        <v>3819</v>
      </c>
      <c r="B229" s="4" t="s">
        <v>3346</v>
      </c>
      <c r="C229" s="4" t="s">
        <v>4479</v>
      </c>
      <c r="D229" s="4"/>
      <c r="E229" s="4"/>
      <c r="F229" s="4" t="s">
        <v>4480</v>
      </c>
      <c r="G229" s="4" t="s">
        <v>10</v>
      </c>
      <c r="H229" s="4" t="s">
        <v>4445</v>
      </c>
      <c r="I229" s="4" t="s">
        <v>4220</v>
      </c>
      <c r="J229" s="4"/>
      <c r="K229" s="4"/>
    </row>
    <row r="230" ht="16" customHeight="1" s="4" customFormat="1">
      <c r="A230" s="4" t="s">
        <v>3819</v>
      </c>
      <c r="B230" s="4" t="s">
        <v>3346</v>
      </c>
      <c r="C230" s="4" t="s">
        <v>4481</v>
      </c>
      <c r="D230" s="4"/>
      <c r="E230" s="4"/>
      <c r="F230" s="4" t="s">
        <v>4480</v>
      </c>
      <c r="G230" s="4" t="s">
        <v>10</v>
      </c>
      <c r="H230" s="4" t="s">
        <v>4448</v>
      </c>
      <c r="I230" s="4" t="s">
        <v>4449</v>
      </c>
      <c r="J230" s="4"/>
      <c r="K230" s="4"/>
    </row>
    <row r="231" ht="16" customHeight="1" s="4" customFormat="1">
      <c r="A231" s="4" t="s">
        <v>3819</v>
      </c>
      <c r="B231" s="4" t="s">
        <v>3346</v>
      </c>
      <c r="C231" s="4" t="s">
        <v>4481</v>
      </c>
      <c r="D231" s="4"/>
      <c r="E231" s="4"/>
      <c r="F231" s="4" t="s">
        <v>4480</v>
      </c>
      <c r="G231" s="4" t="s">
        <v>10</v>
      </c>
      <c r="H231" s="4" t="s">
        <v>4482</v>
      </c>
      <c r="I231" s="4" t="s">
        <v>4483</v>
      </c>
      <c r="J231" s="4"/>
      <c r="K231" s="4"/>
    </row>
    <row r="232" ht="16" customHeight="1" s="4" customFormat="1">
      <c r="A232" s="4" t="s">
        <v>3819</v>
      </c>
      <c r="B232" s="4" t="s">
        <v>3346</v>
      </c>
      <c r="C232" s="4" t="s">
        <v>4481</v>
      </c>
      <c r="D232" s="4"/>
      <c r="E232" s="4"/>
      <c r="F232" s="4" t="s">
        <v>4480</v>
      </c>
      <c r="G232" s="4" t="s">
        <v>10</v>
      </c>
      <c r="H232" s="4" t="s">
        <v>4460</v>
      </c>
      <c r="I232" s="4" t="s">
        <v>4461</v>
      </c>
      <c r="J232" s="4"/>
      <c r="K232" s="4"/>
    </row>
    <row r="233" ht="16" customHeight="1" s="4" customFormat="1">
      <c r="A233" s="4" t="s">
        <v>3819</v>
      </c>
      <c r="B233" s="4" t="s">
        <v>3346</v>
      </c>
      <c r="C233" s="4" t="s">
        <v>4484</v>
      </c>
      <c r="D233" s="4"/>
      <c r="E233" s="4"/>
      <c r="F233" s="4" t="s">
        <v>4485</v>
      </c>
      <c r="G233" s="4" t="s">
        <v>10</v>
      </c>
      <c r="H233" s="4" t="s">
        <v>4486</v>
      </c>
      <c r="I233" s="4" t="s">
        <v>4487</v>
      </c>
      <c r="J233" s="4"/>
      <c r="K233" s="4"/>
    </row>
    <row r="234" ht="16" customHeight="1" s="4" customFormat="1">
      <c r="A234" s="4" t="s">
        <v>3819</v>
      </c>
      <c r="B234" s="4" t="s">
        <v>3346</v>
      </c>
      <c r="C234" s="4" t="s">
        <v>4488</v>
      </c>
      <c r="D234" s="4"/>
      <c r="E234" s="4"/>
      <c r="F234" s="4" t="s">
        <v>4489</v>
      </c>
      <c r="G234" s="4" t="s">
        <v>10</v>
      </c>
      <c r="H234" s="4" t="s">
        <v>4490</v>
      </c>
      <c r="I234" s="4" t="s">
        <v>4491</v>
      </c>
      <c r="J234" s="4"/>
      <c r="K234" s="4"/>
    </row>
    <row r="235" ht="16" customHeight="1" s="4" customFormat="1">
      <c r="A235" s="4" t="s">
        <v>3819</v>
      </c>
      <c r="B235" s="4" t="s">
        <v>3346</v>
      </c>
      <c r="C235" s="4" t="s">
        <v>4492</v>
      </c>
      <c r="D235" s="4"/>
      <c r="E235" s="4"/>
      <c r="F235" s="4" t="s">
        <v>4477</v>
      </c>
      <c r="G235" s="4" t="s">
        <v>10</v>
      </c>
      <c r="H235" s="4" t="s">
        <v>4421</v>
      </c>
      <c r="I235" s="4" t="s">
        <v>3979</v>
      </c>
      <c r="J235" s="4"/>
      <c r="K235" s="4"/>
    </row>
    <row r="236" ht="16" customHeight="1" s="4" customFormat="1">
      <c r="A236" s="4" t="s">
        <v>3819</v>
      </c>
      <c r="B236" s="4" t="s">
        <v>3346</v>
      </c>
      <c r="C236" s="4" t="s">
        <v>4493</v>
      </c>
      <c r="D236" s="4"/>
      <c r="E236" s="4"/>
      <c r="F236" s="4" t="s">
        <v>4477</v>
      </c>
      <c r="G236" s="4" t="s">
        <v>10</v>
      </c>
      <c r="H236" s="4" t="s">
        <v>4426</v>
      </c>
      <c r="I236" s="4" t="s">
        <v>3987</v>
      </c>
      <c r="J236" s="4"/>
      <c r="K236" s="4"/>
    </row>
    <row r="237" ht="16" customHeight="1" s="4" customFormat="1">
      <c r="A237" s="4" t="s">
        <v>3819</v>
      </c>
      <c r="B237" s="4" t="s">
        <v>3346</v>
      </c>
      <c r="C237" s="4" t="s">
        <v>4494</v>
      </c>
      <c r="D237" s="4"/>
      <c r="E237" s="4"/>
      <c r="F237" s="4" t="s">
        <v>4477</v>
      </c>
      <c r="G237" s="4" t="s">
        <v>10</v>
      </c>
      <c r="H237" s="4" t="s">
        <v>4434</v>
      </c>
      <c r="I237" s="4" t="s">
        <v>4010</v>
      </c>
      <c r="J237" s="4"/>
      <c r="K237" s="4"/>
    </row>
    <row r="238" ht="16" customHeight="1" s="4" customFormat="1">
      <c r="A238" s="4" t="s">
        <v>3819</v>
      </c>
      <c r="B238" s="4" t="s">
        <v>3346</v>
      </c>
      <c r="C238" s="4" t="s">
        <v>4494</v>
      </c>
      <c r="D238" s="4"/>
      <c r="E238" s="4"/>
      <c r="F238" s="4" t="s">
        <v>4477</v>
      </c>
      <c r="G238" s="4" t="s">
        <v>10</v>
      </c>
      <c r="H238" s="4" t="s">
        <v>4435</v>
      </c>
      <c r="I238" s="4" t="s">
        <v>3433</v>
      </c>
      <c r="J238" s="4"/>
      <c r="K238" s="4"/>
    </row>
    <row r="239" ht="16" customHeight="1" s="4" customFormat="1">
      <c r="A239" s="4" t="s">
        <v>3819</v>
      </c>
      <c r="B239" s="4" t="s">
        <v>3346</v>
      </c>
      <c r="C239" s="4" t="s">
        <v>4494</v>
      </c>
      <c r="D239" s="4"/>
      <c r="E239" s="4"/>
      <c r="F239" s="4" t="s">
        <v>4477</v>
      </c>
      <c r="G239" s="4" t="s">
        <v>10</v>
      </c>
      <c r="H239" s="4" t="s">
        <v>4437</v>
      </c>
      <c r="I239" s="4" t="s">
        <v>4438</v>
      </c>
      <c r="J239" s="4"/>
      <c r="K239" s="4"/>
    </row>
    <row r="240" ht="16" customHeight="1" s="4" customFormat="1">
      <c r="A240" s="4" t="s">
        <v>3819</v>
      </c>
      <c r="B240" s="4" t="s">
        <v>3346</v>
      </c>
      <c r="C240" s="4" t="s">
        <v>4494</v>
      </c>
      <c r="D240" s="4"/>
      <c r="E240" s="4"/>
      <c r="F240" s="4" t="s">
        <v>4477</v>
      </c>
      <c r="G240" s="4" t="s">
        <v>10</v>
      </c>
      <c r="H240" s="4" t="s">
        <v>4495</v>
      </c>
      <c r="I240" s="4" t="s">
        <v>3964</v>
      </c>
      <c r="J240" s="4"/>
      <c r="K240" s="4"/>
    </row>
    <row r="241" ht="16" customHeight="1" s="4" customFormat="1">
      <c r="A241" s="4" t="s">
        <v>3819</v>
      </c>
      <c r="B241" s="4" t="s">
        <v>3346</v>
      </c>
      <c r="C241" s="4" t="s">
        <v>4494</v>
      </c>
      <c r="D241" s="4"/>
      <c r="E241" s="4"/>
      <c r="F241" s="4" t="s">
        <v>4477</v>
      </c>
      <c r="G241" s="4" t="s">
        <v>10</v>
      </c>
      <c r="H241" s="4" t="s">
        <v>4496</v>
      </c>
      <c r="I241" s="4" t="s">
        <v>3966</v>
      </c>
      <c r="J241" s="4"/>
      <c r="K241" s="4"/>
    </row>
    <row r="242" ht="16" customHeight="1" s="4" customFormat="1">
      <c r="A242" s="4" t="s">
        <v>3819</v>
      </c>
      <c r="B242" s="4" t="s">
        <v>3346</v>
      </c>
      <c r="C242" s="4" t="s">
        <v>4494</v>
      </c>
      <c r="D242" s="4"/>
      <c r="E242" s="4"/>
      <c r="F242" s="4" t="s">
        <v>4477</v>
      </c>
      <c r="G242" s="4" t="s">
        <v>10</v>
      </c>
      <c r="H242" s="4" t="s">
        <v>4497</v>
      </c>
      <c r="I242" s="4" t="s">
        <v>3981</v>
      </c>
      <c r="J242" s="4"/>
      <c r="K242" s="4"/>
    </row>
    <row r="243" ht="16" customHeight="1" s="4" customFormat="1">
      <c r="A243" s="4" t="s">
        <v>3819</v>
      </c>
      <c r="B243" s="4" t="s">
        <v>3346</v>
      </c>
      <c r="C243" s="4" t="s">
        <v>4494</v>
      </c>
      <c r="D243" s="4"/>
      <c r="E243" s="4"/>
      <c r="F243" s="4" t="s">
        <v>4477</v>
      </c>
      <c r="G243" s="4" t="s">
        <v>10</v>
      </c>
      <c r="H243" s="4" t="s">
        <v>4498</v>
      </c>
      <c r="I243" s="4" t="s">
        <v>3983</v>
      </c>
      <c r="J243" s="4"/>
      <c r="K243" s="4"/>
    </row>
    <row r="244" ht="16" customHeight="1" s="4" customFormat="1">
      <c r="A244" s="4" t="s">
        <v>3819</v>
      </c>
      <c r="B244" s="4" t="s">
        <v>3346</v>
      </c>
      <c r="C244" s="4" t="s">
        <v>4499</v>
      </c>
      <c r="D244" s="4"/>
      <c r="E244" s="4"/>
      <c r="F244" s="4" t="s">
        <v>4477</v>
      </c>
      <c r="G244" s="4" t="s">
        <v>10</v>
      </c>
      <c r="H244" s="4" t="s">
        <v>4421</v>
      </c>
      <c r="I244" s="4" t="s">
        <v>3979</v>
      </c>
      <c r="J244" s="4"/>
      <c r="K244" s="4"/>
    </row>
    <row r="245" ht="16" customHeight="1" s="4" customFormat="1">
      <c r="A245" s="4" t="s">
        <v>3819</v>
      </c>
      <c r="B245" s="4" t="s">
        <v>3346</v>
      </c>
      <c r="C245" s="4" t="s">
        <v>4476</v>
      </c>
      <c r="D245" s="4"/>
      <c r="E245" s="4"/>
      <c r="F245" s="4" t="s">
        <v>4500</v>
      </c>
      <c r="G245" s="4" t="s">
        <v>10</v>
      </c>
      <c r="H245" s="4" t="s">
        <v>4424</v>
      </c>
      <c r="I245" s="4" t="s">
        <v>3959</v>
      </c>
      <c r="J245" s="4"/>
      <c r="K245" s="4"/>
    </row>
    <row r="246" ht="16" customHeight="1" s="4" customFormat="1">
      <c r="A246" s="4" t="s">
        <v>3819</v>
      </c>
      <c r="B246" s="4" t="s">
        <v>3346</v>
      </c>
      <c r="C246" s="4" t="s">
        <v>4501</v>
      </c>
      <c r="D246" s="4"/>
      <c r="E246" s="4"/>
      <c r="F246" s="4" t="s">
        <v>4477</v>
      </c>
      <c r="G246" s="4" t="s">
        <v>10</v>
      </c>
      <c r="H246" s="4" t="s">
        <v>4428</v>
      </c>
      <c r="I246" s="4" t="s">
        <v>3970</v>
      </c>
      <c r="J246" s="4"/>
      <c r="K246" s="4"/>
    </row>
    <row r="247" ht="16" customHeight="1" s="4" customFormat="1">
      <c r="A247" s="4" t="s">
        <v>3819</v>
      </c>
      <c r="B247" s="4" t="s">
        <v>3346</v>
      </c>
      <c r="C247" s="4" t="s">
        <v>4501</v>
      </c>
      <c r="D247" s="4"/>
      <c r="E247" s="4"/>
      <c r="F247" s="4" t="s">
        <v>4477</v>
      </c>
      <c r="G247" s="4" t="s">
        <v>10</v>
      </c>
      <c r="H247" s="4" t="s">
        <v>4429</v>
      </c>
      <c r="I247" s="4" t="s">
        <v>3502</v>
      </c>
      <c r="J247" s="4"/>
      <c r="K247" s="4"/>
    </row>
    <row r="248" ht="16" customHeight="1" s="4" customFormat="1">
      <c r="A248" s="4" t="s">
        <v>3819</v>
      </c>
      <c r="B248" s="4" t="s">
        <v>3346</v>
      </c>
      <c r="C248" s="4" t="s">
        <v>4501</v>
      </c>
      <c r="D248" s="4"/>
      <c r="E248" s="4"/>
      <c r="F248" s="4" t="s">
        <v>4477</v>
      </c>
      <c r="G248" s="4" t="s">
        <v>10</v>
      </c>
      <c r="H248" s="4" t="s">
        <v>4430</v>
      </c>
      <c r="I248" s="4" t="s">
        <v>3973</v>
      </c>
      <c r="J248" s="4"/>
      <c r="K248" s="4"/>
    </row>
    <row r="249" ht="16" customHeight="1" s="4" customFormat="1">
      <c r="A249" s="4" t="s">
        <v>3819</v>
      </c>
      <c r="B249" s="4" t="s">
        <v>3346</v>
      </c>
      <c r="C249" s="4" t="s">
        <v>4501</v>
      </c>
      <c r="D249" s="4"/>
      <c r="E249" s="4"/>
      <c r="F249" s="4" t="s">
        <v>4477</v>
      </c>
      <c r="G249" s="4" t="s">
        <v>10</v>
      </c>
      <c r="H249" s="4" t="s">
        <v>4431</v>
      </c>
      <c r="I249" s="4" t="s">
        <v>3975</v>
      </c>
      <c r="J249" s="4"/>
      <c r="K249" s="4"/>
    </row>
    <row r="250" ht="16" customHeight="1" s="4" customFormat="1">
      <c r="A250" s="4" t="s">
        <v>3819</v>
      </c>
      <c r="B250" s="4" t="s">
        <v>3346</v>
      </c>
      <c r="C250" s="4" t="s">
        <v>4501</v>
      </c>
      <c r="D250" s="4"/>
      <c r="E250" s="4"/>
      <c r="F250" s="4" t="s">
        <v>4477</v>
      </c>
      <c r="G250" s="4" t="s">
        <v>10</v>
      </c>
      <c r="H250" s="4" t="s">
        <v>4432</v>
      </c>
      <c r="I250" s="4" t="s">
        <v>4015</v>
      </c>
      <c r="J250" s="4"/>
      <c r="K250" s="4"/>
    </row>
    <row r="251" ht="16" customHeight="1" s="4" customFormat="1">
      <c r="A251" s="4" t="s">
        <v>3819</v>
      </c>
      <c r="B251" s="4" t="s">
        <v>3346</v>
      </c>
      <c r="C251" s="4" t="s">
        <v>4501</v>
      </c>
      <c r="D251" s="4"/>
      <c r="E251" s="4"/>
      <c r="F251" s="4" t="s">
        <v>4477</v>
      </c>
      <c r="G251" s="4" t="s">
        <v>10</v>
      </c>
      <c r="H251" s="4" t="s">
        <v>4433</v>
      </c>
      <c r="I251" s="4" t="s">
        <v>4019</v>
      </c>
      <c r="J251" s="4"/>
      <c r="K251" s="4"/>
    </row>
    <row r="252" ht="16" customHeight="1" s="4" customFormat="1">
      <c r="A252" s="4" t="s">
        <v>3819</v>
      </c>
      <c r="B252" s="4" t="s">
        <v>3346</v>
      </c>
      <c r="C252" s="4" t="s">
        <v>4501</v>
      </c>
      <c r="D252" s="4"/>
      <c r="E252" s="4"/>
      <c r="F252" s="4" t="s">
        <v>4477</v>
      </c>
      <c r="G252" s="4" t="s">
        <v>10</v>
      </c>
      <c r="H252" s="4" t="s">
        <v>4434</v>
      </c>
      <c r="I252" s="4" t="s">
        <v>4010</v>
      </c>
      <c r="J252" s="4"/>
      <c r="K252" s="4"/>
    </row>
    <row r="253" ht="16" customHeight="1" s="4" customFormat="1">
      <c r="A253" s="4" t="s">
        <v>3819</v>
      </c>
      <c r="B253" s="4" t="s">
        <v>3346</v>
      </c>
      <c r="C253" s="4" t="s">
        <v>4501</v>
      </c>
      <c r="D253" s="4"/>
      <c r="E253" s="4"/>
      <c r="F253" s="4" t="s">
        <v>4477</v>
      </c>
      <c r="G253" s="4" t="s">
        <v>10</v>
      </c>
      <c r="H253" s="4" t="s">
        <v>4435</v>
      </c>
      <c r="I253" s="4" t="s">
        <v>3433</v>
      </c>
      <c r="J253" s="4"/>
      <c r="K253" s="4"/>
    </row>
    <row r="254" ht="16" customHeight="1" s="4" customFormat="1">
      <c r="A254" s="4" t="s">
        <v>3819</v>
      </c>
      <c r="B254" s="4" t="s">
        <v>3346</v>
      </c>
      <c r="C254" s="4" t="s">
        <v>4501</v>
      </c>
      <c r="D254" s="4"/>
      <c r="E254" s="4"/>
      <c r="F254" s="4" t="s">
        <v>4477</v>
      </c>
      <c r="G254" s="4" t="s">
        <v>10</v>
      </c>
      <c r="H254" s="4" t="s">
        <v>4502</v>
      </c>
      <c r="I254" s="4" t="s">
        <v>4503</v>
      </c>
      <c r="J254" s="4"/>
      <c r="K254" s="4"/>
    </row>
    <row r="255" ht="16" customHeight="1" s="4" customFormat="1">
      <c r="A255" s="4" t="s">
        <v>3819</v>
      </c>
      <c r="B255" s="4" t="s">
        <v>3346</v>
      </c>
      <c r="C255" s="4" t="s">
        <v>4501</v>
      </c>
      <c r="D255" s="4"/>
      <c r="E255" s="4"/>
      <c r="F255" s="4" t="s">
        <v>4477</v>
      </c>
      <c r="G255" s="4" t="s">
        <v>10</v>
      </c>
      <c r="H255" s="4" t="s">
        <v>4496</v>
      </c>
      <c r="I255" s="4" t="s">
        <v>3966</v>
      </c>
      <c r="J255" s="4"/>
      <c r="K255" s="4"/>
    </row>
    <row r="256" ht="16" customHeight="1" s="4" customFormat="1">
      <c r="A256" s="4" t="s">
        <v>3819</v>
      </c>
      <c r="B256" s="4" t="s">
        <v>3346</v>
      </c>
      <c r="C256" s="4" t="s">
        <v>4501</v>
      </c>
      <c r="D256" s="4"/>
      <c r="E256" s="4"/>
      <c r="F256" s="4" t="s">
        <v>4477</v>
      </c>
      <c r="G256" s="4" t="s">
        <v>10</v>
      </c>
      <c r="H256" s="4" t="s">
        <v>4504</v>
      </c>
      <c r="I256" s="4" t="s">
        <v>3962</v>
      </c>
      <c r="J256" s="4"/>
      <c r="K256" s="4"/>
    </row>
    <row r="257" ht="16" customHeight="1" s="4" customFormat="1">
      <c r="A257" s="4" t="s">
        <v>3819</v>
      </c>
      <c r="B257" s="4" t="s">
        <v>3346</v>
      </c>
      <c r="C257" s="4" t="s">
        <v>4501</v>
      </c>
      <c r="D257" s="4"/>
      <c r="E257" s="4"/>
      <c r="F257" s="4" t="s">
        <v>4477</v>
      </c>
      <c r="G257" s="4" t="s">
        <v>10</v>
      </c>
      <c r="H257" s="4" t="s">
        <v>4505</v>
      </c>
      <c r="I257" s="4" t="s">
        <v>3989</v>
      </c>
      <c r="J257" s="4"/>
      <c r="K257" s="4"/>
    </row>
    <row r="258" ht="16" customHeight="1" s="4" customFormat="1">
      <c r="A258" s="4" t="s">
        <v>3819</v>
      </c>
      <c r="B258" s="4" t="s">
        <v>3346</v>
      </c>
      <c r="C258" s="4" t="s">
        <v>4501</v>
      </c>
      <c r="D258" s="4"/>
      <c r="E258" s="4"/>
      <c r="F258" s="4" t="s">
        <v>4477</v>
      </c>
      <c r="G258" s="4" t="s">
        <v>10</v>
      </c>
      <c r="H258" s="4" t="s">
        <v>4506</v>
      </c>
      <c r="I258" s="4" t="s">
        <v>3458</v>
      </c>
      <c r="J258" s="4"/>
      <c r="K258" s="4"/>
    </row>
    <row r="259" ht="16" customHeight="1" s="4" customFormat="1">
      <c r="A259" s="4" t="s">
        <v>3819</v>
      </c>
      <c r="B259" s="4" t="s">
        <v>3346</v>
      </c>
      <c r="C259" s="4" t="s">
        <v>4501</v>
      </c>
      <c r="D259" s="4"/>
      <c r="E259" s="4"/>
      <c r="F259" s="4" t="s">
        <v>4477</v>
      </c>
      <c r="G259" s="4" t="s">
        <v>10</v>
      </c>
      <c r="H259" s="4" t="s">
        <v>4498</v>
      </c>
      <c r="I259" s="4" t="s">
        <v>3983</v>
      </c>
      <c r="J259" s="4"/>
      <c r="K259" s="4"/>
    </row>
    <row r="260" ht="16" customHeight="1" s="4" customFormat="1">
      <c r="A260" s="4" t="s">
        <v>3819</v>
      </c>
      <c r="B260" s="4" t="s">
        <v>3346</v>
      </c>
      <c r="C260" s="4" t="s">
        <v>4507</v>
      </c>
      <c r="D260" s="4"/>
      <c r="E260" s="4"/>
      <c r="F260" s="4" t="s">
        <v>4420</v>
      </c>
      <c r="G260" s="4" t="s">
        <v>10</v>
      </c>
      <c r="H260" s="4" t="s">
        <v>4421</v>
      </c>
      <c r="I260" s="4" t="s">
        <v>3979</v>
      </c>
      <c r="J260" s="4"/>
      <c r="K260" s="4"/>
    </row>
    <row r="261" ht="16" customHeight="1" s="4" customFormat="1">
      <c r="A261" s="4" t="s">
        <v>3819</v>
      </c>
      <c r="B261" s="4" t="s">
        <v>3346</v>
      </c>
      <c r="C261" s="4" t="s">
        <v>4508</v>
      </c>
      <c r="D261" s="4"/>
      <c r="E261" s="4"/>
      <c r="F261" s="4" t="s">
        <v>4420</v>
      </c>
      <c r="G261" s="4" t="s">
        <v>10</v>
      </c>
      <c r="H261" s="4" t="s">
        <v>4426</v>
      </c>
      <c r="I261" s="4" t="s">
        <v>3987</v>
      </c>
      <c r="J261" s="4"/>
      <c r="K261" s="4"/>
    </row>
    <row r="262" ht="16" customHeight="1" s="4" customFormat="1">
      <c r="A262" s="4" t="s">
        <v>3819</v>
      </c>
      <c r="B262" s="4" t="s">
        <v>3346</v>
      </c>
      <c r="C262" s="4" t="s">
        <v>4508</v>
      </c>
      <c r="D262" s="4"/>
      <c r="E262" s="4"/>
      <c r="F262" s="4" t="s">
        <v>4423</v>
      </c>
      <c r="G262" s="4" t="s">
        <v>10</v>
      </c>
      <c r="H262" s="4" t="s">
        <v>4424</v>
      </c>
      <c r="I262" s="4" t="s">
        <v>3959</v>
      </c>
      <c r="J262" s="4"/>
      <c r="K262" s="4"/>
    </row>
    <row r="263" ht="16" customHeight="1" s="4" customFormat="1">
      <c r="A263" s="4" t="s">
        <v>3819</v>
      </c>
      <c r="B263" s="4" t="s">
        <v>3346</v>
      </c>
      <c r="C263" s="4" t="s">
        <v>4509</v>
      </c>
      <c r="D263" s="4"/>
      <c r="E263" s="4"/>
      <c r="F263" s="4" t="s">
        <v>4420</v>
      </c>
      <c r="G263" s="4" t="s">
        <v>10</v>
      </c>
      <c r="H263" s="4" t="s">
        <v>4428</v>
      </c>
      <c r="I263" s="4" t="s">
        <v>3970</v>
      </c>
      <c r="J263" s="4"/>
      <c r="K263" s="4"/>
    </row>
    <row r="264" ht="16" customHeight="1" s="4" customFormat="1">
      <c r="A264" s="4" t="s">
        <v>3819</v>
      </c>
      <c r="B264" s="4" t="s">
        <v>3346</v>
      </c>
      <c r="C264" s="4" t="s">
        <v>4509</v>
      </c>
      <c r="D264" s="4"/>
      <c r="E264" s="4"/>
      <c r="F264" s="4" t="s">
        <v>4420</v>
      </c>
      <c r="G264" s="4" t="s">
        <v>10</v>
      </c>
      <c r="H264" s="4" t="s">
        <v>4429</v>
      </c>
      <c r="I264" s="4" t="s">
        <v>3502</v>
      </c>
      <c r="J264" s="4"/>
      <c r="K264" s="4"/>
    </row>
    <row r="265" ht="16" customHeight="1" s="4" customFormat="1">
      <c r="A265" s="4" t="s">
        <v>3819</v>
      </c>
      <c r="B265" s="4" t="s">
        <v>3346</v>
      </c>
      <c r="C265" s="4" t="s">
        <v>4509</v>
      </c>
      <c r="D265" s="4"/>
      <c r="E265" s="4"/>
      <c r="F265" s="4" t="s">
        <v>4420</v>
      </c>
      <c r="G265" s="4" t="s">
        <v>10</v>
      </c>
      <c r="H265" s="4" t="s">
        <v>4430</v>
      </c>
      <c r="I265" s="4" t="s">
        <v>3973</v>
      </c>
      <c r="J265" s="4"/>
      <c r="K265" s="4"/>
    </row>
    <row r="266" ht="16" customHeight="1" s="4" customFormat="1">
      <c r="A266" s="4" t="s">
        <v>3819</v>
      </c>
      <c r="B266" s="4" t="s">
        <v>3346</v>
      </c>
      <c r="C266" s="4" t="s">
        <v>4509</v>
      </c>
      <c r="D266" s="4"/>
      <c r="E266" s="4"/>
      <c r="F266" s="4" t="s">
        <v>4420</v>
      </c>
      <c r="G266" s="4" t="s">
        <v>10</v>
      </c>
      <c r="H266" s="4" t="s">
        <v>4431</v>
      </c>
      <c r="I266" s="4" t="s">
        <v>3975</v>
      </c>
      <c r="J266" s="4"/>
      <c r="K266" s="4"/>
    </row>
    <row r="267" ht="16" customHeight="1" s="4" customFormat="1">
      <c r="A267" s="4" t="s">
        <v>3819</v>
      </c>
      <c r="B267" s="4" t="s">
        <v>3346</v>
      </c>
      <c r="C267" s="4" t="s">
        <v>4509</v>
      </c>
      <c r="D267" s="4"/>
      <c r="E267" s="4"/>
      <c r="F267" s="4" t="s">
        <v>4420</v>
      </c>
      <c r="G267" s="4" t="s">
        <v>10</v>
      </c>
      <c r="H267" s="4" t="s">
        <v>4432</v>
      </c>
      <c r="I267" s="4" t="s">
        <v>4015</v>
      </c>
      <c r="J267" s="4"/>
      <c r="K267" s="4"/>
    </row>
    <row r="268" ht="16" customHeight="1" s="4" customFormat="1">
      <c r="A268" s="4" t="s">
        <v>3819</v>
      </c>
      <c r="B268" s="4" t="s">
        <v>3346</v>
      </c>
      <c r="C268" s="4" t="s">
        <v>4509</v>
      </c>
      <c r="D268" s="4"/>
      <c r="E268" s="4"/>
      <c r="F268" s="4" t="s">
        <v>4420</v>
      </c>
      <c r="G268" s="4" t="s">
        <v>10</v>
      </c>
      <c r="H268" s="4" t="s">
        <v>4433</v>
      </c>
      <c r="I268" s="4" t="s">
        <v>4019</v>
      </c>
      <c r="J268" s="4"/>
      <c r="K268" s="4"/>
    </row>
    <row r="269" ht="16" customHeight="1" s="4" customFormat="1">
      <c r="A269" s="4" t="s">
        <v>3819</v>
      </c>
      <c r="B269" s="4" t="s">
        <v>3346</v>
      </c>
      <c r="C269" s="4" t="s">
        <v>4509</v>
      </c>
      <c r="D269" s="4"/>
      <c r="E269" s="4"/>
      <c r="F269" s="4" t="s">
        <v>4420</v>
      </c>
      <c r="G269" s="4" t="s">
        <v>10</v>
      </c>
      <c r="H269" s="4" t="s">
        <v>4434</v>
      </c>
      <c r="I269" s="4" t="s">
        <v>4010</v>
      </c>
      <c r="J269" s="4"/>
      <c r="K269" s="4"/>
    </row>
    <row r="270" ht="16" customHeight="1" s="4" customFormat="1">
      <c r="A270" s="4" t="s">
        <v>3819</v>
      </c>
      <c r="B270" s="4" t="s">
        <v>3346</v>
      </c>
      <c r="C270" s="4" t="s">
        <v>4509</v>
      </c>
      <c r="D270" s="4"/>
      <c r="E270" s="4"/>
      <c r="F270" s="4" t="s">
        <v>4420</v>
      </c>
      <c r="G270" s="4" t="s">
        <v>10</v>
      </c>
      <c r="H270" s="4" t="s">
        <v>4435</v>
      </c>
      <c r="I270" s="4" t="s">
        <v>3433</v>
      </c>
      <c r="J270" s="4"/>
      <c r="K270" s="4"/>
    </row>
    <row r="271" ht="16" customHeight="1" s="4" customFormat="1">
      <c r="A271" s="4" t="s">
        <v>3819</v>
      </c>
      <c r="B271" s="4" t="s">
        <v>3346</v>
      </c>
      <c r="C271" s="4" t="s">
        <v>4509</v>
      </c>
      <c r="D271" s="4"/>
      <c r="E271" s="4"/>
      <c r="F271" s="4" t="s">
        <v>4420</v>
      </c>
      <c r="G271" s="4" t="s">
        <v>10</v>
      </c>
      <c r="H271" s="4" t="s">
        <v>4496</v>
      </c>
      <c r="I271" s="4" t="s">
        <v>3966</v>
      </c>
      <c r="J271" s="4"/>
      <c r="K271" s="4"/>
    </row>
    <row r="272" ht="16" customHeight="1" s="4" customFormat="1">
      <c r="A272" s="4" t="s">
        <v>3819</v>
      </c>
      <c r="B272" s="4" t="s">
        <v>3346</v>
      </c>
      <c r="C272" s="4" t="s">
        <v>4509</v>
      </c>
      <c r="D272" s="4"/>
      <c r="E272" s="4"/>
      <c r="F272" s="4" t="s">
        <v>4420</v>
      </c>
      <c r="G272" s="4" t="s">
        <v>10</v>
      </c>
      <c r="H272" s="4" t="s">
        <v>4504</v>
      </c>
      <c r="I272" s="4" t="s">
        <v>3962</v>
      </c>
      <c r="J272" s="4"/>
      <c r="K272" s="4"/>
    </row>
    <row r="273" ht="16" customHeight="1" s="4" customFormat="1">
      <c r="A273" s="4" t="s">
        <v>3819</v>
      </c>
      <c r="B273" s="4" t="s">
        <v>3346</v>
      </c>
      <c r="C273" s="4" t="s">
        <v>4509</v>
      </c>
      <c r="D273" s="4"/>
      <c r="E273" s="4"/>
      <c r="F273" s="4" t="s">
        <v>4420</v>
      </c>
      <c r="G273" s="4" t="s">
        <v>10</v>
      </c>
      <c r="H273" s="4" t="s">
        <v>4505</v>
      </c>
      <c r="I273" s="4" t="s">
        <v>3989</v>
      </c>
      <c r="J273" s="4"/>
      <c r="K273" s="4"/>
    </row>
    <row r="274" ht="16" customHeight="1" s="4" customFormat="1">
      <c r="A274" s="4" t="s">
        <v>3819</v>
      </c>
      <c r="B274" s="4" t="s">
        <v>3346</v>
      </c>
      <c r="C274" s="4" t="s">
        <v>4509</v>
      </c>
      <c r="D274" s="4"/>
      <c r="E274" s="4"/>
      <c r="F274" s="4" t="s">
        <v>4420</v>
      </c>
      <c r="G274" s="4" t="s">
        <v>10</v>
      </c>
      <c r="H274" s="4" t="s">
        <v>4510</v>
      </c>
      <c r="I274" s="4" t="s">
        <v>3992</v>
      </c>
      <c r="J274" s="4"/>
      <c r="K274" s="4"/>
    </row>
    <row r="275" ht="16" customHeight="1" s="4" customFormat="1">
      <c r="A275" s="4" t="s">
        <v>3819</v>
      </c>
      <c r="B275" s="4" t="s">
        <v>3346</v>
      </c>
      <c r="C275" s="4" t="s">
        <v>4509</v>
      </c>
      <c r="D275" s="4"/>
      <c r="E275" s="4"/>
      <c r="F275" s="4" t="s">
        <v>4420</v>
      </c>
      <c r="G275" s="4" t="s">
        <v>10</v>
      </c>
      <c r="H275" s="4" t="s">
        <v>4497</v>
      </c>
      <c r="I275" s="4" t="s">
        <v>3981</v>
      </c>
      <c r="J275" s="4"/>
      <c r="K275" s="4"/>
    </row>
    <row r="276" ht="16" customHeight="1" s="4" customFormat="1">
      <c r="A276" s="4" t="s">
        <v>3819</v>
      </c>
      <c r="B276" s="4" t="s">
        <v>3346</v>
      </c>
      <c r="C276" s="4" t="s">
        <v>4509</v>
      </c>
      <c r="D276" s="4"/>
      <c r="E276" s="4"/>
      <c r="F276" s="4" t="s">
        <v>4420</v>
      </c>
      <c r="G276" s="4" t="s">
        <v>10</v>
      </c>
      <c r="H276" s="4" t="s">
        <v>4498</v>
      </c>
      <c r="I276" s="4" t="s">
        <v>3983</v>
      </c>
      <c r="J276" s="4"/>
      <c r="K276" s="4"/>
    </row>
    <row r="277" ht="16" customHeight="1" s="4" customFormat="1">
      <c r="A277" s="4" t="s">
        <v>3819</v>
      </c>
      <c r="B277" s="4" t="s">
        <v>3346</v>
      </c>
      <c r="C277" s="4" t="s">
        <v>4511</v>
      </c>
      <c r="D277" s="4"/>
      <c r="E277" s="4"/>
      <c r="F277" s="4" t="s">
        <v>4420</v>
      </c>
      <c r="G277" s="4" t="s">
        <v>10</v>
      </c>
      <c r="H277" s="4" t="s">
        <v>4421</v>
      </c>
      <c r="I277" s="4" t="s">
        <v>3979</v>
      </c>
      <c r="J277" s="4"/>
      <c r="K277" s="4"/>
    </row>
    <row r="278" ht="16" customHeight="1" s="4" customFormat="1">
      <c r="A278" s="4" t="s">
        <v>3819</v>
      </c>
      <c r="B278" s="4" t="s">
        <v>3346</v>
      </c>
      <c r="C278" s="4" t="s">
        <v>4512</v>
      </c>
      <c r="D278" s="4"/>
      <c r="E278" s="4"/>
      <c r="F278" s="4" t="s">
        <v>4420</v>
      </c>
      <c r="G278" s="4" t="s">
        <v>10</v>
      </c>
      <c r="H278" s="4" t="s">
        <v>4426</v>
      </c>
      <c r="I278" s="4" t="s">
        <v>3987</v>
      </c>
      <c r="J278" s="4"/>
      <c r="K278" s="4"/>
    </row>
    <row r="279" ht="16" customHeight="1" s="4" customFormat="1">
      <c r="A279" s="4" t="s">
        <v>3819</v>
      </c>
      <c r="B279" s="4" t="s">
        <v>3346</v>
      </c>
      <c r="C279" s="4" t="s">
        <v>4512</v>
      </c>
      <c r="D279" s="4"/>
      <c r="E279" s="4"/>
      <c r="F279" s="4" t="s">
        <v>4423</v>
      </c>
      <c r="G279" s="4" t="s">
        <v>10</v>
      </c>
      <c r="H279" s="4" t="s">
        <v>4424</v>
      </c>
      <c r="I279" s="4" t="s">
        <v>3959</v>
      </c>
      <c r="J279" s="4"/>
      <c r="K279" s="4"/>
    </row>
    <row r="280" ht="16" customHeight="1" s="4" customFormat="1">
      <c r="A280" s="4" t="s">
        <v>3819</v>
      </c>
      <c r="B280" s="4" t="s">
        <v>3346</v>
      </c>
      <c r="C280" s="4" t="s">
        <v>4513</v>
      </c>
      <c r="D280" s="4"/>
      <c r="E280" s="4"/>
      <c r="F280" s="4" t="s">
        <v>4420</v>
      </c>
      <c r="G280" s="4" t="s">
        <v>10</v>
      </c>
      <c r="H280" s="4" t="s">
        <v>4428</v>
      </c>
      <c r="I280" s="4" t="s">
        <v>3970</v>
      </c>
      <c r="J280" s="4"/>
      <c r="K280" s="4"/>
    </row>
    <row r="281" ht="16" customHeight="1" s="4" customFormat="1">
      <c r="A281" s="4" t="s">
        <v>3819</v>
      </c>
      <c r="B281" s="4" t="s">
        <v>3346</v>
      </c>
      <c r="C281" s="4" t="s">
        <v>4513</v>
      </c>
      <c r="D281" s="4"/>
      <c r="E281" s="4"/>
      <c r="F281" s="4" t="s">
        <v>4420</v>
      </c>
      <c r="G281" s="4" t="s">
        <v>10</v>
      </c>
      <c r="H281" s="4" t="s">
        <v>4429</v>
      </c>
      <c r="I281" s="4" t="s">
        <v>3502</v>
      </c>
      <c r="J281" s="4"/>
      <c r="K281" s="4"/>
    </row>
    <row r="282" ht="16" customHeight="1" s="4" customFormat="1">
      <c r="A282" s="4" t="s">
        <v>3819</v>
      </c>
      <c r="B282" s="4" t="s">
        <v>3346</v>
      </c>
      <c r="C282" s="4" t="s">
        <v>4513</v>
      </c>
      <c r="D282" s="4"/>
      <c r="E282" s="4"/>
      <c r="F282" s="4" t="s">
        <v>4420</v>
      </c>
      <c r="G282" s="4" t="s">
        <v>10</v>
      </c>
      <c r="H282" s="4" t="s">
        <v>4430</v>
      </c>
      <c r="I282" s="4" t="s">
        <v>3973</v>
      </c>
      <c r="J282" s="4"/>
      <c r="K282" s="4"/>
    </row>
    <row r="283" ht="16" customHeight="1" s="4" customFormat="1">
      <c r="A283" s="4" t="s">
        <v>3819</v>
      </c>
      <c r="B283" s="4" t="s">
        <v>3346</v>
      </c>
      <c r="C283" s="4" t="s">
        <v>4513</v>
      </c>
      <c r="D283" s="4"/>
      <c r="E283" s="4"/>
      <c r="F283" s="4" t="s">
        <v>4420</v>
      </c>
      <c r="G283" s="4" t="s">
        <v>10</v>
      </c>
      <c r="H283" s="4" t="s">
        <v>4431</v>
      </c>
      <c r="I283" s="4" t="s">
        <v>3975</v>
      </c>
      <c r="J283" s="4"/>
      <c r="K283" s="4"/>
    </row>
    <row r="284" ht="16" customHeight="1" s="4" customFormat="1">
      <c r="A284" s="4" t="s">
        <v>3819</v>
      </c>
      <c r="B284" s="4" t="s">
        <v>3346</v>
      </c>
      <c r="C284" s="4" t="s">
        <v>4513</v>
      </c>
      <c r="D284" s="4"/>
      <c r="E284" s="4"/>
      <c r="F284" s="4" t="s">
        <v>4420</v>
      </c>
      <c r="G284" s="4" t="s">
        <v>10</v>
      </c>
      <c r="H284" s="4" t="s">
        <v>4432</v>
      </c>
      <c r="I284" s="4" t="s">
        <v>4015</v>
      </c>
      <c r="J284" s="4"/>
      <c r="K284" s="4"/>
    </row>
    <row r="285" ht="16" customHeight="1" s="4" customFormat="1">
      <c r="A285" s="4" t="s">
        <v>3819</v>
      </c>
      <c r="B285" s="4" t="s">
        <v>3346</v>
      </c>
      <c r="C285" s="4" t="s">
        <v>4513</v>
      </c>
      <c r="D285" s="4"/>
      <c r="E285" s="4"/>
      <c r="F285" s="4" t="s">
        <v>4420</v>
      </c>
      <c r="G285" s="4" t="s">
        <v>10</v>
      </c>
      <c r="H285" s="4" t="s">
        <v>4433</v>
      </c>
      <c r="I285" s="4" t="s">
        <v>4019</v>
      </c>
      <c r="J285" s="4"/>
      <c r="K285" s="4"/>
    </row>
    <row r="286" ht="16" customHeight="1" s="4" customFormat="1">
      <c r="A286" s="4" t="s">
        <v>3819</v>
      </c>
      <c r="B286" s="4" t="s">
        <v>3346</v>
      </c>
      <c r="C286" s="4" t="s">
        <v>4513</v>
      </c>
      <c r="D286" s="4"/>
      <c r="E286" s="4"/>
      <c r="F286" s="4" t="s">
        <v>4420</v>
      </c>
      <c r="G286" s="4" t="s">
        <v>10</v>
      </c>
      <c r="H286" s="4" t="s">
        <v>4434</v>
      </c>
      <c r="I286" s="4" t="s">
        <v>4010</v>
      </c>
      <c r="J286" s="4"/>
      <c r="K286" s="4"/>
    </row>
    <row r="287" ht="16" customHeight="1" s="4" customFormat="1">
      <c r="A287" s="4" t="s">
        <v>3819</v>
      </c>
      <c r="B287" s="4" t="s">
        <v>3346</v>
      </c>
      <c r="C287" s="4" t="s">
        <v>4513</v>
      </c>
      <c r="D287" s="4"/>
      <c r="E287" s="4"/>
      <c r="F287" s="4" t="s">
        <v>4420</v>
      </c>
      <c r="G287" s="4" t="s">
        <v>10</v>
      </c>
      <c r="H287" s="4" t="s">
        <v>4435</v>
      </c>
      <c r="I287" s="4" t="s">
        <v>3433</v>
      </c>
      <c r="J287" s="4"/>
      <c r="K287" s="4"/>
    </row>
    <row r="288" ht="16" customHeight="1" s="4" customFormat="1">
      <c r="A288" s="4" t="s">
        <v>3819</v>
      </c>
      <c r="B288" s="4" t="s">
        <v>3346</v>
      </c>
      <c r="C288" s="4" t="s">
        <v>4513</v>
      </c>
      <c r="D288" s="4"/>
      <c r="E288" s="4"/>
      <c r="F288" s="4" t="s">
        <v>4420</v>
      </c>
      <c r="G288" s="4" t="s">
        <v>10</v>
      </c>
      <c r="H288" s="4" t="s">
        <v>4510</v>
      </c>
      <c r="I288" s="4" t="s">
        <v>3992</v>
      </c>
      <c r="J288" s="4"/>
      <c r="K288" s="4"/>
    </row>
    <row r="289" ht="16" customHeight="1" s="4" customFormat="1">
      <c r="A289" s="4" t="s">
        <v>3819</v>
      </c>
      <c r="B289" s="4" t="s">
        <v>3346</v>
      </c>
      <c r="C289" s="4" t="s">
        <v>4316</v>
      </c>
      <c r="D289" s="4"/>
      <c r="E289" s="4"/>
      <c r="F289" s="4" t="s">
        <v>4514</v>
      </c>
      <c r="G289" s="4" t="s">
        <v>10</v>
      </c>
      <c r="H289" s="4" t="s">
        <v>4515</v>
      </c>
      <c r="I289" s="4" t="s">
        <v>4516</v>
      </c>
      <c r="J289" s="4"/>
      <c r="K289" s="4"/>
    </row>
    <row r="290" ht="16" customHeight="1" s="4" customFormat="1">
      <c r="A290" s="4" t="s">
        <v>3819</v>
      </c>
      <c r="B290" s="4" t="s">
        <v>3346</v>
      </c>
      <c r="C290" s="4" t="s">
        <v>4316</v>
      </c>
      <c r="D290" s="4"/>
      <c r="E290" s="4"/>
      <c r="F290" s="4" t="s">
        <v>4514</v>
      </c>
      <c r="G290" s="4" t="s">
        <v>10</v>
      </c>
      <c r="H290" s="4" t="s">
        <v>4517</v>
      </c>
      <c r="I290" s="4" t="s">
        <v>4518</v>
      </c>
      <c r="J290" s="4"/>
      <c r="K290" s="4"/>
    </row>
    <row r="291" ht="16" customHeight="1" s="4" customFormat="1">
      <c r="A291" s="4" t="s">
        <v>3819</v>
      </c>
      <c r="B291" s="4" t="s">
        <v>3346</v>
      </c>
      <c r="C291" s="4" t="s">
        <v>4316</v>
      </c>
      <c r="D291" s="4"/>
      <c r="E291" s="4"/>
      <c r="F291" s="4" t="s">
        <v>4514</v>
      </c>
      <c r="G291" s="4" t="s">
        <v>10</v>
      </c>
      <c r="H291" s="4" t="s">
        <v>4519</v>
      </c>
      <c r="I291" s="4" t="s">
        <v>4037</v>
      </c>
      <c r="J291" s="4"/>
      <c r="K291" s="4"/>
    </row>
    <row r="292" ht="16" customHeight="1" s="4" customFormat="1">
      <c r="A292" s="4" t="s">
        <v>3819</v>
      </c>
      <c r="B292" s="4" t="s">
        <v>3346</v>
      </c>
      <c r="C292" s="4" t="s">
        <v>4316</v>
      </c>
      <c r="D292" s="4"/>
      <c r="E292" s="4"/>
      <c r="F292" s="4" t="s">
        <v>4514</v>
      </c>
      <c r="G292" s="4" t="s">
        <v>10</v>
      </c>
      <c r="H292" s="4" t="s">
        <v>4401</v>
      </c>
      <c r="I292" s="4" t="s">
        <v>4402</v>
      </c>
      <c r="J292" s="4"/>
      <c r="K292" s="4"/>
    </row>
    <row r="293" ht="16" customHeight="1" s="4" customFormat="1">
      <c r="A293" s="4" t="s">
        <v>3819</v>
      </c>
      <c r="B293" s="4" t="s">
        <v>3346</v>
      </c>
      <c r="C293" s="4" t="s">
        <v>4316</v>
      </c>
      <c r="D293" s="4"/>
      <c r="E293" s="4"/>
      <c r="F293" s="4" t="s">
        <v>4514</v>
      </c>
      <c r="G293" s="4" t="s">
        <v>10</v>
      </c>
      <c r="H293" s="4" t="s">
        <v>4403</v>
      </c>
      <c r="I293" s="4" t="s">
        <v>4404</v>
      </c>
      <c r="J293" s="4"/>
      <c r="K293" s="4"/>
    </row>
    <row r="294" ht="16" customHeight="1" s="4" customFormat="1">
      <c r="A294" s="4" t="s">
        <v>3819</v>
      </c>
      <c r="B294" s="4" t="s">
        <v>3346</v>
      </c>
      <c r="C294" s="4" t="s">
        <v>4316</v>
      </c>
      <c r="D294" s="4"/>
      <c r="E294" s="4"/>
      <c r="F294" s="4" t="s">
        <v>4514</v>
      </c>
      <c r="G294" s="4" t="s">
        <v>10</v>
      </c>
      <c r="H294" s="4" t="s">
        <v>4411</v>
      </c>
      <c r="I294" s="4" t="s">
        <v>4412</v>
      </c>
      <c r="J294" s="4"/>
      <c r="K294" s="4"/>
    </row>
    <row r="295" ht="16" customHeight="1" s="4" customFormat="1">
      <c r="A295" s="4" t="s">
        <v>3819</v>
      </c>
      <c r="B295" s="4" t="s">
        <v>3346</v>
      </c>
      <c r="C295" s="4" t="s">
        <v>4316</v>
      </c>
      <c r="D295" s="4"/>
      <c r="E295" s="4"/>
      <c r="F295" s="4" t="s">
        <v>4514</v>
      </c>
      <c r="G295" s="4" t="s">
        <v>10</v>
      </c>
      <c r="H295" s="4" t="s">
        <v>4413</v>
      </c>
      <c r="I295" s="4" t="s">
        <v>4414</v>
      </c>
      <c r="J295" s="4"/>
      <c r="K295" s="4"/>
    </row>
    <row r="296" ht="16" customHeight="1" s="4" customFormat="1">
      <c r="A296" s="4" t="s">
        <v>3819</v>
      </c>
      <c r="B296" s="4" t="s">
        <v>3346</v>
      </c>
      <c r="C296" s="4" t="s">
        <v>4316</v>
      </c>
      <c r="D296" s="4"/>
      <c r="E296" s="4"/>
      <c r="F296" s="4" t="s">
        <v>4514</v>
      </c>
      <c r="G296" s="4" t="s">
        <v>10</v>
      </c>
      <c r="H296" s="4" t="s">
        <v>4407</v>
      </c>
      <c r="I296" s="4" t="s">
        <v>4408</v>
      </c>
      <c r="J296" s="4"/>
      <c r="K296" s="4"/>
    </row>
    <row r="297" ht="16" customHeight="1" s="4" customFormat="1">
      <c r="A297" s="4" t="s">
        <v>3819</v>
      </c>
      <c r="B297" s="4" t="s">
        <v>3346</v>
      </c>
      <c r="C297" s="4" t="s">
        <v>4316</v>
      </c>
      <c r="D297" s="4"/>
      <c r="E297" s="4"/>
      <c r="F297" s="4" t="s">
        <v>4514</v>
      </c>
      <c r="G297" s="4" t="s">
        <v>10</v>
      </c>
      <c r="H297" s="4" t="s">
        <v>4409</v>
      </c>
      <c r="I297" s="4" t="s">
        <v>4410</v>
      </c>
      <c r="J297" s="4"/>
      <c r="K297" s="4"/>
    </row>
    <row r="298" ht="16" customHeight="1" s="4" customFormat="1">
      <c r="A298" s="4" t="s">
        <v>3819</v>
      </c>
      <c r="B298" s="4" t="s">
        <v>3346</v>
      </c>
      <c r="C298" s="4" t="s">
        <v>4316</v>
      </c>
      <c r="D298" s="4"/>
      <c r="E298" s="4"/>
      <c r="F298" s="4" t="s">
        <v>4514</v>
      </c>
      <c r="G298" s="4" t="s">
        <v>10</v>
      </c>
      <c r="H298" s="4" t="s">
        <v>4415</v>
      </c>
      <c r="I298" s="4" t="s">
        <v>4416</v>
      </c>
      <c r="J298" s="4"/>
      <c r="K298" s="4"/>
    </row>
    <row r="299" ht="16" customHeight="1" s="4" customFormat="1">
      <c r="A299" s="4" t="s">
        <v>3819</v>
      </c>
      <c r="B299" s="4" t="s">
        <v>3346</v>
      </c>
      <c r="C299" s="4" t="s">
        <v>4316</v>
      </c>
      <c r="D299" s="4"/>
      <c r="E299" s="4"/>
      <c r="F299" s="4" t="s">
        <v>4514</v>
      </c>
      <c r="G299" s="4" t="s">
        <v>10</v>
      </c>
      <c r="H299" s="4" t="s">
        <v>4417</v>
      </c>
      <c r="I299" s="4" t="s">
        <v>3652</v>
      </c>
      <c r="J299" s="4"/>
      <c r="K299" s="4"/>
    </row>
    <row r="300" ht="16" customHeight="1" s="4" customFormat="1">
      <c r="A300" s="4" t="s">
        <v>3819</v>
      </c>
      <c r="B300" s="4" t="s">
        <v>3346</v>
      </c>
      <c r="C300" s="4" t="s">
        <v>4316</v>
      </c>
      <c r="D300" s="4"/>
      <c r="E300" s="4"/>
      <c r="F300" s="4" t="s">
        <v>4514</v>
      </c>
      <c r="G300" s="4" t="s">
        <v>10</v>
      </c>
      <c r="H300" s="4" t="s">
        <v>4418</v>
      </c>
      <c r="I300" s="4" t="s">
        <v>4043</v>
      </c>
      <c r="J300" s="4"/>
      <c r="K300" s="4"/>
    </row>
    <row r="301" ht="16" customHeight="1" s="4" customFormat="1">
      <c r="A301" s="4" t="s">
        <v>3819</v>
      </c>
      <c r="B301" s="4" t="s">
        <v>3346</v>
      </c>
      <c r="C301" s="4" t="s">
        <v>4316</v>
      </c>
      <c r="D301" s="4"/>
      <c r="E301" s="4"/>
      <c r="F301" s="4" t="s">
        <v>4317</v>
      </c>
      <c r="G301" s="4" t="s">
        <v>10</v>
      </c>
      <c r="H301" s="4" t="s">
        <v>4520</v>
      </c>
      <c r="I301" s="4" t="s">
        <v>4521</v>
      </c>
      <c r="J301" s="4"/>
      <c r="K301" s="4"/>
    </row>
    <row r="302" ht="16" customHeight="1" s="4" customFormat="1">
      <c r="A302" s="4" t="s">
        <v>3819</v>
      </c>
      <c r="B302" s="4" t="s">
        <v>3346</v>
      </c>
      <c r="C302" s="4" t="s">
        <v>4316</v>
      </c>
      <c r="D302" s="4"/>
      <c r="E302" s="4"/>
      <c r="F302" s="4" t="s">
        <v>4317</v>
      </c>
      <c r="G302" s="4" t="s">
        <v>10</v>
      </c>
      <c r="H302" s="4" t="s">
        <v>4405</v>
      </c>
      <c r="I302" s="4" t="s">
        <v>4406</v>
      </c>
      <c r="J302" s="4"/>
      <c r="K302" s="4"/>
    </row>
    <row r="303" ht="16" customHeight="1" s="4" customFormat="1">
      <c r="A303" s="4" t="s">
        <v>3819</v>
      </c>
      <c r="B303" s="4" t="s">
        <v>3346</v>
      </c>
      <c r="C303" s="4" t="s">
        <v>4318</v>
      </c>
      <c r="D303" s="4"/>
      <c r="E303" s="4"/>
      <c r="F303" s="4" t="s">
        <v>4514</v>
      </c>
      <c r="G303" s="4" t="s">
        <v>10</v>
      </c>
      <c r="H303" s="4" t="s">
        <v>4515</v>
      </c>
      <c r="I303" s="4" t="s">
        <v>4516</v>
      </c>
      <c r="J303" s="4"/>
      <c r="K303" s="4"/>
    </row>
    <row r="304" ht="16" customHeight="1" s="4" customFormat="1">
      <c r="A304" s="4" t="s">
        <v>3819</v>
      </c>
      <c r="B304" s="4" t="s">
        <v>3346</v>
      </c>
      <c r="C304" s="4" t="s">
        <v>4318</v>
      </c>
      <c r="D304" s="4"/>
      <c r="E304" s="4"/>
      <c r="F304" s="4" t="s">
        <v>4514</v>
      </c>
      <c r="G304" s="4" t="s">
        <v>10</v>
      </c>
      <c r="H304" s="4" t="s">
        <v>4517</v>
      </c>
      <c r="I304" s="4" t="s">
        <v>4518</v>
      </c>
      <c r="J304" s="4"/>
      <c r="K304" s="4"/>
    </row>
    <row r="305" ht="16" customHeight="1" s="4" customFormat="1">
      <c r="A305" s="4" t="s">
        <v>3819</v>
      </c>
      <c r="B305" s="4" t="s">
        <v>3346</v>
      </c>
      <c r="C305" s="4" t="s">
        <v>4318</v>
      </c>
      <c r="D305" s="4"/>
      <c r="E305" s="4"/>
      <c r="F305" s="4" t="s">
        <v>4514</v>
      </c>
      <c r="G305" s="4" t="s">
        <v>10</v>
      </c>
      <c r="H305" s="4" t="s">
        <v>4519</v>
      </c>
      <c r="I305" s="4" t="s">
        <v>4037</v>
      </c>
      <c r="J305" s="4"/>
      <c r="K305" s="4"/>
    </row>
    <row r="306" ht="16" customHeight="1" s="4" customFormat="1">
      <c r="A306" s="4" t="s">
        <v>3819</v>
      </c>
      <c r="B306" s="4" t="s">
        <v>3346</v>
      </c>
      <c r="C306" s="4" t="s">
        <v>4318</v>
      </c>
      <c r="D306" s="4"/>
      <c r="E306" s="4"/>
      <c r="F306" s="4" t="s">
        <v>4514</v>
      </c>
      <c r="G306" s="4" t="s">
        <v>10</v>
      </c>
      <c r="H306" s="4" t="s">
        <v>4401</v>
      </c>
      <c r="I306" s="4" t="s">
        <v>4402</v>
      </c>
      <c r="J306" s="4"/>
      <c r="K306" s="4"/>
    </row>
    <row r="307" ht="16" customHeight="1" s="4" customFormat="1">
      <c r="A307" s="4" t="s">
        <v>3819</v>
      </c>
      <c r="B307" s="4" t="s">
        <v>3346</v>
      </c>
      <c r="C307" s="4" t="s">
        <v>4318</v>
      </c>
      <c r="D307" s="4"/>
      <c r="E307" s="4"/>
      <c r="F307" s="4" t="s">
        <v>4514</v>
      </c>
      <c r="G307" s="4" t="s">
        <v>10</v>
      </c>
      <c r="H307" s="4" t="s">
        <v>4403</v>
      </c>
      <c r="I307" s="4" t="s">
        <v>4404</v>
      </c>
      <c r="J307" s="4"/>
      <c r="K307" s="4"/>
    </row>
    <row r="308" ht="16" customHeight="1" s="4" customFormat="1">
      <c r="A308" s="4" t="s">
        <v>3819</v>
      </c>
      <c r="B308" s="4" t="s">
        <v>3346</v>
      </c>
      <c r="C308" s="4" t="s">
        <v>4318</v>
      </c>
      <c r="D308" s="4"/>
      <c r="E308" s="4"/>
      <c r="F308" s="4" t="s">
        <v>4514</v>
      </c>
      <c r="G308" s="4" t="s">
        <v>10</v>
      </c>
      <c r="H308" s="4" t="s">
        <v>4411</v>
      </c>
      <c r="I308" s="4" t="s">
        <v>4412</v>
      </c>
      <c r="J308" s="4"/>
      <c r="K308" s="4"/>
    </row>
    <row r="309" ht="16" customHeight="1" s="4" customFormat="1">
      <c r="A309" s="4" t="s">
        <v>3819</v>
      </c>
      <c r="B309" s="4" t="s">
        <v>3346</v>
      </c>
      <c r="C309" s="4" t="s">
        <v>4318</v>
      </c>
      <c r="D309" s="4"/>
      <c r="E309" s="4"/>
      <c r="F309" s="4" t="s">
        <v>4514</v>
      </c>
      <c r="G309" s="4" t="s">
        <v>10</v>
      </c>
      <c r="H309" s="4" t="s">
        <v>4413</v>
      </c>
      <c r="I309" s="4" t="s">
        <v>4414</v>
      </c>
      <c r="J309" s="4"/>
      <c r="K309" s="4"/>
    </row>
    <row r="310" ht="16" customHeight="1" s="4" customFormat="1">
      <c r="A310" s="4" t="s">
        <v>3819</v>
      </c>
      <c r="B310" s="4" t="s">
        <v>3346</v>
      </c>
      <c r="C310" s="4" t="s">
        <v>4318</v>
      </c>
      <c r="D310" s="4"/>
      <c r="E310" s="4"/>
      <c r="F310" s="4" t="s">
        <v>4514</v>
      </c>
      <c r="G310" s="4" t="s">
        <v>10</v>
      </c>
      <c r="H310" s="4" t="s">
        <v>4407</v>
      </c>
      <c r="I310" s="4" t="s">
        <v>4408</v>
      </c>
      <c r="J310" s="4"/>
      <c r="K310" s="4"/>
    </row>
    <row r="311" ht="16" customHeight="1" s="4" customFormat="1">
      <c r="A311" s="4" t="s">
        <v>3819</v>
      </c>
      <c r="B311" s="4" t="s">
        <v>3346</v>
      </c>
      <c r="C311" s="4" t="s">
        <v>4318</v>
      </c>
      <c r="D311" s="4"/>
      <c r="E311" s="4"/>
      <c r="F311" s="4" t="s">
        <v>4514</v>
      </c>
      <c r="G311" s="4" t="s">
        <v>10</v>
      </c>
      <c r="H311" s="4" t="s">
        <v>4409</v>
      </c>
      <c r="I311" s="4" t="s">
        <v>4410</v>
      </c>
      <c r="J311" s="4"/>
      <c r="K311" s="4"/>
    </row>
    <row r="312" ht="16" customHeight="1" s="4" customFormat="1">
      <c r="A312" s="4" t="s">
        <v>3819</v>
      </c>
      <c r="B312" s="4" t="s">
        <v>3346</v>
      </c>
      <c r="C312" s="4" t="s">
        <v>4318</v>
      </c>
      <c r="D312" s="4"/>
      <c r="E312" s="4"/>
      <c r="F312" s="4" t="s">
        <v>4514</v>
      </c>
      <c r="G312" s="4" t="s">
        <v>10</v>
      </c>
      <c r="H312" s="4" t="s">
        <v>4415</v>
      </c>
      <c r="I312" s="4" t="s">
        <v>4416</v>
      </c>
      <c r="J312" s="4"/>
      <c r="K312" s="4"/>
    </row>
    <row r="313" ht="16" customHeight="1" s="4" customFormat="1">
      <c r="A313" s="4" t="s">
        <v>3819</v>
      </c>
      <c r="B313" s="4" t="s">
        <v>3346</v>
      </c>
      <c r="C313" s="4" t="s">
        <v>4318</v>
      </c>
      <c r="D313" s="4"/>
      <c r="E313" s="4"/>
      <c r="F313" s="4" t="s">
        <v>4514</v>
      </c>
      <c r="G313" s="4" t="s">
        <v>10</v>
      </c>
      <c r="H313" s="4" t="s">
        <v>4417</v>
      </c>
      <c r="I313" s="4" t="s">
        <v>3652</v>
      </c>
      <c r="J313" s="4"/>
      <c r="K313" s="4"/>
    </row>
    <row r="314" ht="16" customHeight="1" s="4" customFormat="1">
      <c r="A314" s="4" t="s">
        <v>3819</v>
      </c>
      <c r="B314" s="4" t="s">
        <v>3346</v>
      </c>
      <c r="C314" s="4" t="s">
        <v>4318</v>
      </c>
      <c r="D314" s="4"/>
      <c r="E314" s="4"/>
      <c r="F314" s="4" t="s">
        <v>4514</v>
      </c>
      <c r="G314" s="4" t="s">
        <v>10</v>
      </c>
      <c r="H314" s="4" t="s">
        <v>4418</v>
      </c>
      <c r="I314" s="4" t="s">
        <v>4043</v>
      </c>
      <c r="J314" s="4"/>
      <c r="K314" s="4"/>
    </row>
    <row r="315" ht="16" customHeight="1" s="4" customFormat="1">
      <c r="A315" s="4" t="s">
        <v>3819</v>
      </c>
      <c r="B315" s="4" t="s">
        <v>3346</v>
      </c>
      <c r="C315" s="4" t="s">
        <v>4318</v>
      </c>
      <c r="D315" s="4"/>
      <c r="E315" s="4"/>
      <c r="F315" s="4" t="s">
        <v>4317</v>
      </c>
      <c r="G315" s="4" t="s">
        <v>10</v>
      </c>
      <c r="H315" s="4" t="s">
        <v>4520</v>
      </c>
      <c r="I315" s="4" t="s">
        <v>4521</v>
      </c>
      <c r="J315" s="4"/>
      <c r="K315" s="4"/>
    </row>
    <row r="316" ht="16" customHeight="1" s="4" customFormat="1">
      <c r="A316" s="4" t="s">
        <v>3819</v>
      </c>
      <c r="B316" s="4" t="s">
        <v>3346</v>
      </c>
      <c r="C316" s="4" t="s">
        <v>4318</v>
      </c>
      <c r="D316" s="4"/>
      <c r="E316" s="4"/>
      <c r="F316" s="4" t="s">
        <v>4317</v>
      </c>
      <c r="G316" s="4" t="s">
        <v>10</v>
      </c>
      <c r="H316" s="4" t="s">
        <v>4405</v>
      </c>
      <c r="I316" s="4" t="s">
        <v>4406</v>
      </c>
      <c r="J316" s="4"/>
      <c r="K316" s="4"/>
    </row>
    <row r="317" ht="16" customHeight="1" s="4" customFormat="1">
      <c r="A317" s="4" t="s">
        <v>3819</v>
      </c>
      <c r="B317" s="4" t="s">
        <v>3346</v>
      </c>
      <c r="C317" s="4" t="s">
        <v>4522</v>
      </c>
      <c r="D317" s="4"/>
      <c r="E317" s="4"/>
      <c r="F317" s="4" t="s">
        <v>4455</v>
      </c>
      <c r="G317" s="4" t="s">
        <v>10</v>
      </c>
      <c r="H317" s="4" t="s">
        <v>4441</v>
      </c>
      <c r="I317" s="4" t="s">
        <v>4442</v>
      </c>
      <c r="J317" s="4"/>
      <c r="K317" s="4"/>
    </row>
    <row r="318" ht="16" customHeight="1" s="4" customFormat="1">
      <c r="A318" s="4" t="s">
        <v>3819</v>
      </c>
      <c r="B318" s="4" t="s">
        <v>3346</v>
      </c>
      <c r="C318" s="4" t="s">
        <v>4523</v>
      </c>
      <c r="D318" s="4"/>
      <c r="E318" s="4"/>
      <c r="F318" s="4" t="s">
        <v>4457</v>
      </c>
      <c r="G318" s="4" t="s">
        <v>10</v>
      </c>
      <c r="H318" s="4" t="s">
        <v>4445</v>
      </c>
      <c r="I318" s="4" t="s">
        <v>4220</v>
      </c>
      <c r="J318" s="4"/>
      <c r="K318" s="4"/>
    </row>
    <row r="319" ht="16" customHeight="1" s="4" customFormat="1">
      <c r="A319" s="4" t="s">
        <v>3819</v>
      </c>
      <c r="B319" s="4" t="s">
        <v>3346</v>
      </c>
      <c r="C319" s="4" t="s">
        <v>4524</v>
      </c>
      <c r="D319" s="4"/>
      <c r="E319" s="4"/>
      <c r="F319" s="4" t="s">
        <v>4525</v>
      </c>
      <c r="G319" s="4" t="s">
        <v>10</v>
      </c>
      <c r="H319" s="4" t="s">
        <v>4471</v>
      </c>
      <c r="I319" s="4" t="s">
        <v>4131</v>
      </c>
      <c r="J319" s="4"/>
      <c r="K319" s="4"/>
    </row>
    <row r="320" ht="16" customHeight="1" s="4" customFormat="1">
      <c r="A320" s="4" t="s">
        <v>3819</v>
      </c>
      <c r="B320" s="4" t="s">
        <v>3346</v>
      </c>
      <c r="C320" s="4" t="s">
        <v>4524</v>
      </c>
      <c r="D320" s="4"/>
      <c r="E320" s="4"/>
      <c r="F320" s="4" t="s">
        <v>4455</v>
      </c>
      <c r="G320" s="4" t="s">
        <v>10</v>
      </c>
      <c r="H320" s="4" t="s">
        <v>4472</v>
      </c>
      <c r="I320" s="4" t="s">
        <v>4473</v>
      </c>
      <c r="J320" s="4"/>
      <c r="K320" s="4"/>
    </row>
    <row r="321" ht="16" customHeight="1" s="4" customFormat="1">
      <c r="A321" s="4" t="s">
        <v>3819</v>
      </c>
      <c r="B321" s="4" t="s">
        <v>3346</v>
      </c>
      <c r="C321" s="4" t="s">
        <v>4524</v>
      </c>
      <c r="D321" s="4"/>
      <c r="E321" s="4"/>
      <c r="F321" s="4" t="s">
        <v>4455</v>
      </c>
      <c r="G321" s="4" t="s">
        <v>10</v>
      </c>
      <c r="H321" s="4" t="s">
        <v>4474</v>
      </c>
      <c r="I321" s="4" t="s">
        <v>4475</v>
      </c>
      <c r="J321" s="4"/>
      <c r="K321" s="4"/>
    </row>
    <row r="322" ht="16" customHeight="1" s="4" customFormat="1">
      <c r="A322" s="4" t="s">
        <v>3819</v>
      </c>
      <c r="B322" s="4" t="s">
        <v>3346</v>
      </c>
      <c r="C322" s="4" t="s">
        <v>4524</v>
      </c>
      <c r="D322" s="4"/>
      <c r="E322" s="4"/>
      <c r="F322" s="4" t="s">
        <v>4457</v>
      </c>
      <c r="G322" s="4" t="s">
        <v>10</v>
      </c>
      <c r="H322" s="4" t="s">
        <v>4526</v>
      </c>
      <c r="I322" s="4" t="s">
        <v>3634</v>
      </c>
      <c r="J322" s="4"/>
      <c r="K322" s="4"/>
    </row>
    <row r="323" ht="16" customHeight="1" s="4" customFormat="1">
      <c r="A323" s="4" t="s">
        <v>3819</v>
      </c>
      <c r="B323" s="4" t="s">
        <v>3346</v>
      </c>
      <c r="C323" s="4" t="s">
        <v>4524</v>
      </c>
      <c r="D323" s="4"/>
      <c r="E323" s="4"/>
      <c r="F323" s="4" t="s">
        <v>4457</v>
      </c>
      <c r="G323" s="4" t="s">
        <v>10</v>
      </c>
      <c r="H323" s="4" t="s">
        <v>4450</v>
      </c>
      <c r="I323" s="4" t="s">
        <v>4451</v>
      </c>
      <c r="J323" s="4"/>
      <c r="K323" s="4"/>
    </row>
    <row r="324" ht="16" customHeight="1" s="4" customFormat="1">
      <c r="A324" s="4" t="s">
        <v>3819</v>
      </c>
      <c r="B324" s="4" t="s">
        <v>3346</v>
      </c>
      <c r="C324" s="4" t="s">
        <v>4524</v>
      </c>
      <c r="D324" s="4"/>
      <c r="E324" s="4"/>
      <c r="F324" s="4" t="s">
        <v>4457</v>
      </c>
      <c r="G324" s="4" t="s">
        <v>10</v>
      </c>
      <c r="H324" s="4" t="s">
        <v>4452</v>
      </c>
      <c r="I324" s="4" t="s">
        <v>4453</v>
      </c>
      <c r="J324" s="4"/>
      <c r="K324" s="4"/>
    </row>
    <row r="325" ht="16" customHeight="1" s="4" customFormat="1">
      <c r="A325" s="4" t="s">
        <v>3819</v>
      </c>
      <c r="B325" s="4" t="s">
        <v>3346</v>
      </c>
      <c r="C325" s="4" t="s">
        <v>4527</v>
      </c>
      <c r="D325" s="4"/>
      <c r="E325" s="4"/>
      <c r="F325" s="4" t="s">
        <v>4455</v>
      </c>
      <c r="G325" s="4" t="s">
        <v>10</v>
      </c>
      <c r="H325" s="4" t="s">
        <v>4441</v>
      </c>
      <c r="I325" s="4" t="s">
        <v>4442</v>
      </c>
      <c r="J325" s="4"/>
      <c r="K325" s="4"/>
    </row>
    <row r="326" ht="16" customHeight="1" s="4" customFormat="1">
      <c r="A326" s="4" t="s">
        <v>3819</v>
      </c>
      <c r="B326" s="4" t="s">
        <v>3346</v>
      </c>
      <c r="C326" s="4" t="s">
        <v>4528</v>
      </c>
      <c r="D326" s="4"/>
      <c r="E326" s="4"/>
      <c r="F326" s="4" t="s">
        <v>4457</v>
      </c>
      <c r="G326" s="4" t="s">
        <v>10</v>
      </c>
      <c r="H326" s="4" t="s">
        <v>4445</v>
      </c>
      <c r="I326" s="4" t="s">
        <v>4220</v>
      </c>
      <c r="J326" s="4"/>
      <c r="K326" s="4"/>
    </row>
    <row r="327" ht="16" customHeight="1" s="4" customFormat="1">
      <c r="A327" s="4" t="s">
        <v>3819</v>
      </c>
      <c r="B327" s="4" t="s">
        <v>3346</v>
      </c>
      <c r="C327" s="4" t="s">
        <v>4529</v>
      </c>
      <c r="D327" s="4"/>
      <c r="E327" s="4"/>
      <c r="F327" s="4" t="s">
        <v>4455</v>
      </c>
      <c r="G327" s="4" t="s">
        <v>10</v>
      </c>
      <c r="H327" s="4" t="s">
        <v>4472</v>
      </c>
      <c r="I327" s="4" t="s">
        <v>4473</v>
      </c>
      <c r="J327" s="4"/>
      <c r="K327" s="4"/>
    </row>
    <row r="328" ht="16" customHeight="1" s="4" customFormat="1">
      <c r="A328" s="4" t="s">
        <v>3819</v>
      </c>
      <c r="B328" s="4" t="s">
        <v>3346</v>
      </c>
      <c r="C328" s="4" t="s">
        <v>4529</v>
      </c>
      <c r="D328" s="4"/>
      <c r="E328" s="4"/>
      <c r="F328" s="4" t="s">
        <v>4457</v>
      </c>
      <c r="G328" s="4" t="s">
        <v>10</v>
      </c>
      <c r="H328" s="4" t="s">
        <v>4448</v>
      </c>
      <c r="I328" s="4" t="s">
        <v>4449</v>
      </c>
      <c r="J328" s="4"/>
      <c r="K328" s="4"/>
    </row>
    <row r="329" ht="16" customHeight="1" s="4" customFormat="1">
      <c r="A329" s="4" t="s">
        <v>3819</v>
      </c>
      <c r="B329" s="4" t="s">
        <v>3346</v>
      </c>
      <c r="C329" s="4" t="s">
        <v>4529</v>
      </c>
      <c r="D329" s="4"/>
      <c r="E329" s="4"/>
      <c r="F329" s="4" t="s">
        <v>4457</v>
      </c>
      <c r="G329" s="4" t="s">
        <v>10</v>
      </c>
      <c r="H329" s="4" t="s">
        <v>4530</v>
      </c>
      <c r="I329" s="4" t="s">
        <v>4531</v>
      </c>
      <c r="J329" s="4"/>
      <c r="K329" s="4"/>
    </row>
    <row r="330" ht="16" customHeight="1" s="4" customFormat="1">
      <c r="A330" s="4" t="s">
        <v>3819</v>
      </c>
      <c r="B330" s="4" t="s">
        <v>3346</v>
      </c>
      <c r="C330" s="4" t="s">
        <v>4529</v>
      </c>
      <c r="D330" s="4"/>
      <c r="E330" s="4"/>
      <c r="F330" s="4" t="s">
        <v>4457</v>
      </c>
      <c r="G330" s="4" t="s">
        <v>10</v>
      </c>
      <c r="H330" s="4" t="s">
        <v>4460</v>
      </c>
      <c r="I330" s="4" t="s">
        <v>4461</v>
      </c>
      <c r="J330" s="4"/>
      <c r="K330" s="4"/>
    </row>
    <row r="331" ht="16" customHeight="1" s="4" customFormat="1">
      <c r="A331" s="4" t="s">
        <v>3819</v>
      </c>
      <c r="B331" s="4" t="s">
        <v>3346</v>
      </c>
      <c r="C331" s="4" t="s">
        <v>4532</v>
      </c>
      <c r="D331" s="4"/>
      <c r="E331" s="4"/>
      <c r="F331" s="4" t="s">
        <v>4533</v>
      </c>
      <c r="G331" s="4" t="s">
        <v>10</v>
      </c>
      <c r="H331" s="4" t="s">
        <v>4441</v>
      </c>
      <c r="I331" s="4" t="s">
        <v>4442</v>
      </c>
      <c r="J331" s="4"/>
      <c r="K331" s="4"/>
    </row>
    <row r="332" ht="16" customHeight="1" s="4" customFormat="1">
      <c r="A332" s="4" t="s">
        <v>3819</v>
      </c>
      <c r="B332" s="4" t="s">
        <v>3346</v>
      </c>
      <c r="C332" s="4" t="s">
        <v>4534</v>
      </c>
      <c r="D332" s="4"/>
      <c r="E332" s="4"/>
      <c r="F332" s="4" t="s">
        <v>4535</v>
      </c>
      <c r="G332" s="4" t="s">
        <v>10</v>
      </c>
      <c r="H332" s="4" t="s">
        <v>4445</v>
      </c>
      <c r="I332" s="4" t="s">
        <v>4220</v>
      </c>
      <c r="J332" s="4"/>
      <c r="K332" s="4"/>
    </row>
    <row r="333" ht="16" customHeight="1" s="4" customFormat="1">
      <c r="A333" s="4" t="s">
        <v>3819</v>
      </c>
      <c r="B333" s="4" t="s">
        <v>3346</v>
      </c>
      <c r="C333" s="4" t="s">
        <v>4536</v>
      </c>
      <c r="D333" s="4"/>
      <c r="E333" s="4"/>
      <c r="F333" s="4" t="s">
        <v>4533</v>
      </c>
      <c r="G333" s="4" t="s">
        <v>10</v>
      </c>
      <c r="H333" s="4" t="s">
        <v>4472</v>
      </c>
      <c r="I333" s="4" t="s">
        <v>4473</v>
      </c>
      <c r="J333" s="4"/>
      <c r="K333" s="4"/>
    </row>
    <row r="334" ht="16" customHeight="1" s="4" customFormat="1">
      <c r="A334" s="4" t="s">
        <v>3819</v>
      </c>
      <c r="B334" s="4" t="s">
        <v>3346</v>
      </c>
      <c r="C334" s="4" t="s">
        <v>4536</v>
      </c>
      <c r="D334" s="4"/>
      <c r="E334" s="4"/>
      <c r="F334" s="4" t="s">
        <v>4533</v>
      </c>
      <c r="G334" s="4" t="s">
        <v>10</v>
      </c>
      <c r="H334" s="4" t="s">
        <v>4537</v>
      </c>
      <c r="I334" s="4" t="s">
        <v>4538</v>
      </c>
      <c r="J334" s="4"/>
      <c r="K334" s="4"/>
    </row>
    <row r="335" ht="16" customHeight="1" s="4" customFormat="1">
      <c r="A335" s="4" t="s">
        <v>3819</v>
      </c>
      <c r="B335" s="4" t="s">
        <v>3346</v>
      </c>
      <c r="C335" s="4" t="s">
        <v>4536</v>
      </c>
      <c r="D335" s="4"/>
      <c r="E335" s="4"/>
      <c r="F335" s="4" t="s">
        <v>4535</v>
      </c>
      <c r="G335" s="4" t="s">
        <v>10</v>
      </c>
      <c r="H335" s="4" t="s">
        <v>4448</v>
      </c>
      <c r="I335" s="4" t="s">
        <v>4449</v>
      </c>
      <c r="J335" s="4"/>
      <c r="K335" s="4"/>
    </row>
    <row r="336" ht="16" customHeight="1" s="4" customFormat="1">
      <c r="A336" s="4" t="s">
        <v>3819</v>
      </c>
      <c r="B336" s="4" t="s">
        <v>3346</v>
      </c>
      <c r="C336" s="4" t="s">
        <v>4536</v>
      </c>
      <c r="D336" s="4"/>
      <c r="E336" s="4"/>
      <c r="F336" s="4" t="s">
        <v>4535</v>
      </c>
      <c r="G336" s="4" t="s">
        <v>10</v>
      </c>
      <c r="H336" s="4" t="s">
        <v>4530</v>
      </c>
      <c r="I336" s="4" t="s">
        <v>4531</v>
      </c>
      <c r="J336" s="4"/>
      <c r="K336" s="4"/>
    </row>
    <row r="337" ht="16" customHeight="1" s="4" customFormat="1">
      <c r="A337" s="4" t="s">
        <v>3819</v>
      </c>
      <c r="B337" s="4" t="s">
        <v>3346</v>
      </c>
      <c r="C337" s="4" t="s">
        <v>4536</v>
      </c>
      <c r="D337" s="4"/>
      <c r="E337" s="4"/>
      <c r="F337" s="4" t="s">
        <v>4535</v>
      </c>
      <c r="G337" s="4" t="s">
        <v>10</v>
      </c>
      <c r="H337" s="4" t="s">
        <v>4482</v>
      </c>
      <c r="I337" s="4" t="s">
        <v>4483</v>
      </c>
      <c r="J337" s="4"/>
      <c r="K337" s="4"/>
    </row>
    <row r="338" ht="16" customHeight="1" s="4" customFormat="1">
      <c r="A338" s="4" t="s">
        <v>3819</v>
      </c>
      <c r="B338" s="4" t="s">
        <v>3346</v>
      </c>
      <c r="C338" s="4" t="s">
        <v>4539</v>
      </c>
      <c r="D338" s="4"/>
      <c r="E338" s="4"/>
      <c r="F338" s="4" t="s">
        <v>4540</v>
      </c>
      <c r="G338" s="4" t="s">
        <v>10</v>
      </c>
      <c r="H338" s="4" t="s">
        <v>4441</v>
      </c>
      <c r="I338" s="4" t="s">
        <v>4442</v>
      </c>
      <c r="J338" s="4"/>
      <c r="K338" s="4"/>
    </row>
    <row r="339" ht="16" customHeight="1" s="4" customFormat="1">
      <c r="A339" s="4" t="s">
        <v>3819</v>
      </c>
      <c r="B339" s="4" t="s">
        <v>3346</v>
      </c>
      <c r="C339" s="4" t="s">
        <v>4541</v>
      </c>
      <c r="D339" s="4"/>
      <c r="E339" s="4"/>
      <c r="F339" s="4" t="s">
        <v>4542</v>
      </c>
      <c r="G339" s="4" t="s">
        <v>10</v>
      </c>
      <c r="H339" s="4" t="s">
        <v>4445</v>
      </c>
      <c r="I339" s="4" t="s">
        <v>4220</v>
      </c>
      <c r="J339" s="4"/>
      <c r="K339" s="4"/>
    </row>
    <row r="340" ht="16" customHeight="1" s="4" customFormat="1">
      <c r="A340" s="4" t="s">
        <v>3819</v>
      </c>
      <c r="B340" s="4" t="s">
        <v>3346</v>
      </c>
      <c r="C340" s="4" t="s">
        <v>4543</v>
      </c>
      <c r="D340" s="4"/>
      <c r="E340" s="4"/>
      <c r="F340" s="4" t="s">
        <v>4540</v>
      </c>
      <c r="G340" s="4" t="s">
        <v>10</v>
      </c>
      <c r="H340" s="4" t="s">
        <v>4474</v>
      </c>
      <c r="I340" s="4" t="s">
        <v>4475</v>
      </c>
      <c r="J340" s="4"/>
      <c r="K340" s="4"/>
    </row>
    <row r="341" ht="16" customHeight="1" s="4" customFormat="1">
      <c r="A341" s="4" t="s">
        <v>3819</v>
      </c>
      <c r="B341" s="4" t="s">
        <v>3346</v>
      </c>
      <c r="C341" s="4" t="s">
        <v>4543</v>
      </c>
      <c r="D341" s="4"/>
      <c r="E341" s="4"/>
      <c r="F341" s="4" t="s">
        <v>4542</v>
      </c>
      <c r="G341" s="4" t="s">
        <v>10</v>
      </c>
      <c r="H341" s="4" t="s">
        <v>4448</v>
      </c>
      <c r="I341" s="4" t="s">
        <v>4449</v>
      </c>
      <c r="J341" s="4"/>
      <c r="K341" s="4"/>
    </row>
    <row r="342" ht="16" customHeight="1" s="4" customFormat="1">
      <c r="A342" s="4" t="s">
        <v>3819</v>
      </c>
      <c r="B342" s="4" t="s">
        <v>3346</v>
      </c>
      <c r="C342" s="4" t="s">
        <v>4543</v>
      </c>
      <c r="D342" s="4"/>
      <c r="E342" s="4"/>
      <c r="F342" s="4" t="s">
        <v>4542</v>
      </c>
      <c r="G342" s="4" t="s">
        <v>10</v>
      </c>
      <c r="H342" s="4" t="s">
        <v>4450</v>
      </c>
      <c r="I342" s="4" t="s">
        <v>4451</v>
      </c>
      <c r="J342" s="4"/>
      <c r="K342" s="4"/>
    </row>
    <row r="343" ht="16" customHeight="1" s="4" customFormat="1">
      <c r="A343" s="4" t="s">
        <v>3819</v>
      </c>
      <c r="B343" s="4" t="s">
        <v>3346</v>
      </c>
      <c r="C343" s="4" t="s">
        <v>4543</v>
      </c>
      <c r="D343" s="4"/>
      <c r="E343" s="4"/>
      <c r="F343" s="4" t="s">
        <v>4542</v>
      </c>
      <c r="G343" s="4" t="s">
        <v>10</v>
      </c>
      <c r="H343" s="4" t="s">
        <v>4452</v>
      </c>
      <c r="I343" s="4" t="s">
        <v>4453</v>
      </c>
      <c r="J343" s="4"/>
      <c r="K343" s="4"/>
    </row>
    <row r="344" ht="16" customHeight="1" s="4" customFormat="1">
      <c r="A344" s="4" t="s">
        <v>3819</v>
      </c>
      <c r="B344" s="4" t="s">
        <v>3346</v>
      </c>
      <c r="C344" s="4" t="s">
        <v>4544</v>
      </c>
      <c r="D344" s="4"/>
      <c r="E344" s="4"/>
      <c r="F344" s="4" t="s">
        <v>4545</v>
      </c>
      <c r="G344" s="4" t="s">
        <v>10</v>
      </c>
      <c r="H344" s="4" t="s">
        <v>4546</v>
      </c>
      <c r="I344" s="4" t="s">
        <v>4394</v>
      </c>
      <c r="J344" s="4"/>
      <c r="K344" s="4"/>
    </row>
    <row r="345" ht="16" customHeight="1" s="4" customFormat="1">
      <c r="A345" s="4" t="s">
        <v>3819</v>
      </c>
      <c r="B345" s="4" t="s">
        <v>3346</v>
      </c>
      <c r="C345" s="4" t="s">
        <v>4544</v>
      </c>
      <c r="D345" s="4"/>
      <c r="E345" s="4"/>
      <c r="F345" s="4" t="s">
        <v>4545</v>
      </c>
      <c r="G345" s="4" t="s">
        <v>10</v>
      </c>
      <c r="H345" s="4" t="s">
        <v>4547</v>
      </c>
      <c r="I345" s="4" t="s">
        <v>4548</v>
      </c>
      <c r="J345" s="4"/>
      <c r="K345" s="4"/>
    </row>
    <row r="346" ht="16" customHeight="1" s="4" customFormat="1">
      <c r="A346" s="4" t="s">
        <v>3819</v>
      </c>
      <c r="B346" s="4" t="s">
        <v>3346</v>
      </c>
      <c r="C346" s="4" t="s">
        <v>4549</v>
      </c>
      <c r="D346" s="4"/>
      <c r="E346" s="4"/>
      <c r="F346" s="4" t="s">
        <v>4545</v>
      </c>
      <c r="G346" s="4" t="s">
        <v>10</v>
      </c>
      <c r="H346" s="4" t="s">
        <v>4550</v>
      </c>
      <c r="I346" s="4" t="s">
        <v>4222</v>
      </c>
      <c r="J346" s="4"/>
      <c r="K346" s="4"/>
    </row>
    <row r="347" ht="16" customHeight="1" s="4" customFormat="1">
      <c r="A347" s="4" t="s">
        <v>3819</v>
      </c>
      <c r="B347" s="4" t="s">
        <v>3346</v>
      </c>
      <c r="C347" s="4" t="s">
        <v>4319</v>
      </c>
      <c r="D347" s="4"/>
      <c r="E347" s="4"/>
      <c r="F347" s="4" t="s">
        <v>4320</v>
      </c>
      <c r="G347" s="4" t="s">
        <v>10</v>
      </c>
      <c r="H347" s="4" t="s">
        <v>4395</v>
      </c>
      <c r="I347" s="4" t="s">
        <v>4396</v>
      </c>
      <c r="J347" s="4"/>
      <c r="K347" s="4"/>
    </row>
    <row r="348" ht="16" customHeight="1" s="4" customFormat="1">
      <c r="A348" s="4" t="s">
        <v>3819</v>
      </c>
      <c r="B348" s="4" t="s">
        <v>3346</v>
      </c>
      <c r="C348" s="4" t="s">
        <v>4319</v>
      </c>
      <c r="D348" s="4"/>
      <c r="E348" s="4"/>
      <c r="F348" s="4" t="s">
        <v>4551</v>
      </c>
      <c r="G348" s="4" t="s">
        <v>10</v>
      </c>
      <c r="H348" s="4" t="s">
        <v>4398</v>
      </c>
      <c r="I348" s="4" t="s">
        <v>4399</v>
      </c>
      <c r="J348" s="4"/>
      <c r="K348" s="4"/>
    </row>
    <row r="349" ht="16" customHeight="1" s="4" customFormat="1">
      <c r="A349" s="4" t="s">
        <v>3819</v>
      </c>
      <c r="B349" s="4" t="s">
        <v>3346</v>
      </c>
      <c r="C349" s="4" t="s">
        <v>4321</v>
      </c>
      <c r="D349" s="4"/>
      <c r="E349" s="4"/>
      <c r="F349" s="4" t="s">
        <v>4320</v>
      </c>
      <c r="G349" s="4" t="s">
        <v>10</v>
      </c>
      <c r="H349" s="4" t="s">
        <v>4395</v>
      </c>
      <c r="I349" s="4" t="s">
        <v>4396</v>
      </c>
      <c r="J349" s="4"/>
      <c r="K349" s="4"/>
    </row>
    <row r="350" ht="16" customHeight="1" s="4" customFormat="1">
      <c r="A350" s="4" t="s">
        <v>3819</v>
      </c>
      <c r="B350" s="4" t="s">
        <v>3346</v>
      </c>
      <c r="C350" s="4" t="s">
        <v>4321</v>
      </c>
      <c r="D350" s="4"/>
      <c r="E350" s="4"/>
      <c r="F350" s="4" t="s">
        <v>4551</v>
      </c>
      <c r="G350" s="4" t="s">
        <v>10</v>
      </c>
      <c r="H350" s="4" t="s">
        <v>4398</v>
      </c>
      <c r="I350" s="4" t="s">
        <v>4399</v>
      </c>
      <c r="J350" s="4"/>
      <c r="K350" s="4"/>
    </row>
    <row r="351" ht="16" customHeight="1" s="4" customFormat="1">
      <c r="A351" s="4" t="s">
        <v>3819</v>
      </c>
      <c r="B351" s="4" t="s">
        <v>3390</v>
      </c>
      <c r="C351" s="4" t="s">
        <v>4322</v>
      </c>
      <c r="D351" s="4"/>
      <c r="E351" s="4"/>
      <c r="F351" s="4" t="s">
        <v>4323</v>
      </c>
      <c r="G351" s="4" t="s">
        <v>10</v>
      </c>
      <c r="H351" s="4" t="s">
        <v>4552</v>
      </c>
      <c r="I351" s="4" t="s">
        <v>4027</v>
      </c>
      <c r="J351" s="4"/>
      <c r="K351" s="4"/>
    </row>
    <row r="352" ht="16" customHeight="1" s="4" customFormat="1">
      <c r="A352" s="4" t="s">
        <v>3819</v>
      </c>
      <c r="B352" s="4" t="s">
        <v>3390</v>
      </c>
      <c r="C352" s="4" t="s">
        <v>4553</v>
      </c>
      <c r="D352" s="4"/>
      <c r="E352" s="4"/>
      <c r="F352" s="4" t="s">
        <v>4554</v>
      </c>
      <c r="G352" s="4" t="s">
        <v>10</v>
      </c>
      <c r="H352" s="4" t="s">
        <v>4555</v>
      </c>
      <c r="I352" s="4" t="s">
        <v>4222</v>
      </c>
      <c r="J352" s="4"/>
      <c r="K352" s="4"/>
    </row>
    <row r="353" ht="16" customHeight="1" s="4" customFormat="1">
      <c r="A353" s="4" t="s">
        <v>3819</v>
      </c>
      <c r="B353" s="4" t="s">
        <v>3390</v>
      </c>
      <c r="C353" s="4" t="s">
        <v>4325</v>
      </c>
      <c r="D353" s="4"/>
      <c r="E353" s="4"/>
      <c r="F353" s="4" t="s">
        <v>4326</v>
      </c>
      <c r="G353" s="4" t="s">
        <v>10</v>
      </c>
      <c r="H353" s="4" t="s">
        <v>4556</v>
      </c>
      <c r="I353" s="4" t="s">
        <v>4208</v>
      </c>
      <c r="J353" s="4"/>
      <c r="K353" s="4"/>
    </row>
    <row r="354" ht="16" customHeight="1" s="4" customFormat="1">
      <c r="A354" s="4" t="s">
        <v>3819</v>
      </c>
      <c r="B354" s="4" t="s">
        <v>3390</v>
      </c>
      <c r="C354" s="4" t="s">
        <v>4325</v>
      </c>
      <c r="D354" s="4"/>
      <c r="E354" s="4"/>
      <c r="F354" s="4" t="s">
        <v>4326</v>
      </c>
      <c r="G354" s="4" t="s">
        <v>10</v>
      </c>
      <c r="H354" s="4" t="s">
        <v>4557</v>
      </c>
      <c r="I354" s="4" t="s">
        <v>4210</v>
      </c>
      <c r="J354" s="4"/>
      <c r="K354" s="4"/>
    </row>
    <row r="355" ht="16" customHeight="1" s="4" customFormat="1">
      <c r="A355" s="4" t="s">
        <v>3819</v>
      </c>
      <c r="B355" s="4" t="s">
        <v>3390</v>
      </c>
      <c r="C355" s="4" t="s">
        <v>4325</v>
      </c>
      <c r="D355" s="4"/>
      <c r="E355" s="4"/>
      <c r="F355" s="4" t="s">
        <v>4326</v>
      </c>
      <c r="G355" s="4" t="s">
        <v>10</v>
      </c>
      <c r="H355" s="4" t="s">
        <v>4558</v>
      </c>
      <c r="I355" s="4" t="s">
        <v>4203</v>
      </c>
      <c r="J355" s="4"/>
      <c r="K355" s="4"/>
    </row>
    <row r="356" ht="16" customHeight="1" s="4" customFormat="1">
      <c r="A356" s="4" t="s">
        <v>3819</v>
      </c>
      <c r="B356" s="4" t="s">
        <v>3390</v>
      </c>
      <c r="C356" s="4" t="s">
        <v>4325</v>
      </c>
      <c r="D356" s="4"/>
      <c r="E356" s="4"/>
      <c r="F356" s="4" t="s">
        <v>4326</v>
      </c>
      <c r="G356" s="4" t="s">
        <v>10</v>
      </c>
      <c r="H356" s="4" t="s">
        <v>4559</v>
      </c>
      <c r="I356" s="4" t="s">
        <v>4205</v>
      </c>
      <c r="J356" s="4"/>
      <c r="K356" s="4"/>
    </row>
    <row r="357" ht="16" customHeight="1" s="4" customFormat="1">
      <c r="A357" s="4" t="s">
        <v>3819</v>
      </c>
      <c r="B357" s="4" t="s">
        <v>3390</v>
      </c>
      <c r="C357" s="4" t="s">
        <v>4325</v>
      </c>
      <c r="D357" s="4"/>
      <c r="E357" s="4"/>
      <c r="F357" s="4" t="s">
        <v>4326</v>
      </c>
      <c r="G357" s="4" t="s">
        <v>10</v>
      </c>
      <c r="H357" s="4" t="s">
        <v>4560</v>
      </c>
      <c r="I357" s="4" t="s">
        <v>4201</v>
      </c>
      <c r="J357" s="4"/>
      <c r="K357" s="4"/>
    </row>
    <row r="358" ht="16" customHeight="1" s="4" customFormat="1">
      <c r="A358" s="4" t="s">
        <v>3819</v>
      </c>
      <c r="B358" s="4" t="s">
        <v>3390</v>
      </c>
      <c r="C358" s="4" t="s">
        <v>4561</v>
      </c>
      <c r="D358" s="4"/>
      <c r="E358" s="4"/>
      <c r="F358" s="4" t="s">
        <v>4562</v>
      </c>
      <c r="G358" s="4" t="s">
        <v>10</v>
      </c>
      <c r="H358" s="4" t="s">
        <v>4563</v>
      </c>
      <c r="I358" s="4" t="s">
        <v>3610</v>
      </c>
      <c r="J358" s="4"/>
      <c r="K358" s="4"/>
    </row>
    <row r="359" ht="16" customHeight="1" s="4" customFormat="1">
      <c r="A359" s="4" t="s">
        <v>3819</v>
      </c>
      <c r="B359" s="4" t="s">
        <v>3390</v>
      </c>
      <c r="C359" s="4" t="s">
        <v>4561</v>
      </c>
      <c r="D359" s="4"/>
      <c r="E359" s="4"/>
      <c r="F359" s="4" t="s">
        <v>4562</v>
      </c>
      <c r="G359" s="4" t="s">
        <v>10</v>
      </c>
      <c r="H359" s="4" t="s">
        <v>4564</v>
      </c>
      <c r="I359" s="4" t="s">
        <v>4128</v>
      </c>
      <c r="J359" s="4"/>
      <c r="K359" s="4"/>
    </row>
    <row r="360" ht="16" customHeight="1" s="4" customFormat="1">
      <c r="A360" s="4" t="s">
        <v>3819</v>
      </c>
      <c r="B360" s="4" t="s">
        <v>3390</v>
      </c>
      <c r="C360" s="4" t="s">
        <v>4561</v>
      </c>
      <c r="D360" s="4"/>
      <c r="E360" s="4"/>
      <c r="F360" s="4" t="s">
        <v>4562</v>
      </c>
      <c r="G360" s="4" t="s">
        <v>10</v>
      </c>
      <c r="H360" s="4" t="s">
        <v>4565</v>
      </c>
      <c r="I360" s="4" t="s">
        <v>3634</v>
      </c>
      <c r="J360" s="4"/>
      <c r="K360" s="4"/>
    </row>
    <row r="361" ht="16" customHeight="1" s="4" customFormat="1">
      <c r="A361" s="4" t="s">
        <v>3819</v>
      </c>
      <c r="B361" s="4" t="s">
        <v>3390</v>
      </c>
      <c r="C361" s="4" t="s">
        <v>4561</v>
      </c>
      <c r="D361" s="4"/>
      <c r="E361" s="4"/>
      <c r="F361" s="4" t="s">
        <v>4562</v>
      </c>
      <c r="G361" s="4" t="s">
        <v>10</v>
      </c>
      <c r="H361" s="4" t="s">
        <v>4566</v>
      </c>
      <c r="I361" s="4" t="s">
        <v>4115</v>
      </c>
      <c r="J361" s="4"/>
      <c r="K361" s="4"/>
    </row>
    <row r="362" ht="16" customHeight="1" s="4" customFormat="1">
      <c r="A362" s="4" t="s">
        <v>3819</v>
      </c>
      <c r="B362" s="4" t="s">
        <v>3390</v>
      </c>
      <c r="C362" s="4" t="s">
        <v>4561</v>
      </c>
      <c r="D362" s="4"/>
      <c r="E362" s="4"/>
      <c r="F362" s="4" t="s">
        <v>4562</v>
      </c>
      <c r="G362" s="4" t="s">
        <v>10</v>
      </c>
      <c r="H362" s="4" t="s">
        <v>4567</v>
      </c>
      <c r="I362" s="4" t="s">
        <v>4120</v>
      </c>
      <c r="J362" s="4"/>
      <c r="K362" s="4"/>
    </row>
    <row r="363" ht="16" customHeight="1" s="4" customFormat="1">
      <c r="A363" s="4" t="s">
        <v>3819</v>
      </c>
      <c r="B363" s="4" t="s">
        <v>3390</v>
      </c>
      <c r="C363" s="4" t="s">
        <v>4561</v>
      </c>
      <c r="D363" s="4"/>
      <c r="E363" s="4"/>
      <c r="F363" s="4" t="s">
        <v>4562</v>
      </c>
      <c r="G363" s="4" t="s">
        <v>10</v>
      </c>
      <c r="H363" s="4" t="s">
        <v>4568</v>
      </c>
      <c r="I363" s="4" t="s">
        <v>4131</v>
      </c>
      <c r="J363" s="4"/>
      <c r="K363" s="4"/>
    </row>
    <row r="364" ht="16" customHeight="1" s="4" customFormat="1">
      <c r="A364" s="4" t="s">
        <v>3819</v>
      </c>
      <c r="B364" s="4" t="s">
        <v>3390</v>
      </c>
      <c r="C364" s="4" t="s">
        <v>4561</v>
      </c>
      <c r="D364" s="4"/>
      <c r="E364" s="4"/>
      <c r="F364" s="4" t="s">
        <v>4562</v>
      </c>
      <c r="G364" s="4" t="s">
        <v>10</v>
      </c>
      <c r="H364" s="4" t="s">
        <v>4569</v>
      </c>
      <c r="I364" s="4" t="s">
        <v>3471</v>
      </c>
      <c r="J364" s="4"/>
      <c r="K364" s="4"/>
    </row>
    <row r="365" ht="16" customHeight="1" s="4" customFormat="1">
      <c r="A365" s="4" t="s">
        <v>3819</v>
      </c>
      <c r="B365" s="4" t="s">
        <v>3390</v>
      </c>
      <c r="C365" s="4" t="s">
        <v>4328</v>
      </c>
      <c r="D365" s="4"/>
      <c r="E365" s="4"/>
      <c r="F365" s="4" t="s">
        <v>4329</v>
      </c>
      <c r="G365" s="4" t="s">
        <v>10</v>
      </c>
      <c r="H365" s="4" t="s">
        <v>4570</v>
      </c>
      <c r="I365" s="4" t="s">
        <v>4145</v>
      </c>
      <c r="J365" s="4"/>
      <c r="K365" s="4"/>
    </row>
    <row r="366" ht="16" customHeight="1" s="4" customFormat="1">
      <c r="A366" s="4" t="s">
        <v>3819</v>
      </c>
      <c r="B366" s="4" t="s">
        <v>3390</v>
      </c>
      <c r="C366" s="4" t="s">
        <v>4328</v>
      </c>
      <c r="D366" s="4"/>
      <c r="E366" s="4"/>
      <c r="F366" s="4" t="s">
        <v>4329</v>
      </c>
      <c r="G366" s="4" t="s">
        <v>10</v>
      </c>
      <c r="H366" s="4" t="s">
        <v>4571</v>
      </c>
      <c r="I366" s="4" t="s">
        <v>3731</v>
      </c>
      <c r="J366" s="4"/>
      <c r="K366" s="4"/>
    </row>
    <row r="367" ht="16" customHeight="1" s="4" customFormat="1">
      <c r="A367" s="4" t="s">
        <v>3819</v>
      </c>
      <c r="B367" s="4" t="s">
        <v>3390</v>
      </c>
      <c r="C367" s="4" t="s">
        <v>4328</v>
      </c>
      <c r="D367" s="4"/>
      <c r="E367" s="4"/>
      <c r="F367" s="4" t="s">
        <v>4329</v>
      </c>
      <c r="G367" s="4" t="s">
        <v>10</v>
      </c>
      <c r="H367" s="4" t="s">
        <v>4572</v>
      </c>
      <c r="I367" s="4" t="s">
        <v>4138</v>
      </c>
      <c r="J367" s="4"/>
      <c r="K367" s="4"/>
    </row>
    <row r="368" ht="16" customHeight="1" s="4" customFormat="1">
      <c r="A368" s="4" t="s">
        <v>3819</v>
      </c>
      <c r="B368" s="4" t="s">
        <v>3390</v>
      </c>
      <c r="C368" s="4" t="s">
        <v>4146</v>
      </c>
      <c r="D368" s="4"/>
      <c r="E368" s="4"/>
      <c r="F368" s="4" t="s">
        <v>4332</v>
      </c>
      <c r="G368" s="4" t="s">
        <v>10</v>
      </c>
      <c r="H368" s="4" t="s">
        <v>4573</v>
      </c>
      <c r="I368" s="4" t="s">
        <v>4170</v>
      </c>
      <c r="J368" s="4"/>
      <c r="K368" s="4"/>
    </row>
    <row r="369" ht="16" customHeight="1" s="4" customFormat="1">
      <c r="A369" s="4" t="s">
        <v>3819</v>
      </c>
      <c r="B369" s="4" t="s">
        <v>3390</v>
      </c>
      <c r="C369" s="4" t="s">
        <v>4146</v>
      </c>
      <c r="D369" s="4"/>
      <c r="E369" s="4"/>
      <c r="F369" s="4" t="s">
        <v>4332</v>
      </c>
      <c r="G369" s="4" t="s">
        <v>10</v>
      </c>
      <c r="H369" s="4" t="s">
        <v>4574</v>
      </c>
      <c r="I369" s="4" t="s">
        <v>4158</v>
      </c>
      <c r="J369" s="4"/>
      <c r="K369" s="4"/>
    </row>
    <row r="370" ht="16" customHeight="1" s="4" customFormat="1">
      <c r="A370" s="4" t="s">
        <v>3819</v>
      </c>
      <c r="B370" s="4" t="s">
        <v>3390</v>
      </c>
      <c r="C370" s="4" t="s">
        <v>4146</v>
      </c>
      <c r="D370" s="4"/>
      <c r="E370" s="4"/>
      <c r="F370" s="4" t="s">
        <v>4332</v>
      </c>
      <c r="G370" s="4" t="s">
        <v>10</v>
      </c>
      <c r="H370" s="4" t="s">
        <v>4575</v>
      </c>
      <c r="I370" s="4" t="s">
        <v>4160</v>
      </c>
      <c r="J370" s="4"/>
      <c r="K370" s="4"/>
    </row>
    <row r="371" ht="16" customHeight="1" s="4" customFormat="1">
      <c r="A371" s="4" t="s">
        <v>3819</v>
      </c>
      <c r="B371" s="4" t="s">
        <v>3390</v>
      </c>
      <c r="C371" s="4" t="s">
        <v>4146</v>
      </c>
      <c r="D371" s="4"/>
      <c r="E371" s="4"/>
      <c r="F371" s="4" t="s">
        <v>4332</v>
      </c>
      <c r="G371" s="4" t="s">
        <v>10</v>
      </c>
      <c r="H371" s="4" t="s">
        <v>4576</v>
      </c>
      <c r="I371" s="4" t="s">
        <v>4164</v>
      </c>
      <c r="J371" s="4"/>
      <c r="K371" s="4"/>
    </row>
    <row r="372" ht="16" customHeight="1" s="4" customFormat="1">
      <c r="A372" s="4" t="s">
        <v>3819</v>
      </c>
      <c r="B372" s="4" t="s">
        <v>3390</v>
      </c>
      <c r="C372" s="4" t="s">
        <v>4146</v>
      </c>
      <c r="D372" s="4"/>
      <c r="E372" s="4"/>
      <c r="F372" s="4" t="s">
        <v>4332</v>
      </c>
      <c r="G372" s="4" t="s">
        <v>10</v>
      </c>
      <c r="H372" s="4" t="s">
        <v>4577</v>
      </c>
      <c r="I372" s="4" t="s">
        <v>4168</v>
      </c>
      <c r="J372" s="4"/>
      <c r="K372" s="4"/>
    </row>
    <row r="373" ht="16" customHeight="1" s="4" customFormat="1">
      <c r="A373" s="4" t="s">
        <v>3819</v>
      </c>
      <c r="B373" s="4" t="s">
        <v>3390</v>
      </c>
      <c r="C373" s="4" t="s">
        <v>4146</v>
      </c>
      <c r="D373" s="4"/>
      <c r="E373" s="4"/>
      <c r="F373" s="4" t="s">
        <v>4332</v>
      </c>
      <c r="G373" s="4" t="s">
        <v>10</v>
      </c>
      <c r="H373" s="4" t="s">
        <v>4578</v>
      </c>
      <c r="I373" s="4" t="s">
        <v>4162</v>
      </c>
      <c r="J373" s="4"/>
      <c r="K373" s="4"/>
    </row>
    <row r="374" ht="16" customHeight="1" s="4" customFormat="1">
      <c r="A374" s="4" t="s">
        <v>3819</v>
      </c>
      <c r="B374" s="4" t="s">
        <v>3390</v>
      </c>
      <c r="C374" s="4" t="s">
        <v>4146</v>
      </c>
      <c r="D374" s="4"/>
      <c r="E374" s="4"/>
      <c r="F374" s="4" t="s">
        <v>4332</v>
      </c>
      <c r="G374" s="4" t="s">
        <v>10</v>
      </c>
      <c r="H374" s="4" t="s">
        <v>4579</v>
      </c>
      <c r="I374" s="4" t="s">
        <v>4153</v>
      </c>
      <c r="J374" s="4"/>
      <c r="K374" s="4"/>
    </row>
    <row r="375" ht="16" customHeight="1" s="4" customFormat="1">
      <c r="A375" s="4" t="s">
        <v>3819</v>
      </c>
      <c r="B375" s="4" t="s">
        <v>3390</v>
      </c>
      <c r="C375" s="4" t="s">
        <v>4146</v>
      </c>
      <c r="D375" s="4"/>
      <c r="E375" s="4"/>
      <c r="F375" s="4" t="s">
        <v>4332</v>
      </c>
      <c r="G375" s="4" t="s">
        <v>10</v>
      </c>
      <c r="H375" s="4" t="s">
        <v>4580</v>
      </c>
      <c r="I375" s="4" t="s">
        <v>4004</v>
      </c>
      <c r="J375" s="4"/>
      <c r="K375" s="4"/>
    </row>
    <row r="376" ht="16" customHeight="1" s="4" customFormat="1">
      <c r="A376" s="4" t="s">
        <v>3819</v>
      </c>
      <c r="B376" s="4" t="s">
        <v>3390</v>
      </c>
      <c r="C376" s="4" t="s">
        <v>4173</v>
      </c>
      <c r="D376" s="4"/>
      <c r="E376" s="4"/>
      <c r="F376" s="4" t="s">
        <v>4334</v>
      </c>
      <c r="G376" s="4" t="s">
        <v>10</v>
      </c>
      <c r="H376" s="4" t="s">
        <v>4581</v>
      </c>
      <c r="I376" s="4" t="s">
        <v>4180</v>
      </c>
      <c r="J376" s="4"/>
      <c r="K376" s="4"/>
    </row>
    <row r="377" ht="16" customHeight="1" s="4" customFormat="1">
      <c r="A377" s="4" t="s">
        <v>3819</v>
      </c>
      <c r="B377" s="4" t="s">
        <v>3390</v>
      </c>
      <c r="C377" s="4" t="s">
        <v>4173</v>
      </c>
      <c r="D377" s="4"/>
      <c r="E377" s="4"/>
      <c r="F377" s="4" t="s">
        <v>4334</v>
      </c>
      <c r="G377" s="4" t="s">
        <v>10</v>
      </c>
      <c r="H377" s="4" t="s">
        <v>4582</v>
      </c>
      <c r="I377" s="4" t="s">
        <v>4186</v>
      </c>
      <c r="J377" s="4"/>
      <c r="K377" s="4"/>
    </row>
    <row r="378" ht="16" customHeight="1" s="4" customFormat="1">
      <c r="A378" s="4" t="s">
        <v>3819</v>
      </c>
      <c r="B378" s="4" t="s">
        <v>3390</v>
      </c>
      <c r="C378" s="4" t="s">
        <v>4173</v>
      </c>
      <c r="D378" s="4"/>
      <c r="E378" s="4"/>
      <c r="F378" s="4" t="s">
        <v>4334</v>
      </c>
      <c r="G378" s="4" t="s">
        <v>10</v>
      </c>
      <c r="H378" s="4" t="s">
        <v>4583</v>
      </c>
      <c r="I378" s="4" t="s">
        <v>4194</v>
      </c>
      <c r="J378" s="4"/>
      <c r="K378" s="4"/>
    </row>
    <row r="379" ht="16" customHeight="1" s="4" customFormat="1">
      <c r="A379" s="4" t="s">
        <v>3819</v>
      </c>
      <c r="B379" s="4" t="s">
        <v>3390</v>
      </c>
      <c r="C379" s="4" t="s">
        <v>4173</v>
      </c>
      <c r="D379" s="4"/>
      <c r="E379" s="4"/>
      <c r="F379" s="4" t="s">
        <v>4334</v>
      </c>
      <c r="G379" s="4" t="s">
        <v>10</v>
      </c>
      <c r="H379" s="4" t="s">
        <v>4584</v>
      </c>
      <c r="I379" s="4" t="s">
        <v>4192</v>
      </c>
      <c r="J379" s="4"/>
      <c r="K379" s="4"/>
    </row>
    <row r="380" ht="16" customHeight="1" s="4" customFormat="1">
      <c r="A380" s="4" t="s">
        <v>3819</v>
      </c>
      <c r="B380" s="4" t="s">
        <v>3390</v>
      </c>
      <c r="C380" s="4" t="s">
        <v>4173</v>
      </c>
      <c r="D380" s="4"/>
      <c r="E380" s="4"/>
      <c r="F380" s="4" t="s">
        <v>4334</v>
      </c>
      <c r="G380" s="4" t="s">
        <v>10</v>
      </c>
      <c r="H380" s="4" t="s">
        <v>4585</v>
      </c>
      <c r="I380" s="4" t="s">
        <v>4162</v>
      </c>
      <c r="J380" s="4"/>
      <c r="K380" s="4"/>
    </row>
    <row r="381" ht="16" customHeight="1" s="4" customFormat="1">
      <c r="A381" s="4" t="s">
        <v>3819</v>
      </c>
      <c r="B381" s="4" t="s">
        <v>3390</v>
      </c>
      <c r="C381" s="4" t="s">
        <v>4173</v>
      </c>
      <c r="D381" s="4"/>
      <c r="E381" s="4"/>
      <c r="F381" s="4" t="s">
        <v>4334</v>
      </c>
      <c r="G381" s="4" t="s">
        <v>10</v>
      </c>
      <c r="H381" s="4" t="s">
        <v>4586</v>
      </c>
      <c r="I381" s="4" t="s">
        <v>4176</v>
      </c>
      <c r="J381" s="4"/>
      <c r="K381" s="4"/>
    </row>
    <row r="382" ht="16" customHeight="1" s="4" customFormat="1">
      <c r="A382" s="4" t="s">
        <v>3819</v>
      </c>
      <c r="B382" s="4" t="s">
        <v>3390</v>
      </c>
      <c r="C382" s="4" t="s">
        <v>4173</v>
      </c>
      <c r="D382" s="4"/>
      <c r="E382" s="4"/>
      <c r="F382" s="4" t="s">
        <v>4334</v>
      </c>
      <c r="G382" s="4" t="s">
        <v>10</v>
      </c>
      <c r="H382" s="4" t="s">
        <v>4587</v>
      </c>
      <c r="I382" s="4" t="s">
        <v>4178</v>
      </c>
      <c r="J382" s="4"/>
      <c r="K382" s="4"/>
    </row>
    <row r="383" ht="16" customHeight="1" s="4" customFormat="1">
      <c r="A383" s="4" t="s">
        <v>3819</v>
      </c>
      <c r="B383" s="4" t="s">
        <v>3390</v>
      </c>
      <c r="C383" s="4" t="s">
        <v>4173</v>
      </c>
      <c r="D383" s="4"/>
      <c r="E383" s="4"/>
      <c r="F383" s="4" t="s">
        <v>4334</v>
      </c>
      <c r="G383" s="4" t="s">
        <v>10</v>
      </c>
      <c r="H383" s="4" t="s">
        <v>4588</v>
      </c>
      <c r="I383" s="4" t="s">
        <v>4164</v>
      </c>
      <c r="J383" s="4"/>
      <c r="K383" s="4"/>
    </row>
    <row r="384" ht="16" customHeight="1" s="4" customFormat="1">
      <c r="A384" s="4" t="s">
        <v>3819</v>
      </c>
      <c r="B384" s="4" t="s">
        <v>3390</v>
      </c>
      <c r="C384" s="4" t="s">
        <v>4173</v>
      </c>
      <c r="D384" s="4"/>
      <c r="E384" s="4"/>
      <c r="F384" s="4" t="s">
        <v>4334</v>
      </c>
      <c r="G384" s="4" t="s">
        <v>10</v>
      </c>
      <c r="H384" s="4" t="s">
        <v>4589</v>
      </c>
      <c r="I384" s="4" t="s">
        <v>4182</v>
      </c>
      <c r="J384" s="4"/>
      <c r="K384" s="4"/>
    </row>
    <row r="385" ht="16" customHeight="1" s="4" customFormat="1">
      <c r="A385" s="4" t="s">
        <v>3819</v>
      </c>
      <c r="B385" s="4" t="s">
        <v>3390</v>
      </c>
      <c r="C385" s="4" t="s">
        <v>4173</v>
      </c>
      <c r="D385" s="4"/>
      <c r="E385" s="4"/>
      <c r="F385" s="4" t="s">
        <v>4334</v>
      </c>
      <c r="G385" s="4" t="s">
        <v>10</v>
      </c>
      <c r="H385" s="4" t="s">
        <v>4590</v>
      </c>
      <c r="I385" s="4" t="s">
        <v>4170</v>
      </c>
      <c r="J385" s="4"/>
      <c r="K385" s="4"/>
    </row>
    <row r="386" ht="16" customHeight="1" s="4" customFormat="1">
      <c r="A386" s="4" t="s">
        <v>3819</v>
      </c>
      <c r="B386" s="4" t="s">
        <v>3390</v>
      </c>
      <c r="C386" s="4" t="s">
        <v>4173</v>
      </c>
      <c r="D386" s="4"/>
      <c r="E386" s="4"/>
      <c r="F386" s="4" t="s">
        <v>4334</v>
      </c>
      <c r="G386" s="4" t="s">
        <v>10</v>
      </c>
      <c r="H386" s="4" t="s">
        <v>4591</v>
      </c>
      <c r="I386" s="4" t="s">
        <v>4184</v>
      </c>
      <c r="J386" s="4"/>
      <c r="K386" s="4"/>
    </row>
    <row r="387" ht="16" customHeight="1" s="4" customFormat="1">
      <c r="A387" s="4" t="s">
        <v>3819</v>
      </c>
      <c r="B387" s="4" t="s">
        <v>3390</v>
      </c>
      <c r="C387" s="4" t="s">
        <v>4173</v>
      </c>
      <c r="D387" s="4"/>
      <c r="E387" s="4"/>
      <c r="F387" s="4" t="s">
        <v>4334</v>
      </c>
      <c r="G387" s="4" t="s">
        <v>10</v>
      </c>
      <c r="H387" s="4" t="s">
        <v>4592</v>
      </c>
      <c r="I387" s="4" t="s">
        <v>4197</v>
      </c>
      <c r="J387" s="4"/>
      <c r="K387" s="4"/>
    </row>
    <row r="388" ht="16" customHeight="1" s="4" customFormat="1">
      <c r="A388" s="4" t="s">
        <v>3819</v>
      </c>
      <c r="B388" s="4" t="s">
        <v>3390</v>
      </c>
      <c r="C388" s="4" t="s">
        <v>4336</v>
      </c>
      <c r="D388" s="4"/>
      <c r="E388" s="4"/>
      <c r="F388" s="4" t="s">
        <v>4337</v>
      </c>
      <c r="G388" s="4" t="s">
        <v>10</v>
      </c>
      <c r="H388" s="4" t="s">
        <v>4593</v>
      </c>
      <c r="I388" s="4" t="s">
        <v>4594</v>
      </c>
      <c r="J388" s="4"/>
      <c r="K388" s="4"/>
    </row>
    <row r="389" ht="16" customHeight="1" s="4" customFormat="1">
      <c r="A389" s="4" t="s">
        <v>3819</v>
      </c>
      <c r="B389" s="4" t="s">
        <v>3390</v>
      </c>
      <c r="C389" s="4" t="s">
        <v>4344</v>
      </c>
      <c r="D389" s="4"/>
      <c r="E389" s="4"/>
      <c r="F389" s="4" t="s">
        <v>4345</v>
      </c>
      <c r="G389" s="4" t="s">
        <v>10</v>
      </c>
      <c r="H389" s="4" t="s">
        <v>4595</v>
      </c>
      <c r="I389" s="4" t="s">
        <v>4343</v>
      </c>
      <c r="J389" s="4"/>
      <c r="K389" s="4"/>
    </row>
    <row r="390" ht="16" customHeight="1" s="4" customFormat="1">
      <c r="A390" s="4" t="s">
        <v>3819</v>
      </c>
      <c r="B390" s="4" t="s">
        <v>3390</v>
      </c>
      <c r="C390" s="4" t="s">
        <v>4344</v>
      </c>
      <c r="D390" s="4"/>
      <c r="E390" s="4"/>
      <c r="F390" s="4" t="s">
        <v>4345</v>
      </c>
      <c r="G390" s="4" t="s">
        <v>10</v>
      </c>
      <c r="H390" s="4" t="s">
        <v>4596</v>
      </c>
      <c r="I390" s="4" t="s">
        <v>4088</v>
      </c>
      <c r="J390" s="4"/>
      <c r="K390" s="4"/>
    </row>
    <row r="391" ht="16" customHeight="1" s="4" customFormat="1">
      <c r="A391" s="4" t="s">
        <v>3819</v>
      </c>
      <c r="B391" s="4" t="s">
        <v>3390</v>
      </c>
      <c r="C391" s="4" t="s">
        <v>4344</v>
      </c>
      <c r="D391" s="4"/>
      <c r="E391" s="4"/>
      <c r="F391" s="4" t="s">
        <v>4345</v>
      </c>
      <c r="G391" s="4" t="s">
        <v>10</v>
      </c>
      <c r="H391" s="4" t="s">
        <v>4597</v>
      </c>
      <c r="I391" s="4" t="s">
        <v>4598</v>
      </c>
      <c r="J391" s="4"/>
      <c r="K391" s="4"/>
    </row>
    <row r="392" ht="16" customHeight="1" s="4" customFormat="1">
      <c r="A392" s="4" t="s">
        <v>3819</v>
      </c>
      <c r="B392" s="4" t="s">
        <v>3390</v>
      </c>
      <c r="C392" s="4" t="s">
        <v>4344</v>
      </c>
      <c r="D392" s="4"/>
      <c r="E392" s="4"/>
      <c r="F392" s="4" t="s">
        <v>4345</v>
      </c>
      <c r="G392" s="4" t="s">
        <v>10</v>
      </c>
      <c r="H392" s="4" t="s">
        <v>4599</v>
      </c>
      <c r="I392" s="4" t="s">
        <v>4600</v>
      </c>
      <c r="J392" s="4"/>
      <c r="K392" s="4"/>
    </row>
    <row r="393" ht="16" customHeight="1" s="4" customFormat="1">
      <c r="A393" s="4" t="s">
        <v>3819</v>
      </c>
      <c r="B393" s="4" t="s">
        <v>3390</v>
      </c>
      <c r="C393" s="4" t="s">
        <v>4344</v>
      </c>
      <c r="D393" s="4"/>
      <c r="E393" s="4"/>
      <c r="F393" s="4" t="s">
        <v>4345</v>
      </c>
      <c r="G393" s="4" t="s">
        <v>10</v>
      </c>
      <c r="H393" s="4" t="s">
        <v>4601</v>
      </c>
      <c r="I393" s="4" t="s">
        <v>4594</v>
      </c>
      <c r="J393" s="4"/>
      <c r="K393" s="4"/>
    </row>
    <row r="394" ht="16" customHeight="1" s="4" customFormat="1">
      <c r="A394" s="4" t="s">
        <v>3819</v>
      </c>
      <c r="B394" s="4" t="s">
        <v>3390</v>
      </c>
      <c r="C394" s="4" t="s">
        <v>4344</v>
      </c>
      <c r="D394" s="4"/>
      <c r="E394" s="4"/>
      <c r="F394" s="4" t="s">
        <v>4345</v>
      </c>
      <c r="G394" s="4" t="s">
        <v>10</v>
      </c>
      <c r="H394" s="4" t="s">
        <v>4602</v>
      </c>
      <c r="I394" s="4" t="s">
        <v>4339</v>
      </c>
      <c r="J394" s="4"/>
      <c r="K394" s="4"/>
    </row>
    <row r="395" ht="16" customHeight="1" s="4" customFormat="1">
      <c r="A395" s="4" t="s">
        <v>3819</v>
      </c>
      <c r="B395" s="4" t="s">
        <v>3390</v>
      </c>
      <c r="C395" s="4" t="s">
        <v>4344</v>
      </c>
      <c r="D395" s="4"/>
      <c r="E395" s="4"/>
      <c r="F395" s="4" t="s">
        <v>4345</v>
      </c>
      <c r="G395" s="4" t="s">
        <v>10</v>
      </c>
      <c r="H395" s="4" t="s">
        <v>4603</v>
      </c>
      <c r="I395" s="4" t="s">
        <v>4604</v>
      </c>
      <c r="J395" s="4"/>
      <c r="K395" s="4"/>
    </row>
    <row r="396" ht="16" customHeight="1" s="4" customFormat="1">
      <c r="A396" s="4" t="s">
        <v>3819</v>
      </c>
      <c r="B396" s="4" t="s">
        <v>3390</v>
      </c>
      <c r="C396" s="4" t="s">
        <v>4344</v>
      </c>
      <c r="D396" s="4"/>
      <c r="E396" s="4"/>
      <c r="F396" s="4" t="s">
        <v>4345</v>
      </c>
      <c r="G396" s="4" t="s">
        <v>10</v>
      </c>
      <c r="H396" s="4" t="s">
        <v>4605</v>
      </c>
      <c r="I396" s="4" t="s">
        <v>4606</v>
      </c>
      <c r="J396" s="4"/>
      <c r="K396" s="4"/>
    </row>
    <row r="397" ht="16" customHeight="1" s="4" customFormat="1">
      <c r="A397" s="4" t="s">
        <v>3819</v>
      </c>
      <c r="B397" s="4" t="s">
        <v>3390</v>
      </c>
      <c r="C397" s="4" t="s">
        <v>4344</v>
      </c>
      <c r="D397" s="4"/>
      <c r="E397" s="4"/>
      <c r="F397" s="4" t="s">
        <v>4345</v>
      </c>
      <c r="G397" s="4" t="s">
        <v>10</v>
      </c>
      <c r="H397" s="4" t="s">
        <v>4607</v>
      </c>
      <c r="I397" s="4" t="s">
        <v>4608</v>
      </c>
      <c r="J397" s="4"/>
      <c r="K397" s="4"/>
    </row>
    <row r="398" ht="16" customHeight="1" s="4" customFormat="1">
      <c r="A398" s="4" t="s">
        <v>3819</v>
      </c>
      <c r="B398" s="4" t="s">
        <v>3390</v>
      </c>
      <c r="C398" s="4" t="s">
        <v>4348</v>
      </c>
      <c r="D398" s="4"/>
      <c r="E398" s="4"/>
      <c r="F398" s="4" t="s">
        <v>4229</v>
      </c>
      <c r="G398" s="4" t="s">
        <v>10</v>
      </c>
      <c r="H398" s="4" t="s">
        <v>4609</v>
      </c>
      <c r="I398" s="4" t="s">
        <v>4234</v>
      </c>
      <c r="J398" s="4"/>
      <c r="K398" s="4"/>
    </row>
    <row r="399" ht="16" customHeight="1" s="4" customFormat="1">
      <c r="A399" s="4" t="s">
        <v>3819</v>
      </c>
      <c r="B399" s="4" t="s">
        <v>3390</v>
      </c>
      <c r="C399" s="4" t="s">
        <v>4348</v>
      </c>
      <c r="D399" s="4"/>
      <c r="E399" s="4"/>
      <c r="F399" s="4" t="s">
        <v>4349</v>
      </c>
      <c r="G399" s="4" t="s">
        <v>10</v>
      </c>
      <c r="H399" s="4" t="s">
        <v>4610</v>
      </c>
      <c r="I399" s="4" t="s">
        <v>4241</v>
      </c>
      <c r="J399" s="4"/>
      <c r="K399" s="4"/>
    </row>
    <row r="400" ht="16" customHeight="1" s="4" customFormat="1">
      <c r="A400" s="4" t="s">
        <v>3819</v>
      </c>
      <c r="B400" s="4" t="s">
        <v>3390</v>
      </c>
      <c r="C400" s="4" t="s">
        <v>4348</v>
      </c>
      <c r="D400" s="4"/>
      <c r="E400" s="4"/>
      <c r="F400" s="4" t="s">
        <v>4349</v>
      </c>
      <c r="G400" s="4" t="s">
        <v>10</v>
      </c>
      <c r="H400" s="4" t="s">
        <v>4611</v>
      </c>
      <c r="I400" s="4" t="s">
        <v>4236</v>
      </c>
      <c r="J400" s="4"/>
      <c r="K400" s="4"/>
    </row>
    <row r="401" ht="16" customHeight="1" s="4" customFormat="1">
      <c r="A401" s="4" t="s">
        <v>3819</v>
      </c>
      <c r="B401" s="4" t="s">
        <v>3390</v>
      </c>
      <c r="C401" s="4" t="s">
        <v>4348</v>
      </c>
      <c r="D401" s="4"/>
      <c r="E401" s="4"/>
      <c r="F401" s="4" t="s">
        <v>4349</v>
      </c>
      <c r="G401" s="4" t="s">
        <v>10</v>
      </c>
      <c r="H401" s="4" t="s">
        <v>4612</v>
      </c>
      <c r="I401" s="4" t="s">
        <v>4246</v>
      </c>
      <c r="J401" s="4"/>
      <c r="K401" s="4"/>
    </row>
    <row r="402" ht="16" customHeight="1" s="4" customFormat="1">
      <c r="A402" s="4" t="s">
        <v>3819</v>
      </c>
      <c r="B402" s="4" t="s">
        <v>3390</v>
      </c>
      <c r="C402" s="4" t="s">
        <v>4348</v>
      </c>
      <c r="D402" s="4"/>
      <c r="E402" s="4"/>
      <c r="F402" s="4" t="s">
        <v>4349</v>
      </c>
      <c r="G402" s="4" t="s">
        <v>10</v>
      </c>
      <c r="H402" s="4" t="s">
        <v>4613</v>
      </c>
      <c r="I402" s="4" t="s">
        <v>4231</v>
      </c>
      <c r="J402" s="4"/>
      <c r="K402" s="4"/>
    </row>
    <row r="403" ht="16" customHeight="1" s="4" customFormat="1">
      <c r="A403" s="4" t="s">
        <v>3819</v>
      </c>
      <c r="B403" s="4" t="s">
        <v>3390</v>
      </c>
      <c r="C403" s="4" t="s">
        <v>4351</v>
      </c>
      <c r="D403" s="4"/>
      <c r="E403" s="4"/>
      <c r="F403" s="4" t="s">
        <v>4337</v>
      </c>
      <c r="G403" s="4" t="s">
        <v>10</v>
      </c>
      <c r="H403" s="4" t="s">
        <v>4614</v>
      </c>
      <c r="I403" s="4" t="s">
        <v>4343</v>
      </c>
      <c r="J403" s="4"/>
      <c r="K403" s="4"/>
    </row>
    <row r="404" ht="16" customHeight="1" s="4" customFormat="1">
      <c r="A404" s="4" t="s">
        <v>3819</v>
      </c>
      <c r="B404" s="4" t="s">
        <v>3390</v>
      </c>
      <c r="C404" s="4" t="s">
        <v>4351</v>
      </c>
      <c r="D404" s="4"/>
      <c r="E404" s="4"/>
      <c r="F404" s="4" t="s">
        <v>4337</v>
      </c>
      <c r="G404" s="4" t="s">
        <v>10</v>
      </c>
      <c r="H404" s="4" t="s">
        <v>4615</v>
      </c>
      <c r="I404" s="4" t="s">
        <v>4088</v>
      </c>
      <c r="J404" s="4"/>
      <c r="K404" s="4"/>
    </row>
    <row r="405" ht="16" customHeight="1" s="4" customFormat="1">
      <c r="A405" s="4" t="s">
        <v>3819</v>
      </c>
      <c r="B405" s="4" t="s">
        <v>3390</v>
      </c>
      <c r="C405" s="4" t="s">
        <v>4351</v>
      </c>
      <c r="D405" s="4"/>
      <c r="E405" s="4"/>
      <c r="F405" s="4" t="s">
        <v>4337</v>
      </c>
      <c r="G405" s="4" t="s">
        <v>10</v>
      </c>
      <c r="H405" s="4" t="s">
        <v>4616</v>
      </c>
      <c r="I405" s="4" t="s">
        <v>4598</v>
      </c>
      <c r="J405" s="4"/>
      <c r="K405" s="4"/>
    </row>
    <row r="406" ht="16" customHeight="1" s="4" customFormat="1">
      <c r="A406" s="4" t="s">
        <v>3819</v>
      </c>
      <c r="B406" s="4" t="s">
        <v>3390</v>
      </c>
      <c r="C406" s="4" t="s">
        <v>4351</v>
      </c>
      <c r="D406" s="4"/>
      <c r="E406" s="4"/>
      <c r="F406" s="4" t="s">
        <v>4337</v>
      </c>
      <c r="G406" s="4" t="s">
        <v>10</v>
      </c>
      <c r="H406" s="4" t="s">
        <v>4617</v>
      </c>
      <c r="I406" s="4" t="s">
        <v>4600</v>
      </c>
      <c r="J406" s="4"/>
      <c r="K406" s="4"/>
    </row>
    <row r="407" ht="16" customHeight="1" s="4" customFormat="1">
      <c r="A407" s="4" t="s">
        <v>3819</v>
      </c>
      <c r="B407" s="4" t="s">
        <v>3390</v>
      </c>
      <c r="C407" s="4" t="s">
        <v>4351</v>
      </c>
      <c r="D407" s="4"/>
      <c r="E407" s="4"/>
      <c r="F407" s="4" t="s">
        <v>4337</v>
      </c>
      <c r="G407" s="4" t="s">
        <v>10</v>
      </c>
      <c r="H407" s="4" t="s">
        <v>4618</v>
      </c>
      <c r="I407" s="4" t="s">
        <v>4079</v>
      </c>
      <c r="J407" s="4"/>
      <c r="K407" s="4"/>
    </row>
    <row r="408" ht="16" customHeight="1" s="4" customFormat="1">
      <c r="A408" s="4" t="s">
        <v>3819</v>
      </c>
      <c r="B408" s="4" t="s">
        <v>3390</v>
      </c>
      <c r="C408" s="4" t="s">
        <v>4351</v>
      </c>
      <c r="D408" s="4"/>
      <c r="E408" s="4"/>
      <c r="F408" s="4" t="s">
        <v>4337</v>
      </c>
      <c r="G408" s="4" t="s">
        <v>10</v>
      </c>
      <c r="H408" s="4" t="s">
        <v>4619</v>
      </c>
      <c r="I408" s="4" t="s">
        <v>4594</v>
      </c>
      <c r="J408" s="4"/>
      <c r="K408" s="4"/>
    </row>
    <row r="409" ht="16" customHeight="1" s="4" customFormat="1">
      <c r="A409" s="4" t="s">
        <v>3819</v>
      </c>
      <c r="B409" s="4" t="s">
        <v>3390</v>
      </c>
      <c r="C409" s="4" t="s">
        <v>4351</v>
      </c>
      <c r="D409" s="4"/>
      <c r="E409" s="4"/>
      <c r="F409" s="4" t="s">
        <v>4337</v>
      </c>
      <c r="G409" s="4" t="s">
        <v>10</v>
      </c>
      <c r="H409" s="4" t="s">
        <v>4620</v>
      </c>
      <c r="I409" s="4" t="s">
        <v>4339</v>
      </c>
      <c r="J409" s="4"/>
      <c r="K409" s="4"/>
    </row>
    <row r="410" ht="16" customHeight="1" s="4" customFormat="1">
      <c r="A410" s="4" t="s">
        <v>3819</v>
      </c>
      <c r="B410" s="4" t="s">
        <v>3390</v>
      </c>
      <c r="C410" s="4" t="s">
        <v>4351</v>
      </c>
      <c r="D410" s="4"/>
      <c r="E410" s="4"/>
      <c r="F410" s="4" t="s">
        <v>4337</v>
      </c>
      <c r="G410" s="4" t="s">
        <v>10</v>
      </c>
      <c r="H410" s="4" t="s">
        <v>4621</v>
      </c>
      <c r="I410" s="4" t="s">
        <v>4622</v>
      </c>
      <c r="J410" s="4"/>
      <c r="K410" s="4"/>
    </row>
    <row r="411" ht="16" customHeight="1" s="4" customFormat="1">
      <c r="A411" s="4" t="s">
        <v>3819</v>
      </c>
      <c r="B411" s="4" t="s">
        <v>3390</v>
      </c>
      <c r="C411" s="4" t="s">
        <v>4351</v>
      </c>
      <c r="D411" s="4"/>
      <c r="E411" s="4"/>
      <c r="F411" s="4" t="s">
        <v>4337</v>
      </c>
      <c r="G411" s="4" t="s">
        <v>10</v>
      </c>
      <c r="H411" s="4" t="s">
        <v>4623</v>
      </c>
      <c r="I411" s="4" t="s">
        <v>4604</v>
      </c>
      <c r="J411" s="4"/>
      <c r="K411" s="4"/>
    </row>
    <row r="412" ht="16" customHeight="1" s="4" customFormat="1">
      <c r="A412" s="4" t="s">
        <v>3819</v>
      </c>
      <c r="B412" s="4" t="s">
        <v>3390</v>
      </c>
      <c r="C412" s="4" t="s">
        <v>4351</v>
      </c>
      <c r="D412" s="4"/>
      <c r="E412" s="4"/>
      <c r="F412" s="4" t="s">
        <v>4337</v>
      </c>
      <c r="G412" s="4" t="s">
        <v>10</v>
      </c>
      <c r="H412" s="4" t="s">
        <v>4624</v>
      </c>
      <c r="I412" s="4" t="s">
        <v>4606</v>
      </c>
      <c r="J412" s="4"/>
      <c r="K412" s="4"/>
    </row>
    <row r="413" ht="16" customHeight="1" s="4" customFormat="1">
      <c r="A413" s="4" t="s">
        <v>3819</v>
      </c>
      <c r="B413" s="4" t="s">
        <v>3390</v>
      </c>
      <c r="C413" s="4" t="s">
        <v>4351</v>
      </c>
      <c r="D413" s="4"/>
      <c r="E413" s="4"/>
      <c r="F413" s="4" t="s">
        <v>4337</v>
      </c>
      <c r="G413" s="4" t="s">
        <v>10</v>
      </c>
      <c r="H413" s="4" t="s">
        <v>4625</v>
      </c>
      <c r="I413" s="4" t="s">
        <v>4608</v>
      </c>
      <c r="J413" s="4"/>
      <c r="K413" s="4"/>
    </row>
    <row r="414" ht="16" customHeight="1" s="4" customFormat="1">
      <c r="A414" s="4" t="s">
        <v>3819</v>
      </c>
      <c r="B414" s="4" t="s">
        <v>3390</v>
      </c>
      <c r="C414" s="4" t="s">
        <v>4626</v>
      </c>
      <c r="D414" s="4"/>
      <c r="E414" s="4"/>
      <c r="F414" s="4" t="s">
        <v>4627</v>
      </c>
      <c r="G414" s="4" t="s">
        <v>10</v>
      </c>
      <c r="H414" s="4" t="s">
        <v>4628</v>
      </c>
      <c r="I414" s="4" t="s">
        <v>4629</v>
      </c>
      <c r="J414" s="4"/>
      <c r="K414" s="4"/>
    </row>
    <row r="415" ht="16" customHeight="1" s="4" customFormat="1">
      <c r="A415" s="4" t="s">
        <v>3819</v>
      </c>
      <c r="B415" s="4" t="s">
        <v>3390</v>
      </c>
      <c r="C415" s="4" t="s">
        <v>4361</v>
      </c>
      <c r="D415" s="4"/>
      <c r="E415" s="4"/>
      <c r="F415" s="4" t="s">
        <v>4362</v>
      </c>
      <c r="G415" s="4" t="s">
        <v>10</v>
      </c>
      <c r="H415" s="4" t="s">
        <v>4630</v>
      </c>
      <c r="I415" s="4" t="s">
        <v>4631</v>
      </c>
      <c r="J415" s="4"/>
      <c r="K415" s="4"/>
    </row>
    <row r="416" ht="16" customHeight="1" s="4" customFormat="1">
      <c r="A416" s="4" t="s">
        <v>3819</v>
      </c>
      <c r="B416" s="4" t="s">
        <v>3390</v>
      </c>
      <c r="C416" s="4" t="s">
        <v>4361</v>
      </c>
      <c r="D416" s="4"/>
      <c r="E416" s="4"/>
      <c r="F416" s="4" t="s">
        <v>4362</v>
      </c>
      <c r="G416" s="4" t="s">
        <v>10</v>
      </c>
      <c r="H416" s="4" t="s">
        <v>4632</v>
      </c>
      <c r="I416" s="4" t="s">
        <v>4633</v>
      </c>
      <c r="J416" s="4"/>
      <c r="K416" s="4"/>
    </row>
    <row r="417" ht="16" customHeight="1" s="4" customFormat="1">
      <c r="A417" s="4" t="s">
        <v>3819</v>
      </c>
      <c r="B417" s="4" t="s">
        <v>3390</v>
      </c>
      <c r="C417" s="4" t="s">
        <v>4361</v>
      </c>
      <c r="D417" s="4"/>
      <c r="E417" s="4"/>
      <c r="F417" s="4" t="s">
        <v>4362</v>
      </c>
      <c r="G417" s="4" t="s">
        <v>10</v>
      </c>
      <c r="H417" s="4" t="s">
        <v>4634</v>
      </c>
      <c r="I417" s="4" t="s">
        <v>4635</v>
      </c>
      <c r="J417" s="4"/>
      <c r="K417" s="4"/>
    </row>
    <row r="418" ht="16" customHeight="1" s="4" customFormat="1">
      <c r="A418" s="4" t="s">
        <v>3819</v>
      </c>
      <c r="B418" s="4" t="s">
        <v>3390</v>
      </c>
      <c r="C418" s="4" t="s">
        <v>4361</v>
      </c>
      <c r="D418" s="4"/>
      <c r="E418" s="4"/>
      <c r="F418" s="4" t="s">
        <v>4362</v>
      </c>
      <c r="G418" s="4" t="s">
        <v>10</v>
      </c>
      <c r="H418" s="4" t="s">
        <v>4636</v>
      </c>
      <c r="I418" s="4" t="s">
        <v>4043</v>
      </c>
      <c r="J418" s="4"/>
      <c r="K418" s="4"/>
    </row>
    <row r="419" ht="16" customHeight="1" s="4" customFormat="1">
      <c r="A419" s="4" t="s">
        <v>3819</v>
      </c>
      <c r="B419" s="4" t="s">
        <v>3390</v>
      </c>
      <c r="C419" s="4" t="s">
        <v>4361</v>
      </c>
      <c r="D419" s="4"/>
      <c r="E419" s="4"/>
      <c r="F419" s="4" t="s">
        <v>4362</v>
      </c>
      <c r="G419" s="4" t="s">
        <v>10</v>
      </c>
      <c r="H419" s="4" t="s">
        <v>4637</v>
      </c>
      <c r="I419" s="4" t="s">
        <v>4638</v>
      </c>
      <c r="J419" s="4"/>
      <c r="K419" s="4"/>
    </row>
    <row r="420" ht="16" customHeight="1" s="4" customFormat="1">
      <c r="A420" s="4" t="s">
        <v>3819</v>
      </c>
      <c r="B420" s="4" t="s">
        <v>3390</v>
      </c>
      <c r="C420" s="4" t="s">
        <v>4361</v>
      </c>
      <c r="D420" s="4"/>
      <c r="E420" s="4"/>
      <c r="F420" s="4" t="s">
        <v>4362</v>
      </c>
      <c r="G420" s="4" t="s">
        <v>10</v>
      </c>
      <c r="H420" s="4" t="s">
        <v>4639</v>
      </c>
      <c r="I420" s="4" t="s">
        <v>4640</v>
      </c>
      <c r="J420" s="4"/>
      <c r="K420" s="4"/>
    </row>
    <row r="421" ht="16" customHeight="1" s="4" customFormat="1">
      <c r="A421" s="4" t="s">
        <v>3819</v>
      </c>
      <c r="B421" s="4" t="s">
        <v>3390</v>
      </c>
      <c r="C421" s="4" t="s">
        <v>4365</v>
      </c>
      <c r="D421" s="4"/>
      <c r="E421" s="4"/>
      <c r="F421" s="4" t="s">
        <v>4366</v>
      </c>
      <c r="G421" s="4" t="s">
        <v>10</v>
      </c>
      <c r="H421" s="4" t="s">
        <v>4641</v>
      </c>
      <c r="I421" s="4" t="s">
        <v>3438</v>
      </c>
      <c r="J421" s="4"/>
      <c r="K421" s="4"/>
    </row>
    <row r="422" ht="16" customHeight="1" s="4" customFormat="1">
      <c r="A422" s="4" t="s">
        <v>3819</v>
      </c>
      <c r="B422" s="4" t="s">
        <v>3390</v>
      </c>
      <c r="C422" s="4" t="s">
        <v>4365</v>
      </c>
      <c r="D422" s="4"/>
      <c r="E422" s="4"/>
      <c r="F422" s="4" t="s">
        <v>4366</v>
      </c>
      <c r="G422" s="4" t="s">
        <v>10</v>
      </c>
      <c r="H422" s="4" t="s">
        <v>4642</v>
      </c>
      <c r="I422" s="4" t="s">
        <v>3433</v>
      </c>
      <c r="J422" s="4"/>
      <c r="K422" s="4"/>
    </row>
    <row r="423" ht="16" customHeight="1" s="4" customFormat="1">
      <c r="A423" s="4" t="s">
        <v>3819</v>
      </c>
      <c r="B423" s="4" t="s">
        <v>3390</v>
      </c>
      <c r="C423" s="4" t="s">
        <v>4643</v>
      </c>
      <c r="D423" s="4"/>
      <c r="E423" s="4"/>
      <c r="F423" s="4" t="s">
        <v>4644</v>
      </c>
      <c r="G423" s="4" t="s">
        <v>10</v>
      </c>
      <c r="H423" s="4" t="s">
        <v>4645</v>
      </c>
      <c r="I423" s="4" t="s">
        <v>4629</v>
      </c>
      <c r="J423" s="4"/>
      <c r="K423" s="4"/>
    </row>
    <row r="424" ht="16" customHeight="1" s="4" customFormat="1">
      <c r="A424" s="4" t="s">
        <v>3819</v>
      </c>
      <c r="B424" s="4" t="s">
        <v>3390</v>
      </c>
      <c r="C424" s="4" t="s">
        <v>4646</v>
      </c>
      <c r="D424" s="4"/>
      <c r="E424" s="4"/>
      <c r="F424" s="4" t="s">
        <v>4647</v>
      </c>
      <c r="G424" s="4" t="s">
        <v>10</v>
      </c>
      <c r="H424" s="4" t="s">
        <v>4648</v>
      </c>
      <c r="I424" s="4" t="s">
        <v>4046</v>
      </c>
      <c r="J424" s="4"/>
      <c r="K424" s="4"/>
    </row>
    <row r="425" ht="16" customHeight="1" s="4" customFormat="1">
      <c r="A425" s="4" t="s">
        <v>3819</v>
      </c>
      <c r="B425" s="4" t="s">
        <v>3390</v>
      </c>
      <c r="C425" s="4" t="s">
        <v>4646</v>
      </c>
      <c r="D425" s="4"/>
      <c r="E425" s="4"/>
      <c r="F425" s="4" t="s">
        <v>4649</v>
      </c>
      <c r="G425" s="4" t="s">
        <v>10</v>
      </c>
      <c r="H425" s="4" t="s">
        <v>4650</v>
      </c>
      <c r="I425" s="4" t="s">
        <v>4057</v>
      </c>
      <c r="J425" s="4"/>
      <c r="K425" s="4"/>
    </row>
    <row r="426" ht="16" customHeight="1" s="4" customFormat="1">
      <c r="A426" s="4" t="s">
        <v>3819</v>
      </c>
      <c r="B426" s="4" t="s">
        <v>3390</v>
      </c>
      <c r="C426" s="4" t="s">
        <v>4646</v>
      </c>
      <c r="D426" s="4"/>
      <c r="E426" s="4"/>
      <c r="F426" s="4" t="s">
        <v>4651</v>
      </c>
      <c r="G426" s="4" t="s">
        <v>10</v>
      </c>
      <c r="H426" s="4" t="s">
        <v>4652</v>
      </c>
      <c r="I426" s="4" t="s">
        <v>4050</v>
      </c>
      <c r="J426" s="4"/>
      <c r="K426" s="4"/>
    </row>
    <row r="427" ht="16" customHeight="1" s="4" customFormat="1">
      <c r="A427" s="4" t="s">
        <v>3819</v>
      </c>
      <c r="B427" s="4" t="s">
        <v>3390</v>
      </c>
      <c r="C427" s="4" t="s">
        <v>4646</v>
      </c>
      <c r="D427" s="4"/>
      <c r="E427" s="4"/>
      <c r="F427" s="4" t="s">
        <v>4651</v>
      </c>
      <c r="G427" s="4" t="s">
        <v>10</v>
      </c>
      <c r="H427" s="4" t="s">
        <v>4653</v>
      </c>
      <c r="I427" s="4" t="s">
        <v>4096</v>
      </c>
      <c r="J427" s="4"/>
      <c r="K427" s="4"/>
    </row>
    <row r="428" ht="16" customHeight="1" s="4" customFormat="1">
      <c r="A428" s="4" t="s">
        <v>3819</v>
      </c>
      <c r="B428" s="4" t="s">
        <v>3390</v>
      </c>
      <c r="C428" s="4" t="s">
        <v>4369</v>
      </c>
      <c r="D428" s="4"/>
      <c r="E428" s="4"/>
      <c r="F428" s="4" t="s">
        <v>4370</v>
      </c>
      <c r="G428" s="4" t="s">
        <v>10</v>
      </c>
      <c r="H428" s="4" t="s">
        <v>4654</v>
      </c>
      <c r="I428" s="4" t="s">
        <v>4289</v>
      </c>
      <c r="J428" s="4"/>
      <c r="K428" s="4"/>
    </row>
    <row r="429" ht="16" customHeight="1" s="4" customFormat="1">
      <c r="A429" s="4" t="s">
        <v>3819</v>
      </c>
      <c r="B429" s="4" t="s">
        <v>3390</v>
      </c>
      <c r="C429" s="4" t="s">
        <v>4369</v>
      </c>
      <c r="D429" s="4"/>
      <c r="E429" s="4"/>
      <c r="F429" s="4" t="s">
        <v>4370</v>
      </c>
      <c r="G429" s="4" t="s">
        <v>10</v>
      </c>
      <c r="H429" s="4" t="s">
        <v>4655</v>
      </c>
      <c r="I429" s="4" t="s">
        <v>4258</v>
      </c>
      <c r="J429" s="4"/>
      <c r="K429" s="4"/>
    </row>
    <row r="430" ht="16" customHeight="1" s="4" customFormat="1">
      <c r="A430" s="4" t="s">
        <v>3819</v>
      </c>
      <c r="B430" s="4" t="s">
        <v>3390</v>
      </c>
      <c r="C430" s="4" t="s">
        <v>4369</v>
      </c>
      <c r="D430" s="4"/>
      <c r="E430" s="4"/>
      <c r="F430" s="4" t="s">
        <v>4370</v>
      </c>
      <c r="G430" s="4" t="s">
        <v>10</v>
      </c>
      <c r="H430" s="4" t="s">
        <v>4656</v>
      </c>
      <c r="I430" s="4" t="s">
        <v>4253</v>
      </c>
      <c r="J430" s="4"/>
      <c r="K430" s="4"/>
    </row>
    <row r="431" ht="16" customHeight="1" s="4" customFormat="1">
      <c r="A431" s="4" t="s">
        <v>3819</v>
      </c>
      <c r="B431" s="4" t="s">
        <v>3390</v>
      </c>
      <c r="C431" s="4" t="s">
        <v>4369</v>
      </c>
      <c r="D431" s="4"/>
      <c r="E431" s="4"/>
      <c r="F431" s="4" t="s">
        <v>4370</v>
      </c>
      <c r="G431" s="4" t="s">
        <v>10</v>
      </c>
      <c r="H431" s="4" t="s">
        <v>4657</v>
      </c>
      <c r="I431" s="4" t="s">
        <v>4250</v>
      </c>
      <c r="J431" s="4"/>
      <c r="K431" s="4"/>
    </row>
    <row r="432" ht="16" customHeight="1" s="4" customFormat="1">
      <c r="A432" s="4" t="s">
        <v>3819</v>
      </c>
      <c r="B432" s="4" t="s">
        <v>3390</v>
      </c>
      <c r="C432" s="4" t="s">
        <v>4369</v>
      </c>
      <c r="D432" s="4"/>
      <c r="E432" s="4"/>
      <c r="F432" s="4" t="s">
        <v>4370</v>
      </c>
      <c r="G432" s="4" t="s">
        <v>10</v>
      </c>
      <c r="H432" s="4" t="s">
        <v>4658</v>
      </c>
      <c r="I432" s="4" t="s">
        <v>4255</v>
      </c>
      <c r="J432" s="4"/>
      <c r="K432" s="4"/>
    </row>
    <row r="433" ht="16" customHeight="1" s="4" customFormat="1">
      <c r="A433" s="4" t="s">
        <v>3819</v>
      </c>
      <c r="B433" s="4" t="s">
        <v>3390</v>
      </c>
      <c r="C433" s="4" t="s">
        <v>4659</v>
      </c>
      <c r="D433" s="4"/>
      <c r="E433" s="4"/>
      <c r="F433" s="4" t="s">
        <v>4660</v>
      </c>
      <c r="G433" s="4" t="s">
        <v>10</v>
      </c>
      <c r="H433" s="4" t="s">
        <v>4661</v>
      </c>
      <c r="I433" s="4" t="s">
        <v>4629</v>
      </c>
      <c r="J433" s="4"/>
      <c r="K433" s="4"/>
    </row>
    <row r="434" ht="16" customHeight="1" s="4" customFormat="1">
      <c r="A434" s="4" t="s">
        <v>3819</v>
      </c>
      <c r="B434" s="4" t="s">
        <v>3390</v>
      </c>
      <c r="C434" s="4" t="s">
        <v>4662</v>
      </c>
      <c r="D434" s="4"/>
      <c r="E434" s="4"/>
      <c r="F434" s="4" t="s">
        <v>4663</v>
      </c>
      <c r="G434" s="4" t="s">
        <v>10</v>
      </c>
      <c r="H434" s="4" t="s">
        <v>4664</v>
      </c>
      <c r="I434" s="4" t="s">
        <v>4629</v>
      </c>
      <c r="J434" s="4"/>
      <c r="K434" s="4"/>
    </row>
    <row r="435" ht="16" customHeight="1" s="4" customFormat="1">
      <c r="A435" s="4" t="s">
        <v>3819</v>
      </c>
      <c r="B435" s="4" t="s">
        <v>3390</v>
      </c>
      <c r="C435" s="4" t="s">
        <v>4665</v>
      </c>
      <c r="D435" s="4"/>
      <c r="E435" s="4"/>
      <c r="F435" s="4" t="s">
        <v>4666</v>
      </c>
      <c r="G435" s="4" t="s">
        <v>10</v>
      </c>
      <c r="H435" s="4" t="s">
        <v>4667</v>
      </c>
      <c r="I435" s="4" t="s">
        <v>4629</v>
      </c>
      <c r="J435" s="4"/>
      <c r="K435" s="4"/>
    </row>
    <row r="436" ht="16" customHeight="1" s="4" customFormat="1">
      <c r="A436" s="4" t="s">
        <v>3819</v>
      </c>
      <c r="B436" s="4" t="s">
        <v>3390</v>
      </c>
      <c r="C436" s="4" t="s">
        <v>4668</v>
      </c>
      <c r="D436" s="4"/>
      <c r="E436" s="4"/>
      <c r="F436" s="4" t="s">
        <v>4669</v>
      </c>
      <c r="G436" s="4" t="s">
        <v>10</v>
      </c>
      <c r="H436" s="4" t="s">
        <v>4670</v>
      </c>
      <c r="I436" s="4" t="s">
        <v>4629</v>
      </c>
      <c r="J436" s="4"/>
      <c r="K436" s="4"/>
    </row>
    <row r="437" ht="16" customHeight="1" s="4" customFormat="1">
      <c r="A437" s="4" t="s">
        <v>3819</v>
      </c>
      <c r="B437" s="4" t="s">
        <v>3390</v>
      </c>
      <c r="C437" s="4" t="s">
        <v>4671</v>
      </c>
      <c r="D437" s="4"/>
      <c r="E437" s="4"/>
      <c r="F437" s="4" t="s">
        <v>4672</v>
      </c>
      <c r="G437" s="4" t="s">
        <v>10</v>
      </c>
      <c r="H437" s="4" t="s">
        <v>4673</v>
      </c>
      <c r="I437" s="4" t="s">
        <v>4629</v>
      </c>
      <c r="J437" s="4"/>
      <c r="K437" s="4"/>
    </row>
    <row r="438" ht="16" customHeight="1" s="4" customFormat="1">
      <c r="A438" s="4" t="s">
        <v>3819</v>
      </c>
      <c r="B438" s="4" t="s">
        <v>3390</v>
      </c>
      <c r="C438" s="4" t="s">
        <v>4674</v>
      </c>
      <c r="D438" s="4"/>
      <c r="E438" s="4"/>
      <c r="F438" s="4" t="s">
        <v>4675</v>
      </c>
      <c r="G438" s="4" t="s">
        <v>10</v>
      </c>
      <c r="H438" s="4" t="s">
        <v>4676</v>
      </c>
      <c r="I438" s="4" t="s">
        <v>4629</v>
      </c>
      <c r="J438" s="4"/>
      <c r="K438" s="4"/>
    </row>
    <row r="439" ht="16" customHeight="1" s="4" customFormat="1">
      <c r="A439" s="4" t="s">
        <v>3819</v>
      </c>
      <c r="B439" s="4" t="s">
        <v>3390</v>
      </c>
      <c r="C439" s="4" t="s">
        <v>4677</v>
      </c>
      <c r="D439" s="4"/>
      <c r="E439" s="4"/>
      <c r="F439" s="4" t="s">
        <v>4678</v>
      </c>
      <c r="G439" s="4" t="s">
        <v>10</v>
      </c>
      <c r="H439" s="4" t="s">
        <v>4679</v>
      </c>
      <c r="I439" s="4" t="s">
        <v>4629</v>
      </c>
      <c r="J439" s="4"/>
      <c r="K439" s="4"/>
    </row>
    <row r="440" ht="16" customHeight="1" s="4" customFormat="1">
      <c r="A440" s="4" t="s">
        <v>3819</v>
      </c>
      <c r="B440" s="4" t="s">
        <v>3390</v>
      </c>
      <c r="C440" s="4" t="s">
        <v>4680</v>
      </c>
      <c r="D440" s="4"/>
      <c r="E440" s="4"/>
      <c r="F440" s="4" t="s">
        <v>4681</v>
      </c>
      <c r="G440" s="4" t="s">
        <v>10</v>
      </c>
      <c r="H440" s="4" t="s">
        <v>4682</v>
      </c>
      <c r="I440" s="4" t="s">
        <v>4629</v>
      </c>
      <c r="J440" s="4"/>
      <c r="K440" s="4"/>
    </row>
    <row r="441" ht="16" customHeight="1" s="4" customFormat="1">
      <c r="A441" s="4" t="s">
        <v>3819</v>
      </c>
      <c r="B441" s="4" t="s">
        <v>3390</v>
      </c>
      <c r="C441" s="4" t="s">
        <v>4683</v>
      </c>
      <c r="D441" s="4"/>
      <c r="E441" s="4"/>
      <c r="F441" s="4" t="s">
        <v>4684</v>
      </c>
      <c r="G441" s="4" t="s">
        <v>10</v>
      </c>
      <c r="H441" s="4" t="s">
        <v>4685</v>
      </c>
      <c r="I441" s="4" t="s">
        <v>4686</v>
      </c>
      <c r="J441" s="4"/>
      <c r="K441" s="4"/>
    </row>
    <row r="442" ht="16" customHeight="1" s="4" customFormat="1">
      <c r="A442" s="4" t="s">
        <v>3819</v>
      </c>
      <c r="B442" s="4" t="s">
        <v>3390</v>
      </c>
      <c r="C442" s="4" t="s">
        <v>4683</v>
      </c>
      <c r="D442" s="4"/>
      <c r="E442" s="4"/>
      <c r="F442" s="4" t="s">
        <v>4684</v>
      </c>
      <c r="G442" s="4" t="s">
        <v>10</v>
      </c>
      <c r="H442" s="4" t="s">
        <v>4687</v>
      </c>
      <c r="I442" s="4" t="s">
        <v>4688</v>
      </c>
      <c r="J442" s="4"/>
      <c r="K442" s="4"/>
    </row>
    <row r="443" ht="16" customHeight="1" s="4" customFormat="1">
      <c r="A443" s="4" t="s">
        <v>3819</v>
      </c>
      <c r="B443" s="4" t="s">
        <v>3390</v>
      </c>
      <c r="C443" s="4" t="s">
        <v>4683</v>
      </c>
      <c r="D443" s="4"/>
      <c r="E443" s="4"/>
      <c r="F443" s="4" t="s">
        <v>4684</v>
      </c>
      <c r="G443" s="4" t="s">
        <v>10</v>
      </c>
      <c r="H443" s="4" t="s">
        <v>4689</v>
      </c>
      <c r="I443" s="4" t="s">
        <v>4396</v>
      </c>
      <c r="J443" s="4"/>
      <c r="K443" s="4"/>
    </row>
    <row r="444" ht="16" customHeight="1" s="4" customFormat="1">
      <c r="A444" s="4" t="s">
        <v>3819</v>
      </c>
      <c r="B444" s="4" t="s">
        <v>3390</v>
      </c>
      <c r="C444" s="4" t="s">
        <v>4683</v>
      </c>
      <c r="D444" s="4"/>
      <c r="E444" s="4"/>
      <c r="F444" s="4" t="s">
        <v>4690</v>
      </c>
      <c r="G444" s="4" t="s">
        <v>10</v>
      </c>
      <c r="H444" s="4" t="s">
        <v>4691</v>
      </c>
      <c r="I444" s="4" t="s">
        <v>4692</v>
      </c>
      <c r="J444" s="4"/>
      <c r="K444" s="4"/>
    </row>
    <row r="445" ht="16" customHeight="1" s="4" customFormat="1">
      <c r="A445" s="4" t="s">
        <v>3819</v>
      </c>
      <c r="B445" s="4" t="s">
        <v>3390</v>
      </c>
      <c r="C445" s="4" t="s">
        <v>4683</v>
      </c>
      <c r="D445" s="4"/>
      <c r="E445" s="4"/>
      <c r="F445" s="4" t="s">
        <v>4690</v>
      </c>
      <c r="G445" s="4" t="s">
        <v>10</v>
      </c>
      <c r="H445" s="4" t="s">
        <v>4693</v>
      </c>
      <c r="I445" s="4" t="s">
        <v>4694</v>
      </c>
      <c r="J445" s="4"/>
      <c r="K445" s="4"/>
    </row>
    <row r="446" ht="16" customHeight="1" s="4" customFormat="1">
      <c r="A446" s="4" t="s">
        <v>3819</v>
      </c>
      <c r="B446" s="4" t="s">
        <v>3390</v>
      </c>
      <c r="C446" s="4" t="s">
        <v>4683</v>
      </c>
      <c r="D446" s="4"/>
      <c r="E446" s="4"/>
      <c r="F446" s="4" t="s">
        <v>4690</v>
      </c>
      <c r="G446" s="4" t="s">
        <v>10</v>
      </c>
      <c r="H446" s="4" t="s">
        <v>4695</v>
      </c>
      <c r="I446" s="4" t="s">
        <v>4696</v>
      </c>
      <c r="J446" s="4"/>
      <c r="K446" s="4"/>
    </row>
    <row r="447" ht="16" customHeight="1" s="4" customFormat="1">
      <c r="A447" s="4" t="s">
        <v>3819</v>
      </c>
      <c r="B447" s="4" t="s">
        <v>3390</v>
      </c>
      <c r="C447" s="4" t="s">
        <v>4683</v>
      </c>
      <c r="D447" s="4"/>
      <c r="E447" s="4"/>
      <c r="F447" s="4" t="s">
        <v>4697</v>
      </c>
      <c r="G447" s="4" t="s">
        <v>10</v>
      </c>
      <c r="H447" s="4" t="s">
        <v>4698</v>
      </c>
      <c r="I447" s="4" t="s">
        <v>4699</v>
      </c>
      <c r="J447" s="4"/>
      <c r="K447" s="4"/>
    </row>
    <row r="448" ht="16" customHeight="1" s="4" customFormat="1">
      <c r="A448" s="4" t="s">
        <v>3819</v>
      </c>
      <c r="B448" s="4" t="s">
        <v>3390</v>
      </c>
      <c r="C448" s="4" t="s">
        <v>4683</v>
      </c>
      <c r="D448" s="4"/>
      <c r="E448" s="4"/>
      <c r="F448" s="4" t="s">
        <v>4697</v>
      </c>
      <c r="G448" s="4" t="s">
        <v>10</v>
      </c>
      <c r="H448" s="4" t="s">
        <v>4700</v>
      </c>
      <c r="I448" s="4" t="s">
        <v>4701</v>
      </c>
      <c r="J448" s="4"/>
      <c r="K448" s="4"/>
    </row>
    <row r="449" ht="16" customHeight="1" s="4" customFormat="1">
      <c r="A449" s="4" t="s">
        <v>3819</v>
      </c>
      <c r="B449" s="4" t="s">
        <v>3390</v>
      </c>
      <c r="C449" s="4" t="s">
        <v>4683</v>
      </c>
      <c r="D449" s="4"/>
      <c r="E449" s="4"/>
      <c r="F449" s="4" t="s">
        <v>4702</v>
      </c>
      <c r="G449" s="4" t="s">
        <v>10</v>
      </c>
      <c r="H449" s="4" t="s">
        <v>4703</v>
      </c>
      <c r="I449" s="4" t="s">
        <v>4704</v>
      </c>
      <c r="J449" s="4"/>
      <c r="K449" s="4"/>
    </row>
    <row r="450" ht="16" customHeight="1" s="4" customFormat="1">
      <c r="A450" s="4" t="s">
        <v>3819</v>
      </c>
      <c r="B450" s="4" t="s">
        <v>3390</v>
      </c>
      <c r="C450" s="4" t="s">
        <v>4683</v>
      </c>
      <c r="D450" s="4"/>
      <c r="E450" s="4"/>
      <c r="F450" s="4" t="s">
        <v>4702</v>
      </c>
      <c r="G450" s="4" t="s">
        <v>10</v>
      </c>
      <c r="H450" s="4" t="s">
        <v>4705</v>
      </c>
      <c r="I450" s="4" t="s">
        <v>4706</v>
      </c>
      <c r="J450" s="4"/>
      <c r="K450" s="4"/>
    </row>
    <row r="451" ht="16" customHeight="1" s="4" customFormat="1">
      <c r="A451" s="4" t="s">
        <v>3819</v>
      </c>
      <c r="B451" s="4" t="s">
        <v>3390</v>
      </c>
      <c r="C451" s="4" t="s">
        <v>4683</v>
      </c>
      <c r="D451" s="4"/>
      <c r="E451" s="4"/>
      <c r="F451" s="4" t="s">
        <v>4702</v>
      </c>
      <c r="G451" s="4" t="s">
        <v>10</v>
      </c>
      <c r="H451" s="4" t="s">
        <v>4707</v>
      </c>
      <c r="I451" s="4" t="s">
        <v>4708</v>
      </c>
      <c r="J451" s="4"/>
      <c r="K451" s="4"/>
    </row>
    <row r="452" ht="16" customHeight="1" s="4" customFormat="1">
      <c r="A452" s="4" t="s">
        <v>3819</v>
      </c>
      <c r="B452" s="4" t="s">
        <v>3390</v>
      </c>
      <c r="C452" s="4" t="s">
        <v>4683</v>
      </c>
      <c r="D452" s="4"/>
      <c r="E452" s="4"/>
      <c r="F452" s="4" t="s">
        <v>4702</v>
      </c>
      <c r="G452" s="4" t="s">
        <v>10</v>
      </c>
      <c r="H452" s="4" t="s">
        <v>4709</v>
      </c>
      <c r="I452" s="4" t="s">
        <v>4710</v>
      </c>
      <c r="J452" s="4"/>
      <c r="K452" s="4"/>
    </row>
    <row r="453" ht="16" customHeight="1" s="4" customFormat="1">
      <c r="A453" s="4" t="s">
        <v>3819</v>
      </c>
      <c r="B453" s="4" t="s">
        <v>3390</v>
      </c>
      <c r="C453" s="4" t="s">
        <v>4683</v>
      </c>
      <c r="D453" s="4"/>
      <c r="E453" s="4"/>
      <c r="F453" s="4" t="s">
        <v>4702</v>
      </c>
      <c r="G453" s="4" t="s">
        <v>10</v>
      </c>
      <c r="H453" s="4" t="s">
        <v>4711</v>
      </c>
      <c r="I453" s="4" t="s">
        <v>4712</v>
      </c>
      <c r="J453" s="4"/>
      <c r="K453" s="4"/>
    </row>
    <row r="454" ht="16" customHeight="1" s="4" customFormat="1">
      <c r="A454" s="4" t="s">
        <v>3819</v>
      </c>
      <c r="B454" s="4" t="s">
        <v>3390</v>
      </c>
      <c r="C454" s="4" t="s">
        <v>4683</v>
      </c>
      <c r="D454" s="4"/>
      <c r="E454" s="4"/>
      <c r="F454" s="4" t="s">
        <v>4702</v>
      </c>
      <c r="G454" s="4" t="s">
        <v>10</v>
      </c>
      <c r="H454" s="4" t="s">
        <v>4713</v>
      </c>
      <c r="I454" s="4" t="s">
        <v>4714</v>
      </c>
      <c r="J454" s="4"/>
      <c r="K454" s="4"/>
    </row>
    <row r="455" ht="16" customHeight="1" s="4" customFormat="1">
      <c r="A455" s="4" t="s">
        <v>3819</v>
      </c>
      <c r="B455" s="4" t="s">
        <v>3390</v>
      </c>
      <c r="C455" s="4" t="s">
        <v>4683</v>
      </c>
      <c r="D455" s="4"/>
      <c r="E455" s="4"/>
      <c r="F455" s="4" t="s">
        <v>4702</v>
      </c>
      <c r="G455" s="4" t="s">
        <v>10</v>
      </c>
      <c r="H455" s="4" t="s">
        <v>4715</v>
      </c>
      <c r="I455" s="4" t="s">
        <v>4716</v>
      </c>
      <c r="J455" s="4"/>
      <c r="K455" s="4"/>
    </row>
    <row r="456" ht="16" customHeight="1" s="4" customFormat="1">
      <c r="A456" s="4" t="s">
        <v>3819</v>
      </c>
      <c r="B456" s="4" t="s">
        <v>3390</v>
      </c>
      <c r="C456" s="4" t="s">
        <v>4683</v>
      </c>
      <c r="D456" s="4"/>
      <c r="E456" s="4"/>
      <c r="F456" s="4" t="s">
        <v>4702</v>
      </c>
      <c r="G456" s="4" t="s">
        <v>10</v>
      </c>
      <c r="H456" s="4" t="s">
        <v>4717</v>
      </c>
      <c r="I456" s="4" t="s">
        <v>4718</v>
      </c>
      <c r="J456" s="4"/>
      <c r="K456" s="4"/>
    </row>
    <row r="457" ht="16" customHeight="1" s="4" customFormat="1">
      <c r="A457" s="4" t="s">
        <v>3819</v>
      </c>
      <c r="B457" s="4" t="s">
        <v>3390</v>
      </c>
      <c r="C457" s="4" t="s">
        <v>4683</v>
      </c>
      <c r="D457" s="4"/>
      <c r="E457" s="4"/>
      <c r="F457" s="4" t="s">
        <v>4702</v>
      </c>
      <c r="G457" s="4" t="s">
        <v>10</v>
      </c>
      <c r="H457" s="4" t="s">
        <v>4719</v>
      </c>
      <c r="I457" s="4" t="s">
        <v>4720</v>
      </c>
      <c r="J457" s="4"/>
      <c r="K457" s="4"/>
    </row>
    <row r="458" ht="16" customHeight="1" s="4" customFormat="1">
      <c r="A458" s="4" t="s">
        <v>3819</v>
      </c>
      <c r="B458" s="4" t="s">
        <v>3390</v>
      </c>
      <c r="C458" s="4" t="s">
        <v>4683</v>
      </c>
      <c r="D458" s="4"/>
      <c r="E458" s="4"/>
      <c r="F458" s="4" t="s">
        <v>4702</v>
      </c>
      <c r="G458" s="4" t="s">
        <v>10</v>
      </c>
      <c r="H458" s="4" t="s">
        <v>4721</v>
      </c>
      <c r="I458" s="4" t="s">
        <v>4722</v>
      </c>
      <c r="J458" s="4"/>
      <c r="K458" s="4"/>
    </row>
    <row r="459" ht="16" customHeight="1" s="4" customFormat="1">
      <c r="A459" s="4" t="s">
        <v>3819</v>
      </c>
      <c r="B459" s="4" t="s">
        <v>3390</v>
      </c>
      <c r="C459" s="4" t="s">
        <v>4683</v>
      </c>
      <c r="D459" s="4"/>
      <c r="E459" s="4"/>
      <c r="F459" s="4" t="s">
        <v>4702</v>
      </c>
      <c r="G459" s="4" t="s">
        <v>10</v>
      </c>
      <c r="H459" s="4" t="s">
        <v>4723</v>
      </c>
      <c r="I459" s="4" t="s">
        <v>4724</v>
      </c>
      <c r="J459" s="4"/>
      <c r="K459" s="4"/>
    </row>
    <row r="460" ht="16" customHeight="1" s="4" customFormat="1">
      <c r="A460" s="4" t="s">
        <v>3819</v>
      </c>
      <c r="B460" s="4" t="s">
        <v>3390</v>
      </c>
      <c r="C460" s="4" t="s">
        <v>4683</v>
      </c>
      <c r="D460" s="4"/>
      <c r="E460" s="4"/>
      <c r="F460" s="4" t="s">
        <v>4702</v>
      </c>
      <c r="G460" s="4" t="s">
        <v>10</v>
      </c>
      <c r="H460" s="4" t="s">
        <v>4725</v>
      </c>
      <c r="I460" s="4" t="s">
        <v>4279</v>
      </c>
      <c r="J460" s="4"/>
      <c r="K460" s="4"/>
    </row>
    <row r="461" ht="16" customHeight="1" s="4" customFormat="1">
      <c r="A461" s="4" t="s">
        <v>3819</v>
      </c>
      <c r="B461" s="4" t="s">
        <v>3390</v>
      </c>
      <c r="C461" s="4" t="s">
        <v>4683</v>
      </c>
      <c r="D461" s="4"/>
      <c r="E461" s="4"/>
      <c r="F461" s="4" t="s">
        <v>4702</v>
      </c>
      <c r="G461" s="4" t="s">
        <v>10</v>
      </c>
      <c r="H461" s="4" t="s">
        <v>4726</v>
      </c>
      <c r="I461" s="4" t="s">
        <v>4043</v>
      </c>
      <c r="J461" s="4"/>
      <c r="K461" s="4"/>
    </row>
    <row r="462" ht="16" customHeight="1" s="4" customFormat="1">
      <c r="A462" s="4" t="s">
        <v>3819</v>
      </c>
      <c r="B462" s="4" t="s">
        <v>3390</v>
      </c>
      <c r="C462" s="4" t="s">
        <v>4683</v>
      </c>
      <c r="D462" s="4"/>
      <c r="E462" s="4"/>
      <c r="F462" s="4" t="s">
        <v>4702</v>
      </c>
      <c r="G462" s="4" t="s">
        <v>10</v>
      </c>
      <c r="H462" s="4" t="s">
        <v>4727</v>
      </c>
      <c r="I462" s="4" t="s">
        <v>4379</v>
      </c>
      <c r="J462" s="4"/>
      <c r="K462" s="4"/>
    </row>
    <row r="463" ht="16" customHeight="1" s="4" customFormat="1">
      <c r="A463" s="4" t="s">
        <v>3819</v>
      </c>
      <c r="B463" s="4" t="s">
        <v>3390</v>
      </c>
      <c r="C463" s="4" t="s">
        <v>4683</v>
      </c>
      <c r="D463" s="4"/>
      <c r="E463" s="4"/>
      <c r="F463" s="4" t="s">
        <v>4702</v>
      </c>
      <c r="G463" s="4" t="s">
        <v>10</v>
      </c>
      <c r="H463" s="4" t="s">
        <v>4728</v>
      </c>
      <c r="I463" s="4" t="s">
        <v>3959</v>
      </c>
      <c r="J463" s="4"/>
      <c r="K463" s="4"/>
    </row>
    <row r="464" ht="16" customHeight="1" s="4" customFormat="1">
      <c r="A464" s="4" t="s">
        <v>3819</v>
      </c>
      <c r="B464" s="4" t="s">
        <v>3390</v>
      </c>
      <c r="C464" s="4" t="s">
        <v>4683</v>
      </c>
      <c r="D464" s="4"/>
      <c r="E464" s="4"/>
      <c r="F464" s="4" t="s">
        <v>4702</v>
      </c>
      <c r="G464" s="4" t="s">
        <v>10</v>
      </c>
      <c r="H464" s="4" t="s">
        <v>4729</v>
      </c>
      <c r="I464" s="4" t="s">
        <v>4730</v>
      </c>
      <c r="J464" s="4"/>
      <c r="K464" s="4"/>
    </row>
    <row r="465" ht="16" customHeight="1" s="4" customFormat="1">
      <c r="A465" s="4" t="s">
        <v>3819</v>
      </c>
      <c r="B465" s="4" t="s">
        <v>3390</v>
      </c>
      <c r="C465" s="4" t="s">
        <v>4683</v>
      </c>
      <c r="D465" s="4"/>
      <c r="E465" s="4"/>
      <c r="F465" s="4" t="s">
        <v>4702</v>
      </c>
      <c r="G465" s="4" t="s">
        <v>10</v>
      </c>
      <c r="H465" s="4" t="s">
        <v>4731</v>
      </c>
      <c r="I465" s="4" t="s">
        <v>4732</v>
      </c>
      <c r="J465" s="4"/>
      <c r="K465" s="4"/>
    </row>
    <row r="466" ht="16" customHeight="1" s="4" customFormat="1">
      <c r="A466" s="4" t="s">
        <v>3819</v>
      </c>
      <c r="B466" s="4" t="s">
        <v>3390</v>
      </c>
      <c r="C466" s="4" t="s">
        <v>4683</v>
      </c>
      <c r="D466" s="4"/>
      <c r="E466" s="4"/>
      <c r="F466" s="4" t="s">
        <v>4702</v>
      </c>
      <c r="G466" s="4" t="s">
        <v>10</v>
      </c>
      <c r="H466" s="4" t="s">
        <v>4733</v>
      </c>
      <c r="I466" s="4" t="s">
        <v>4734</v>
      </c>
      <c r="J466" s="4"/>
      <c r="K466" s="4"/>
    </row>
    <row r="467" ht="16" customHeight="1" s="4" customFormat="1">
      <c r="A467" s="4" t="s">
        <v>3819</v>
      </c>
      <c r="B467" s="4" t="s">
        <v>3390</v>
      </c>
      <c r="C467" s="4" t="s">
        <v>4683</v>
      </c>
      <c r="D467" s="4"/>
      <c r="E467" s="4"/>
      <c r="F467" s="4" t="s">
        <v>4702</v>
      </c>
      <c r="G467" s="4" t="s">
        <v>10</v>
      </c>
      <c r="H467" s="4" t="s">
        <v>4735</v>
      </c>
      <c r="I467" s="4" t="s">
        <v>3725</v>
      </c>
      <c r="J467" s="4"/>
      <c r="K467" s="4"/>
    </row>
    <row r="468" ht="16" customHeight="1" s="4" customFormat="1">
      <c r="A468" s="4" t="s">
        <v>3819</v>
      </c>
      <c r="B468" s="4" t="s">
        <v>3390</v>
      </c>
      <c r="C468" s="4" t="s">
        <v>4683</v>
      </c>
      <c r="D468" s="4"/>
      <c r="E468" s="4"/>
      <c r="F468" s="4" t="s">
        <v>4702</v>
      </c>
      <c r="G468" s="4" t="s">
        <v>10</v>
      </c>
      <c r="H468" s="4" t="s">
        <v>4736</v>
      </c>
      <c r="I468" s="4" t="s">
        <v>4737</v>
      </c>
      <c r="J468" s="4"/>
      <c r="K468" s="4"/>
    </row>
    <row r="469" ht="16" customHeight="1" s="4" customFormat="1">
      <c r="A469" s="4" t="s">
        <v>3819</v>
      </c>
      <c r="B469" s="4" t="s">
        <v>3390</v>
      </c>
      <c r="C469" s="4" t="s">
        <v>4683</v>
      </c>
      <c r="D469" s="4"/>
      <c r="E469" s="4"/>
      <c r="F469" s="4" t="s">
        <v>4702</v>
      </c>
      <c r="G469" s="4" t="s">
        <v>10</v>
      </c>
      <c r="H469" s="4" t="s">
        <v>4738</v>
      </c>
      <c r="I469" s="4" t="s">
        <v>4739</v>
      </c>
      <c r="J469" s="4"/>
      <c r="K469" s="4"/>
    </row>
    <row r="470" ht="16" customHeight="1" s="4" customFormat="1">
      <c r="A470" s="4" t="s">
        <v>3819</v>
      </c>
      <c r="B470" s="4" t="s">
        <v>3390</v>
      </c>
      <c r="C470" s="4" t="s">
        <v>4683</v>
      </c>
      <c r="D470" s="4"/>
      <c r="E470" s="4"/>
      <c r="F470" s="4" t="s">
        <v>4702</v>
      </c>
      <c r="G470" s="4" t="s">
        <v>10</v>
      </c>
      <c r="H470" s="4" t="s">
        <v>4740</v>
      </c>
      <c r="I470" s="4" t="s">
        <v>4741</v>
      </c>
      <c r="J470" s="4"/>
      <c r="K470" s="4"/>
    </row>
    <row r="471" ht="16" customHeight="1" s="4" customFormat="1">
      <c r="A471" s="4" t="s">
        <v>3819</v>
      </c>
      <c r="B471" s="4" t="s">
        <v>3390</v>
      </c>
      <c r="C471" s="4" t="s">
        <v>4683</v>
      </c>
      <c r="D471" s="4"/>
      <c r="E471" s="4"/>
      <c r="F471" s="4" t="s">
        <v>4702</v>
      </c>
      <c r="G471" s="4" t="s">
        <v>10</v>
      </c>
      <c r="H471" s="4" t="s">
        <v>4742</v>
      </c>
      <c r="I471" s="4" t="s">
        <v>3433</v>
      </c>
      <c r="J471" s="4"/>
      <c r="K471" s="4"/>
    </row>
    <row r="472" ht="16" customHeight="1" s="4" customFormat="1">
      <c r="A472" s="4" t="s">
        <v>3819</v>
      </c>
      <c r="B472" s="4" t="s">
        <v>3390</v>
      </c>
      <c r="C472" s="4" t="s">
        <v>4683</v>
      </c>
      <c r="D472" s="4"/>
      <c r="E472" s="4"/>
      <c r="F472" s="4" t="s">
        <v>4702</v>
      </c>
      <c r="G472" s="4" t="s">
        <v>10</v>
      </c>
      <c r="H472" s="4" t="s">
        <v>4743</v>
      </c>
      <c r="I472" s="4" t="s">
        <v>4368</v>
      </c>
      <c r="J472" s="4"/>
      <c r="K472" s="4"/>
    </row>
    <row r="473" ht="16" customHeight="1" s="4" customFormat="1">
      <c r="A473" s="4" t="s">
        <v>3819</v>
      </c>
      <c r="B473" s="4" t="s">
        <v>3390</v>
      </c>
      <c r="C473" s="4" t="s">
        <v>4683</v>
      </c>
      <c r="D473" s="4"/>
      <c r="E473" s="4"/>
      <c r="F473" s="4" t="s">
        <v>4702</v>
      </c>
      <c r="G473" s="4" t="s">
        <v>10</v>
      </c>
      <c r="H473" s="4" t="s">
        <v>4744</v>
      </c>
      <c r="I473" s="4" t="s">
        <v>4745</v>
      </c>
      <c r="J473" s="4"/>
      <c r="K473" s="4"/>
    </row>
    <row r="474" ht="16" customHeight="1" s="4" customFormat="1">
      <c r="A474" s="4" t="s">
        <v>3819</v>
      </c>
      <c r="B474" s="4" t="s">
        <v>3390</v>
      </c>
      <c r="C474" s="4" t="s">
        <v>4683</v>
      </c>
      <c r="D474" s="4"/>
      <c r="E474" s="4"/>
      <c r="F474" s="4" t="s">
        <v>4702</v>
      </c>
      <c r="G474" s="4" t="s">
        <v>10</v>
      </c>
      <c r="H474" s="4" t="s">
        <v>4746</v>
      </c>
      <c r="I474" s="4" t="s">
        <v>4538</v>
      </c>
      <c r="J474" s="4"/>
      <c r="K474" s="4"/>
    </row>
    <row r="475" ht="16" customHeight="1" s="4" customFormat="1">
      <c r="A475" s="4" t="s">
        <v>3819</v>
      </c>
      <c r="B475" s="4" t="s">
        <v>3390</v>
      </c>
      <c r="C475" s="4" t="s">
        <v>4683</v>
      </c>
      <c r="D475" s="4"/>
      <c r="E475" s="4"/>
      <c r="F475" s="4" t="s">
        <v>4702</v>
      </c>
      <c r="G475" s="4" t="s">
        <v>10</v>
      </c>
      <c r="H475" s="4" t="s">
        <v>4747</v>
      </c>
      <c r="I475" s="4" t="s">
        <v>4748</v>
      </c>
      <c r="J475" s="4"/>
      <c r="K475" s="4"/>
    </row>
    <row r="476" ht="16" customHeight="1" s="4" customFormat="1">
      <c r="A476" s="4" t="s">
        <v>3819</v>
      </c>
      <c r="B476" s="4" t="s">
        <v>3390</v>
      </c>
      <c r="C476" s="4" t="s">
        <v>4683</v>
      </c>
      <c r="D476" s="4"/>
      <c r="E476" s="4"/>
      <c r="F476" s="4" t="s">
        <v>4702</v>
      </c>
      <c r="G476" s="4" t="s">
        <v>10</v>
      </c>
      <c r="H476" s="4" t="s">
        <v>4749</v>
      </c>
      <c r="I476" s="4" t="s">
        <v>4750</v>
      </c>
      <c r="J476" s="4"/>
      <c r="K476" s="4"/>
    </row>
    <row r="477" ht="16" customHeight="1" s="4" customFormat="1">
      <c r="A477" s="4" t="s">
        <v>3819</v>
      </c>
      <c r="B477" s="4" t="s">
        <v>3390</v>
      </c>
      <c r="C477" s="4" t="s">
        <v>4683</v>
      </c>
      <c r="D477" s="4"/>
      <c r="E477" s="4"/>
      <c r="F477" s="4" t="s">
        <v>4751</v>
      </c>
      <c r="G477" s="4" t="s">
        <v>10</v>
      </c>
      <c r="H477" s="4" t="s">
        <v>4752</v>
      </c>
      <c r="I477" s="4" t="s">
        <v>3579</v>
      </c>
      <c r="J477" s="4"/>
      <c r="K477" s="4"/>
    </row>
    <row r="478" ht="16" customHeight="1" s="4" customFormat="1">
      <c r="A478" s="4" t="s">
        <v>3819</v>
      </c>
      <c r="B478" s="4" t="s">
        <v>3390</v>
      </c>
      <c r="C478" s="4" t="s">
        <v>4683</v>
      </c>
      <c r="D478" s="4"/>
      <c r="E478" s="4"/>
      <c r="F478" s="4" t="s">
        <v>4753</v>
      </c>
      <c r="G478" s="4" t="s">
        <v>10</v>
      </c>
      <c r="H478" s="4" t="s">
        <v>4754</v>
      </c>
      <c r="I478" s="4" t="s">
        <v>4755</v>
      </c>
      <c r="J478" s="4"/>
      <c r="K478" s="4"/>
    </row>
    <row r="479" ht="16" customHeight="1" s="4" customFormat="1">
      <c r="A479" s="4" t="s">
        <v>3819</v>
      </c>
      <c r="B479" s="4" t="s">
        <v>3390</v>
      </c>
      <c r="C479" s="4" t="s">
        <v>4683</v>
      </c>
      <c r="D479" s="4"/>
      <c r="E479" s="4"/>
      <c r="F479" s="4" t="s">
        <v>4756</v>
      </c>
      <c r="G479" s="4" t="s">
        <v>10</v>
      </c>
      <c r="H479" s="4" t="s">
        <v>4757</v>
      </c>
      <c r="I479" s="4" t="s">
        <v>3589</v>
      </c>
      <c r="J479" s="4"/>
      <c r="K479" s="4"/>
    </row>
    <row r="480" ht="16" customHeight="1" s="4" customFormat="1">
      <c r="A480" s="4" t="s">
        <v>3819</v>
      </c>
      <c r="B480" s="4" t="s">
        <v>3390</v>
      </c>
      <c r="C480" s="4" t="s">
        <v>4683</v>
      </c>
      <c r="D480" s="4"/>
      <c r="E480" s="4"/>
      <c r="F480" s="4" t="s">
        <v>4756</v>
      </c>
      <c r="G480" s="4" t="s">
        <v>10</v>
      </c>
      <c r="H480" s="4" t="s">
        <v>4758</v>
      </c>
      <c r="I480" s="4" t="s">
        <v>4759</v>
      </c>
      <c r="J480" s="4"/>
      <c r="K480" s="4"/>
    </row>
    <row r="481" ht="16" customHeight="1" s="4" customFormat="1">
      <c r="A481" s="4" t="s">
        <v>3819</v>
      </c>
      <c r="B481" s="4" t="s">
        <v>3390</v>
      </c>
      <c r="C481" s="4" t="s">
        <v>4760</v>
      </c>
      <c r="D481" s="4"/>
      <c r="E481" s="4"/>
      <c r="F481" s="4" t="s">
        <v>4761</v>
      </c>
      <c r="G481" s="4" t="s">
        <v>10</v>
      </c>
      <c r="H481" s="4" t="s">
        <v>4762</v>
      </c>
      <c r="I481" s="4" t="s">
        <v>4629</v>
      </c>
      <c r="J481" s="4"/>
      <c r="K481" s="4"/>
    </row>
    <row r="482" ht="16" customHeight="1" s="4" customFormat="1">
      <c r="A482" s="4" t="s">
        <v>3819</v>
      </c>
      <c r="B482" s="4" t="s">
        <v>3390</v>
      </c>
      <c r="C482" s="4" t="s">
        <v>4376</v>
      </c>
      <c r="D482" s="4"/>
      <c r="E482" s="4"/>
      <c r="F482" s="4" t="s">
        <v>4377</v>
      </c>
      <c r="G482" s="4" t="s">
        <v>10</v>
      </c>
      <c r="H482" s="4" t="s">
        <v>4763</v>
      </c>
      <c r="I482" s="4" t="s">
        <v>4631</v>
      </c>
      <c r="J482" s="4"/>
      <c r="K482" s="4"/>
    </row>
    <row r="483" ht="16" customHeight="1" s="4" customFormat="1">
      <c r="A483" s="4" t="s">
        <v>3819</v>
      </c>
      <c r="B483" s="4" t="s">
        <v>3390</v>
      </c>
      <c r="C483" s="4" t="s">
        <v>4376</v>
      </c>
      <c r="D483" s="4"/>
      <c r="E483" s="4"/>
      <c r="F483" s="4" t="s">
        <v>4377</v>
      </c>
      <c r="G483" s="4" t="s">
        <v>10</v>
      </c>
      <c r="H483" s="4" t="s">
        <v>4764</v>
      </c>
      <c r="I483" s="4" t="s">
        <v>4633</v>
      </c>
      <c r="J483" s="4"/>
      <c r="K483" s="4"/>
    </row>
    <row r="484" ht="16" customHeight="1" s="4" customFormat="1">
      <c r="A484" s="4" t="s">
        <v>3819</v>
      </c>
      <c r="B484" s="4" t="s">
        <v>3390</v>
      </c>
      <c r="C484" s="4" t="s">
        <v>4376</v>
      </c>
      <c r="D484" s="4"/>
      <c r="E484" s="4"/>
      <c r="F484" s="4" t="s">
        <v>4377</v>
      </c>
      <c r="G484" s="4" t="s">
        <v>10</v>
      </c>
      <c r="H484" s="4" t="s">
        <v>4765</v>
      </c>
      <c r="I484" s="4" t="s">
        <v>4043</v>
      </c>
      <c r="J484" s="4"/>
      <c r="K484" s="4"/>
    </row>
    <row r="485" ht="16" customHeight="1" s="4" customFormat="1">
      <c r="A485" s="4" t="s">
        <v>3819</v>
      </c>
      <c r="B485" s="4" t="s">
        <v>3390</v>
      </c>
      <c r="C485" s="4" t="s">
        <v>4376</v>
      </c>
      <c r="D485" s="4"/>
      <c r="E485" s="4"/>
      <c r="F485" s="4" t="s">
        <v>4377</v>
      </c>
      <c r="G485" s="4" t="s">
        <v>10</v>
      </c>
      <c r="H485" s="4" t="s">
        <v>4766</v>
      </c>
      <c r="I485" s="4" t="s">
        <v>4638</v>
      </c>
      <c r="J485" s="4"/>
      <c r="K485" s="4"/>
    </row>
    <row r="486" ht="16" customHeight="1" s="4" customFormat="1">
      <c r="A486" s="4" t="s">
        <v>3819</v>
      </c>
      <c r="B486" s="4" t="s">
        <v>3390</v>
      </c>
      <c r="C486" s="4" t="s">
        <v>4380</v>
      </c>
      <c r="D486" s="4"/>
      <c r="E486" s="4"/>
      <c r="F486" s="4" t="s">
        <v>4381</v>
      </c>
      <c r="G486" s="4" t="s">
        <v>10</v>
      </c>
      <c r="H486" s="4" t="s">
        <v>4767</v>
      </c>
      <c r="I486" s="4" t="s">
        <v>3576</v>
      </c>
      <c r="J486" s="4"/>
      <c r="K486" s="4"/>
    </row>
    <row r="487" ht="16" customHeight="1" s="4" customFormat="1">
      <c r="A487" s="4" t="s">
        <v>3819</v>
      </c>
      <c r="B487" s="4" t="s">
        <v>3390</v>
      </c>
      <c r="C487" s="4" t="s">
        <v>4383</v>
      </c>
      <c r="D487" s="4"/>
      <c r="E487" s="4"/>
      <c r="F487" s="4" t="s">
        <v>4384</v>
      </c>
      <c r="G487" s="4" t="s">
        <v>10</v>
      </c>
      <c r="H487" s="4" t="s">
        <v>4768</v>
      </c>
      <c r="I487" s="4" t="s">
        <v>3579</v>
      </c>
      <c r="J487" s="4"/>
      <c r="K487" s="4"/>
    </row>
    <row r="488" ht="16" customHeight="1">
      <c r="A488" s="3" t="s">
        <v>3819</v>
      </c>
      <c r="B488" s="3" t="s">
        <v>3390</v>
      </c>
      <c r="C488" s="3" t="s">
        <v>4383</v>
      </c>
      <c r="D488" s="3"/>
      <c r="E488" s="3"/>
      <c r="F488" s="3" t="s">
        <v>4384</v>
      </c>
      <c r="G488" s="3" t="s">
        <v>10</v>
      </c>
      <c r="H488" s="3" t="s">
        <v>4769</v>
      </c>
      <c r="I488" s="3" t="s">
        <v>3468</v>
      </c>
    </row>
  </sheetData>
  <headerFooter/>
</worksheet>
</file>

<file path=xl/worksheets/sheet38.xml><?xml version="1.0" encoding="utf-8"?>
<worksheet xmlns:r="http://schemas.openxmlformats.org/officeDocument/2006/relationships" xmlns="http://schemas.openxmlformats.org/spreadsheetml/2006/main">
  <dimension ref="A1:AI102"/>
  <sheetViews>
    <sheetView workbookViewId="0"/>
  </sheetViews>
  <sheetFormatPr defaultRowHeight="15"/>
  <cols>
    <col min="1" max="1" width="9.140625" customWidth="1" style="3"/>
    <col min="2" max="2" width="9.140625" customWidth="1" style="3"/>
    <col min="3" max="3" width="10.1619520187378" customWidth="1" style="3"/>
    <col min="4" max="4" width="12.0607614517212" customWidth="1" style="3"/>
    <col min="5" max="5" width="154.878616333008" customWidth="1" style="3"/>
    <col min="6" max="6" width="459.468688964844" customWidth="1" style="3"/>
    <col min="7" max="7" width="138.626205444336" customWidth="1" style="3"/>
    <col min="8" max="8" width="283.894317626953" customWidth="1" style="3"/>
    <col min="9" max="9" width="21.1691131591797" customWidth="1" style="3"/>
    <col min="10" max="10" width="16.1032314300537" customWidth="1" style="3"/>
    <col min="11" max="11" width="12.6679658889771" customWidth="1" style="3"/>
    <col min="12" max="12" width="14.0925693511963" customWidth="1" style="3"/>
    <col min="13" max="13" width="187.778335571289" customWidth="1" style="3"/>
    <col min="14" max="14" width="9.140625" customWidth="1" style="3"/>
    <col min="15" max="15" width="9.140625" customWidth="1" style="3"/>
    <col min="16" max="16" width="61.1269721984863" customWidth="1" style="3"/>
    <col min="17" max="17" width="1426.65466308594" customWidth="1" style="3"/>
    <col min="18" max="18" width="704.022155761719" customWidth="1" style="3"/>
    <col min="19" max="19" width="1100.40893554688" customWidth="1" style="3"/>
    <col min="20" max="20" width="666.274108886719" customWidth="1" style="3"/>
    <col min="21" max="21" width="1416.54479980469" customWidth="1" style="3"/>
    <col min="22" max="22" width="1429.26245117188" customWidth="1" style="3"/>
    <col min="23" max="23" width="13.4869146347046" customWidth="1" style="3"/>
    <col min="24" max="24" width="10.4129428863525" customWidth="1" style="3"/>
    <col min="25" max="25" width="11.4837522506714" customWidth="1" style="3"/>
    <col min="26" max="26" width="15.9056873321533" customWidth="1" style="3"/>
    <col min="27" max="27" width="16.1015586853027" customWidth="1" style="3"/>
    <col min="28" max="28" width="353.77783203125" customWidth="1" style="3"/>
    <col min="29" max="29" width="10.6096506118774" customWidth="1" style="3"/>
    <col min="30" max="30" width="9.140625" customWidth="1" style="3"/>
    <col min="31" max="31" width="9.140625" customWidth="1" style="3"/>
    <col min="32" max="32" width="18.4549217224121" customWidth="1" style="3"/>
    <col min="33" max="16384" width="13.9436349868774" customWidth="1" style="3"/>
    <col min="34" max="16384" width="9.140625" customWidth="1" style="3"/>
    <col min="35" max="16384" width="9.140625" customWidth="1" style="3"/>
  </cols>
  <sheetData>
    <row r="1" ht="20" customHeight="1" s="1" customFormat="1">
      <c r="A1" s="2" t="s">
        <v>4770</v>
      </c>
      <c r="B1" s="2" t="s">
        <v>4771</v>
      </c>
      <c r="C1" s="2" t="s">
        <v>4772</v>
      </c>
      <c r="D1" s="2" t="s">
        <v>4773</v>
      </c>
      <c r="E1" s="2" t="s">
        <v>4774</v>
      </c>
      <c r="F1" s="2" t="s">
        <v>4775</v>
      </c>
      <c r="G1" s="2" t="s">
        <v>3342</v>
      </c>
      <c r="H1" s="2" t="s">
        <v>4776</v>
      </c>
      <c r="I1" s="2" t="s">
        <v>3340</v>
      </c>
      <c r="J1" s="2" t="s">
        <v>4777</v>
      </c>
      <c r="K1" s="2" t="s">
        <v>3344</v>
      </c>
      <c r="L1" s="2" t="s">
        <v>4778</v>
      </c>
      <c r="M1" s="2" t="s">
        <v>4779</v>
      </c>
      <c r="N1" s="2" t="s">
        <v>823</v>
      </c>
      <c r="O1" s="2" t="s">
        <v>3339</v>
      </c>
      <c r="P1" s="2" t="s">
        <v>4780</v>
      </c>
      <c r="Q1" s="2" t="s">
        <v>4781</v>
      </c>
      <c r="R1" s="2" t="s">
        <v>4782</v>
      </c>
      <c r="S1" s="2" t="s">
        <v>4783</v>
      </c>
      <c r="T1" s="2" t="s">
        <v>4784</v>
      </c>
      <c r="U1" s="2" t="s">
        <v>4785</v>
      </c>
      <c r="V1" s="2" t="s">
        <v>4786</v>
      </c>
      <c r="W1" s="2" t="s">
        <v>826</v>
      </c>
      <c r="X1" s="2" t="s">
        <v>4292</v>
      </c>
      <c r="Y1" s="2" t="s">
        <v>4787</v>
      </c>
      <c r="Z1" s="2" t="s">
        <v>4788</v>
      </c>
      <c r="AA1" s="2" t="s">
        <v>4789</v>
      </c>
      <c r="AB1" s="2" t="s">
        <v>4790</v>
      </c>
      <c r="AC1" s="2" t="s">
        <v>4791</v>
      </c>
      <c r="AD1" s="2" t="s">
        <v>4792</v>
      </c>
      <c r="AE1" s="2" t="s">
        <v>4793</v>
      </c>
      <c r="AF1" s="2" t="s">
        <v>4794</v>
      </c>
      <c r="AG1" s="2" t="s">
        <v>4795</v>
      </c>
    </row>
    <row r="2" ht="16" customHeight="1" s="4" customFormat="1">
      <c r="A2" s="4">
        <v>1</v>
      </c>
      <c r="B2" s="4">
        <v>1</v>
      </c>
      <c r="C2" s="4">
        <v>10116358</v>
      </c>
      <c r="D2" s="4" t="s">
        <v>1920</v>
      </c>
      <c r="E2" s="4" t="s">
        <v>4304</v>
      </c>
      <c r="F2" s="4" t="s">
        <v>4305</v>
      </c>
      <c r="G2" s="4" t="s">
        <v>4796</v>
      </c>
      <c r="H2" s="4" t="s">
        <v>4797</v>
      </c>
      <c r="I2" s="4"/>
      <c r="J2" s="4" t="s">
        <v>4307</v>
      </c>
      <c r="K2" s="4"/>
      <c r="L2" s="4" t="s">
        <v>4798</v>
      </c>
      <c r="M2" s="4" t="s">
        <v>4306</v>
      </c>
      <c r="N2" s="4" t="s">
        <v>3346</v>
      </c>
      <c r="O2" s="4"/>
      <c r="P2" s="4"/>
      <c r="Q2" s="4" t="s">
        <v>4799</v>
      </c>
      <c r="R2" s="4" t="s">
        <v>4800</v>
      </c>
      <c r="S2" s="4" t="s">
        <v>4801</v>
      </c>
      <c r="T2" s="4" t="s">
        <v>4802</v>
      </c>
      <c r="U2" s="4" t="s">
        <v>4803</v>
      </c>
      <c r="V2" s="4" t="s">
        <v>4804</v>
      </c>
      <c r="W2" s="4" t="s">
        <v>3761</v>
      </c>
      <c r="X2" s="4" t="s">
        <v>201</v>
      </c>
      <c r="Y2" s="4" t="s">
        <v>4307</v>
      </c>
      <c r="Z2" s="4" t="s">
        <v>4307</v>
      </c>
      <c r="AA2" s="4"/>
      <c r="AB2" s="4">
        <v>10116358</v>
      </c>
      <c r="AC2" s="4"/>
      <c r="AD2" s="4"/>
      <c r="AE2" s="4"/>
      <c r="AF2" s="4" t="s">
        <v>4805</v>
      </c>
      <c r="AG2" s="4"/>
      <c r="AH2" s="4"/>
      <c r="AI2" s="4"/>
    </row>
    <row r="3" ht="16" customHeight="1" s="4" customFormat="1">
      <c r="A3" s="4">
        <v>2</v>
      </c>
      <c r="B3" s="4">
        <v>1</v>
      </c>
      <c r="C3" s="4">
        <v>10096985</v>
      </c>
      <c r="D3" s="4" t="s">
        <v>1920</v>
      </c>
      <c r="E3" s="4" t="s">
        <v>4298</v>
      </c>
      <c r="F3" s="4" t="s">
        <v>4299</v>
      </c>
      <c r="G3" s="4" t="s">
        <v>4806</v>
      </c>
      <c r="H3" s="4" t="s">
        <v>4807</v>
      </c>
      <c r="I3" s="4"/>
      <c r="J3" s="4" t="s">
        <v>4301</v>
      </c>
      <c r="K3" s="4"/>
      <c r="L3" s="4" t="s">
        <v>4798</v>
      </c>
      <c r="M3" s="4" t="s">
        <v>4300</v>
      </c>
      <c r="N3" s="4" t="s">
        <v>3346</v>
      </c>
      <c r="O3" s="4"/>
      <c r="P3" s="4"/>
      <c r="Q3" s="4" t="s">
        <v>4808</v>
      </c>
      <c r="R3" s="4" t="s">
        <v>4809</v>
      </c>
      <c r="S3" s="4" t="s">
        <v>4810</v>
      </c>
      <c r="T3" s="4" t="s">
        <v>4811</v>
      </c>
      <c r="U3" s="4" t="s">
        <v>4812</v>
      </c>
      <c r="V3" s="4" t="s">
        <v>4813</v>
      </c>
      <c r="W3" s="4" t="s">
        <v>3752</v>
      </c>
      <c r="X3" s="4" t="s">
        <v>201</v>
      </c>
      <c r="Y3" s="4" t="s">
        <v>4402</v>
      </c>
      <c r="Z3" s="4" t="s">
        <v>4301</v>
      </c>
      <c r="AA3" s="4"/>
      <c r="AB3" s="4">
        <v>9.4146811009698586E+85</v>
      </c>
      <c r="AC3" s="4"/>
      <c r="AD3" s="4"/>
      <c r="AE3" s="4"/>
      <c r="AF3" s="4" t="s">
        <v>4814</v>
      </c>
      <c r="AG3" s="4"/>
      <c r="AH3" s="4"/>
      <c r="AI3" s="4"/>
    </row>
    <row r="4" ht="16" customHeight="1" s="4" customFormat="1">
      <c r="A4" s="4">
        <v>4</v>
      </c>
      <c r="B4" s="4">
        <v>1</v>
      </c>
      <c r="C4" s="4">
        <v>10116359</v>
      </c>
      <c r="D4" s="4" t="s">
        <v>1920</v>
      </c>
      <c r="E4" s="4" t="s">
        <v>4308</v>
      </c>
      <c r="F4" s="4" t="s">
        <v>4309</v>
      </c>
      <c r="G4" s="4" t="s">
        <v>4796</v>
      </c>
      <c r="H4" s="4" t="s">
        <v>4815</v>
      </c>
      <c r="I4" s="4"/>
      <c r="J4" s="4" t="s">
        <v>4307</v>
      </c>
      <c r="K4" s="4"/>
      <c r="L4" s="4" t="s">
        <v>4798</v>
      </c>
      <c r="M4" s="4" t="s">
        <v>4310</v>
      </c>
      <c r="N4" s="4" t="s">
        <v>3346</v>
      </c>
      <c r="O4" s="4"/>
      <c r="P4" s="4"/>
      <c r="Q4" s="4" t="s">
        <v>4799</v>
      </c>
      <c r="R4" s="4" t="s">
        <v>4816</v>
      </c>
      <c r="S4" s="4" t="s">
        <v>4817</v>
      </c>
      <c r="T4" s="4" t="s">
        <v>4818</v>
      </c>
      <c r="U4" s="4" t="s">
        <v>4803</v>
      </c>
      <c r="V4" s="4" t="s">
        <v>4804</v>
      </c>
      <c r="W4" s="4" t="s">
        <v>3761</v>
      </c>
      <c r="X4" s="4" t="s">
        <v>201</v>
      </c>
      <c r="Y4" s="4" t="s">
        <v>4307</v>
      </c>
      <c r="Z4" s="4" t="s">
        <v>4307</v>
      </c>
      <c r="AA4" s="4"/>
      <c r="AB4" s="4">
        <v>10116359</v>
      </c>
      <c r="AC4" s="4"/>
      <c r="AD4" s="4"/>
      <c r="AE4" s="4"/>
      <c r="AF4" s="4" t="s">
        <v>4814</v>
      </c>
      <c r="AG4" s="4"/>
      <c r="AH4" s="4"/>
      <c r="AI4" s="4"/>
    </row>
    <row r="5" ht="16" customHeight="1" s="4" customFormat="1">
      <c r="A5" s="4">
        <v>5</v>
      </c>
      <c r="B5" s="4">
        <v>1</v>
      </c>
      <c r="C5" s="4">
        <v>10116360</v>
      </c>
      <c r="D5" s="4" t="s">
        <v>1920</v>
      </c>
      <c r="E5" s="4" t="s">
        <v>4311</v>
      </c>
      <c r="F5" s="4" t="s">
        <v>4305</v>
      </c>
      <c r="G5" s="4" t="s">
        <v>4796</v>
      </c>
      <c r="H5" s="4" t="s">
        <v>4797</v>
      </c>
      <c r="I5" s="4"/>
      <c r="J5" s="4" t="s">
        <v>4307</v>
      </c>
      <c r="K5" s="4"/>
      <c r="L5" s="4" t="s">
        <v>4798</v>
      </c>
      <c r="M5" s="4" t="s">
        <v>4310</v>
      </c>
      <c r="N5" s="4" t="s">
        <v>3346</v>
      </c>
      <c r="O5" s="4"/>
      <c r="P5" s="4"/>
      <c r="Q5" s="4" t="s">
        <v>4799</v>
      </c>
      <c r="R5" s="4" t="s">
        <v>4800</v>
      </c>
      <c r="S5" s="4" t="s">
        <v>4801</v>
      </c>
      <c r="T5" s="4" t="s">
        <v>4802</v>
      </c>
      <c r="U5" s="4" t="s">
        <v>4803</v>
      </c>
      <c r="V5" s="4" t="s">
        <v>4804</v>
      </c>
      <c r="W5" s="4" t="s">
        <v>3761</v>
      </c>
      <c r="X5" s="4" t="s">
        <v>201</v>
      </c>
      <c r="Y5" s="4" t="s">
        <v>4307</v>
      </c>
      <c r="Z5" s="4" t="s">
        <v>4307</v>
      </c>
      <c r="AA5" s="4"/>
      <c r="AB5" s="4">
        <v>10116360</v>
      </c>
      <c r="AC5" s="4"/>
      <c r="AD5" s="4"/>
      <c r="AE5" s="4"/>
      <c r="AF5" s="4" t="s">
        <v>4805</v>
      </c>
      <c r="AG5" s="4"/>
      <c r="AH5" s="4"/>
      <c r="AI5" s="4"/>
    </row>
    <row r="6" ht="16" customHeight="1" s="4" customFormat="1">
      <c r="A6" s="4">
        <v>6</v>
      </c>
      <c r="B6" s="4">
        <v>1</v>
      </c>
      <c r="C6" s="4">
        <v>10116361</v>
      </c>
      <c r="D6" s="4" t="s">
        <v>1920</v>
      </c>
      <c r="E6" s="4" t="s">
        <v>4312</v>
      </c>
      <c r="F6" s="4" t="s">
        <v>4305</v>
      </c>
      <c r="G6" s="4" t="s">
        <v>4796</v>
      </c>
      <c r="H6" s="4" t="s">
        <v>4797</v>
      </c>
      <c r="I6" s="4"/>
      <c r="J6" s="4" t="s">
        <v>4307</v>
      </c>
      <c r="K6" s="4"/>
      <c r="L6" s="4" t="s">
        <v>4798</v>
      </c>
      <c r="M6" s="4" t="s">
        <v>4310</v>
      </c>
      <c r="N6" s="4" t="s">
        <v>3346</v>
      </c>
      <c r="O6" s="4"/>
      <c r="P6" s="4"/>
      <c r="Q6" s="4" t="s">
        <v>4799</v>
      </c>
      <c r="R6" s="4" t="s">
        <v>4800</v>
      </c>
      <c r="S6" s="4" t="s">
        <v>4801</v>
      </c>
      <c r="T6" s="4" t="s">
        <v>4802</v>
      </c>
      <c r="U6" s="4" t="s">
        <v>4803</v>
      </c>
      <c r="V6" s="4" t="s">
        <v>4804</v>
      </c>
      <c r="W6" s="4" t="s">
        <v>3761</v>
      </c>
      <c r="X6" s="4" t="s">
        <v>201</v>
      </c>
      <c r="Y6" s="4" t="s">
        <v>4307</v>
      </c>
      <c r="Z6" s="4" t="s">
        <v>4307</v>
      </c>
      <c r="AA6" s="4"/>
      <c r="AB6" s="4">
        <v>10116361</v>
      </c>
      <c r="AC6" s="4"/>
      <c r="AD6" s="4"/>
      <c r="AE6" s="4"/>
      <c r="AF6" s="4" t="s">
        <v>4805</v>
      </c>
      <c r="AG6" s="4"/>
      <c r="AH6" s="4"/>
      <c r="AI6" s="4"/>
    </row>
    <row r="7" ht="16" customHeight="1" s="4" customFormat="1">
      <c r="A7" s="4">
        <v>7</v>
      </c>
      <c r="B7" s="4">
        <v>1</v>
      </c>
      <c r="C7" s="4">
        <v>10116468</v>
      </c>
      <c r="D7" s="4" t="s">
        <v>1920</v>
      </c>
      <c r="E7" s="4" t="s">
        <v>4313</v>
      </c>
      <c r="F7" s="4" t="s">
        <v>4305</v>
      </c>
      <c r="G7" s="4" t="s">
        <v>4796</v>
      </c>
      <c r="H7" s="4" t="s">
        <v>4797</v>
      </c>
      <c r="I7" s="4"/>
      <c r="J7" s="4" t="s">
        <v>4307</v>
      </c>
      <c r="K7" s="4"/>
      <c r="L7" s="4" t="s">
        <v>4798</v>
      </c>
      <c r="M7" s="4" t="s">
        <v>4310</v>
      </c>
      <c r="N7" s="4" t="s">
        <v>3346</v>
      </c>
      <c r="O7" s="4"/>
      <c r="P7" s="4"/>
      <c r="Q7" s="4" t="s">
        <v>4799</v>
      </c>
      <c r="R7" s="4" t="s">
        <v>4800</v>
      </c>
      <c r="S7" s="4" t="s">
        <v>4801</v>
      </c>
      <c r="T7" s="4" t="s">
        <v>4802</v>
      </c>
      <c r="U7" s="4" t="s">
        <v>4803</v>
      </c>
      <c r="V7" s="4" t="s">
        <v>4804</v>
      </c>
      <c r="W7" s="4" t="s">
        <v>3761</v>
      </c>
      <c r="X7" s="4" t="s">
        <v>201</v>
      </c>
      <c r="Y7" s="4" t="s">
        <v>4307</v>
      </c>
      <c r="Z7" s="4" t="s">
        <v>4307</v>
      </c>
      <c r="AA7" s="4"/>
      <c r="AB7" s="4">
        <v>10116468</v>
      </c>
      <c r="AC7" s="4"/>
      <c r="AD7" s="4"/>
      <c r="AE7" s="4"/>
      <c r="AF7" s="4" t="s">
        <v>4805</v>
      </c>
      <c r="AG7" s="4"/>
      <c r="AH7" s="4"/>
      <c r="AI7" s="4"/>
    </row>
    <row r="8" ht="16" customHeight="1" s="4" customFormat="1">
      <c r="A8" s="4">
        <v>8</v>
      </c>
      <c r="B8" s="4">
        <v>1</v>
      </c>
      <c r="C8" s="4">
        <v>10116388</v>
      </c>
      <c r="D8" s="4" t="s">
        <v>1920</v>
      </c>
      <c r="E8" s="4" t="s">
        <v>4314</v>
      </c>
      <c r="F8" s="4" t="s">
        <v>4305</v>
      </c>
      <c r="G8" s="4" t="s">
        <v>4796</v>
      </c>
      <c r="H8" s="4" t="s">
        <v>4797</v>
      </c>
      <c r="I8" s="4"/>
      <c r="J8" s="4" t="s">
        <v>4307</v>
      </c>
      <c r="K8" s="4"/>
      <c r="L8" s="4" t="s">
        <v>4798</v>
      </c>
      <c r="M8" s="4" t="s">
        <v>4310</v>
      </c>
      <c r="N8" s="4" t="s">
        <v>3346</v>
      </c>
      <c r="O8" s="4"/>
      <c r="P8" s="4"/>
      <c r="Q8" s="4" t="s">
        <v>4799</v>
      </c>
      <c r="R8" s="4" t="s">
        <v>4800</v>
      </c>
      <c r="S8" s="4" t="s">
        <v>4801</v>
      </c>
      <c r="T8" s="4" t="s">
        <v>4802</v>
      </c>
      <c r="U8" s="4" t="s">
        <v>4803</v>
      </c>
      <c r="V8" s="4" t="s">
        <v>4804</v>
      </c>
      <c r="W8" s="4" t="s">
        <v>3761</v>
      </c>
      <c r="X8" s="4" t="s">
        <v>201</v>
      </c>
      <c r="Y8" s="4" t="s">
        <v>4307</v>
      </c>
      <c r="Z8" s="4" t="s">
        <v>4307</v>
      </c>
      <c r="AA8" s="4"/>
      <c r="AB8" s="4">
        <v>10116388</v>
      </c>
      <c r="AC8" s="4"/>
      <c r="AD8" s="4"/>
      <c r="AE8" s="4"/>
      <c r="AF8" s="4" t="s">
        <v>4805</v>
      </c>
      <c r="AG8" s="4"/>
      <c r="AH8" s="4"/>
      <c r="AI8" s="4"/>
    </row>
    <row r="9" ht="16" customHeight="1" s="4" customFormat="1">
      <c r="A9" s="4">
        <v>9</v>
      </c>
      <c r="B9" s="4">
        <v>1</v>
      </c>
      <c r="C9" s="4">
        <v>10116389</v>
      </c>
      <c r="D9" s="4" t="s">
        <v>1920</v>
      </c>
      <c r="E9" s="4" t="s">
        <v>4315</v>
      </c>
      <c r="F9" s="4" t="s">
        <v>4305</v>
      </c>
      <c r="G9" s="4" t="s">
        <v>4796</v>
      </c>
      <c r="H9" s="4" t="s">
        <v>4797</v>
      </c>
      <c r="I9" s="4"/>
      <c r="J9" s="4" t="s">
        <v>4307</v>
      </c>
      <c r="K9" s="4"/>
      <c r="L9" s="4" t="s">
        <v>4798</v>
      </c>
      <c r="M9" s="4" t="s">
        <v>4310</v>
      </c>
      <c r="N9" s="4" t="s">
        <v>3346</v>
      </c>
      <c r="O9" s="4"/>
      <c r="P9" s="4"/>
      <c r="Q9" s="4" t="s">
        <v>4799</v>
      </c>
      <c r="R9" s="4" t="s">
        <v>4800</v>
      </c>
      <c r="S9" s="4" t="s">
        <v>4801</v>
      </c>
      <c r="T9" s="4" t="s">
        <v>4802</v>
      </c>
      <c r="U9" s="4" t="s">
        <v>4803</v>
      </c>
      <c r="V9" s="4" t="s">
        <v>4804</v>
      </c>
      <c r="W9" s="4" t="s">
        <v>3761</v>
      </c>
      <c r="X9" s="4" t="s">
        <v>201</v>
      </c>
      <c r="Y9" s="4" t="s">
        <v>4307</v>
      </c>
      <c r="Z9" s="4" t="s">
        <v>4307</v>
      </c>
      <c r="AA9" s="4"/>
      <c r="AB9" s="4">
        <v>10116389</v>
      </c>
      <c r="AC9" s="4"/>
      <c r="AD9" s="4"/>
      <c r="AE9" s="4"/>
      <c r="AF9" s="4" t="s">
        <v>4805</v>
      </c>
      <c r="AG9" s="4"/>
      <c r="AH9" s="4"/>
      <c r="AI9" s="4"/>
    </row>
    <row r="10" ht="16" customHeight="1" s="4" customFormat="1">
      <c r="A10" s="4">
        <v>10</v>
      </c>
      <c r="B10" s="4">
        <v>1</v>
      </c>
      <c r="C10" s="4">
        <v>9414689</v>
      </c>
      <c r="D10" s="4" t="s">
        <v>1920</v>
      </c>
      <c r="E10" s="4" t="s">
        <v>4316</v>
      </c>
      <c r="F10" s="4" t="s">
        <v>4317</v>
      </c>
      <c r="G10" s="4" t="s">
        <v>4819</v>
      </c>
      <c r="H10" s="4" t="s">
        <v>4820</v>
      </c>
      <c r="I10" s="4"/>
      <c r="J10" s="4" t="s">
        <v>4301</v>
      </c>
      <c r="K10" s="4"/>
      <c r="L10" s="4" t="s">
        <v>4798</v>
      </c>
      <c r="M10" s="4" t="s">
        <v>4303</v>
      </c>
      <c r="N10" s="4" t="s">
        <v>3346</v>
      </c>
      <c r="O10" s="4"/>
      <c r="P10" s="4"/>
      <c r="Q10" s="4" t="s">
        <v>4821</v>
      </c>
      <c r="R10" s="4" t="s">
        <v>4822</v>
      </c>
      <c r="S10" s="4" t="s">
        <v>4823</v>
      </c>
      <c r="T10" s="4" t="s">
        <v>4824</v>
      </c>
      <c r="U10" s="4" t="s">
        <v>4825</v>
      </c>
      <c r="V10" s="4" t="s">
        <v>4826</v>
      </c>
      <c r="W10" s="4" t="s">
        <v>3752</v>
      </c>
      <c r="X10" s="4" t="s">
        <v>201</v>
      </c>
      <c r="Y10" s="4" t="s">
        <v>4521</v>
      </c>
      <c r="Z10" s="4" t="s">
        <v>4301</v>
      </c>
      <c r="AA10" s="4"/>
      <c r="AB10" s="4">
        <v>9.4146898737684875E+105</v>
      </c>
      <c r="AC10" s="4"/>
      <c r="AD10" s="4"/>
      <c r="AE10" s="4"/>
      <c r="AF10" s="4" t="s">
        <v>4827</v>
      </c>
      <c r="AG10" s="4"/>
      <c r="AH10" s="4"/>
      <c r="AI10" s="4"/>
    </row>
    <row r="11" ht="16" customHeight="1" s="4" customFormat="1">
      <c r="A11" s="4">
        <v>11</v>
      </c>
      <c r="B11" s="4">
        <v>1</v>
      </c>
      <c r="C11" s="4">
        <v>9947698</v>
      </c>
      <c r="D11" s="4" t="s">
        <v>1920</v>
      </c>
      <c r="E11" s="4" t="s">
        <v>4295</v>
      </c>
      <c r="F11" s="4" t="s">
        <v>4296</v>
      </c>
      <c r="G11" s="4" t="s">
        <v>4828</v>
      </c>
      <c r="H11" s="4" t="s">
        <v>4829</v>
      </c>
      <c r="I11" s="4"/>
      <c r="J11" s="4" t="s">
        <v>3690</v>
      </c>
      <c r="K11" s="4"/>
      <c r="L11" s="4" t="s">
        <v>4798</v>
      </c>
      <c r="M11" s="4" t="s">
        <v>4297</v>
      </c>
      <c r="N11" s="4" t="s">
        <v>3346</v>
      </c>
      <c r="O11" s="4"/>
      <c r="P11" s="4"/>
      <c r="Q11" s="4" t="s">
        <v>4830</v>
      </c>
      <c r="R11" s="4" t="s">
        <v>4831</v>
      </c>
      <c r="S11" s="4" t="s">
        <v>4832</v>
      </c>
      <c r="T11" s="4" t="s">
        <v>4833</v>
      </c>
      <c r="U11" s="4" t="s">
        <v>4834</v>
      </c>
      <c r="V11" s="4" t="s">
        <v>4835</v>
      </c>
      <c r="W11" s="4" t="s">
        <v>3752</v>
      </c>
      <c r="X11" s="4" t="s">
        <v>201</v>
      </c>
      <c r="Y11" s="4" t="s">
        <v>4399</v>
      </c>
      <c r="Z11" s="4" t="s">
        <v>3690</v>
      </c>
      <c r="AA11" s="4"/>
      <c r="AB11" s="4">
        <v>9.94769898685331E+21</v>
      </c>
      <c r="AC11" s="4"/>
      <c r="AD11" s="4"/>
      <c r="AE11" s="4"/>
      <c r="AF11" s="4" t="s">
        <v>4814</v>
      </c>
      <c r="AG11" s="4"/>
      <c r="AH11" s="4"/>
      <c r="AI11" s="4"/>
    </row>
    <row r="12" ht="16" customHeight="1" s="4" customFormat="1">
      <c r="A12" s="4">
        <v>12</v>
      </c>
      <c r="B12" s="4">
        <v>1</v>
      </c>
      <c r="C12" s="4">
        <v>9414690</v>
      </c>
      <c r="D12" s="4" t="s">
        <v>1920</v>
      </c>
      <c r="E12" s="4" t="s">
        <v>4318</v>
      </c>
      <c r="F12" s="4" t="s">
        <v>4317</v>
      </c>
      <c r="G12" s="4" t="s">
        <v>4819</v>
      </c>
      <c r="H12" s="4" t="s">
        <v>4820</v>
      </c>
      <c r="I12" s="4"/>
      <c r="J12" s="4" t="s">
        <v>4301</v>
      </c>
      <c r="K12" s="4"/>
      <c r="L12" s="4" t="s">
        <v>4798</v>
      </c>
      <c r="M12" s="4" t="s">
        <v>4303</v>
      </c>
      <c r="N12" s="4" t="s">
        <v>3346</v>
      </c>
      <c r="O12" s="4"/>
      <c r="P12" s="4"/>
      <c r="Q12" s="4" t="s">
        <v>4821</v>
      </c>
      <c r="R12" s="4" t="s">
        <v>4822</v>
      </c>
      <c r="S12" s="4" t="s">
        <v>4823</v>
      </c>
      <c r="T12" s="4" t="s">
        <v>4824</v>
      </c>
      <c r="U12" s="4" t="s">
        <v>4825</v>
      </c>
      <c r="V12" s="4" t="s">
        <v>4826</v>
      </c>
      <c r="W12" s="4" t="s">
        <v>3752</v>
      </c>
      <c r="X12" s="4" t="s">
        <v>201</v>
      </c>
      <c r="Y12" s="4" t="s">
        <v>4521</v>
      </c>
      <c r="Z12" s="4" t="s">
        <v>4301</v>
      </c>
      <c r="AA12" s="4"/>
      <c r="AB12" s="4">
        <v>9.4146908737685883E+105</v>
      </c>
      <c r="AC12" s="4"/>
      <c r="AD12" s="4"/>
      <c r="AE12" s="4"/>
      <c r="AF12" s="4" t="s">
        <v>4827</v>
      </c>
      <c r="AG12" s="4"/>
      <c r="AH12" s="4"/>
      <c r="AI12" s="4"/>
    </row>
    <row r="13" ht="16" customHeight="1" s="4" customFormat="1">
      <c r="A13" s="4">
        <v>13</v>
      </c>
      <c r="B13" s="4">
        <v>1</v>
      </c>
      <c r="C13" s="4">
        <v>9947668</v>
      </c>
      <c r="D13" s="4" t="s">
        <v>1920</v>
      </c>
      <c r="E13" s="4" t="s">
        <v>4321</v>
      </c>
      <c r="F13" s="4" t="s">
        <v>4320</v>
      </c>
      <c r="G13" s="4" t="s">
        <v>4828</v>
      </c>
      <c r="H13" s="4" t="s">
        <v>4820</v>
      </c>
      <c r="I13" s="4"/>
      <c r="J13" s="4" t="s">
        <v>3690</v>
      </c>
      <c r="K13" s="4"/>
      <c r="L13" s="4" t="s">
        <v>4798</v>
      </c>
      <c r="M13" s="4" t="s">
        <v>4297</v>
      </c>
      <c r="N13" s="4" t="s">
        <v>3346</v>
      </c>
      <c r="O13" s="4"/>
      <c r="P13" s="4"/>
      <c r="Q13" s="4" t="s">
        <v>4830</v>
      </c>
      <c r="R13" s="4" t="s">
        <v>4822</v>
      </c>
      <c r="S13" s="4" t="s">
        <v>4823</v>
      </c>
      <c r="T13" s="4" t="s">
        <v>4824</v>
      </c>
      <c r="U13" s="4" t="s">
        <v>4834</v>
      </c>
      <c r="V13" s="4" t="s">
        <v>4835</v>
      </c>
      <c r="W13" s="4" t="s">
        <v>3752</v>
      </c>
      <c r="X13" s="4" t="s">
        <v>201</v>
      </c>
      <c r="Y13" s="4" t="s">
        <v>4399</v>
      </c>
      <c r="Z13" s="4" t="s">
        <v>3690</v>
      </c>
      <c r="AA13" s="4"/>
      <c r="AB13" s="4">
        <v>9.94766898685311E+21</v>
      </c>
      <c r="AC13" s="4"/>
      <c r="AD13" s="4"/>
      <c r="AE13" s="4"/>
      <c r="AF13" s="4" t="s">
        <v>4827</v>
      </c>
      <c r="AG13" s="4"/>
      <c r="AH13" s="4"/>
      <c r="AI13" s="4"/>
    </row>
    <row r="14" ht="16" customHeight="1" s="4" customFormat="1">
      <c r="A14" s="4">
        <v>14</v>
      </c>
      <c r="B14" s="4">
        <v>1</v>
      </c>
      <c r="C14" s="4">
        <v>9947667</v>
      </c>
      <c r="D14" s="4" t="s">
        <v>1920</v>
      </c>
      <c r="E14" s="4" t="s">
        <v>4319</v>
      </c>
      <c r="F14" s="4" t="s">
        <v>4320</v>
      </c>
      <c r="G14" s="4" t="s">
        <v>4828</v>
      </c>
      <c r="H14" s="4" t="s">
        <v>4820</v>
      </c>
      <c r="I14" s="4"/>
      <c r="J14" s="4" t="s">
        <v>3690</v>
      </c>
      <c r="K14" s="4"/>
      <c r="L14" s="4" t="s">
        <v>4798</v>
      </c>
      <c r="M14" s="4" t="s">
        <v>4297</v>
      </c>
      <c r="N14" s="4" t="s">
        <v>3346</v>
      </c>
      <c r="O14" s="4"/>
      <c r="P14" s="4"/>
      <c r="Q14" s="4" t="s">
        <v>4830</v>
      </c>
      <c r="R14" s="4" t="s">
        <v>4822</v>
      </c>
      <c r="S14" s="4" t="s">
        <v>4823</v>
      </c>
      <c r="T14" s="4" t="s">
        <v>4824</v>
      </c>
      <c r="U14" s="4" t="s">
        <v>4834</v>
      </c>
      <c r="V14" s="4" t="s">
        <v>4835</v>
      </c>
      <c r="W14" s="4" t="s">
        <v>3752</v>
      </c>
      <c r="X14" s="4" t="s">
        <v>201</v>
      </c>
      <c r="Y14" s="4" t="s">
        <v>4399</v>
      </c>
      <c r="Z14" s="4" t="s">
        <v>3690</v>
      </c>
      <c r="AA14" s="4"/>
      <c r="AB14" s="4">
        <v>9.94766798685301E+21</v>
      </c>
      <c r="AC14" s="4"/>
      <c r="AD14" s="4"/>
      <c r="AE14" s="4"/>
      <c r="AF14" s="4" t="s">
        <v>4827</v>
      </c>
      <c r="AG14" s="4"/>
      <c r="AH14" s="4"/>
      <c r="AI14" s="4"/>
    </row>
    <row r="15" ht="16" customHeight="1" s="4" customFormat="1">
      <c r="A15" s="4">
        <v>15</v>
      </c>
      <c r="B15" s="4">
        <v>1</v>
      </c>
      <c r="C15" s="4">
        <v>8337445</v>
      </c>
      <c r="D15" s="4" t="s">
        <v>1915</v>
      </c>
      <c r="E15" s="4" t="s">
        <v>3755</v>
      </c>
      <c r="F15" s="4" t="s">
        <v>10</v>
      </c>
      <c r="G15" s="4" t="s">
        <v>4836</v>
      </c>
      <c r="H15" s="4"/>
      <c r="I15" s="4"/>
      <c r="J15" s="4" t="s">
        <v>3389</v>
      </c>
      <c r="K15" s="4"/>
      <c r="L15" s="4" t="s">
        <v>4798</v>
      </c>
      <c r="M15" s="4" t="s">
        <v>3754</v>
      </c>
      <c r="N15" s="4" t="s">
        <v>3346</v>
      </c>
      <c r="O15" s="4"/>
      <c r="P15" s="4"/>
      <c r="Q15" s="4" t="s">
        <v>4837</v>
      </c>
      <c r="R15" s="4"/>
      <c r="S15" s="4"/>
      <c r="T15" s="4"/>
      <c r="U15" s="4" t="s">
        <v>4838</v>
      </c>
      <c r="V15" s="4" t="s">
        <v>4839</v>
      </c>
      <c r="W15" s="4" t="s">
        <v>3752</v>
      </c>
      <c r="X15" s="4"/>
      <c r="Y15" s="4" t="s">
        <v>3384</v>
      </c>
      <c r="Z15" s="4" t="s">
        <v>3389</v>
      </c>
      <c r="AA15" s="4"/>
      <c r="AB15" s="4">
        <v>8.3374458127101814E+20</v>
      </c>
      <c r="AC15" s="4"/>
      <c r="AD15" s="4"/>
      <c r="AE15" s="4"/>
      <c r="AF15" s="4" t="s">
        <v>4840</v>
      </c>
      <c r="AG15" s="4"/>
      <c r="AH15" s="4"/>
      <c r="AI15" s="4"/>
    </row>
    <row r="16" ht="16" customHeight="1" s="4" customFormat="1">
      <c r="A16" s="4">
        <v>16</v>
      </c>
      <c r="B16" s="4">
        <v>1</v>
      </c>
      <c r="C16" s="4">
        <v>7838786</v>
      </c>
      <c r="D16" s="4" t="s">
        <v>1915</v>
      </c>
      <c r="E16" s="4" t="s">
        <v>3759</v>
      </c>
      <c r="F16" s="4" t="s">
        <v>3760</v>
      </c>
      <c r="G16" s="4" t="s">
        <v>4836</v>
      </c>
      <c r="H16" s="4" t="s">
        <v>4841</v>
      </c>
      <c r="I16" s="4"/>
      <c r="J16" s="4" t="s">
        <v>3374</v>
      </c>
      <c r="K16" s="4"/>
      <c r="L16" s="4" t="s">
        <v>4842</v>
      </c>
      <c r="M16" s="4" t="s">
        <v>3758</v>
      </c>
      <c r="N16" s="4" t="s">
        <v>3346</v>
      </c>
      <c r="O16" s="4"/>
      <c r="P16" s="4"/>
      <c r="Q16" s="4" t="s">
        <v>4837</v>
      </c>
      <c r="R16" s="4" t="s">
        <v>4843</v>
      </c>
      <c r="S16" s="4" t="s">
        <v>4844</v>
      </c>
      <c r="T16" s="4" t="s">
        <v>4845</v>
      </c>
      <c r="U16" s="4" t="s">
        <v>4838</v>
      </c>
      <c r="V16" s="4" t="s">
        <v>4839</v>
      </c>
      <c r="W16" s="4" t="s">
        <v>3752</v>
      </c>
      <c r="X16" s="4" t="s">
        <v>201</v>
      </c>
      <c r="Y16" s="4" t="s">
        <v>3376</v>
      </c>
      <c r="Z16" s="4" t="s">
        <v>3374</v>
      </c>
      <c r="AA16" s="4"/>
      <c r="AB16" s="4">
        <v>7.8387867663899785E+34</v>
      </c>
      <c r="AC16" s="4"/>
      <c r="AD16" s="4"/>
      <c r="AE16" s="4"/>
      <c r="AF16" s="4" t="s">
        <v>4840</v>
      </c>
      <c r="AG16" s="4"/>
      <c r="AH16" s="4"/>
      <c r="AI16" s="4"/>
    </row>
    <row r="17" ht="16" customHeight="1" s="4" customFormat="1">
      <c r="A17" s="4">
        <v>17</v>
      </c>
      <c r="B17" s="4">
        <v>1</v>
      </c>
      <c r="C17" s="4">
        <v>4935420</v>
      </c>
      <c r="D17" s="4" t="s">
        <v>1915</v>
      </c>
      <c r="E17" s="4" t="s">
        <v>4291</v>
      </c>
      <c r="F17" s="4" t="s">
        <v>4293</v>
      </c>
      <c r="G17" s="4" t="s">
        <v>4846</v>
      </c>
      <c r="H17" s="4" t="s">
        <v>10</v>
      </c>
      <c r="I17" s="4" t="s">
        <v>4292</v>
      </c>
      <c r="J17" s="4" t="s">
        <v>4007</v>
      </c>
      <c r="K17" s="4"/>
      <c r="L17" s="4"/>
      <c r="M17" s="4" t="s">
        <v>4294</v>
      </c>
      <c r="N17" s="4" t="s">
        <v>3346</v>
      </c>
      <c r="O17" s="4"/>
      <c r="P17" s="4"/>
      <c r="Q17" s="4" t="s">
        <v>4847</v>
      </c>
      <c r="R17" s="4" t="s">
        <v>4848</v>
      </c>
      <c r="S17" s="4" t="s">
        <v>4849</v>
      </c>
      <c r="T17" s="4" t="s">
        <v>4850</v>
      </c>
      <c r="U17" s="4" t="s">
        <v>4851</v>
      </c>
      <c r="V17" s="4" t="s">
        <v>4852</v>
      </c>
      <c r="W17" s="4" t="s">
        <v>3761</v>
      </c>
      <c r="X17" s="4" t="s">
        <v>201</v>
      </c>
      <c r="Y17" s="4" t="s">
        <v>3996</v>
      </c>
      <c r="Z17" s="4" t="s">
        <v>4007</v>
      </c>
      <c r="AA17" s="4"/>
      <c r="AB17" s="4">
        <v>4.9354205670865794E+30</v>
      </c>
      <c r="AC17" s="4"/>
      <c r="AD17" s="4"/>
      <c r="AE17" s="4"/>
      <c r="AF17" s="4" t="s">
        <v>4814</v>
      </c>
      <c r="AG17" s="4"/>
      <c r="AH17" s="4"/>
      <c r="AI17" s="4"/>
    </row>
    <row r="18" ht="16" customHeight="1" s="4" customFormat="1">
      <c r="A18" s="4">
        <v>18</v>
      </c>
      <c r="B18" s="4">
        <v>1</v>
      </c>
      <c r="C18" s="4">
        <v>8337444</v>
      </c>
      <c r="D18" s="4" t="s">
        <v>1915</v>
      </c>
      <c r="E18" s="4" t="s">
        <v>3753</v>
      </c>
      <c r="F18" s="4" t="s">
        <v>10</v>
      </c>
      <c r="G18" s="4" t="s">
        <v>4836</v>
      </c>
      <c r="H18" s="4"/>
      <c r="I18" s="4"/>
      <c r="J18" s="4" t="s">
        <v>3389</v>
      </c>
      <c r="K18" s="4"/>
      <c r="L18" s="4" t="s">
        <v>4798</v>
      </c>
      <c r="M18" s="4" t="s">
        <v>3754</v>
      </c>
      <c r="N18" s="4" t="s">
        <v>3346</v>
      </c>
      <c r="O18" s="4"/>
      <c r="P18" s="4"/>
      <c r="Q18" s="4" t="s">
        <v>4837</v>
      </c>
      <c r="R18" s="4"/>
      <c r="S18" s="4"/>
      <c r="T18" s="4"/>
      <c r="U18" s="4" t="s">
        <v>4838</v>
      </c>
      <c r="V18" s="4" t="s">
        <v>4839</v>
      </c>
      <c r="W18" s="4" t="s">
        <v>3752</v>
      </c>
      <c r="X18" s="4"/>
      <c r="Y18" s="4" t="s">
        <v>3384</v>
      </c>
      <c r="Z18" s="4" t="s">
        <v>3389</v>
      </c>
      <c r="AA18" s="4"/>
      <c r="AB18" s="4">
        <v>8.337444812710082E+20</v>
      </c>
      <c r="AC18" s="4"/>
      <c r="AD18" s="4"/>
      <c r="AE18" s="4"/>
      <c r="AF18" s="4" t="s">
        <v>4840</v>
      </c>
      <c r="AG18" s="4"/>
      <c r="AH18" s="4"/>
      <c r="AI18" s="4"/>
    </row>
    <row r="19" ht="16" customHeight="1" s="4" customFormat="1">
      <c r="A19" s="4">
        <v>19</v>
      </c>
      <c r="B19" s="4">
        <v>1</v>
      </c>
      <c r="C19" s="4">
        <v>7838784</v>
      </c>
      <c r="D19" s="4" t="s">
        <v>1915</v>
      </c>
      <c r="E19" s="4" t="s">
        <v>3756</v>
      </c>
      <c r="F19" s="4" t="s">
        <v>3757</v>
      </c>
      <c r="G19" s="4" t="s">
        <v>4836</v>
      </c>
      <c r="H19" s="4" t="s">
        <v>4853</v>
      </c>
      <c r="I19" s="4"/>
      <c r="J19" s="4" t="s">
        <v>3374</v>
      </c>
      <c r="K19" s="4"/>
      <c r="L19" s="4" t="s">
        <v>4842</v>
      </c>
      <c r="M19" s="4" t="s">
        <v>3758</v>
      </c>
      <c r="N19" s="4" t="s">
        <v>3346</v>
      </c>
      <c r="O19" s="4"/>
      <c r="P19" s="4"/>
      <c r="Q19" s="4" t="s">
        <v>4837</v>
      </c>
      <c r="R19" s="4" t="s">
        <v>4843</v>
      </c>
      <c r="S19" s="4" t="s">
        <v>4844</v>
      </c>
      <c r="T19" s="4" t="s">
        <v>4845</v>
      </c>
      <c r="U19" s="4" t="s">
        <v>4838</v>
      </c>
      <c r="V19" s="4" t="s">
        <v>4839</v>
      </c>
      <c r="W19" s="4" t="s">
        <v>3752</v>
      </c>
      <c r="X19" s="4" t="s">
        <v>201</v>
      </c>
      <c r="Y19" s="4" t="s">
        <v>3376</v>
      </c>
      <c r="Z19" s="4" t="s">
        <v>3374</v>
      </c>
      <c r="AA19" s="4"/>
      <c r="AB19" s="4">
        <v>7.8387847663898779E+34</v>
      </c>
      <c r="AC19" s="4"/>
      <c r="AD19" s="4"/>
      <c r="AE19" s="4"/>
      <c r="AF19" s="4" t="s">
        <v>4840</v>
      </c>
      <c r="AG19" s="4"/>
      <c r="AH19" s="4"/>
      <c r="AI19" s="4"/>
    </row>
    <row r="20" ht="16" customHeight="1" s="4" customFormat="1">
      <c r="A20" s="4">
        <v>30</v>
      </c>
      <c r="B20" s="4">
        <v>1</v>
      </c>
      <c r="C20" s="4">
        <v>14388447</v>
      </c>
      <c r="D20" s="4" t="s">
        <v>1915</v>
      </c>
      <c r="E20" s="4" t="s">
        <v>4484</v>
      </c>
      <c r="F20" s="4" t="s">
        <v>4485</v>
      </c>
      <c r="G20" s="4" t="s">
        <v>4854</v>
      </c>
      <c r="H20" s="4" t="s">
        <v>4855</v>
      </c>
      <c r="I20" s="4"/>
      <c r="J20" s="4" t="s">
        <v>4487</v>
      </c>
      <c r="K20" s="4"/>
      <c r="L20" s="4" t="s">
        <v>4842</v>
      </c>
      <c r="M20" s="4" t="s">
        <v>4486</v>
      </c>
      <c r="N20" s="4" t="s">
        <v>3346</v>
      </c>
      <c r="O20" s="4"/>
      <c r="P20" s="4" t="s">
        <v>4856</v>
      </c>
      <c r="Q20" s="4" t="s">
        <v>4857</v>
      </c>
      <c r="R20" s="4" t="s">
        <v>4858</v>
      </c>
      <c r="S20" s="4" t="s">
        <v>4859</v>
      </c>
      <c r="T20" s="4" t="s">
        <v>4860</v>
      </c>
      <c r="U20" s="4" t="s">
        <v>4861</v>
      </c>
      <c r="V20" s="4" t="s">
        <v>4862</v>
      </c>
      <c r="W20" s="4" t="s">
        <v>3819</v>
      </c>
      <c r="X20" s="4"/>
      <c r="Y20" s="4" t="s">
        <v>4491</v>
      </c>
      <c r="Z20" s="4" t="s">
        <v>4487</v>
      </c>
      <c r="AA20" s="4" t="s">
        <v>4863</v>
      </c>
      <c r="AB20" s="4">
        <v>1422874714388447</v>
      </c>
      <c r="AC20" s="4"/>
      <c r="AD20" s="4"/>
      <c r="AE20" s="4"/>
      <c r="AF20" s="4" t="s">
        <v>4864</v>
      </c>
      <c r="AG20" s="4"/>
      <c r="AH20" s="4"/>
      <c r="AI20" s="4"/>
    </row>
    <row r="21" ht="16" customHeight="1" s="4" customFormat="1">
      <c r="A21" s="4">
        <v>32</v>
      </c>
      <c r="B21" s="4">
        <v>1</v>
      </c>
      <c r="C21" s="4">
        <v>14221260</v>
      </c>
      <c r="D21" s="4" t="s">
        <v>1915</v>
      </c>
      <c r="E21" s="4" t="s">
        <v>4522</v>
      </c>
      <c r="F21" s="4" t="s">
        <v>4455</v>
      </c>
      <c r="G21" s="4" t="s">
        <v>4865</v>
      </c>
      <c r="H21" s="4" t="s">
        <v>4866</v>
      </c>
      <c r="I21" s="4"/>
      <c r="J21" s="4" t="s">
        <v>4442</v>
      </c>
      <c r="K21" s="4"/>
      <c r="L21" s="4" t="s">
        <v>4842</v>
      </c>
      <c r="M21" s="4" t="s">
        <v>4441</v>
      </c>
      <c r="N21" s="4" t="s">
        <v>3346</v>
      </c>
      <c r="O21" s="4"/>
      <c r="P21" s="4" t="s">
        <v>4867</v>
      </c>
      <c r="Q21" s="4" t="s">
        <v>4868</v>
      </c>
      <c r="R21" s="4" t="s">
        <v>4869</v>
      </c>
      <c r="S21" s="4" t="s">
        <v>4870</v>
      </c>
      <c r="T21" s="4" t="s">
        <v>4871</v>
      </c>
      <c r="U21" s="4" t="s">
        <v>4868</v>
      </c>
      <c r="V21" s="4" t="s">
        <v>4868</v>
      </c>
      <c r="W21" s="4" t="s">
        <v>3819</v>
      </c>
      <c r="X21" s="4" t="s">
        <v>201</v>
      </c>
      <c r="Y21" s="4" t="s">
        <v>4442</v>
      </c>
      <c r="Z21" s="4" t="s">
        <v>4220</v>
      </c>
      <c r="AA21" s="4" t="s">
        <v>4465</v>
      </c>
      <c r="AB21" s="4">
        <v>1422126014291553</v>
      </c>
      <c r="AC21" s="4"/>
      <c r="AD21" s="4"/>
      <c r="AE21" s="4"/>
      <c r="AF21" s="4" t="s">
        <v>4864</v>
      </c>
      <c r="AG21" s="4"/>
      <c r="AH21" s="4"/>
      <c r="AI21" s="4"/>
    </row>
    <row r="22" ht="16" customHeight="1" s="4" customFormat="1">
      <c r="A22" s="4">
        <v>34</v>
      </c>
      <c r="B22" s="4">
        <v>1</v>
      </c>
      <c r="C22" s="4">
        <v>14201207</v>
      </c>
      <c r="D22" s="4" t="s">
        <v>1915</v>
      </c>
      <c r="E22" s="4" t="s">
        <v>4524</v>
      </c>
      <c r="F22" s="4" t="s">
        <v>4455</v>
      </c>
      <c r="G22" s="4" t="s">
        <v>4865</v>
      </c>
      <c r="H22" s="4" t="s">
        <v>4872</v>
      </c>
      <c r="I22" s="4"/>
      <c r="J22" s="4" t="s">
        <v>4475</v>
      </c>
      <c r="K22" s="4"/>
      <c r="L22" s="4" t="s">
        <v>4842</v>
      </c>
      <c r="M22" s="4" t="s">
        <v>4474</v>
      </c>
      <c r="N22" s="4" t="s">
        <v>3346</v>
      </c>
      <c r="O22" s="4"/>
      <c r="P22" s="4" t="s">
        <v>4873</v>
      </c>
      <c r="Q22" s="4" t="s">
        <v>4868</v>
      </c>
      <c r="R22" s="4" t="s">
        <v>4874</v>
      </c>
      <c r="S22" s="4" t="s">
        <v>4875</v>
      </c>
      <c r="T22" s="4" t="s">
        <v>4876</v>
      </c>
      <c r="U22" s="4" t="s">
        <v>4868</v>
      </c>
      <c r="V22" s="4" t="s">
        <v>4868</v>
      </c>
      <c r="W22" s="4" t="s">
        <v>3819</v>
      </c>
      <c r="X22" s="4"/>
      <c r="Y22" s="4" t="s">
        <v>3634</v>
      </c>
      <c r="Z22" s="4" t="s">
        <v>4453</v>
      </c>
      <c r="AA22" s="4" t="s">
        <v>4442</v>
      </c>
      <c r="AB22" s="4">
        <v>1.2612367126202642E+47</v>
      </c>
      <c r="AC22" s="4"/>
      <c r="AD22" s="4"/>
      <c r="AE22" s="4"/>
      <c r="AF22" s="4" t="s">
        <v>4864</v>
      </c>
      <c r="AG22" s="4"/>
      <c r="AH22" s="4"/>
      <c r="AI22" s="4"/>
    </row>
    <row r="23" ht="16" customHeight="1" s="4" customFormat="1">
      <c r="A23" s="4">
        <v>40</v>
      </c>
      <c r="B23" s="4">
        <v>1</v>
      </c>
      <c r="C23" s="4">
        <v>14221263</v>
      </c>
      <c r="D23" s="4" t="s">
        <v>1915</v>
      </c>
      <c r="E23" s="4" t="s">
        <v>4527</v>
      </c>
      <c r="F23" s="4" t="s">
        <v>4455</v>
      </c>
      <c r="G23" s="4" t="s">
        <v>4865</v>
      </c>
      <c r="H23" s="4" t="s">
        <v>4866</v>
      </c>
      <c r="I23" s="4"/>
      <c r="J23" s="4" t="s">
        <v>4442</v>
      </c>
      <c r="K23" s="4"/>
      <c r="L23" s="4" t="s">
        <v>4842</v>
      </c>
      <c r="M23" s="4" t="s">
        <v>4441</v>
      </c>
      <c r="N23" s="4" t="s">
        <v>3346</v>
      </c>
      <c r="O23" s="4"/>
      <c r="P23" s="4" t="s">
        <v>4877</v>
      </c>
      <c r="Q23" s="4" t="s">
        <v>4868</v>
      </c>
      <c r="R23" s="4" t="s">
        <v>4869</v>
      </c>
      <c r="S23" s="4" t="s">
        <v>4870</v>
      </c>
      <c r="T23" s="4" t="s">
        <v>4871</v>
      </c>
      <c r="U23" s="4" t="s">
        <v>4868</v>
      </c>
      <c r="V23" s="4" t="s">
        <v>4868</v>
      </c>
      <c r="W23" s="4" t="s">
        <v>3819</v>
      </c>
      <c r="X23" s="4" t="s">
        <v>201</v>
      </c>
      <c r="Y23" s="4" t="s">
        <v>4442</v>
      </c>
      <c r="Z23" s="4" t="s">
        <v>4220</v>
      </c>
      <c r="AA23" s="4" t="s">
        <v>4465</v>
      </c>
      <c r="AB23" s="4">
        <v>1422126314291556</v>
      </c>
      <c r="AC23" s="4"/>
      <c r="AD23" s="4"/>
      <c r="AE23" s="4"/>
      <c r="AF23" s="4" t="s">
        <v>4864</v>
      </c>
      <c r="AG23" s="4"/>
      <c r="AH23" s="4"/>
      <c r="AI23" s="4"/>
    </row>
    <row r="24" ht="16" customHeight="1" s="4" customFormat="1">
      <c r="A24" s="4">
        <v>42</v>
      </c>
      <c r="B24" s="4">
        <v>1</v>
      </c>
      <c r="C24" s="4">
        <v>12620267</v>
      </c>
      <c r="D24" s="4" t="s">
        <v>1915</v>
      </c>
      <c r="E24" s="4" t="s">
        <v>4529</v>
      </c>
      <c r="F24" s="4" t="s">
        <v>4455</v>
      </c>
      <c r="G24" s="4" t="s">
        <v>4865</v>
      </c>
      <c r="H24" s="4" t="s">
        <v>4872</v>
      </c>
      <c r="I24" s="4"/>
      <c r="J24" s="4" t="s">
        <v>4473</v>
      </c>
      <c r="K24" s="4"/>
      <c r="L24" s="4" t="s">
        <v>4842</v>
      </c>
      <c r="M24" s="4" t="s">
        <v>4472</v>
      </c>
      <c r="N24" s="4" t="s">
        <v>3346</v>
      </c>
      <c r="O24" s="4"/>
      <c r="P24" s="4" t="s">
        <v>4878</v>
      </c>
      <c r="Q24" s="4" t="s">
        <v>4868</v>
      </c>
      <c r="R24" s="4" t="s">
        <v>4874</v>
      </c>
      <c r="S24" s="4" t="s">
        <v>4875</v>
      </c>
      <c r="T24" s="4" t="s">
        <v>4876</v>
      </c>
      <c r="U24" s="4" t="s">
        <v>4868</v>
      </c>
      <c r="V24" s="4" t="s">
        <v>4868</v>
      </c>
      <c r="W24" s="4" t="s">
        <v>3819</v>
      </c>
      <c r="X24" s="4"/>
      <c r="Y24" s="4" t="s">
        <v>4449</v>
      </c>
      <c r="Z24" s="4" t="s">
        <v>4461</v>
      </c>
      <c r="AA24" s="4" t="s">
        <v>3471</v>
      </c>
      <c r="AB24" s="4">
        <v>1.2612674126202671E+31</v>
      </c>
      <c r="AC24" s="4"/>
      <c r="AD24" s="4"/>
      <c r="AE24" s="4"/>
      <c r="AF24" s="4" t="s">
        <v>4864</v>
      </c>
      <c r="AG24" s="4"/>
      <c r="AH24" s="4"/>
      <c r="AI24" s="4"/>
    </row>
    <row r="25" ht="16" customHeight="1" s="4" customFormat="1">
      <c r="A25" s="4">
        <v>46</v>
      </c>
      <c r="B25" s="4">
        <v>1</v>
      </c>
      <c r="C25" s="4">
        <v>14221261</v>
      </c>
      <c r="D25" s="4" t="s">
        <v>1915</v>
      </c>
      <c r="E25" s="4" t="s">
        <v>4532</v>
      </c>
      <c r="F25" s="4" t="s">
        <v>4533</v>
      </c>
      <c r="G25" s="4" t="s">
        <v>4879</v>
      </c>
      <c r="H25" s="4" t="s">
        <v>4866</v>
      </c>
      <c r="I25" s="4"/>
      <c r="J25" s="4" t="s">
        <v>4442</v>
      </c>
      <c r="K25" s="4"/>
      <c r="L25" s="4" t="s">
        <v>4842</v>
      </c>
      <c r="M25" s="4" t="s">
        <v>4441</v>
      </c>
      <c r="N25" s="4" t="s">
        <v>3346</v>
      </c>
      <c r="O25" s="4"/>
      <c r="P25" s="4" t="s">
        <v>4877</v>
      </c>
      <c r="Q25" s="4" t="s">
        <v>4868</v>
      </c>
      <c r="R25" s="4" t="s">
        <v>4869</v>
      </c>
      <c r="S25" s="4" t="s">
        <v>4870</v>
      </c>
      <c r="T25" s="4" t="s">
        <v>4871</v>
      </c>
      <c r="U25" s="4" t="s">
        <v>4868</v>
      </c>
      <c r="V25" s="4" t="s">
        <v>4868</v>
      </c>
      <c r="W25" s="4" t="s">
        <v>3819</v>
      </c>
      <c r="X25" s="4" t="s">
        <v>201</v>
      </c>
      <c r="Y25" s="4" t="s">
        <v>4442</v>
      </c>
      <c r="Z25" s="4" t="s">
        <v>4220</v>
      </c>
      <c r="AA25" s="4" t="s">
        <v>4465</v>
      </c>
      <c r="AB25" s="4">
        <v>1422126114291554</v>
      </c>
      <c r="AC25" s="4"/>
      <c r="AD25" s="4"/>
      <c r="AE25" s="4"/>
      <c r="AF25" s="4" t="s">
        <v>4864</v>
      </c>
      <c r="AG25" s="4"/>
      <c r="AH25" s="4"/>
      <c r="AI25" s="4"/>
    </row>
    <row r="26" ht="16" customHeight="1" s="4" customFormat="1">
      <c r="A26" s="4">
        <v>48</v>
      </c>
      <c r="B26" s="4">
        <v>1</v>
      </c>
      <c r="C26" s="4">
        <v>12782304</v>
      </c>
      <c r="D26" s="4" t="s">
        <v>1915</v>
      </c>
      <c r="E26" s="4" t="s">
        <v>4536</v>
      </c>
      <c r="F26" s="4" t="s">
        <v>4533</v>
      </c>
      <c r="G26" s="4" t="s">
        <v>4879</v>
      </c>
      <c r="H26" s="4" t="s">
        <v>4872</v>
      </c>
      <c r="I26" s="4"/>
      <c r="J26" s="4" t="s">
        <v>4538</v>
      </c>
      <c r="K26" s="4"/>
      <c r="L26" s="4" t="s">
        <v>4842</v>
      </c>
      <c r="M26" s="4" t="s">
        <v>4537</v>
      </c>
      <c r="N26" s="4" t="s">
        <v>3346</v>
      </c>
      <c r="O26" s="4"/>
      <c r="P26" s="4" t="s">
        <v>4878</v>
      </c>
      <c r="Q26" s="4" t="s">
        <v>4868</v>
      </c>
      <c r="R26" s="4" t="s">
        <v>4874</v>
      </c>
      <c r="S26" s="4" t="s">
        <v>4875</v>
      </c>
      <c r="T26" s="4" t="s">
        <v>4876</v>
      </c>
      <c r="U26" s="4" t="s">
        <v>4868</v>
      </c>
      <c r="V26" s="4" t="s">
        <v>4868</v>
      </c>
      <c r="W26" s="4" t="s">
        <v>3819</v>
      </c>
      <c r="X26" s="4"/>
      <c r="Y26" s="4" t="s">
        <v>4449</v>
      </c>
      <c r="Z26" s="4" t="s">
        <v>4483</v>
      </c>
      <c r="AA26" s="4" t="s">
        <v>4451</v>
      </c>
      <c r="AB26" s="4">
        <v>1.2612672126202661E+39</v>
      </c>
      <c r="AC26" s="4"/>
      <c r="AD26" s="4"/>
      <c r="AE26" s="4"/>
      <c r="AF26" s="4" t="s">
        <v>4864</v>
      </c>
      <c r="AG26" s="4"/>
      <c r="AH26" s="4"/>
      <c r="AI26" s="4"/>
    </row>
    <row r="27" ht="16" customHeight="1" s="4" customFormat="1">
      <c r="A27" s="4">
        <v>53</v>
      </c>
      <c r="B27" s="4">
        <v>1</v>
      </c>
      <c r="C27" s="4">
        <v>14221262</v>
      </c>
      <c r="D27" s="4" t="s">
        <v>1915</v>
      </c>
      <c r="E27" s="4" t="s">
        <v>4539</v>
      </c>
      <c r="F27" s="4" t="s">
        <v>4540</v>
      </c>
      <c r="G27" s="4" t="s">
        <v>4865</v>
      </c>
      <c r="H27" s="4" t="s">
        <v>4866</v>
      </c>
      <c r="I27" s="4"/>
      <c r="J27" s="4" t="s">
        <v>4442</v>
      </c>
      <c r="K27" s="4"/>
      <c r="L27" s="4" t="s">
        <v>4842</v>
      </c>
      <c r="M27" s="4" t="s">
        <v>4441</v>
      </c>
      <c r="N27" s="4" t="s">
        <v>3346</v>
      </c>
      <c r="O27" s="4"/>
      <c r="P27" s="4" t="s">
        <v>4877</v>
      </c>
      <c r="Q27" s="4" t="s">
        <v>4868</v>
      </c>
      <c r="R27" s="4" t="s">
        <v>4880</v>
      </c>
      <c r="S27" s="4" t="s">
        <v>4881</v>
      </c>
      <c r="T27" s="4" t="s">
        <v>4882</v>
      </c>
      <c r="U27" s="4" t="s">
        <v>4868</v>
      </c>
      <c r="V27" s="4" t="s">
        <v>4868</v>
      </c>
      <c r="W27" s="4" t="s">
        <v>3819</v>
      </c>
      <c r="X27" s="4" t="s">
        <v>201</v>
      </c>
      <c r="Y27" s="4" t="s">
        <v>4442</v>
      </c>
      <c r="Z27" s="4" t="s">
        <v>4220</v>
      </c>
      <c r="AA27" s="4" t="s">
        <v>4465</v>
      </c>
      <c r="AB27" s="4">
        <v>1422126214291555</v>
      </c>
      <c r="AC27" s="4"/>
      <c r="AD27" s="4"/>
      <c r="AE27" s="4"/>
      <c r="AF27" s="4" t="s">
        <v>4864</v>
      </c>
      <c r="AG27" s="4"/>
      <c r="AH27" s="4"/>
      <c r="AI27" s="4"/>
    </row>
    <row r="28" ht="16" customHeight="1" s="4" customFormat="1">
      <c r="A28" s="4">
        <v>55</v>
      </c>
      <c r="B28" s="4">
        <v>1</v>
      </c>
      <c r="C28" s="4">
        <v>14201208</v>
      </c>
      <c r="D28" s="4" t="s">
        <v>1915</v>
      </c>
      <c r="E28" s="4" t="s">
        <v>4543</v>
      </c>
      <c r="F28" s="4" t="s">
        <v>4540</v>
      </c>
      <c r="G28" s="4" t="s">
        <v>4865</v>
      </c>
      <c r="H28" s="4" t="s">
        <v>4872</v>
      </c>
      <c r="I28" s="4"/>
      <c r="J28" s="4" t="s">
        <v>4475</v>
      </c>
      <c r="K28" s="4"/>
      <c r="L28" s="4" t="s">
        <v>4842</v>
      </c>
      <c r="M28" s="4" t="s">
        <v>4474</v>
      </c>
      <c r="N28" s="4" t="s">
        <v>3346</v>
      </c>
      <c r="O28" s="4"/>
      <c r="P28" s="4" t="s">
        <v>4878</v>
      </c>
      <c r="Q28" s="4" t="s">
        <v>4868</v>
      </c>
      <c r="R28" s="4" t="s">
        <v>4883</v>
      </c>
      <c r="S28" s="4" t="s">
        <v>4884</v>
      </c>
      <c r="T28" s="4" t="s">
        <v>4885</v>
      </c>
      <c r="U28" s="4" t="s">
        <v>4868</v>
      </c>
      <c r="V28" s="4" t="s">
        <v>4868</v>
      </c>
      <c r="W28" s="4" t="s">
        <v>3819</v>
      </c>
      <c r="X28" s="4"/>
      <c r="Y28" s="4" t="s">
        <v>4449</v>
      </c>
      <c r="Z28" s="4" t="s">
        <v>4453</v>
      </c>
      <c r="AA28" s="4" t="s">
        <v>4442</v>
      </c>
      <c r="AB28" s="4">
        <v>1.2612673132823331E+31</v>
      </c>
      <c r="AC28" s="4"/>
      <c r="AD28" s="4"/>
      <c r="AE28" s="4"/>
      <c r="AF28" s="4" t="s">
        <v>4864</v>
      </c>
      <c r="AG28" s="4"/>
      <c r="AH28" s="4"/>
      <c r="AI28" s="4"/>
    </row>
    <row r="29" ht="16" customHeight="1" s="4" customFormat="1">
      <c r="A29" s="4">
        <v>59</v>
      </c>
      <c r="B29" s="4">
        <v>1</v>
      </c>
      <c r="C29" s="4">
        <v>13146568</v>
      </c>
      <c r="D29" s="4" t="s">
        <v>1915</v>
      </c>
      <c r="E29" s="4" t="s">
        <v>3841</v>
      </c>
      <c r="F29" s="4" t="s">
        <v>3842</v>
      </c>
      <c r="G29" s="4" t="s">
        <v>10</v>
      </c>
      <c r="H29" s="4" t="s">
        <v>4886</v>
      </c>
      <c r="I29" s="4"/>
      <c r="J29" s="4" t="s">
        <v>3844</v>
      </c>
      <c r="K29" s="4"/>
      <c r="L29" s="4" t="s">
        <v>4842</v>
      </c>
      <c r="M29" s="4" t="s">
        <v>3843</v>
      </c>
      <c r="N29" s="4" t="s">
        <v>3346</v>
      </c>
      <c r="O29" s="4"/>
      <c r="P29" s="4" t="s">
        <v>4887</v>
      </c>
      <c r="Q29" s="4" t="s">
        <v>4848</v>
      </c>
      <c r="R29" s="4" t="s">
        <v>4888</v>
      </c>
      <c r="S29" s="4" t="s">
        <v>4889</v>
      </c>
      <c r="T29" s="4" t="s">
        <v>4890</v>
      </c>
      <c r="U29" s="4" t="s">
        <v>4849</v>
      </c>
      <c r="V29" s="4" t="s">
        <v>4850</v>
      </c>
      <c r="W29" s="4" t="s">
        <v>3819</v>
      </c>
      <c r="X29" s="4"/>
      <c r="Y29" s="4" t="s">
        <v>3844</v>
      </c>
      <c r="Z29" s="4" t="s">
        <v>3844</v>
      </c>
      <c r="AA29" s="4" t="s">
        <v>4891</v>
      </c>
      <c r="AB29" s="4">
        <v>13146568</v>
      </c>
      <c r="AC29" s="4"/>
      <c r="AD29" s="4"/>
      <c r="AE29" s="4"/>
      <c r="AF29" s="4" t="s">
        <v>4892</v>
      </c>
      <c r="AG29" s="4"/>
      <c r="AH29" s="4"/>
      <c r="AI29" s="4"/>
    </row>
    <row r="30" ht="16" customHeight="1" s="4" customFormat="1">
      <c r="A30" s="4">
        <v>60</v>
      </c>
      <c r="B30" s="4">
        <v>1</v>
      </c>
      <c r="C30" s="4">
        <v>14230317</v>
      </c>
      <c r="D30" s="4" t="s">
        <v>1915</v>
      </c>
      <c r="E30" s="4" t="s">
        <v>4544</v>
      </c>
      <c r="F30" s="4" t="s">
        <v>4545</v>
      </c>
      <c r="G30" s="4" t="s">
        <v>4893</v>
      </c>
      <c r="H30" s="4" t="s">
        <v>4894</v>
      </c>
      <c r="I30" s="4"/>
      <c r="J30" s="4" t="s">
        <v>4394</v>
      </c>
      <c r="K30" s="4"/>
      <c r="L30" s="4" t="s">
        <v>4842</v>
      </c>
      <c r="M30" s="4" t="s">
        <v>4546</v>
      </c>
      <c r="N30" s="4" t="s">
        <v>3346</v>
      </c>
      <c r="O30" s="4"/>
      <c r="P30" s="4" t="s">
        <v>4895</v>
      </c>
      <c r="Q30" s="4" t="s">
        <v>4868</v>
      </c>
      <c r="R30" s="4" t="s">
        <v>4896</v>
      </c>
      <c r="S30" s="4" t="s">
        <v>4897</v>
      </c>
      <c r="T30" s="4" t="s">
        <v>4898</v>
      </c>
      <c r="U30" s="4" t="s">
        <v>4868</v>
      </c>
      <c r="V30" s="4" t="s">
        <v>4868</v>
      </c>
      <c r="W30" s="4" t="s">
        <v>3819</v>
      </c>
      <c r="X30" s="4" t="s">
        <v>201</v>
      </c>
      <c r="Y30" s="4" t="s">
        <v>4394</v>
      </c>
      <c r="Z30" s="4" t="s">
        <v>4548</v>
      </c>
      <c r="AA30" s="4" t="s">
        <v>4899</v>
      </c>
      <c r="AB30" s="4">
        <v>1423031714321988</v>
      </c>
      <c r="AC30" s="4"/>
      <c r="AD30" s="4"/>
      <c r="AE30" s="4"/>
      <c r="AF30" s="4" t="s">
        <v>4864</v>
      </c>
      <c r="AG30" s="4"/>
      <c r="AH30" s="4"/>
      <c r="AI30" s="4"/>
    </row>
    <row r="31" ht="16" customHeight="1" s="4" customFormat="1">
      <c r="A31" s="4">
        <v>62</v>
      </c>
      <c r="B31" s="4">
        <v>1</v>
      </c>
      <c r="C31" s="4">
        <v>13954641</v>
      </c>
      <c r="D31" s="4" t="s">
        <v>1915</v>
      </c>
      <c r="E31" s="4" t="s">
        <v>4549</v>
      </c>
      <c r="F31" s="4" t="s">
        <v>4545</v>
      </c>
      <c r="G31" s="4" t="s">
        <v>4900</v>
      </c>
      <c r="H31" s="4" t="s">
        <v>4894</v>
      </c>
      <c r="I31" s="4"/>
      <c r="J31" s="4" t="s">
        <v>4222</v>
      </c>
      <c r="K31" s="4"/>
      <c r="L31" s="4" t="s">
        <v>4842</v>
      </c>
      <c r="M31" s="4" t="s">
        <v>4550</v>
      </c>
      <c r="N31" s="4" t="s">
        <v>3346</v>
      </c>
      <c r="O31" s="4"/>
      <c r="P31" s="4" t="s">
        <v>4895</v>
      </c>
      <c r="Q31" s="4" t="s">
        <v>4901</v>
      </c>
      <c r="R31" s="4" t="s">
        <v>4896</v>
      </c>
      <c r="S31" s="4" t="s">
        <v>4897</v>
      </c>
      <c r="T31" s="4" t="s">
        <v>4898</v>
      </c>
      <c r="U31" s="4" t="s">
        <v>4902</v>
      </c>
      <c r="V31" s="4" t="s">
        <v>4903</v>
      </c>
      <c r="W31" s="4" t="s">
        <v>3819</v>
      </c>
      <c r="X31" s="4"/>
      <c r="Y31" s="4" t="s">
        <v>4222</v>
      </c>
      <c r="Z31" s="4" t="s">
        <v>4222</v>
      </c>
      <c r="AA31" s="4" t="s">
        <v>4442</v>
      </c>
      <c r="AB31" s="4">
        <v>13954641</v>
      </c>
      <c r="AC31" s="4"/>
      <c r="AD31" s="4"/>
      <c r="AE31" s="4"/>
      <c r="AF31" s="4" t="s">
        <v>4864</v>
      </c>
      <c r="AG31" s="4"/>
      <c r="AH31" s="4"/>
      <c r="AI31" s="4"/>
    </row>
    <row r="32" ht="16" customHeight="1" s="4" customFormat="1">
      <c r="A32" s="4">
        <v>65</v>
      </c>
      <c r="B32" s="4">
        <v>1</v>
      </c>
      <c r="C32" s="4">
        <v>14230145</v>
      </c>
      <c r="D32" s="4" t="s">
        <v>1915</v>
      </c>
      <c r="E32" s="4" t="s">
        <v>4391</v>
      </c>
      <c r="F32" s="4" t="s">
        <v>4392</v>
      </c>
      <c r="G32" s="4" t="s">
        <v>4893</v>
      </c>
      <c r="H32" s="4" t="s">
        <v>4904</v>
      </c>
      <c r="I32" s="4"/>
      <c r="J32" s="4" t="s">
        <v>4394</v>
      </c>
      <c r="K32" s="4"/>
      <c r="L32" s="4" t="s">
        <v>4842</v>
      </c>
      <c r="M32" s="4" t="s">
        <v>4393</v>
      </c>
      <c r="N32" s="4" t="s">
        <v>3346</v>
      </c>
      <c r="O32" s="4"/>
      <c r="P32" s="4" t="s">
        <v>4895</v>
      </c>
      <c r="Q32" s="4" t="s">
        <v>4868</v>
      </c>
      <c r="R32" s="4" t="s">
        <v>4905</v>
      </c>
      <c r="S32" s="4" t="s">
        <v>4906</v>
      </c>
      <c r="T32" s="4" t="s">
        <v>4907</v>
      </c>
      <c r="U32" s="4" t="s">
        <v>4868</v>
      </c>
      <c r="V32" s="4" t="s">
        <v>4868</v>
      </c>
      <c r="W32" s="4" t="s">
        <v>3819</v>
      </c>
      <c r="X32" s="4" t="s">
        <v>201</v>
      </c>
      <c r="Y32" s="4" t="s">
        <v>4394</v>
      </c>
      <c r="Z32" s="4" t="s">
        <v>4394</v>
      </c>
      <c r="AA32" s="4" t="s">
        <v>4548</v>
      </c>
      <c r="AB32" s="4">
        <v>14230145</v>
      </c>
      <c r="AC32" s="4"/>
      <c r="AD32" s="4"/>
      <c r="AE32" s="4"/>
      <c r="AF32" s="4" t="s">
        <v>4864</v>
      </c>
      <c r="AG32" s="4"/>
      <c r="AH32" s="4"/>
      <c r="AI32" s="4"/>
    </row>
    <row r="33" ht="16" customHeight="1" s="4" customFormat="1">
      <c r="A33" s="4">
        <v>66</v>
      </c>
      <c r="B33" s="4">
        <v>1</v>
      </c>
      <c r="C33" s="4">
        <v>14480778</v>
      </c>
      <c r="D33" s="4" t="s">
        <v>1915</v>
      </c>
      <c r="E33" s="4" t="s">
        <v>3822</v>
      </c>
      <c r="F33" s="4" t="s">
        <v>3825</v>
      </c>
      <c r="G33" s="4" t="s">
        <v>10</v>
      </c>
      <c r="H33" s="4" t="s">
        <v>4908</v>
      </c>
      <c r="I33" s="4"/>
      <c r="J33" s="4" t="s">
        <v>3353</v>
      </c>
      <c r="K33" s="4"/>
      <c r="L33" s="4" t="s">
        <v>4842</v>
      </c>
      <c r="M33" s="4" t="s">
        <v>3826</v>
      </c>
      <c r="N33" s="4" t="s">
        <v>3346</v>
      </c>
      <c r="O33" s="4"/>
      <c r="P33" s="4" t="s">
        <v>4909</v>
      </c>
      <c r="Q33" s="4" t="s">
        <v>4848</v>
      </c>
      <c r="R33" s="4" t="s">
        <v>4910</v>
      </c>
      <c r="S33" s="4" t="s">
        <v>4911</v>
      </c>
      <c r="T33" s="4" t="s">
        <v>4912</v>
      </c>
      <c r="U33" s="4" t="s">
        <v>4849</v>
      </c>
      <c r="V33" s="4" t="s">
        <v>4850</v>
      </c>
      <c r="W33" s="4" t="s">
        <v>3819</v>
      </c>
      <c r="X33" s="4" t="s">
        <v>201</v>
      </c>
      <c r="Y33" s="4" t="s">
        <v>3355</v>
      </c>
      <c r="Z33" s="4" t="s">
        <v>3368</v>
      </c>
      <c r="AA33" s="4" t="s">
        <v>3364</v>
      </c>
      <c r="AB33" s="4">
        <v>1.4342045144721861E+31</v>
      </c>
      <c r="AC33" s="4"/>
      <c r="AD33" s="4"/>
      <c r="AE33" s="4"/>
      <c r="AF33" s="4" t="s">
        <v>4892</v>
      </c>
      <c r="AG33" s="4"/>
      <c r="AH33" s="4"/>
      <c r="AI33" s="4"/>
    </row>
    <row r="34" ht="16" customHeight="1" s="4" customFormat="1">
      <c r="A34" s="4">
        <v>70</v>
      </c>
      <c r="B34" s="4">
        <v>1</v>
      </c>
      <c r="C34" s="4">
        <v>14480779</v>
      </c>
      <c r="D34" s="4" t="s">
        <v>1915</v>
      </c>
      <c r="E34" s="4" t="s">
        <v>3830</v>
      </c>
      <c r="F34" s="4" t="s">
        <v>3833</v>
      </c>
      <c r="G34" s="4" t="s">
        <v>10</v>
      </c>
      <c r="H34" s="4" t="s">
        <v>4913</v>
      </c>
      <c r="I34" s="4"/>
      <c r="J34" s="4" t="s">
        <v>3353</v>
      </c>
      <c r="K34" s="4"/>
      <c r="L34" s="4" t="s">
        <v>4842</v>
      </c>
      <c r="M34" s="4" t="s">
        <v>3826</v>
      </c>
      <c r="N34" s="4" t="s">
        <v>3346</v>
      </c>
      <c r="O34" s="4"/>
      <c r="P34" s="4" t="s">
        <v>4909</v>
      </c>
      <c r="Q34" s="4" t="s">
        <v>4848</v>
      </c>
      <c r="R34" s="4" t="s">
        <v>4914</v>
      </c>
      <c r="S34" s="4" t="s">
        <v>4915</v>
      </c>
      <c r="T34" s="4" t="s">
        <v>4916</v>
      </c>
      <c r="U34" s="4" t="s">
        <v>4849</v>
      </c>
      <c r="V34" s="4" t="s">
        <v>4850</v>
      </c>
      <c r="W34" s="4" t="s">
        <v>3819</v>
      </c>
      <c r="X34" s="4" t="s">
        <v>201</v>
      </c>
      <c r="Y34" s="4" t="s">
        <v>3355</v>
      </c>
      <c r="Z34" s="4" t="s">
        <v>3364</v>
      </c>
      <c r="AA34" s="4" t="s">
        <v>3364</v>
      </c>
      <c r="AB34" s="4">
        <v>1.4342046144807792E+23</v>
      </c>
      <c r="AC34" s="4"/>
      <c r="AD34" s="4"/>
      <c r="AE34" s="4"/>
      <c r="AF34" s="4" t="s">
        <v>4892</v>
      </c>
      <c r="AG34" s="4"/>
      <c r="AH34" s="4"/>
      <c r="AI34" s="4"/>
    </row>
    <row r="35" ht="16" customHeight="1" s="4" customFormat="1">
      <c r="A35" s="4">
        <v>73</v>
      </c>
      <c r="B35" s="4">
        <v>1</v>
      </c>
      <c r="C35" s="4">
        <v>14220966</v>
      </c>
      <c r="D35" s="4" t="s">
        <v>1915</v>
      </c>
      <c r="E35" s="4" t="s">
        <v>4439</v>
      </c>
      <c r="F35" s="4" t="s">
        <v>4440</v>
      </c>
      <c r="G35" s="4" t="s">
        <v>4865</v>
      </c>
      <c r="H35" s="4" t="s">
        <v>4917</v>
      </c>
      <c r="I35" s="4"/>
      <c r="J35" s="4" t="s">
        <v>4442</v>
      </c>
      <c r="K35" s="4"/>
      <c r="L35" s="4" t="s">
        <v>4842</v>
      </c>
      <c r="M35" s="4" t="s">
        <v>4441</v>
      </c>
      <c r="N35" s="4" t="s">
        <v>3346</v>
      </c>
      <c r="O35" s="4"/>
      <c r="P35" s="4" t="s">
        <v>4877</v>
      </c>
      <c r="Q35" s="4" t="s">
        <v>4868</v>
      </c>
      <c r="R35" s="4" t="s">
        <v>4918</v>
      </c>
      <c r="S35" s="4" t="s">
        <v>4919</v>
      </c>
      <c r="T35" s="4" t="s">
        <v>4920</v>
      </c>
      <c r="U35" s="4" t="s">
        <v>4868</v>
      </c>
      <c r="V35" s="4" t="s">
        <v>4868</v>
      </c>
      <c r="W35" s="4" t="s">
        <v>3819</v>
      </c>
      <c r="X35" s="4" t="s">
        <v>201</v>
      </c>
      <c r="Y35" s="4" t="s">
        <v>4442</v>
      </c>
      <c r="Z35" s="4" t="s">
        <v>4220</v>
      </c>
      <c r="AA35" s="4" t="s">
        <v>4465</v>
      </c>
      <c r="AB35" s="4">
        <v>1422096614291498</v>
      </c>
      <c r="AC35" s="4"/>
      <c r="AD35" s="4"/>
      <c r="AE35" s="4"/>
      <c r="AF35" s="4" t="s">
        <v>4864</v>
      </c>
      <c r="AG35" s="4"/>
      <c r="AH35" s="4"/>
      <c r="AI35" s="4"/>
    </row>
    <row r="36" ht="16" customHeight="1" s="4" customFormat="1">
      <c r="A36" s="4">
        <v>75</v>
      </c>
      <c r="B36" s="4">
        <v>1</v>
      </c>
      <c r="C36" s="4">
        <v>13820446</v>
      </c>
      <c r="D36" s="4" t="s">
        <v>1915</v>
      </c>
      <c r="E36" s="4" t="s">
        <v>4446</v>
      </c>
      <c r="F36" s="4" t="s">
        <v>4444</v>
      </c>
      <c r="G36" s="4" t="s">
        <v>4865</v>
      </c>
      <c r="H36" s="4" t="s">
        <v>4921</v>
      </c>
      <c r="I36" s="4"/>
      <c r="J36" s="4" t="s">
        <v>4453</v>
      </c>
      <c r="K36" s="4"/>
      <c r="L36" s="4" t="s">
        <v>4842</v>
      </c>
      <c r="M36" s="4" t="s">
        <v>4452</v>
      </c>
      <c r="N36" s="4" t="s">
        <v>3346</v>
      </c>
      <c r="O36" s="4"/>
      <c r="P36" s="4" t="s">
        <v>4878</v>
      </c>
      <c r="Q36" s="4" t="s">
        <v>4868</v>
      </c>
      <c r="R36" s="4" t="s">
        <v>4922</v>
      </c>
      <c r="S36" s="4" t="s">
        <v>4923</v>
      </c>
      <c r="T36" s="4" t="s">
        <v>4924</v>
      </c>
      <c r="U36" s="4" t="s">
        <v>4868</v>
      </c>
      <c r="V36" s="4" t="s">
        <v>4868</v>
      </c>
      <c r="W36" s="4" t="s">
        <v>3819</v>
      </c>
      <c r="X36" s="4" t="s">
        <v>201</v>
      </c>
      <c r="Y36" s="4" t="s">
        <v>4449</v>
      </c>
      <c r="Z36" s="4" t="s">
        <v>4453</v>
      </c>
      <c r="AA36" s="4" t="s">
        <v>4442</v>
      </c>
      <c r="AB36" s="4">
        <v>1.2612652132823232E+31</v>
      </c>
      <c r="AC36" s="4"/>
      <c r="AD36" s="4"/>
      <c r="AE36" s="4"/>
      <c r="AF36" s="4" t="s">
        <v>4864</v>
      </c>
      <c r="AG36" s="4"/>
      <c r="AH36" s="4"/>
      <c r="AI36" s="4"/>
    </row>
    <row r="37" ht="16" customHeight="1" s="4" customFormat="1">
      <c r="A37" s="4">
        <v>79</v>
      </c>
      <c r="B37" s="4">
        <v>1</v>
      </c>
      <c r="C37" s="4">
        <v>14221230</v>
      </c>
      <c r="D37" s="4" t="s">
        <v>1915</v>
      </c>
      <c r="E37" s="4" t="s">
        <v>4454</v>
      </c>
      <c r="F37" s="4" t="s">
        <v>4455</v>
      </c>
      <c r="G37" s="4" t="s">
        <v>4865</v>
      </c>
      <c r="H37" s="4" t="s">
        <v>4866</v>
      </c>
      <c r="I37" s="4"/>
      <c r="J37" s="4" t="s">
        <v>4442</v>
      </c>
      <c r="K37" s="4"/>
      <c r="L37" s="4" t="s">
        <v>4842</v>
      </c>
      <c r="M37" s="4" t="s">
        <v>4441</v>
      </c>
      <c r="N37" s="4" t="s">
        <v>3346</v>
      </c>
      <c r="O37" s="4"/>
      <c r="P37" s="4" t="s">
        <v>4877</v>
      </c>
      <c r="Q37" s="4" t="s">
        <v>4868</v>
      </c>
      <c r="R37" s="4" t="s">
        <v>4869</v>
      </c>
      <c r="S37" s="4" t="s">
        <v>4870</v>
      </c>
      <c r="T37" s="4" t="s">
        <v>4871</v>
      </c>
      <c r="U37" s="4" t="s">
        <v>4868</v>
      </c>
      <c r="V37" s="4" t="s">
        <v>4868</v>
      </c>
      <c r="W37" s="4" t="s">
        <v>3819</v>
      </c>
      <c r="X37" s="4" t="s">
        <v>201</v>
      </c>
      <c r="Y37" s="4" t="s">
        <v>4442</v>
      </c>
      <c r="Z37" s="4" t="s">
        <v>4220</v>
      </c>
      <c r="AA37" s="4" t="s">
        <v>4465</v>
      </c>
      <c r="AB37" s="4">
        <v>1422123014291549</v>
      </c>
      <c r="AC37" s="4"/>
      <c r="AD37" s="4"/>
      <c r="AE37" s="4"/>
      <c r="AF37" s="4" t="s">
        <v>4864</v>
      </c>
      <c r="AG37" s="4"/>
      <c r="AH37" s="4"/>
      <c r="AI37" s="4"/>
    </row>
    <row r="38" ht="16" customHeight="1" s="4" customFormat="1">
      <c r="A38" s="4">
        <v>81</v>
      </c>
      <c r="B38" s="4">
        <v>1</v>
      </c>
      <c r="C38" s="4">
        <v>12612667</v>
      </c>
      <c r="D38" s="4" t="s">
        <v>1915</v>
      </c>
      <c r="E38" s="4" t="s">
        <v>4458</v>
      </c>
      <c r="F38" s="4" t="s">
        <v>4459</v>
      </c>
      <c r="G38" s="4" t="s">
        <v>4865</v>
      </c>
      <c r="H38" s="4" t="s">
        <v>4925</v>
      </c>
      <c r="I38" s="4"/>
      <c r="J38" s="4" t="s">
        <v>4449</v>
      </c>
      <c r="K38" s="4"/>
      <c r="L38" s="4" t="s">
        <v>4842</v>
      </c>
      <c r="M38" s="4" t="s">
        <v>4448</v>
      </c>
      <c r="N38" s="4" t="s">
        <v>3346</v>
      </c>
      <c r="O38" s="4"/>
      <c r="P38" s="4" t="s">
        <v>4878</v>
      </c>
      <c r="Q38" s="4" t="s">
        <v>4868</v>
      </c>
      <c r="R38" s="4" t="s">
        <v>4926</v>
      </c>
      <c r="S38" s="4" t="s">
        <v>4927</v>
      </c>
      <c r="T38" s="4" t="s">
        <v>4928</v>
      </c>
      <c r="U38" s="4" t="s">
        <v>4868</v>
      </c>
      <c r="V38" s="4" t="s">
        <v>4868</v>
      </c>
      <c r="W38" s="4" t="s">
        <v>3819</v>
      </c>
      <c r="X38" s="4" t="s">
        <v>201</v>
      </c>
      <c r="Y38" s="4" t="s">
        <v>4449</v>
      </c>
      <c r="Z38" s="4" t="s">
        <v>4461</v>
      </c>
      <c r="AA38" s="4" t="s">
        <v>3471</v>
      </c>
      <c r="AB38" s="4">
        <v>1261266713530251</v>
      </c>
      <c r="AC38" s="4"/>
      <c r="AD38" s="4"/>
      <c r="AE38" s="4"/>
      <c r="AF38" s="4" t="s">
        <v>4864</v>
      </c>
      <c r="AG38" s="4"/>
      <c r="AH38" s="4"/>
      <c r="AI38" s="4"/>
    </row>
    <row r="39" ht="16" customHeight="1" s="4" customFormat="1">
      <c r="A39" s="4">
        <v>83</v>
      </c>
      <c r="B39" s="4">
        <v>1</v>
      </c>
      <c r="C39" s="4">
        <v>14221231</v>
      </c>
      <c r="D39" s="4" t="s">
        <v>1915</v>
      </c>
      <c r="E39" s="4" t="s">
        <v>4462</v>
      </c>
      <c r="F39" s="4" t="s">
        <v>4466</v>
      </c>
      <c r="G39" s="4" t="s">
        <v>4879</v>
      </c>
      <c r="H39" s="4" t="s">
        <v>4866</v>
      </c>
      <c r="I39" s="4"/>
      <c r="J39" s="4" t="s">
        <v>4442</v>
      </c>
      <c r="K39" s="4"/>
      <c r="L39" s="4" t="s">
        <v>4842</v>
      </c>
      <c r="M39" s="4" t="s">
        <v>4441</v>
      </c>
      <c r="N39" s="4" t="s">
        <v>3346</v>
      </c>
      <c r="O39" s="4"/>
      <c r="P39" s="4" t="s">
        <v>4877</v>
      </c>
      <c r="Q39" s="4" t="s">
        <v>4868</v>
      </c>
      <c r="R39" s="4" t="s">
        <v>4880</v>
      </c>
      <c r="S39" s="4" t="s">
        <v>4881</v>
      </c>
      <c r="T39" s="4" t="s">
        <v>4882</v>
      </c>
      <c r="U39" s="4" t="s">
        <v>4868</v>
      </c>
      <c r="V39" s="4" t="s">
        <v>4868</v>
      </c>
      <c r="W39" s="4" t="s">
        <v>3819</v>
      </c>
      <c r="X39" s="4" t="s">
        <v>201</v>
      </c>
      <c r="Y39" s="4" t="s">
        <v>4442</v>
      </c>
      <c r="Z39" s="4" t="s">
        <v>4465</v>
      </c>
      <c r="AA39" s="4" t="s">
        <v>4929</v>
      </c>
      <c r="AB39" s="4">
        <v>1.4221231142915502E+23</v>
      </c>
      <c r="AC39" s="4"/>
      <c r="AD39" s="4"/>
      <c r="AE39" s="4"/>
      <c r="AF39" s="4" t="s">
        <v>4864</v>
      </c>
      <c r="AG39" s="4"/>
      <c r="AH39" s="4"/>
      <c r="AI39" s="4"/>
    </row>
    <row r="40" ht="16" customHeight="1" s="4" customFormat="1">
      <c r="A40" s="4">
        <v>86</v>
      </c>
      <c r="B40" s="4">
        <v>1</v>
      </c>
      <c r="C40" s="4">
        <v>14201206</v>
      </c>
      <c r="D40" s="4" t="s">
        <v>1915</v>
      </c>
      <c r="E40" s="4" t="s">
        <v>4469</v>
      </c>
      <c r="F40" s="4" t="s">
        <v>4466</v>
      </c>
      <c r="G40" s="4" t="s">
        <v>4879</v>
      </c>
      <c r="H40" s="4" t="s">
        <v>4872</v>
      </c>
      <c r="I40" s="4"/>
      <c r="J40" s="4" t="s">
        <v>4475</v>
      </c>
      <c r="K40" s="4"/>
      <c r="L40" s="4" t="s">
        <v>4842</v>
      </c>
      <c r="M40" s="4" t="s">
        <v>4474</v>
      </c>
      <c r="N40" s="4" t="s">
        <v>3346</v>
      </c>
      <c r="O40" s="4"/>
      <c r="P40" s="4" t="s">
        <v>4878</v>
      </c>
      <c r="Q40" s="4" t="s">
        <v>4868</v>
      </c>
      <c r="R40" s="4" t="s">
        <v>4883</v>
      </c>
      <c r="S40" s="4" t="s">
        <v>4884</v>
      </c>
      <c r="T40" s="4" t="s">
        <v>4885</v>
      </c>
      <c r="U40" s="4" t="s">
        <v>4868</v>
      </c>
      <c r="V40" s="4" t="s">
        <v>4868</v>
      </c>
      <c r="W40" s="4" t="s">
        <v>3819</v>
      </c>
      <c r="X40" s="4" t="s">
        <v>201</v>
      </c>
      <c r="Y40" s="4" t="s">
        <v>4449</v>
      </c>
      <c r="Z40" s="4" t="s">
        <v>4453</v>
      </c>
      <c r="AA40" s="4" t="s">
        <v>4442</v>
      </c>
      <c r="AB40" s="4">
        <v>1.2612668126202622E+47</v>
      </c>
      <c r="AC40" s="4"/>
      <c r="AD40" s="4"/>
      <c r="AE40" s="4"/>
      <c r="AF40" s="4" t="s">
        <v>4864</v>
      </c>
      <c r="AG40" s="4"/>
      <c r="AH40" s="4"/>
      <c r="AI40" s="4"/>
    </row>
    <row r="41" ht="16" customHeight="1" s="4" customFormat="1">
      <c r="A41" s="4">
        <v>434</v>
      </c>
      <c r="B41" s="4">
        <v>1</v>
      </c>
      <c r="C41" s="4">
        <v>11876971</v>
      </c>
      <c r="D41" s="4" t="s">
        <v>1922</v>
      </c>
      <c r="E41" s="4" t="s">
        <v>3920</v>
      </c>
      <c r="F41" s="4" t="s">
        <v>3921</v>
      </c>
      <c r="G41" s="4" t="s">
        <v>10</v>
      </c>
      <c r="H41" s="4" t="s">
        <v>4930</v>
      </c>
      <c r="I41" s="4"/>
      <c r="J41" s="4" t="s">
        <v>3715</v>
      </c>
      <c r="K41" s="4"/>
      <c r="L41" s="4" t="s">
        <v>4842</v>
      </c>
      <c r="M41" s="4" t="s">
        <v>3922</v>
      </c>
      <c r="N41" s="4" t="s">
        <v>3390</v>
      </c>
      <c r="O41" s="4"/>
      <c r="P41" s="4" t="s">
        <v>4931</v>
      </c>
      <c r="Q41" s="4" t="s">
        <v>4848</v>
      </c>
      <c r="R41" s="4" t="s">
        <v>4932</v>
      </c>
      <c r="S41" s="4" t="s">
        <v>4933</v>
      </c>
      <c r="T41" s="4" t="s">
        <v>4934</v>
      </c>
      <c r="U41" s="4" t="s">
        <v>4849</v>
      </c>
      <c r="V41" s="4" t="s">
        <v>4850</v>
      </c>
      <c r="W41" s="4" t="s">
        <v>3819</v>
      </c>
      <c r="X41" s="4" t="s">
        <v>201</v>
      </c>
      <c r="Y41" s="4" t="s">
        <v>3723</v>
      </c>
      <c r="Z41" s="4" t="s">
        <v>3607</v>
      </c>
      <c r="AA41" s="4" t="s">
        <v>3607</v>
      </c>
      <c r="AB41" s="4">
        <v>1.11566971145495E+47</v>
      </c>
      <c r="AC41" s="4"/>
      <c r="AD41" s="4"/>
      <c r="AE41" s="4"/>
      <c r="AF41" s="4" t="s">
        <v>4892</v>
      </c>
      <c r="AG41" s="4"/>
      <c r="AH41" s="4"/>
      <c r="AI41" s="4"/>
    </row>
    <row r="42" ht="16" customHeight="1" s="4" customFormat="1">
      <c r="A42" s="4">
        <v>440</v>
      </c>
      <c r="B42" s="4">
        <v>1</v>
      </c>
      <c r="C42" s="4">
        <v>9487847</v>
      </c>
      <c r="D42" s="4" t="s">
        <v>1922</v>
      </c>
      <c r="E42" s="4" t="s">
        <v>3932</v>
      </c>
      <c r="F42" s="4" t="s">
        <v>3933</v>
      </c>
      <c r="G42" s="4" t="s">
        <v>4836</v>
      </c>
      <c r="H42" s="4" t="s">
        <v>4935</v>
      </c>
      <c r="I42" s="4"/>
      <c r="J42" s="4" t="s">
        <v>3650</v>
      </c>
      <c r="K42" s="4"/>
      <c r="L42" s="4" t="s">
        <v>4842</v>
      </c>
      <c r="M42" s="4" t="s">
        <v>3934</v>
      </c>
      <c r="N42" s="4" t="s">
        <v>3390</v>
      </c>
      <c r="O42" s="4"/>
      <c r="P42" s="4" t="s">
        <v>4936</v>
      </c>
      <c r="Q42" s="4" t="s">
        <v>4837</v>
      </c>
      <c r="R42" s="4" t="s">
        <v>4937</v>
      </c>
      <c r="S42" s="4" t="s">
        <v>4938</v>
      </c>
      <c r="T42" s="4" t="s">
        <v>4939</v>
      </c>
      <c r="U42" s="4" t="s">
        <v>4838</v>
      </c>
      <c r="V42" s="4" t="s">
        <v>4839</v>
      </c>
      <c r="W42" s="4" t="s">
        <v>3819</v>
      </c>
      <c r="X42" s="4" t="s">
        <v>201</v>
      </c>
      <c r="Y42" s="4" t="s">
        <v>3652</v>
      </c>
      <c r="Z42" s="4" t="s">
        <v>3650</v>
      </c>
      <c r="AA42" s="4"/>
      <c r="AB42" s="4">
        <v>94878479487848</v>
      </c>
      <c r="AC42" s="4"/>
      <c r="AD42" s="4"/>
      <c r="AE42" s="4"/>
      <c r="AF42" s="4" t="s">
        <v>4840</v>
      </c>
      <c r="AG42" s="4"/>
      <c r="AH42" s="4"/>
      <c r="AI42" s="4"/>
    </row>
    <row r="43" ht="16" customHeight="1" s="4" customFormat="1">
      <c r="A43" s="4">
        <v>449</v>
      </c>
      <c r="B43" s="4">
        <v>1</v>
      </c>
      <c r="C43" s="4">
        <v>7548096</v>
      </c>
      <c r="D43" s="4" t="s">
        <v>4940</v>
      </c>
      <c r="E43" s="4" t="s">
        <v>4683</v>
      </c>
      <c r="F43" s="4" t="s">
        <v>4702</v>
      </c>
      <c r="G43" s="4" t="s">
        <v>4941</v>
      </c>
      <c r="H43" s="4" t="s">
        <v>4942</v>
      </c>
      <c r="I43" s="4"/>
      <c r="J43" s="4" t="s">
        <v>4710</v>
      </c>
      <c r="K43" s="4"/>
      <c r="L43" s="4" t="s">
        <v>4842</v>
      </c>
      <c r="M43" s="4" t="s">
        <v>4709</v>
      </c>
      <c r="N43" s="4" t="s">
        <v>3390</v>
      </c>
      <c r="O43" s="4"/>
      <c r="P43" s="4" t="s">
        <v>4943</v>
      </c>
      <c r="Q43" s="4" t="s">
        <v>4944</v>
      </c>
      <c r="R43" s="4" t="s">
        <v>4945</v>
      </c>
      <c r="S43" s="4" t="s">
        <v>4946</v>
      </c>
      <c r="T43" s="4" t="s">
        <v>4947</v>
      </c>
      <c r="U43" s="4" t="s">
        <v>4948</v>
      </c>
      <c r="V43" s="4" t="s">
        <v>4949</v>
      </c>
      <c r="W43" s="4" t="s">
        <v>3819</v>
      </c>
      <c r="X43" s="4" t="s">
        <v>201</v>
      </c>
      <c r="Y43" s="4" t="s">
        <v>4699</v>
      </c>
      <c r="Z43" s="4" t="s">
        <v>4696</v>
      </c>
      <c r="AA43" s="4" t="s">
        <v>4950</v>
      </c>
      <c r="AB43" s="4">
        <v>6.2644046512858662E+302</v>
      </c>
      <c r="AC43" s="4"/>
      <c r="AD43" s="4"/>
      <c r="AE43" s="4"/>
      <c r="AF43" s="4" t="s">
        <v>4814</v>
      </c>
      <c r="AG43" s="4"/>
      <c r="AH43" s="4"/>
      <c r="AI43" s="4"/>
    </row>
    <row r="44" ht="16" customHeight="1" s="4" customFormat="1">
      <c r="A44" s="4">
        <v>92</v>
      </c>
      <c r="B44" s="4">
        <v>1</v>
      </c>
      <c r="C44" s="4">
        <v>14221234</v>
      </c>
      <c r="D44" s="4" t="s">
        <v>1915</v>
      </c>
      <c r="E44" s="4" t="s">
        <v>4478</v>
      </c>
      <c r="F44" s="4" t="s">
        <v>4455</v>
      </c>
      <c r="G44" s="4" t="s">
        <v>4865</v>
      </c>
      <c r="H44" s="4" t="s">
        <v>4866</v>
      </c>
      <c r="I44" s="4"/>
      <c r="J44" s="4" t="s">
        <v>4442</v>
      </c>
      <c r="K44" s="4"/>
      <c r="L44" s="4" t="s">
        <v>4842</v>
      </c>
      <c r="M44" s="4" t="s">
        <v>4441</v>
      </c>
      <c r="N44" s="4" t="s">
        <v>3346</v>
      </c>
      <c r="O44" s="4"/>
      <c r="P44" s="4" t="s">
        <v>4877</v>
      </c>
      <c r="Q44" s="4" t="s">
        <v>4868</v>
      </c>
      <c r="R44" s="4" t="s">
        <v>4869</v>
      </c>
      <c r="S44" s="4" t="s">
        <v>4870</v>
      </c>
      <c r="T44" s="4" t="s">
        <v>4871</v>
      </c>
      <c r="U44" s="4" t="s">
        <v>4868</v>
      </c>
      <c r="V44" s="4" t="s">
        <v>4868</v>
      </c>
      <c r="W44" s="4" t="s">
        <v>3819</v>
      </c>
      <c r="X44" s="4" t="s">
        <v>201</v>
      </c>
      <c r="Y44" s="4" t="s">
        <v>4442</v>
      </c>
      <c r="Z44" s="4" t="s">
        <v>4220</v>
      </c>
      <c r="AA44" s="4" t="s">
        <v>4465</v>
      </c>
      <c r="AB44" s="4">
        <v>1422123414291551</v>
      </c>
      <c r="AC44" s="4"/>
      <c r="AD44" s="4"/>
      <c r="AE44" s="4"/>
      <c r="AF44" s="4" t="s">
        <v>4864</v>
      </c>
      <c r="AG44" s="4"/>
      <c r="AH44" s="4"/>
      <c r="AI44" s="4"/>
    </row>
    <row r="45" ht="16" customHeight="1" s="4" customFormat="1">
      <c r="A45" s="4">
        <v>94</v>
      </c>
      <c r="B45" s="4">
        <v>1</v>
      </c>
      <c r="C45" s="4">
        <v>12612669</v>
      </c>
      <c r="D45" s="4" t="s">
        <v>1915</v>
      </c>
      <c r="E45" s="4" t="s">
        <v>4481</v>
      </c>
      <c r="F45" s="4" t="s">
        <v>4480</v>
      </c>
      <c r="G45" s="4" t="s">
        <v>4865</v>
      </c>
      <c r="H45" s="4" t="s">
        <v>4872</v>
      </c>
      <c r="I45" s="4"/>
      <c r="J45" s="4" t="s">
        <v>4449</v>
      </c>
      <c r="K45" s="4"/>
      <c r="L45" s="4" t="s">
        <v>4842</v>
      </c>
      <c r="M45" s="4" t="s">
        <v>4448</v>
      </c>
      <c r="N45" s="4" t="s">
        <v>3346</v>
      </c>
      <c r="O45" s="4"/>
      <c r="P45" s="4" t="s">
        <v>4878</v>
      </c>
      <c r="Q45" s="4" t="s">
        <v>4868</v>
      </c>
      <c r="R45" s="4" t="s">
        <v>4874</v>
      </c>
      <c r="S45" s="4" t="s">
        <v>4875</v>
      </c>
      <c r="T45" s="4" t="s">
        <v>4876</v>
      </c>
      <c r="U45" s="4" t="s">
        <v>4868</v>
      </c>
      <c r="V45" s="4" t="s">
        <v>4868</v>
      </c>
      <c r="W45" s="4" t="s">
        <v>3819</v>
      </c>
      <c r="X45" s="4" t="s">
        <v>201</v>
      </c>
      <c r="Y45" s="4" t="s">
        <v>4449</v>
      </c>
      <c r="Z45" s="4" t="s">
        <v>4461</v>
      </c>
      <c r="AA45" s="4" t="s">
        <v>3471</v>
      </c>
      <c r="AB45" s="4">
        <v>1.2612669130482932E+23</v>
      </c>
      <c r="AC45" s="4"/>
      <c r="AD45" s="4"/>
      <c r="AE45" s="4"/>
      <c r="AF45" s="4" t="s">
        <v>4864</v>
      </c>
      <c r="AG45" s="4"/>
      <c r="AH45" s="4"/>
      <c r="AI45" s="4"/>
    </row>
    <row r="46" ht="16" customHeight="1" s="4" customFormat="1">
      <c r="A46" s="4">
        <v>489</v>
      </c>
      <c r="B46" s="4">
        <v>1</v>
      </c>
      <c r="C46" s="4">
        <v>14052696</v>
      </c>
      <c r="D46" s="4" t="s">
        <v>4951</v>
      </c>
      <c r="E46" s="4" t="s">
        <v>3916</v>
      </c>
      <c r="F46" s="4" t="s">
        <v>3917</v>
      </c>
      <c r="G46" s="4" t="s">
        <v>10</v>
      </c>
      <c r="H46" s="4" t="s">
        <v>4908</v>
      </c>
      <c r="I46" s="4"/>
      <c r="J46" s="4" t="s">
        <v>3735</v>
      </c>
      <c r="K46" s="4"/>
      <c r="L46" s="4" t="s">
        <v>4842</v>
      </c>
      <c r="M46" s="4" t="s">
        <v>3918</v>
      </c>
      <c r="N46" s="4" t="s">
        <v>3390</v>
      </c>
      <c r="O46" s="4"/>
      <c r="P46" s="4" t="s">
        <v>4952</v>
      </c>
      <c r="Q46" s="4" t="s">
        <v>4848</v>
      </c>
      <c r="R46" s="4" t="s">
        <v>4910</v>
      </c>
      <c r="S46" s="4" t="s">
        <v>4911</v>
      </c>
      <c r="T46" s="4" t="s">
        <v>4912</v>
      </c>
      <c r="U46" s="4" t="s">
        <v>4849</v>
      </c>
      <c r="V46" s="4" t="s">
        <v>4850</v>
      </c>
      <c r="W46" s="4" t="s">
        <v>3819</v>
      </c>
      <c r="X46" s="4" t="s">
        <v>201</v>
      </c>
      <c r="Y46" s="4" t="s">
        <v>3735</v>
      </c>
      <c r="Z46" s="4" t="s">
        <v>3598</v>
      </c>
      <c r="AA46" s="4" t="s">
        <v>3585</v>
      </c>
      <c r="AB46" s="4">
        <v>1405269614052697</v>
      </c>
      <c r="AC46" s="4"/>
      <c r="AD46" s="4"/>
      <c r="AE46" s="4"/>
      <c r="AF46" s="4" t="s">
        <v>4892</v>
      </c>
      <c r="AG46" s="4"/>
      <c r="AH46" s="4"/>
      <c r="AI46" s="4"/>
    </row>
    <row r="47" ht="16" customHeight="1" s="4" customFormat="1">
      <c r="A47" s="4">
        <v>145</v>
      </c>
      <c r="B47" s="4">
        <v>1</v>
      </c>
      <c r="C47" s="4">
        <v>14218859</v>
      </c>
      <c r="D47" s="4" t="s">
        <v>1920</v>
      </c>
      <c r="E47" s="4" t="s">
        <v>4419</v>
      </c>
      <c r="F47" s="4" t="s">
        <v>4420</v>
      </c>
      <c r="G47" s="4" t="s">
        <v>4953</v>
      </c>
      <c r="H47" s="4" t="s">
        <v>4954</v>
      </c>
      <c r="I47" s="4"/>
      <c r="J47" s="4" t="s">
        <v>3979</v>
      </c>
      <c r="K47" s="4"/>
      <c r="L47" s="4" t="s">
        <v>4842</v>
      </c>
      <c r="M47" s="4" t="s">
        <v>4421</v>
      </c>
      <c r="N47" s="4" t="s">
        <v>3346</v>
      </c>
      <c r="O47" s="4"/>
      <c r="P47" s="4" t="s">
        <v>4955</v>
      </c>
      <c r="Q47" s="4" t="s">
        <v>4868</v>
      </c>
      <c r="R47" s="4" t="s">
        <v>4956</v>
      </c>
      <c r="S47" s="4" t="s">
        <v>4957</v>
      </c>
      <c r="T47" s="4" t="s">
        <v>4958</v>
      </c>
      <c r="U47" s="4" t="s">
        <v>4868</v>
      </c>
      <c r="V47" s="4" t="s">
        <v>4868</v>
      </c>
      <c r="W47" s="4" t="s">
        <v>3819</v>
      </c>
      <c r="X47" s="4" t="s">
        <v>201</v>
      </c>
      <c r="Y47" s="4" t="s">
        <v>3979</v>
      </c>
      <c r="Z47" s="4" t="s">
        <v>3987</v>
      </c>
      <c r="AA47" s="4" t="s">
        <v>4959</v>
      </c>
      <c r="AB47" s="4">
        <v>1.42188591435171E+15</v>
      </c>
      <c r="AC47" s="4"/>
      <c r="AD47" s="4"/>
      <c r="AE47" s="4"/>
      <c r="AF47" s="4" t="s">
        <v>4864</v>
      </c>
      <c r="AG47" s="4"/>
      <c r="AH47" s="4"/>
      <c r="AI47" s="4"/>
    </row>
    <row r="48" ht="16" customHeight="1" s="4" customFormat="1">
      <c r="A48" s="4">
        <v>146</v>
      </c>
      <c r="B48" s="4">
        <v>1</v>
      </c>
      <c r="C48" s="4">
        <v>10115961</v>
      </c>
      <c r="D48" s="4" t="s">
        <v>1920</v>
      </c>
      <c r="E48" s="4" t="s">
        <v>4422</v>
      </c>
      <c r="F48" s="4" t="s">
        <v>4423</v>
      </c>
      <c r="G48" s="4" t="s">
        <v>4960</v>
      </c>
      <c r="H48" s="4" t="s">
        <v>4961</v>
      </c>
      <c r="I48" s="4"/>
      <c r="J48" s="4" t="s">
        <v>3959</v>
      </c>
      <c r="K48" s="4"/>
      <c r="L48" s="4" t="s">
        <v>4842</v>
      </c>
      <c r="M48" s="4" t="s">
        <v>4424</v>
      </c>
      <c r="N48" s="4" t="s">
        <v>3346</v>
      </c>
      <c r="O48" s="4"/>
      <c r="P48" s="4"/>
      <c r="Q48" s="4" t="s">
        <v>4962</v>
      </c>
      <c r="R48" s="4" t="s">
        <v>4963</v>
      </c>
      <c r="S48" s="4" t="s">
        <v>4964</v>
      </c>
      <c r="T48" s="4" t="s">
        <v>4965</v>
      </c>
      <c r="U48" s="4" t="s">
        <v>4962</v>
      </c>
      <c r="V48" s="4" t="s">
        <v>4962</v>
      </c>
      <c r="W48" s="4" t="s">
        <v>3819</v>
      </c>
      <c r="X48" s="4" t="s">
        <v>201</v>
      </c>
      <c r="Y48" s="4" t="s">
        <v>3959</v>
      </c>
      <c r="Z48" s="4" t="s">
        <v>3959</v>
      </c>
      <c r="AA48" s="4" t="s">
        <v>3957</v>
      </c>
      <c r="AB48" s="4">
        <v>10115961</v>
      </c>
      <c r="AC48" s="4"/>
      <c r="AD48" s="4"/>
      <c r="AE48" s="4"/>
      <c r="AF48" s="4" t="s">
        <v>4966</v>
      </c>
      <c r="AG48" s="4"/>
      <c r="AH48" s="4"/>
      <c r="AI48" s="4"/>
    </row>
    <row r="49" ht="16" customHeight="1" s="4" customFormat="1">
      <c r="A49" s="4">
        <v>148</v>
      </c>
      <c r="B49" s="4">
        <v>1</v>
      </c>
      <c r="C49" s="4">
        <v>14417299</v>
      </c>
      <c r="D49" s="4" t="s">
        <v>1920</v>
      </c>
      <c r="E49" s="4" t="s">
        <v>4427</v>
      </c>
      <c r="F49" s="4" t="s">
        <v>4420</v>
      </c>
      <c r="G49" s="4" t="s">
        <v>4953</v>
      </c>
      <c r="H49" s="4" t="s">
        <v>4954</v>
      </c>
      <c r="I49" s="4"/>
      <c r="J49" s="4" t="s">
        <v>4022</v>
      </c>
      <c r="K49" s="4"/>
      <c r="L49" s="4" t="s">
        <v>4842</v>
      </c>
      <c r="M49" s="4" t="s">
        <v>4436</v>
      </c>
      <c r="N49" s="4" t="s">
        <v>3346</v>
      </c>
      <c r="O49" s="4"/>
      <c r="P49" s="4" t="s">
        <v>4967</v>
      </c>
      <c r="Q49" s="4" t="s">
        <v>4868</v>
      </c>
      <c r="R49" s="4" t="s">
        <v>4956</v>
      </c>
      <c r="S49" s="4" t="s">
        <v>4957</v>
      </c>
      <c r="T49" s="4" t="s">
        <v>4958</v>
      </c>
      <c r="U49" s="4" t="s">
        <v>4868</v>
      </c>
      <c r="V49" s="4" t="s">
        <v>4868</v>
      </c>
      <c r="W49" s="4" t="s">
        <v>3819</v>
      </c>
      <c r="X49" s="4" t="s">
        <v>201</v>
      </c>
      <c r="Y49" s="4" t="s">
        <v>3970</v>
      </c>
      <c r="Z49" s="4" t="s">
        <v>4438</v>
      </c>
      <c r="AA49" s="4" t="s">
        <v>3458</v>
      </c>
      <c r="AB49" s="4">
        <v>1.1821217118212181E+79</v>
      </c>
      <c r="AC49" s="4"/>
      <c r="AD49" s="4"/>
      <c r="AE49" s="4"/>
      <c r="AF49" s="4" t="s">
        <v>4864</v>
      </c>
      <c r="AG49" s="4"/>
      <c r="AH49" s="4"/>
      <c r="AI49" s="4"/>
    </row>
    <row r="50" ht="16" customHeight="1" s="4" customFormat="1">
      <c r="A50" s="4">
        <v>158</v>
      </c>
      <c r="B50" s="4">
        <v>1</v>
      </c>
      <c r="C50" s="4">
        <v>14218997</v>
      </c>
      <c r="D50" s="4" t="s">
        <v>1920</v>
      </c>
      <c r="E50" s="4" t="s">
        <v>4492</v>
      </c>
      <c r="F50" s="4" t="s">
        <v>4477</v>
      </c>
      <c r="G50" s="4" t="s">
        <v>4953</v>
      </c>
      <c r="H50" s="4" t="s">
        <v>4954</v>
      </c>
      <c r="I50" s="4"/>
      <c r="J50" s="4" t="s">
        <v>3979</v>
      </c>
      <c r="K50" s="4"/>
      <c r="L50" s="4" t="s">
        <v>4842</v>
      </c>
      <c r="M50" s="4" t="s">
        <v>4421</v>
      </c>
      <c r="N50" s="4" t="s">
        <v>3346</v>
      </c>
      <c r="O50" s="4"/>
      <c r="P50" s="4" t="s">
        <v>4955</v>
      </c>
      <c r="Q50" s="4" t="s">
        <v>4868</v>
      </c>
      <c r="R50" s="4" t="s">
        <v>4956</v>
      </c>
      <c r="S50" s="4" t="s">
        <v>4957</v>
      </c>
      <c r="T50" s="4" t="s">
        <v>4958</v>
      </c>
      <c r="U50" s="4" t="s">
        <v>4868</v>
      </c>
      <c r="V50" s="4" t="s">
        <v>4868</v>
      </c>
      <c r="W50" s="4" t="s">
        <v>3819</v>
      </c>
      <c r="X50" s="4" t="s">
        <v>201</v>
      </c>
      <c r="Y50" s="4" t="s">
        <v>3979</v>
      </c>
      <c r="Z50" s="4" t="s">
        <v>3987</v>
      </c>
      <c r="AA50" s="4"/>
      <c r="AB50" s="4">
        <v>1421899714351727</v>
      </c>
      <c r="AC50" s="4"/>
      <c r="AD50" s="4"/>
      <c r="AE50" s="4"/>
      <c r="AF50" s="4" t="s">
        <v>4864</v>
      </c>
      <c r="AG50" s="4"/>
      <c r="AH50" s="4"/>
      <c r="AI50" s="4"/>
    </row>
    <row r="51" ht="16" customHeight="1" s="4" customFormat="1">
      <c r="A51" s="4">
        <v>160</v>
      </c>
      <c r="B51" s="4">
        <v>1</v>
      </c>
      <c r="C51" s="4">
        <v>13890293</v>
      </c>
      <c r="D51" s="4" t="s">
        <v>1920</v>
      </c>
      <c r="E51" s="4" t="s">
        <v>4494</v>
      </c>
      <c r="F51" s="4" t="s">
        <v>4477</v>
      </c>
      <c r="G51" s="4" t="s">
        <v>4953</v>
      </c>
      <c r="H51" s="4" t="s">
        <v>4954</v>
      </c>
      <c r="I51" s="4"/>
      <c r="J51" s="4" t="s">
        <v>3981</v>
      </c>
      <c r="K51" s="4"/>
      <c r="L51" s="4" t="s">
        <v>4842</v>
      </c>
      <c r="M51" s="4" t="s">
        <v>4497</v>
      </c>
      <c r="N51" s="4" t="s">
        <v>3346</v>
      </c>
      <c r="O51" s="4"/>
      <c r="P51" s="4" t="s">
        <v>4967</v>
      </c>
      <c r="Q51" s="4" t="s">
        <v>4868</v>
      </c>
      <c r="R51" s="4" t="s">
        <v>4956</v>
      </c>
      <c r="S51" s="4" t="s">
        <v>4957</v>
      </c>
      <c r="T51" s="4" t="s">
        <v>4958</v>
      </c>
      <c r="U51" s="4" t="s">
        <v>4868</v>
      </c>
      <c r="V51" s="4" t="s">
        <v>4868</v>
      </c>
      <c r="W51" s="4" t="s">
        <v>3819</v>
      </c>
      <c r="X51" s="4"/>
      <c r="Y51" s="4" t="s">
        <v>4010</v>
      </c>
      <c r="Z51" s="4" t="s">
        <v>3983</v>
      </c>
      <c r="AA51" s="4"/>
      <c r="AB51" s="4">
        <v>1.1822004118220051E+55</v>
      </c>
      <c r="AC51" s="4"/>
      <c r="AD51" s="4"/>
      <c r="AE51" s="4"/>
      <c r="AF51" s="4" t="s">
        <v>4864</v>
      </c>
      <c r="AG51" s="4"/>
      <c r="AH51" s="4"/>
      <c r="AI51" s="4"/>
    </row>
    <row r="52" ht="16" customHeight="1" s="4" customFormat="1">
      <c r="A52" s="4">
        <v>167</v>
      </c>
      <c r="B52" s="4">
        <v>1</v>
      </c>
      <c r="C52" s="4">
        <v>14218860</v>
      </c>
      <c r="D52" s="4" t="s">
        <v>1920</v>
      </c>
      <c r="E52" s="4" t="s">
        <v>4499</v>
      </c>
      <c r="F52" s="4" t="s">
        <v>4477</v>
      </c>
      <c r="G52" s="4" t="s">
        <v>4953</v>
      </c>
      <c r="H52" s="4" t="s">
        <v>4954</v>
      </c>
      <c r="I52" s="4"/>
      <c r="J52" s="4" t="s">
        <v>3979</v>
      </c>
      <c r="K52" s="4"/>
      <c r="L52" s="4" t="s">
        <v>4842</v>
      </c>
      <c r="M52" s="4" t="s">
        <v>4421</v>
      </c>
      <c r="N52" s="4" t="s">
        <v>3346</v>
      </c>
      <c r="O52" s="4"/>
      <c r="P52" s="4" t="s">
        <v>4955</v>
      </c>
      <c r="Q52" s="4" t="s">
        <v>4868</v>
      </c>
      <c r="R52" s="4" t="s">
        <v>4956</v>
      </c>
      <c r="S52" s="4" t="s">
        <v>4957</v>
      </c>
      <c r="T52" s="4" t="s">
        <v>4958</v>
      </c>
      <c r="U52" s="4" t="s">
        <v>4868</v>
      </c>
      <c r="V52" s="4" t="s">
        <v>4868</v>
      </c>
      <c r="W52" s="4" t="s">
        <v>3819</v>
      </c>
      <c r="X52" s="4" t="s">
        <v>201</v>
      </c>
      <c r="Y52" s="4" t="s">
        <v>3959</v>
      </c>
      <c r="Z52" s="4" t="s">
        <v>3987</v>
      </c>
      <c r="AA52" s="4"/>
      <c r="AB52" s="4">
        <v>1.0115962142188602E+23</v>
      </c>
      <c r="AC52" s="4"/>
      <c r="AD52" s="4"/>
      <c r="AE52" s="4"/>
      <c r="AF52" s="4" t="s">
        <v>4864</v>
      </c>
      <c r="AG52" s="4"/>
      <c r="AH52" s="4"/>
      <c r="AI52" s="4"/>
    </row>
    <row r="53" ht="16" customHeight="1" s="4" customFormat="1">
      <c r="A53" s="4">
        <v>170</v>
      </c>
      <c r="B53" s="4">
        <v>1</v>
      </c>
      <c r="C53" s="4">
        <v>11821223</v>
      </c>
      <c r="D53" s="4" t="s">
        <v>1920</v>
      </c>
      <c r="E53" s="4" t="s">
        <v>4501</v>
      </c>
      <c r="F53" s="4" t="s">
        <v>4477</v>
      </c>
      <c r="G53" s="4" t="s">
        <v>4953</v>
      </c>
      <c r="H53" s="4" t="s">
        <v>4954</v>
      </c>
      <c r="I53" s="4"/>
      <c r="J53" s="4" t="s">
        <v>3973</v>
      </c>
      <c r="K53" s="4"/>
      <c r="L53" s="4" t="s">
        <v>4842</v>
      </c>
      <c r="M53" s="4" t="s">
        <v>4430</v>
      </c>
      <c r="N53" s="4" t="s">
        <v>3346</v>
      </c>
      <c r="O53" s="4"/>
      <c r="P53" s="4"/>
      <c r="Q53" s="4" t="s">
        <v>4868</v>
      </c>
      <c r="R53" s="4" t="s">
        <v>4956</v>
      </c>
      <c r="S53" s="4" t="s">
        <v>4957</v>
      </c>
      <c r="T53" s="4" t="s">
        <v>4958</v>
      </c>
      <c r="U53" s="4" t="s">
        <v>4868</v>
      </c>
      <c r="V53" s="4" t="s">
        <v>4868</v>
      </c>
      <c r="W53" s="4" t="s">
        <v>3819</v>
      </c>
      <c r="X53" s="4"/>
      <c r="Y53" s="4" t="s">
        <v>3970</v>
      </c>
      <c r="Z53" s="4" t="s">
        <v>3983</v>
      </c>
      <c r="AA53" s="4"/>
      <c r="AB53" s="4">
        <v>1.1821223118212241E+111</v>
      </c>
      <c r="AC53" s="4"/>
      <c r="AD53" s="4"/>
      <c r="AE53" s="4"/>
      <c r="AF53" s="4" t="s">
        <v>4864</v>
      </c>
      <c r="AG53" s="4"/>
      <c r="AH53" s="4"/>
      <c r="AI53" s="4"/>
    </row>
    <row r="54" ht="16" customHeight="1" s="4" customFormat="1">
      <c r="A54" s="4">
        <v>184</v>
      </c>
      <c r="B54" s="4">
        <v>1</v>
      </c>
      <c r="C54" s="4">
        <v>14218862</v>
      </c>
      <c r="D54" s="4" t="s">
        <v>1920</v>
      </c>
      <c r="E54" s="4" t="s">
        <v>4507</v>
      </c>
      <c r="F54" s="4" t="s">
        <v>4420</v>
      </c>
      <c r="G54" s="4" t="s">
        <v>4953</v>
      </c>
      <c r="H54" s="4" t="s">
        <v>4954</v>
      </c>
      <c r="I54" s="4"/>
      <c r="J54" s="4" t="s">
        <v>3979</v>
      </c>
      <c r="K54" s="4"/>
      <c r="L54" s="4" t="s">
        <v>4842</v>
      </c>
      <c r="M54" s="4" t="s">
        <v>4421</v>
      </c>
      <c r="N54" s="4" t="s">
        <v>3346</v>
      </c>
      <c r="O54" s="4"/>
      <c r="P54" s="4" t="s">
        <v>4955</v>
      </c>
      <c r="Q54" s="4" t="s">
        <v>4868</v>
      </c>
      <c r="R54" s="4" t="s">
        <v>4956</v>
      </c>
      <c r="S54" s="4" t="s">
        <v>4957</v>
      </c>
      <c r="T54" s="4" t="s">
        <v>4958</v>
      </c>
      <c r="U54" s="4" t="s">
        <v>4868</v>
      </c>
      <c r="V54" s="4" t="s">
        <v>4868</v>
      </c>
      <c r="W54" s="4" t="s">
        <v>3819</v>
      </c>
      <c r="X54" s="4" t="s">
        <v>201</v>
      </c>
      <c r="Y54" s="4" t="s">
        <v>3959</v>
      </c>
      <c r="Z54" s="4" t="s">
        <v>3987</v>
      </c>
      <c r="AA54" s="4"/>
      <c r="AB54" s="4">
        <v>1.0115964142188621E+23</v>
      </c>
      <c r="AC54" s="4"/>
      <c r="AD54" s="4"/>
      <c r="AE54" s="4"/>
      <c r="AF54" s="4" t="s">
        <v>4864</v>
      </c>
      <c r="AG54" s="4"/>
      <c r="AH54" s="4"/>
      <c r="AI54" s="4"/>
    </row>
    <row r="55" ht="16" customHeight="1" s="4" customFormat="1">
      <c r="A55" s="4">
        <v>187</v>
      </c>
      <c r="B55" s="4">
        <v>1</v>
      </c>
      <c r="C55" s="4">
        <v>11821235</v>
      </c>
      <c r="D55" s="4" t="s">
        <v>1920</v>
      </c>
      <c r="E55" s="4" t="s">
        <v>4509</v>
      </c>
      <c r="F55" s="4" t="s">
        <v>4420</v>
      </c>
      <c r="G55" s="4" t="s">
        <v>4953</v>
      </c>
      <c r="H55" s="4" t="s">
        <v>4954</v>
      </c>
      <c r="I55" s="4"/>
      <c r="J55" s="4" t="s">
        <v>3973</v>
      </c>
      <c r="K55" s="4"/>
      <c r="L55" s="4" t="s">
        <v>4842</v>
      </c>
      <c r="M55" s="4" t="s">
        <v>4430</v>
      </c>
      <c r="N55" s="4" t="s">
        <v>3346</v>
      </c>
      <c r="O55" s="4"/>
      <c r="P55" s="4"/>
      <c r="Q55" s="4" t="s">
        <v>4868</v>
      </c>
      <c r="R55" s="4" t="s">
        <v>4956</v>
      </c>
      <c r="S55" s="4" t="s">
        <v>4957</v>
      </c>
      <c r="T55" s="4" t="s">
        <v>4958</v>
      </c>
      <c r="U55" s="4" t="s">
        <v>4868</v>
      </c>
      <c r="V55" s="4" t="s">
        <v>4868</v>
      </c>
      <c r="W55" s="4" t="s">
        <v>3819</v>
      </c>
      <c r="X55" s="4"/>
      <c r="Y55" s="4" t="s">
        <v>3970</v>
      </c>
      <c r="Z55" s="4" t="s">
        <v>3983</v>
      </c>
      <c r="AA55" s="4"/>
      <c r="AB55" s="4">
        <v>1.1821235118212361E+111</v>
      </c>
      <c r="AC55" s="4"/>
      <c r="AD55" s="4"/>
      <c r="AE55" s="4"/>
      <c r="AF55" s="4" t="s">
        <v>4864</v>
      </c>
      <c r="AG55" s="4"/>
      <c r="AH55" s="4"/>
      <c r="AI55" s="4"/>
    </row>
    <row r="56" ht="16" customHeight="1" s="4" customFormat="1">
      <c r="A56" s="4">
        <v>201</v>
      </c>
      <c r="B56" s="4">
        <v>1</v>
      </c>
      <c r="C56" s="4">
        <v>14218861</v>
      </c>
      <c r="D56" s="4" t="s">
        <v>1920</v>
      </c>
      <c r="E56" s="4" t="s">
        <v>4511</v>
      </c>
      <c r="F56" s="4" t="s">
        <v>4420</v>
      </c>
      <c r="G56" s="4" t="s">
        <v>4953</v>
      </c>
      <c r="H56" s="4" t="s">
        <v>4954</v>
      </c>
      <c r="I56" s="4"/>
      <c r="J56" s="4" t="s">
        <v>3979</v>
      </c>
      <c r="K56" s="4"/>
      <c r="L56" s="4" t="s">
        <v>4842</v>
      </c>
      <c r="M56" s="4" t="s">
        <v>4421</v>
      </c>
      <c r="N56" s="4" t="s">
        <v>3346</v>
      </c>
      <c r="O56" s="4"/>
      <c r="P56" s="4" t="s">
        <v>4955</v>
      </c>
      <c r="Q56" s="4" t="s">
        <v>4868</v>
      </c>
      <c r="R56" s="4" t="s">
        <v>4956</v>
      </c>
      <c r="S56" s="4" t="s">
        <v>4957</v>
      </c>
      <c r="T56" s="4" t="s">
        <v>4958</v>
      </c>
      <c r="U56" s="4" t="s">
        <v>4868</v>
      </c>
      <c r="V56" s="4" t="s">
        <v>4868</v>
      </c>
      <c r="W56" s="4" t="s">
        <v>3819</v>
      </c>
      <c r="X56" s="4" t="s">
        <v>201</v>
      </c>
      <c r="Y56" s="4" t="s">
        <v>3959</v>
      </c>
      <c r="Z56" s="4" t="s">
        <v>3987</v>
      </c>
      <c r="AA56" s="4"/>
      <c r="AB56" s="4">
        <v>1.0115963142188611E+23</v>
      </c>
      <c r="AC56" s="4"/>
      <c r="AD56" s="4"/>
      <c r="AE56" s="4"/>
      <c r="AF56" s="4" t="s">
        <v>4864</v>
      </c>
      <c r="AG56" s="4"/>
      <c r="AH56" s="4"/>
      <c r="AI56" s="4"/>
    </row>
    <row r="57" ht="16" customHeight="1" s="4" customFormat="1">
      <c r="A57" s="4">
        <v>204</v>
      </c>
      <c r="B57" s="4">
        <v>1</v>
      </c>
      <c r="C57" s="4">
        <v>11821229</v>
      </c>
      <c r="D57" s="4" t="s">
        <v>1920</v>
      </c>
      <c r="E57" s="4" t="s">
        <v>4513</v>
      </c>
      <c r="F57" s="4" t="s">
        <v>4420</v>
      </c>
      <c r="G57" s="4" t="s">
        <v>4953</v>
      </c>
      <c r="H57" s="4" t="s">
        <v>4968</v>
      </c>
      <c r="I57" s="4"/>
      <c r="J57" s="4" t="s">
        <v>3973</v>
      </c>
      <c r="K57" s="4"/>
      <c r="L57" s="4" t="s">
        <v>4842</v>
      </c>
      <c r="M57" s="4" t="s">
        <v>4430</v>
      </c>
      <c r="N57" s="4" t="s">
        <v>3346</v>
      </c>
      <c r="O57" s="4"/>
      <c r="P57" s="4"/>
      <c r="Q57" s="4" t="s">
        <v>4868</v>
      </c>
      <c r="R57" s="4" t="s">
        <v>4969</v>
      </c>
      <c r="S57" s="4" t="s">
        <v>4970</v>
      </c>
      <c r="T57" s="4" t="s">
        <v>4971</v>
      </c>
      <c r="U57" s="4" t="s">
        <v>4868</v>
      </c>
      <c r="V57" s="4" t="s">
        <v>4868</v>
      </c>
      <c r="W57" s="4" t="s">
        <v>3819</v>
      </c>
      <c r="X57" s="4"/>
      <c r="Y57" s="4" t="s">
        <v>3970</v>
      </c>
      <c r="Z57" s="4" t="s">
        <v>3992</v>
      </c>
      <c r="AA57" s="4"/>
      <c r="AB57" s="4">
        <v>1.1821229118212302E+71</v>
      </c>
      <c r="AC57" s="4"/>
      <c r="AD57" s="4"/>
      <c r="AE57" s="4"/>
      <c r="AF57" s="4" t="s">
        <v>4864</v>
      </c>
      <c r="AG57" s="4"/>
      <c r="AH57" s="4"/>
      <c r="AI57" s="4"/>
    </row>
    <row r="58" ht="16" customHeight="1" s="4" customFormat="1">
      <c r="A58" s="4">
        <v>213</v>
      </c>
      <c r="B58" s="4">
        <v>1</v>
      </c>
      <c r="C58" s="4">
        <v>7817562</v>
      </c>
      <c r="D58" s="4" t="s">
        <v>4940</v>
      </c>
      <c r="E58" s="4" t="s">
        <v>3812</v>
      </c>
      <c r="F58" s="4" t="s">
        <v>3813</v>
      </c>
      <c r="G58" s="4" t="s">
        <v>10</v>
      </c>
      <c r="H58" s="4" t="s">
        <v>4972</v>
      </c>
      <c r="I58" s="4"/>
      <c r="J58" s="4" t="s">
        <v>3746</v>
      </c>
      <c r="K58" s="4"/>
      <c r="L58" s="4" t="s">
        <v>4798</v>
      </c>
      <c r="M58" s="4" t="s">
        <v>3814</v>
      </c>
      <c r="N58" s="4" t="s">
        <v>3390</v>
      </c>
      <c r="O58" s="4"/>
      <c r="P58" s="4" t="s">
        <v>4973</v>
      </c>
      <c r="Q58" s="4" t="s">
        <v>4848</v>
      </c>
      <c r="R58" s="4" t="s">
        <v>4974</v>
      </c>
      <c r="S58" s="4" t="s">
        <v>4975</v>
      </c>
      <c r="T58" s="4" t="s">
        <v>4976</v>
      </c>
      <c r="U58" s="4" t="s">
        <v>4849</v>
      </c>
      <c r="V58" s="4" t="s">
        <v>4850</v>
      </c>
      <c r="W58" s="4" t="s">
        <v>3761</v>
      </c>
      <c r="X58" s="4" t="s">
        <v>201</v>
      </c>
      <c r="Y58" s="4" t="s">
        <v>3746</v>
      </c>
      <c r="Z58" s="4" t="s">
        <v>3746</v>
      </c>
      <c r="AA58" s="4"/>
      <c r="AB58" s="4">
        <v>7817562</v>
      </c>
      <c r="AC58" s="4"/>
      <c r="AD58" s="4"/>
      <c r="AE58" s="4"/>
      <c r="AF58" s="4" t="s">
        <v>4977</v>
      </c>
      <c r="AG58" s="4"/>
      <c r="AH58" s="4"/>
      <c r="AI58" s="4"/>
    </row>
    <row r="59" ht="16" customHeight="1" s="4" customFormat="1">
      <c r="A59" s="4">
        <v>214</v>
      </c>
      <c r="B59" s="4">
        <v>1</v>
      </c>
      <c r="C59" s="4">
        <v>7570145</v>
      </c>
      <c r="D59" s="4" t="s">
        <v>4940</v>
      </c>
      <c r="E59" s="4" t="s">
        <v>3815</v>
      </c>
      <c r="F59" s="4" t="s">
        <v>3813</v>
      </c>
      <c r="G59" s="4" t="s">
        <v>10</v>
      </c>
      <c r="H59" s="4" t="s">
        <v>4972</v>
      </c>
      <c r="I59" s="4"/>
      <c r="J59" s="4" t="s">
        <v>3751</v>
      </c>
      <c r="K59" s="4"/>
      <c r="L59" s="4" t="s">
        <v>4798</v>
      </c>
      <c r="M59" s="4" t="s">
        <v>3816</v>
      </c>
      <c r="N59" s="4" t="s">
        <v>3390</v>
      </c>
      <c r="O59" s="4"/>
      <c r="P59" s="4" t="s">
        <v>4973</v>
      </c>
      <c r="Q59" s="4" t="s">
        <v>4848</v>
      </c>
      <c r="R59" s="4" t="s">
        <v>4974</v>
      </c>
      <c r="S59" s="4" t="s">
        <v>4975</v>
      </c>
      <c r="T59" s="4" t="s">
        <v>4976</v>
      </c>
      <c r="U59" s="4" t="s">
        <v>4849</v>
      </c>
      <c r="V59" s="4" t="s">
        <v>4850</v>
      </c>
      <c r="W59" s="4" t="s">
        <v>3761</v>
      </c>
      <c r="X59" s="4" t="s">
        <v>201</v>
      </c>
      <c r="Y59" s="4" t="s">
        <v>3751</v>
      </c>
      <c r="Z59" s="4" t="s">
        <v>3751</v>
      </c>
      <c r="AA59" s="4"/>
      <c r="AB59" s="4">
        <v>7570145</v>
      </c>
      <c r="AC59" s="4"/>
      <c r="AD59" s="4"/>
      <c r="AE59" s="4"/>
      <c r="AF59" s="4" t="s">
        <v>4977</v>
      </c>
      <c r="AG59" s="4"/>
      <c r="AH59" s="4"/>
      <c r="AI59" s="4"/>
    </row>
    <row r="60" ht="16" customHeight="1" s="4" customFormat="1">
      <c r="A60" s="4">
        <v>215</v>
      </c>
      <c r="B60" s="4">
        <v>1</v>
      </c>
      <c r="C60" s="4">
        <v>12256366</v>
      </c>
      <c r="D60" s="4" t="s">
        <v>4940</v>
      </c>
      <c r="E60" s="4" t="s">
        <v>4365</v>
      </c>
      <c r="F60" s="4" t="s">
        <v>4366</v>
      </c>
      <c r="G60" s="4" t="s">
        <v>4978</v>
      </c>
      <c r="H60" s="4" t="s">
        <v>4979</v>
      </c>
      <c r="I60" s="4"/>
      <c r="J60" s="4" t="s">
        <v>4368</v>
      </c>
      <c r="K60" s="4"/>
      <c r="L60" s="4" t="s">
        <v>4798</v>
      </c>
      <c r="M60" s="4" t="s">
        <v>4367</v>
      </c>
      <c r="N60" s="4" t="s">
        <v>3390</v>
      </c>
      <c r="O60" s="4"/>
      <c r="P60" s="4" t="s">
        <v>4980</v>
      </c>
      <c r="Q60" s="4" t="s">
        <v>4981</v>
      </c>
      <c r="R60" s="4" t="s">
        <v>4982</v>
      </c>
      <c r="S60" s="4" t="s">
        <v>4983</v>
      </c>
      <c r="T60" s="4" t="s">
        <v>4984</v>
      </c>
      <c r="U60" s="4" t="s">
        <v>4985</v>
      </c>
      <c r="V60" s="4" t="s">
        <v>4986</v>
      </c>
      <c r="W60" s="4" t="s">
        <v>3761</v>
      </c>
      <c r="X60" s="4" t="s">
        <v>201</v>
      </c>
      <c r="Y60" s="4" t="s">
        <v>3438</v>
      </c>
      <c r="Z60" s="4" t="s">
        <v>4368</v>
      </c>
      <c r="AA60" s="4" t="s">
        <v>4368</v>
      </c>
      <c r="AB60" s="4">
        <v>1.2256366116432061E+23</v>
      </c>
      <c r="AC60" s="4"/>
      <c r="AD60" s="4"/>
      <c r="AE60" s="4"/>
      <c r="AF60" s="4" t="s">
        <v>4864</v>
      </c>
      <c r="AG60" s="4"/>
      <c r="AH60" s="4"/>
      <c r="AI60" s="4"/>
    </row>
    <row r="61" ht="16" customHeight="1" s="4" customFormat="1">
      <c r="A61" s="4">
        <v>216</v>
      </c>
      <c r="B61" s="4">
        <v>1</v>
      </c>
      <c r="C61" s="4">
        <v>5724797</v>
      </c>
      <c r="D61" s="4" t="s">
        <v>4940</v>
      </c>
      <c r="E61" s="4" t="s">
        <v>4348</v>
      </c>
      <c r="F61" s="4" t="s">
        <v>4349</v>
      </c>
      <c r="G61" s="4" t="s">
        <v>4987</v>
      </c>
      <c r="H61" s="4" t="s">
        <v>10</v>
      </c>
      <c r="I61" s="4"/>
      <c r="J61" s="4" t="s">
        <v>4238</v>
      </c>
      <c r="K61" s="4"/>
      <c r="L61" s="4" t="s">
        <v>4988</v>
      </c>
      <c r="M61" s="4" t="s">
        <v>4350</v>
      </c>
      <c r="N61" s="4" t="s">
        <v>3390</v>
      </c>
      <c r="O61" s="4"/>
      <c r="P61" s="4" t="s">
        <v>4989</v>
      </c>
      <c r="Q61" s="4" t="s">
        <v>4990</v>
      </c>
      <c r="R61" s="4" t="s">
        <v>4848</v>
      </c>
      <c r="S61" s="4" t="s">
        <v>4849</v>
      </c>
      <c r="T61" s="4" t="s">
        <v>4850</v>
      </c>
      <c r="U61" s="4" t="s">
        <v>4991</v>
      </c>
      <c r="V61" s="4" t="s">
        <v>4992</v>
      </c>
      <c r="W61" s="4" t="s">
        <v>3761</v>
      </c>
      <c r="X61" s="4" t="s">
        <v>201</v>
      </c>
      <c r="Y61" s="4" t="s">
        <v>4231</v>
      </c>
      <c r="Z61" s="4" t="s">
        <v>4238</v>
      </c>
      <c r="AA61" s="4"/>
      <c r="AB61" s="4">
        <v>5.7247973377984338E+41</v>
      </c>
      <c r="AC61" s="4"/>
      <c r="AD61" s="4"/>
      <c r="AE61" s="4"/>
      <c r="AF61" s="4" t="s">
        <v>4814</v>
      </c>
      <c r="AG61" s="4"/>
      <c r="AH61" s="4"/>
      <c r="AI61" s="4"/>
    </row>
    <row r="62" ht="16" customHeight="1" s="4" customFormat="1">
      <c r="A62" s="4">
        <v>217</v>
      </c>
      <c r="B62" s="4">
        <v>1</v>
      </c>
      <c r="C62" s="4">
        <v>8938901</v>
      </c>
      <c r="D62" s="4" t="s">
        <v>4993</v>
      </c>
      <c r="E62" s="4" t="s">
        <v>4351</v>
      </c>
      <c r="F62" s="4" t="s">
        <v>4337</v>
      </c>
      <c r="G62" s="4" t="s">
        <v>4994</v>
      </c>
      <c r="H62" s="4" t="s">
        <v>4995</v>
      </c>
      <c r="I62" s="4"/>
      <c r="J62" s="4" t="s">
        <v>4347</v>
      </c>
      <c r="K62" s="4"/>
      <c r="L62" s="4" t="s">
        <v>4798</v>
      </c>
      <c r="M62" s="4" t="s">
        <v>4352</v>
      </c>
      <c r="N62" s="4" t="s">
        <v>3390</v>
      </c>
      <c r="O62" s="4"/>
      <c r="P62" s="4" t="s">
        <v>4996</v>
      </c>
      <c r="Q62" s="4" t="s">
        <v>4997</v>
      </c>
      <c r="R62" s="4" t="s">
        <v>4998</v>
      </c>
      <c r="S62" s="4" t="s">
        <v>4999</v>
      </c>
      <c r="T62" s="4" t="s">
        <v>5000</v>
      </c>
      <c r="U62" s="4" t="s">
        <v>5001</v>
      </c>
      <c r="V62" s="4" t="s">
        <v>5002</v>
      </c>
      <c r="W62" s="4" t="s">
        <v>3761</v>
      </c>
      <c r="X62" s="4"/>
      <c r="Y62" s="4" t="s">
        <v>4343</v>
      </c>
      <c r="Z62" s="4" t="s">
        <v>4347</v>
      </c>
      <c r="AA62" s="4"/>
      <c r="AB62" s="4">
        <v>8.9389018938902891E+83</v>
      </c>
      <c r="AC62" s="4"/>
      <c r="AD62" s="4"/>
      <c r="AE62" s="4"/>
      <c r="AF62" s="4" t="s">
        <v>5003</v>
      </c>
      <c r="AG62" s="4"/>
      <c r="AH62" s="4"/>
      <c r="AI62" s="4"/>
    </row>
    <row r="63" ht="16" customHeight="1" s="4" customFormat="1">
      <c r="A63" s="4">
        <v>218</v>
      </c>
      <c r="B63" s="4">
        <v>1</v>
      </c>
      <c r="C63" s="4">
        <v>8939489</v>
      </c>
      <c r="D63" s="4" t="s">
        <v>5004</v>
      </c>
      <c r="E63" s="4" t="s">
        <v>4336</v>
      </c>
      <c r="F63" s="4" t="s">
        <v>4337</v>
      </c>
      <c r="G63" s="4" t="s">
        <v>4994</v>
      </c>
      <c r="H63" s="4" t="s">
        <v>4995</v>
      </c>
      <c r="I63" s="4"/>
      <c r="J63" s="4" t="s">
        <v>4339</v>
      </c>
      <c r="K63" s="4"/>
      <c r="L63" s="4" t="s">
        <v>4798</v>
      </c>
      <c r="M63" s="4" t="s">
        <v>4338</v>
      </c>
      <c r="N63" s="4" t="s">
        <v>3390</v>
      </c>
      <c r="O63" s="4"/>
      <c r="P63" s="4" t="s">
        <v>4996</v>
      </c>
      <c r="Q63" s="4" t="s">
        <v>4997</v>
      </c>
      <c r="R63" s="4" t="s">
        <v>4998</v>
      </c>
      <c r="S63" s="4" t="s">
        <v>4999</v>
      </c>
      <c r="T63" s="4" t="s">
        <v>5000</v>
      </c>
      <c r="U63" s="4" t="s">
        <v>5001</v>
      </c>
      <c r="V63" s="4" t="s">
        <v>5002</v>
      </c>
      <c r="W63" s="4" t="s">
        <v>3761</v>
      </c>
      <c r="X63" s="4"/>
      <c r="Y63" s="4" t="s">
        <v>4594</v>
      </c>
      <c r="Z63" s="4" t="s">
        <v>4339</v>
      </c>
      <c r="AA63" s="4"/>
      <c r="AB63" s="4">
        <v>89394898965845</v>
      </c>
      <c r="AC63" s="4"/>
      <c r="AD63" s="4"/>
      <c r="AE63" s="4"/>
      <c r="AF63" s="4" t="s">
        <v>5003</v>
      </c>
      <c r="AG63" s="4"/>
      <c r="AH63" s="4"/>
      <c r="AI63" s="4"/>
    </row>
    <row r="64" ht="16" customHeight="1" s="4" customFormat="1">
      <c r="A64" s="4">
        <v>219</v>
      </c>
      <c r="B64" s="4">
        <v>1</v>
      </c>
      <c r="C64" s="4">
        <v>10445422</v>
      </c>
      <c r="D64" s="4" t="s">
        <v>1922</v>
      </c>
      <c r="E64" s="4" t="s">
        <v>3809</v>
      </c>
      <c r="F64" s="4" t="s">
        <v>3810</v>
      </c>
      <c r="G64" s="4" t="s">
        <v>10</v>
      </c>
      <c r="H64" s="4" t="s">
        <v>5005</v>
      </c>
      <c r="I64" s="4"/>
      <c r="J64" s="4" t="s">
        <v>3530</v>
      </c>
      <c r="K64" s="4"/>
      <c r="L64" s="4" t="s">
        <v>4798</v>
      </c>
      <c r="M64" s="4" t="s">
        <v>3811</v>
      </c>
      <c r="N64" s="4" t="s">
        <v>3390</v>
      </c>
      <c r="O64" s="4"/>
      <c r="P64" s="4" t="s">
        <v>5006</v>
      </c>
      <c r="Q64" s="4" t="s">
        <v>4848</v>
      </c>
      <c r="R64" s="4" t="s">
        <v>5007</v>
      </c>
      <c r="S64" s="4" t="s">
        <v>5007</v>
      </c>
      <c r="T64" s="4" t="s">
        <v>5007</v>
      </c>
      <c r="U64" s="4" t="s">
        <v>4849</v>
      </c>
      <c r="V64" s="4" t="s">
        <v>4850</v>
      </c>
      <c r="W64" s="4" t="s">
        <v>3761</v>
      </c>
      <c r="X64" s="4" t="s">
        <v>201</v>
      </c>
      <c r="Y64" s="4" t="s">
        <v>3728</v>
      </c>
      <c r="Z64" s="4" t="s">
        <v>3530</v>
      </c>
      <c r="AA64" s="4" t="s">
        <v>3686</v>
      </c>
      <c r="AB64" s="4">
        <v>1.0445422987905511E+46</v>
      </c>
      <c r="AC64" s="4"/>
      <c r="AD64" s="4"/>
      <c r="AE64" s="4"/>
      <c r="AF64" s="4" t="s">
        <v>4977</v>
      </c>
      <c r="AG64" s="4"/>
      <c r="AH64" s="4"/>
      <c r="AI64" s="4"/>
    </row>
    <row r="65" ht="16" customHeight="1" s="4" customFormat="1">
      <c r="A65" s="4">
        <v>220</v>
      </c>
      <c r="B65" s="4">
        <v>1</v>
      </c>
      <c r="C65" s="4">
        <v>8966311</v>
      </c>
      <c r="D65" s="4" t="s">
        <v>4993</v>
      </c>
      <c r="E65" s="4" t="s">
        <v>4340</v>
      </c>
      <c r="F65" s="4" t="s">
        <v>4341</v>
      </c>
      <c r="G65" s="4" t="s">
        <v>4994</v>
      </c>
      <c r="H65" s="4" t="s">
        <v>5008</v>
      </c>
      <c r="I65" s="4"/>
      <c r="J65" s="4" t="s">
        <v>4343</v>
      </c>
      <c r="K65" s="4"/>
      <c r="L65" s="4" t="s">
        <v>4798</v>
      </c>
      <c r="M65" s="4" t="s">
        <v>4342</v>
      </c>
      <c r="N65" s="4" t="s">
        <v>3390</v>
      </c>
      <c r="O65" s="4"/>
      <c r="P65" s="4" t="s">
        <v>4996</v>
      </c>
      <c r="Q65" s="4" t="s">
        <v>5009</v>
      </c>
      <c r="R65" s="4" t="s">
        <v>5010</v>
      </c>
      <c r="S65" s="4" t="s">
        <v>5011</v>
      </c>
      <c r="T65" s="4" t="s">
        <v>5012</v>
      </c>
      <c r="U65" s="4" t="s">
        <v>5013</v>
      </c>
      <c r="V65" s="4" t="s">
        <v>5014</v>
      </c>
      <c r="W65" s="4" t="s">
        <v>3761</v>
      </c>
      <c r="X65" s="4"/>
      <c r="Y65" s="4" t="s">
        <v>4343</v>
      </c>
      <c r="Z65" s="4" t="s">
        <v>4343</v>
      </c>
      <c r="AA65" s="4"/>
      <c r="AB65" s="4">
        <v>8966311</v>
      </c>
      <c r="AC65" s="4"/>
      <c r="AD65" s="4"/>
      <c r="AE65" s="4"/>
      <c r="AF65" s="4" t="s">
        <v>4814</v>
      </c>
      <c r="AG65" s="4"/>
      <c r="AH65" s="4"/>
      <c r="AI65" s="4"/>
    </row>
    <row r="66" ht="16" customHeight="1" s="4" customFormat="1">
      <c r="A66" s="4">
        <v>221</v>
      </c>
      <c r="B66" s="4">
        <v>1</v>
      </c>
      <c r="C66" s="4">
        <v>8938920</v>
      </c>
      <c r="D66" s="4" t="s">
        <v>4993</v>
      </c>
      <c r="E66" s="4" t="s">
        <v>4344</v>
      </c>
      <c r="F66" s="4" t="s">
        <v>4345</v>
      </c>
      <c r="G66" s="4" t="s">
        <v>4994</v>
      </c>
      <c r="H66" s="4" t="s">
        <v>5015</v>
      </c>
      <c r="I66" s="4"/>
      <c r="J66" s="4" t="s">
        <v>4347</v>
      </c>
      <c r="K66" s="4"/>
      <c r="L66" s="4" t="s">
        <v>4798</v>
      </c>
      <c r="M66" s="4" t="s">
        <v>4346</v>
      </c>
      <c r="N66" s="4" t="s">
        <v>3390</v>
      </c>
      <c r="O66" s="4"/>
      <c r="P66" s="4" t="s">
        <v>4996</v>
      </c>
      <c r="Q66" s="4" t="s">
        <v>4997</v>
      </c>
      <c r="R66" s="4" t="s">
        <v>5016</v>
      </c>
      <c r="S66" s="4" t="s">
        <v>5017</v>
      </c>
      <c r="T66" s="4" t="s">
        <v>5018</v>
      </c>
      <c r="U66" s="4" t="s">
        <v>5001</v>
      </c>
      <c r="V66" s="4" t="s">
        <v>5002</v>
      </c>
      <c r="W66" s="4" t="s">
        <v>3761</v>
      </c>
      <c r="X66" s="4"/>
      <c r="Y66" s="4" t="s">
        <v>4343</v>
      </c>
      <c r="Z66" s="4" t="s">
        <v>4347</v>
      </c>
      <c r="AA66" s="4"/>
      <c r="AB66" s="4">
        <v>8.93892089389219E+69</v>
      </c>
      <c r="AC66" s="4"/>
      <c r="AD66" s="4"/>
      <c r="AE66" s="4"/>
      <c r="AF66" s="4" t="s">
        <v>5019</v>
      </c>
      <c r="AG66" s="4"/>
      <c r="AH66" s="4"/>
      <c r="AI66" s="4"/>
    </row>
    <row r="67" ht="16" customHeight="1" s="4" customFormat="1">
      <c r="A67" s="4">
        <v>222</v>
      </c>
      <c r="B67" s="4">
        <v>1</v>
      </c>
      <c r="C67" s="4">
        <v>13147585</v>
      </c>
      <c r="D67" s="4" t="s">
        <v>1922</v>
      </c>
      <c r="E67" s="4" t="s">
        <v>4369</v>
      </c>
      <c r="F67" s="4" t="s">
        <v>4370</v>
      </c>
      <c r="G67" s="4" t="s">
        <v>1530</v>
      </c>
      <c r="H67" s="4" t="s">
        <v>4954</v>
      </c>
      <c r="I67" s="4"/>
      <c r="J67" s="4" t="s">
        <v>3844</v>
      </c>
      <c r="K67" s="4"/>
      <c r="L67" s="4" t="s">
        <v>4798</v>
      </c>
      <c r="M67" s="4" t="s">
        <v>4371</v>
      </c>
      <c r="N67" s="4" t="s">
        <v>3390</v>
      </c>
      <c r="O67" s="4"/>
      <c r="P67" s="4" t="s">
        <v>5020</v>
      </c>
      <c r="Q67" s="4" t="s">
        <v>5021</v>
      </c>
      <c r="R67" s="4" t="s">
        <v>4956</v>
      </c>
      <c r="S67" s="4" t="s">
        <v>4957</v>
      </c>
      <c r="T67" s="4" t="s">
        <v>4958</v>
      </c>
      <c r="U67" s="4" t="s">
        <v>5022</v>
      </c>
      <c r="V67" s="4" t="s">
        <v>2120</v>
      </c>
      <c r="W67" s="4" t="s">
        <v>3761</v>
      </c>
      <c r="X67" s="4" t="s">
        <v>201</v>
      </c>
      <c r="Y67" s="4" t="s">
        <v>4289</v>
      </c>
      <c r="Z67" s="4" t="s">
        <v>3844</v>
      </c>
      <c r="AA67" s="4" t="s">
        <v>4255</v>
      </c>
      <c r="AB67" s="4">
        <v>1.3147585129351331E+47</v>
      </c>
      <c r="AC67" s="4"/>
      <c r="AD67" s="4"/>
      <c r="AE67" s="4"/>
      <c r="AF67" s="4" t="s">
        <v>4864</v>
      </c>
      <c r="AG67" s="4"/>
      <c r="AH67" s="4"/>
      <c r="AI67" s="4"/>
    </row>
    <row r="68" ht="16" customHeight="1" s="4" customFormat="1">
      <c r="A68" s="4">
        <v>223</v>
      </c>
      <c r="B68" s="4">
        <v>1</v>
      </c>
      <c r="C68" s="4">
        <v>13856897</v>
      </c>
      <c r="D68" s="4" t="s">
        <v>1918</v>
      </c>
      <c r="E68" s="4" t="s">
        <v>4357</v>
      </c>
      <c r="F68" s="4" t="s">
        <v>4358</v>
      </c>
      <c r="G68" s="4" t="s">
        <v>5023</v>
      </c>
      <c r="H68" s="4" t="s">
        <v>5024</v>
      </c>
      <c r="I68" s="4"/>
      <c r="J68" s="4" t="s">
        <v>4360</v>
      </c>
      <c r="K68" s="4"/>
      <c r="L68" s="4" t="s">
        <v>4798</v>
      </c>
      <c r="M68" s="4" t="s">
        <v>4359</v>
      </c>
      <c r="N68" s="4" t="s">
        <v>3390</v>
      </c>
      <c r="O68" s="4"/>
      <c r="P68" s="4" t="s">
        <v>5025</v>
      </c>
      <c r="Q68" s="4" t="s">
        <v>4868</v>
      </c>
      <c r="R68" s="4" t="s">
        <v>5026</v>
      </c>
      <c r="S68" s="4" t="s">
        <v>5027</v>
      </c>
      <c r="T68" s="4" t="s">
        <v>5028</v>
      </c>
      <c r="U68" s="4" t="s">
        <v>4868</v>
      </c>
      <c r="V68" s="4" t="s">
        <v>4868</v>
      </c>
      <c r="W68" s="4" t="s">
        <v>3761</v>
      </c>
      <c r="X68" s="4" t="s">
        <v>201</v>
      </c>
      <c r="Y68" s="4" t="s">
        <v>4360</v>
      </c>
      <c r="Z68" s="4" t="s">
        <v>4360</v>
      </c>
      <c r="AA68" s="4"/>
      <c r="AB68" s="4">
        <v>13856897</v>
      </c>
      <c r="AC68" s="4"/>
      <c r="AD68" s="4"/>
      <c r="AE68" s="4"/>
      <c r="AF68" s="4" t="s">
        <v>4864</v>
      </c>
      <c r="AG68" s="4"/>
      <c r="AH68" s="4"/>
      <c r="AI68" s="4"/>
    </row>
    <row r="69" ht="16" customHeight="1" s="4" customFormat="1">
      <c r="A69" s="4">
        <v>224</v>
      </c>
      <c r="B69" s="4">
        <v>1</v>
      </c>
      <c r="C69" s="4">
        <v>11820785</v>
      </c>
      <c r="D69" s="4" t="s">
        <v>1908</v>
      </c>
      <c r="E69" s="4" t="s">
        <v>3767</v>
      </c>
      <c r="F69" s="4" t="s">
        <v>3768</v>
      </c>
      <c r="G69" s="4" t="s">
        <v>5029</v>
      </c>
      <c r="H69" s="4"/>
      <c r="I69" s="4"/>
      <c r="J69" s="4" t="s">
        <v>3435</v>
      </c>
      <c r="K69" s="4"/>
      <c r="L69" s="4" t="s">
        <v>4798</v>
      </c>
      <c r="M69" s="4" t="s">
        <v>3769</v>
      </c>
      <c r="N69" s="4" t="s">
        <v>3390</v>
      </c>
      <c r="O69" s="4"/>
      <c r="P69" s="4" t="s">
        <v>5030</v>
      </c>
      <c r="Q69" s="4" t="s">
        <v>5031</v>
      </c>
      <c r="R69" s="4"/>
      <c r="S69" s="4"/>
      <c r="T69" s="4"/>
      <c r="U69" s="4" t="s">
        <v>5032</v>
      </c>
      <c r="V69" s="4" t="s">
        <v>5033</v>
      </c>
      <c r="W69" s="4" t="s">
        <v>3761</v>
      </c>
      <c r="X69" s="4"/>
      <c r="Y69" s="4" t="s">
        <v>3438</v>
      </c>
      <c r="Z69" s="4" t="s">
        <v>3573</v>
      </c>
      <c r="AA69" s="4"/>
      <c r="AB69" s="4">
        <v>1.1820785130573591E+127</v>
      </c>
      <c r="AC69" s="4"/>
      <c r="AD69" s="4"/>
      <c r="AE69" s="4"/>
      <c r="AF69" s="4" t="s">
        <v>4892</v>
      </c>
      <c r="AG69" s="4"/>
      <c r="AH69" s="4"/>
      <c r="AI69" s="4"/>
    </row>
    <row r="70" ht="16" customHeight="1" s="4" customFormat="1">
      <c r="A70" s="4">
        <v>234</v>
      </c>
      <c r="B70" s="4">
        <v>1</v>
      </c>
      <c r="C70" s="4">
        <v>11654220</v>
      </c>
      <c r="D70" s="4" t="s">
        <v>1908</v>
      </c>
      <c r="E70" s="4" t="s">
        <v>3779</v>
      </c>
      <c r="F70" s="4" t="s">
        <v>10</v>
      </c>
      <c r="G70" s="4" t="s">
        <v>10</v>
      </c>
      <c r="H70" s="4"/>
      <c r="I70" s="4"/>
      <c r="J70" s="4" t="s">
        <v>3510</v>
      </c>
      <c r="K70" s="4"/>
      <c r="L70" s="4" t="s">
        <v>4798</v>
      </c>
      <c r="M70" s="4" t="s">
        <v>3798</v>
      </c>
      <c r="N70" s="4" t="s">
        <v>3390</v>
      </c>
      <c r="O70" s="4"/>
      <c r="P70" s="4" t="s">
        <v>5034</v>
      </c>
      <c r="Q70" s="4" t="s">
        <v>4848</v>
      </c>
      <c r="R70" s="4"/>
      <c r="S70" s="4"/>
      <c r="T70" s="4"/>
      <c r="U70" s="4" t="s">
        <v>4849</v>
      </c>
      <c r="V70" s="4" t="s">
        <v>4850</v>
      </c>
      <c r="W70" s="4" t="s">
        <v>3761</v>
      </c>
      <c r="X70" s="4"/>
      <c r="Y70" s="4" t="s">
        <v>3475</v>
      </c>
      <c r="Z70" s="4" t="s">
        <v>3450</v>
      </c>
      <c r="AA70" s="4"/>
      <c r="AB70" s="4">
        <v>7.92373179984248E+180</v>
      </c>
      <c r="AC70" s="4"/>
      <c r="AD70" s="4"/>
      <c r="AE70" s="4"/>
      <c r="AF70" s="4" t="s">
        <v>4892</v>
      </c>
      <c r="AG70" s="4"/>
      <c r="AH70" s="4"/>
      <c r="AI70" s="4"/>
    </row>
    <row r="71" ht="16" customHeight="1" s="4" customFormat="1">
      <c r="A71" s="4">
        <v>256</v>
      </c>
      <c r="B71" s="4">
        <v>1</v>
      </c>
      <c r="C71" s="4">
        <v>9679259</v>
      </c>
      <c r="D71" s="4" t="s">
        <v>1922</v>
      </c>
      <c r="E71" s="4" t="s">
        <v>4361</v>
      </c>
      <c r="F71" s="4" t="s">
        <v>4362</v>
      </c>
      <c r="G71" s="4" t="s">
        <v>5035</v>
      </c>
      <c r="H71" s="4" t="s">
        <v>5036</v>
      </c>
      <c r="I71" s="4"/>
      <c r="J71" s="4" t="s">
        <v>4364</v>
      </c>
      <c r="K71" s="4"/>
      <c r="L71" s="4" t="s">
        <v>4798</v>
      </c>
      <c r="M71" s="4" t="s">
        <v>4363</v>
      </c>
      <c r="N71" s="4" t="s">
        <v>3390</v>
      </c>
      <c r="O71" s="4"/>
      <c r="P71" s="4" t="s">
        <v>5037</v>
      </c>
      <c r="Q71" s="4" t="s">
        <v>4868</v>
      </c>
      <c r="R71" s="4" t="s">
        <v>5038</v>
      </c>
      <c r="S71" s="4" t="s">
        <v>5039</v>
      </c>
      <c r="T71" s="4" t="s">
        <v>5040</v>
      </c>
      <c r="U71" s="4" t="s">
        <v>4868</v>
      </c>
      <c r="V71" s="4" t="s">
        <v>4868</v>
      </c>
      <c r="W71" s="4" t="s">
        <v>3761</v>
      </c>
      <c r="X71" s="4" t="s">
        <v>201</v>
      </c>
      <c r="Y71" s="4" t="s">
        <v>4638</v>
      </c>
      <c r="Z71" s="4" t="s">
        <v>4364</v>
      </c>
      <c r="AA71" s="4"/>
      <c r="AB71" s="4">
        <v>9.6792599454607958E+48</v>
      </c>
      <c r="AC71" s="4"/>
      <c r="AD71" s="4"/>
      <c r="AE71" s="4"/>
      <c r="AF71" s="4" t="s">
        <v>4814</v>
      </c>
      <c r="AG71" s="4"/>
      <c r="AH71" s="4"/>
      <c r="AI71" s="4"/>
    </row>
    <row r="72" ht="16" customHeight="1" s="4" customFormat="1">
      <c r="A72" s="4">
        <v>257</v>
      </c>
      <c r="B72" s="4">
        <v>1</v>
      </c>
      <c r="C72" s="4">
        <v>10094952</v>
      </c>
      <c r="D72" s="4" t="s">
        <v>1922</v>
      </c>
      <c r="E72" s="4" t="s">
        <v>3817</v>
      </c>
      <c r="F72" s="4" t="s">
        <v>10</v>
      </c>
      <c r="G72" s="4" t="s">
        <v>10</v>
      </c>
      <c r="H72" s="4"/>
      <c r="I72" s="4"/>
      <c r="J72" s="4" t="s">
        <v>3698</v>
      </c>
      <c r="K72" s="4"/>
      <c r="L72" s="4" t="s">
        <v>4798</v>
      </c>
      <c r="M72" s="4" t="s">
        <v>3818</v>
      </c>
      <c r="N72" s="4" t="s">
        <v>3390</v>
      </c>
      <c r="O72" s="4"/>
      <c r="P72" s="4" t="s">
        <v>4936</v>
      </c>
      <c r="Q72" s="4" t="s">
        <v>4848</v>
      </c>
      <c r="R72" s="4"/>
      <c r="S72" s="4"/>
      <c r="T72" s="4"/>
      <c r="U72" s="4" t="s">
        <v>4849</v>
      </c>
      <c r="V72" s="4" t="s">
        <v>4850</v>
      </c>
      <c r="W72" s="4" t="s">
        <v>3761</v>
      </c>
      <c r="X72" s="4" t="s">
        <v>201</v>
      </c>
      <c r="Y72" s="4" t="s">
        <v>3698</v>
      </c>
      <c r="Z72" s="4" t="s">
        <v>3698</v>
      </c>
      <c r="AA72" s="4"/>
      <c r="AB72" s="4">
        <v>10094952</v>
      </c>
      <c r="AC72" s="4"/>
      <c r="AD72" s="4"/>
      <c r="AE72" s="4"/>
      <c r="AF72" s="4" t="s">
        <v>4977</v>
      </c>
      <c r="AG72" s="4"/>
      <c r="AH72" s="4"/>
      <c r="AI72" s="4"/>
    </row>
    <row r="73" ht="16" customHeight="1" s="4" customFormat="1">
      <c r="A73" s="4">
        <v>258</v>
      </c>
      <c r="B73" s="4">
        <v>1</v>
      </c>
      <c r="C73" s="4">
        <v>9586160</v>
      </c>
      <c r="D73" s="4" t="s">
        <v>1922</v>
      </c>
      <c r="E73" s="4" t="s">
        <v>4376</v>
      </c>
      <c r="F73" s="4" t="s">
        <v>4377</v>
      </c>
      <c r="G73" s="4" t="s">
        <v>5041</v>
      </c>
      <c r="H73" s="4" t="s">
        <v>5042</v>
      </c>
      <c r="I73" s="4"/>
      <c r="J73" s="4" t="s">
        <v>4379</v>
      </c>
      <c r="K73" s="4"/>
      <c r="L73" s="4" t="s">
        <v>4798</v>
      </c>
      <c r="M73" s="4" t="s">
        <v>4378</v>
      </c>
      <c r="N73" s="4" t="s">
        <v>3390</v>
      </c>
      <c r="O73" s="4"/>
      <c r="P73" s="4" t="s">
        <v>5043</v>
      </c>
      <c r="Q73" s="4" t="s">
        <v>4962</v>
      </c>
      <c r="R73" s="4" t="s">
        <v>5044</v>
      </c>
      <c r="S73" s="4" t="s">
        <v>5045</v>
      </c>
      <c r="T73" s="4" t="s">
        <v>5046</v>
      </c>
      <c r="U73" s="4" t="s">
        <v>4962</v>
      </c>
      <c r="V73" s="4" t="s">
        <v>4962</v>
      </c>
      <c r="W73" s="4" t="s">
        <v>3761</v>
      </c>
      <c r="X73" s="4" t="s">
        <v>201</v>
      </c>
      <c r="Y73" s="4" t="s">
        <v>4638</v>
      </c>
      <c r="Z73" s="4" t="s">
        <v>4379</v>
      </c>
      <c r="AA73" s="4"/>
      <c r="AB73" s="4">
        <v>9.5861609454670954E+34</v>
      </c>
      <c r="AC73" s="4"/>
      <c r="AD73" s="4"/>
      <c r="AE73" s="4"/>
      <c r="AF73" s="4" t="s">
        <v>5047</v>
      </c>
      <c r="AG73" s="4"/>
      <c r="AH73" s="4"/>
      <c r="AI73" s="4"/>
    </row>
    <row r="74" ht="16" customHeight="1" s="4" customFormat="1">
      <c r="A74" s="4">
        <v>259</v>
      </c>
      <c r="B74" s="4">
        <v>1</v>
      </c>
      <c r="C74" s="4">
        <v>7942417</v>
      </c>
      <c r="D74" s="4" t="s">
        <v>1908</v>
      </c>
      <c r="E74" s="4" t="s">
        <v>4325</v>
      </c>
      <c r="F74" s="4" t="s">
        <v>4326</v>
      </c>
      <c r="G74" s="4" t="s">
        <v>5048</v>
      </c>
      <c r="H74" s="4" t="s">
        <v>10</v>
      </c>
      <c r="I74" s="4"/>
      <c r="J74" s="4" t="s">
        <v>3478</v>
      </c>
      <c r="K74" s="4"/>
      <c r="L74" s="4" t="s">
        <v>4798</v>
      </c>
      <c r="M74" s="4" t="s">
        <v>4327</v>
      </c>
      <c r="N74" s="4" t="s">
        <v>3390</v>
      </c>
      <c r="O74" s="4"/>
      <c r="P74" s="4" t="s">
        <v>5049</v>
      </c>
      <c r="Q74" s="4" t="s">
        <v>5050</v>
      </c>
      <c r="R74" s="4" t="s">
        <v>4848</v>
      </c>
      <c r="S74" s="4" t="s">
        <v>4849</v>
      </c>
      <c r="T74" s="4" t="s">
        <v>4850</v>
      </c>
      <c r="U74" s="4" t="s">
        <v>5051</v>
      </c>
      <c r="V74" s="4" t="s">
        <v>5052</v>
      </c>
      <c r="W74" s="4" t="s">
        <v>3761</v>
      </c>
      <c r="X74" s="4" t="s">
        <v>201</v>
      </c>
      <c r="Y74" s="4" t="s">
        <v>4208</v>
      </c>
      <c r="Z74" s="4" t="s">
        <v>3478</v>
      </c>
      <c r="AA74" s="4"/>
      <c r="AB74" s="4">
        <v>7.9424177070124728E+41</v>
      </c>
      <c r="AC74" s="4"/>
      <c r="AD74" s="4"/>
      <c r="AE74" s="4"/>
      <c r="AF74" s="4" t="s">
        <v>4814</v>
      </c>
      <c r="AG74" s="4"/>
      <c r="AH74" s="4"/>
      <c r="AI74" s="4"/>
    </row>
    <row r="75" ht="16" customHeight="1" s="4" customFormat="1">
      <c r="A75" s="4">
        <v>260</v>
      </c>
      <c r="B75" s="4">
        <v>1</v>
      </c>
      <c r="C75" s="4">
        <v>8982896</v>
      </c>
      <c r="D75" s="4" t="s">
        <v>1908</v>
      </c>
      <c r="E75" s="4" t="s">
        <v>4328</v>
      </c>
      <c r="F75" s="4" t="s">
        <v>4329</v>
      </c>
      <c r="G75" s="4" t="s">
        <v>5053</v>
      </c>
      <c r="H75" s="4" t="s">
        <v>10</v>
      </c>
      <c r="I75" s="4"/>
      <c r="J75" s="4" t="s">
        <v>3558</v>
      </c>
      <c r="K75" s="4"/>
      <c r="L75" s="4" t="s">
        <v>4798</v>
      </c>
      <c r="M75" s="4" t="s">
        <v>4330</v>
      </c>
      <c r="N75" s="4" t="s">
        <v>3390</v>
      </c>
      <c r="O75" s="4"/>
      <c r="P75" s="4" t="s">
        <v>5054</v>
      </c>
      <c r="Q75" s="4" t="s">
        <v>5055</v>
      </c>
      <c r="R75" s="4" t="s">
        <v>4848</v>
      </c>
      <c r="S75" s="4" t="s">
        <v>4849</v>
      </c>
      <c r="T75" s="4" t="s">
        <v>4850</v>
      </c>
      <c r="U75" s="4" t="s">
        <v>5056</v>
      </c>
      <c r="V75" s="4" t="s">
        <v>5057</v>
      </c>
      <c r="W75" s="4" t="s">
        <v>3761</v>
      </c>
      <c r="X75" s="4" t="s">
        <v>201</v>
      </c>
      <c r="Y75" s="4" t="s">
        <v>4145</v>
      </c>
      <c r="Z75" s="4" t="s">
        <v>4142</v>
      </c>
      <c r="AA75" s="4"/>
      <c r="AB75" s="4">
        <v>8.98289690023478E+34</v>
      </c>
      <c r="AC75" s="4"/>
      <c r="AD75" s="4"/>
      <c r="AE75" s="4"/>
      <c r="AF75" s="4" t="s">
        <v>4814</v>
      </c>
      <c r="AG75" s="4"/>
      <c r="AH75" s="4"/>
      <c r="AI75" s="4"/>
    </row>
    <row r="76" ht="16" customHeight="1" s="4" customFormat="1">
      <c r="A76" s="4">
        <v>262</v>
      </c>
      <c r="B76" s="4">
        <v>1</v>
      </c>
      <c r="C76" s="4">
        <v>13885597</v>
      </c>
      <c r="D76" s="4" t="s">
        <v>1908</v>
      </c>
      <c r="E76" s="4" t="s">
        <v>3802</v>
      </c>
      <c r="F76" s="4" t="s">
        <v>3768</v>
      </c>
      <c r="G76" s="4" t="s">
        <v>5029</v>
      </c>
      <c r="H76" s="4"/>
      <c r="I76" s="4"/>
      <c r="J76" s="4" t="s">
        <v>3461</v>
      </c>
      <c r="K76" s="4"/>
      <c r="L76" s="4" t="s">
        <v>4798</v>
      </c>
      <c r="M76" s="4" t="s">
        <v>3803</v>
      </c>
      <c r="N76" s="4" t="s">
        <v>3390</v>
      </c>
      <c r="O76" s="4"/>
      <c r="P76" s="4" t="s">
        <v>5030</v>
      </c>
      <c r="Q76" s="4" t="s">
        <v>5031</v>
      </c>
      <c r="R76" s="4"/>
      <c r="S76" s="4"/>
      <c r="T76" s="4"/>
      <c r="U76" s="4" t="s">
        <v>5032</v>
      </c>
      <c r="V76" s="4" t="s">
        <v>5033</v>
      </c>
      <c r="W76" s="4" t="s">
        <v>3761</v>
      </c>
      <c r="X76" s="4"/>
      <c r="Y76" s="4" t="s">
        <v>3444</v>
      </c>
      <c r="Z76" s="4" t="s">
        <v>3461</v>
      </c>
      <c r="AA76" s="4" t="s">
        <v>3468</v>
      </c>
      <c r="AB76" s="4">
        <v>1.3885597131274812E+79</v>
      </c>
      <c r="AC76" s="4"/>
      <c r="AD76" s="4"/>
      <c r="AE76" s="4"/>
      <c r="AF76" s="4" t="s">
        <v>4892</v>
      </c>
      <c r="AG76" s="4"/>
      <c r="AH76" s="4"/>
      <c r="AI76" s="4"/>
    </row>
    <row r="77" ht="16" customHeight="1" s="4" customFormat="1">
      <c r="A77" s="4">
        <v>263</v>
      </c>
      <c r="B77" s="4">
        <v>1</v>
      </c>
      <c r="C77" s="4">
        <v>1924698</v>
      </c>
      <c r="D77" s="4" t="s">
        <v>1908</v>
      </c>
      <c r="E77" s="4" t="s">
        <v>4146</v>
      </c>
      <c r="F77" s="4" t="s">
        <v>4332</v>
      </c>
      <c r="G77" s="4" t="s">
        <v>5058</v>
      </c>
      <c r="H77" s="4" t="s">
        <v>10</v>
      </c>
      <c r="I77" s="4"/>
      <c r="J77" s="4" t="s">
        <v>4155</v>
      </c>
      <c r="K77" s="4"/>
      <c r="L77" s="4" t="s">
        <v>4988</v>
      </c>
      <c r="M77" s="4" t="s">
        <v>4333</v>
      </c>
      <c r="N77" s="4" t="s">
        <v>3390</v>
      </c>
      <c r="O77" s="4"/>
      <c r="P77" s="4" t="s">
        <v>5059</v>
      </c>
      <c r="Q77" s="4" t="s">
        <v>5060</v>
      </c>
      <c r="R77" s="4" t="s">
        <v>4848</v>
      </c>
      <c r="S77" s="4" t="s">
        <v>4849</v>
      </c>
      <c r="T77" s="4" t="s">
        <v>4850</v>
      </c>
      <c r="U77" s="4" t="s">
        <v>5061</v>
      </c>
      <c r="V77" s="4" t="s">
        <v>5062</v>
      </c>
      <c r="W77" s="4" t="s">
        <v>3761</v>
      </c>
      <c r="X77" s="4" t="s">
        <v>201</v>
      </c>
      <c r="Y77" s="4" t="s">
        <v>4004</v>
      </c>
      <c r="Z77" s="4" t="s">
        <v>4155</v>
      </c>
      <c r="AA77" s="4"/>
      <c r="AB77" s="4">
        <v>1.9246987112397875E+56</v>
      </c>
      <c r="AC77" s="4"/>
      <c r="AD77" s="4"/>
      <c r="AE77" s="4"/>
      <c r="AF77" s="4" t="s">
        <v>4814</v>
      </c>
      <c r="AG77" s="4"/>
      <c r="AH77" s="4"/>
      <c r="AI77" s="4"/>
    </row>
    <row r="78" ht="16" customHeight="1" s="4" customFormat="1">
      <c r="A78" s="4">
        <v>264</v>
      </c>
      <c r="B78" s="4">
        <v>1</v>
      </c>
      <c r="C78" s="4">
        <v>8044648</v>
      </c>
      <c r="D78" s="4" t="s">
        <v>1908</v>
      </c>
      <c r="E78" s="4" t="s">
        <v>3804</v>
      </c>
      <c r="F78" s="4" t="s">
        <v>10</v>
      </c>
      <c r="G78" s="4" t="s">
        <v>10</v>
      </c>
      <c r="H78" s="4"/>
      <c r="I78" s="4"/>
      <c r="J78" s="4" t="s">
        <v>3497</v>
      </c>
      <c r="K78" s="4"/>
      <c r="L78" s="4" t="s">
        <v>4798</v>
      </c>
      <c r="M78" s="4" t="s">
        <v>3805</v>
      </c>
      <c r="N78" s="4" t="s">
        <v>3390</v>
      </c>
      <c r="O78" s="4"/>
      <c r="P78" s="4" t="s">
        <v>5063</v>
      </c>
      <c r="Q78" s="4" t="s">
        <v>4848</v>
      </c>
      <c r="R78" s="4"/>
      <c r="S78" s="4"/>
      <c r="T78" s="4"/>
      <c r="U78" s="4" t="s">
        <v>4849</v>
      </c>
      <c r="V78" s="4" t="s">
        <v>4850</v>
      </c>
      <c r="W78" s="4" t="s">
        <v>3761</v>
      </c>
      <c r="X78" s="4"/>
      <c r="Y78" s="4" t="s">
        <v>3534</v>
      </c>
      <c r="Z78" s="4" t="s">
        <v>3497</v>
      </c>
      <c r="AA78" s="4"/>
      <c r="AB78" s="4">
        <v>8.04464879983588E+20</v>
      </c>
      <c r="AC78" s="4"/>
      <c r="AD78" s="4"/>
      <c r="AE78" s="4"/>
      <c r="AF78" s="4" t="s">
        <v>4977</v>
      </c>
      <c r="AG78" s="4"/>
      <c r="AH78" s="4"/>
      <c r="AI78" s="4"/>
    </row>
    <row r="79" ht="16" customHeight="1" s="4" customFormat="1">
      <c r="A79" s="4">
        <v>265</v>
      </c>
      <c r="B79" s="4">
        <v>1</v>
      </c>
      <c r="C79" s="4">
        <v>69697</v>
      </c>
      <c r="D79" s="4" t="s">
        <v>1915</v>
      </c>
      <c r="E79" s="4" t="s">
        <v>3762</v>
      </c>
      <c r="F79" s="4" t="s">
        <v>3764</v>
      </c>
      <c r="G79" s="4" t="s">
        <v>10</v>
      </c>
      <c r="H79" s="4" t="s">
        <v>5064</v>
      </c>
      <c r="I79" s="4" t="s">
        <v>3763</v>
      </c>
      <c r="J79" s="4" t="s">
        <v>3428</v>
      </c>
      <c r="K79" s="4"/>
      <c r="L79" s="4"/>
      <c r="M79" s="4" t="s">
        <v>3765</v>
      </c>
      <c r="N79" s="4" t="s">
        <v>3390</v>
      </c>
      <c r="O79" s="4"/>
      <c r="P79" s="4"/>
      <c r="Q79" s="4" t="s">
        <v>4848</v>
      </c>
      <c r="R79" s="4" t="s">
        <v>5065</v>
      </c>
      <c r="S79" s="4" t="s">
        <v>5066</v>
      </c>
      <c r="T79" s="4" t="s">
        <v>5067</v>
      </c>
      <c r="U79" s="4" t="s">
        <v>5068</v>
      </c>
      <c r="V79" s="4" t="s">
        <v>4850</v>
      </c>
      <c r="W79" s="4" t="s">
        <v>3761</v>
      </c>
      <c r="X79" s="4" t="s">
        <v>201</v>
      </c>
      <c r="Y79" s="4" t="s">
        <v>3406</v>
      </c>
      <c r="Z79" s="4" t="s">
        <v>3416</v>
      </c>
      <c r="AA79" s="4"/>
      <c r="AB79" s="4">
        <v>6.969771038546655E+62</v>
      </c>
      <c r="AC79" s="4"/>
      <c r="AD79" s="4"/>
      <c r="AE79" s="4"/>
      <c r="AF79" s="4" t="s">
        <v>4977</v>
      </c>
      <c r="AG79" s="4"/>
      <c r="AH79" s="4"/>
      <c r="AI79" s="4"/>
    </row>
    <row r="80" ht="16" customHeight="1" s="4" customFormat="1">
      <c r="A80" s="4">
        <v>267</v>
      </c>
      <c r="B80" s="4">
        <v>1</v>
      </c>
      <c r="C80" s="4">
        <v>13669029</v>
      </c>
      <c r="D80" s="4" t="s">
        <v>1908</v>
      </c>
      <c r="E80" s="4" t="s">
        <v>4383</v>
      </c>
      <c r="F80" s="4" t="s">
        <v>4384</v>
      </c>
      <c r="G80" s="4" t="s">
        <v>5069</v>
      </c>
      <c r="H80" s="4" t="s">
        <v>5070</v>
      </c>
      <c r="I80" s="4"/>
      <c r="J80" s="4" t="s">
        <v>3471</v>
      </c>
      <c r="K80" s="4"/>
      <c r="L80" s="4" t="s">
        <v>4798</v>
      </c>
      <c r="M80" s="4" t="s">
        <v>4385</v>
      </c>
      <c r="N80" s="4" t="s">
        <v>3390</v>
      </c>
      <c r="O80" s="4"/>
      <c r="P80" s="4" t="s">
        <v>5071</v>
      </c>
      <c r="Q80" s="4" t="s">
        <v>4868</v>
      </c>
      <c r="R80" s="4" t="s">
        <v>5072</v>
      </c>
      <c r="S80" s="4" t="s">
        <v>5073</v>
      </c>
      <c r="T80" s="4" t="s">
        <v>5074</v>
      </c>
      <c r="U80" s="4" t="s">
        <v>4868</v>
      </c>
      <c r="V80" s="4" t="s">
        <v>4868</v>
      </c>
      <c r="W80" s="4" t="s">
        <v>3761</v>
      </c>
      <c r="X80" s="4"/>
      <c r="Y80" s="4" t="s">
        <v>3579</v>
      </c>
      <c r="Z80" s="4" t="s">
        <v>3471</v>
      </c>
      <c r="AA80" s="4" t="s">
        <v>3471</v>
      </c>
      <c r="AB80" s="4">
        <v>1.3669029135069822E+23</v>
      </c>
      <c r="AC80" s="4"/>
      <c r="AD80" s="4"/>
      <c r="AE80" s="4"/>
      <c r="AF80" s="4" t="s">
        <v>4864</v>
      </c>
      <c r="AG80" s="4"/>
      <c r="AH80" s="4"/>
      <c r="AI80" s="4"/>
    </row>
    <row r="81" ht="16" customHeight="1" s="4" customFormat="1">
      <c r="A81" s="4">
        <v>268</v>
      </c>
      <c r="B81" s="4">
        <v>1</v>
      </c>
      <c r="C81" s="4">
        <v>7411392</v>
      </c>
      <c r="D81" s="4" t="s">
        <v>1908</v>
      </c>
      <c r="E81" s="4" t="s">
        <v>4322</v>
      </c>
      <c r="F81" s="4" t="s">
        <v>4323</v>
      </c>
      <c r="G81" s="4" t="s">
        <v>5075</v>
      </c>
      <c r="H81" s="4" t="s">
        <v>4836</v>
      </c>
      <c r="I81" s="4"/>
      <c r="J81" s="4" t="s">
        <v>4215</v>
      </c>
      <c r="K81" s="4"/>
      <c r="L81" s="4" t="s">
        <v>4798</v>
      </c>
      <c r="M81" s="4" t="s">
        <v>4324</v>
      </c>
      <c r="N81" s="4" t="s">
        <v>3390</v>
      </c>
      <c r="O81" s="4"/>
      <c r="P81" s="4" t="s">
        <v>5076</v>
      </c>
      <c r="Q81" s="4" t="s">
        <v>5007</v>
      </c>
      <c r="R81" s="4" t="s">
        <v>4837</v>
      </c>
      <c r="S81" s="4" t="s">
        <v>4838</v>
      </c>
      <c r="T81" s="4" t="s">
        <v>4839</v>
      </c>
      <c r="U81" s="4" t="s">
        <v>5007</v>
      </c>
      <c r="V81" s="4" t="s">
        <v>5007</v>
      </c>
      <c r="W81" s="4" t="s">
        <v>3761</v>
      </c>
      <c r="X81" s="4" t="s">
        <v>201</v>
      </c>
      <c r="Y81" s="4" t="s">
        <v>4027</v>
      </c>
      <c r="Z81" s="4" t="s">
        <v>4215</v>
      </c>
      <c r="AA81" s="4"/>
      <c r="AB81" s="4">
        <v>74113927411391</v>
      </c>
      <c r="AC81" s="4"/>
      <c r="AD81" s="4"/>
      <c r="AE81" s="4"/>
      <c r="AF81" s="4" t="s">
        <v>4827</v>
      </c>
      <c r="AG81" s="4"/>
      <c r="AH81" s="4"/>
      <c r="AI81" s="4"/>
    </row>
    <row r="82" ht="16" customHeight="1" s="4" customFormat="1">
      <c r="A82" s="4">
        <v>269</v>
      </c>
      <c r="B82" s="4">
        <v>1</v>
      </c>
      <c r="C82" s="4">
        <v>14101013</v>
      </c>
      <c r="D82" s="4" t="s">
        <v>1908</v>
      </c>
      <c r="E82" s="4" t="s">
        <v>3806</v>
      </c>
      <c r="F82" s="4" t="s">
        <v>3807</v>
      </c>
      <c r="G82" s="4" t="s">
        <v>5077</v>
      </c>
      <c r="H82" s="4"/>
      <c r="I82" s="4"/>
      <c r="J82" s="4" t="s">
        <v>3573</v>
      </c>
      <c r="K82" s="4"/>
      <c r="L82" s="4" t="s">
        <v>4798</v>
      </c>
      <c r="M82" s="4" t="s">
        <v>3808</v>
      </c>
      <c r="N82" s="4" t="s">
        <v>3390</v>
      </c>
      <c r="O82" s="4"/>
      <c r="P82" s="4" t="s">
        <v>5078</v>
      </c>
      <c r="Q82" s="4" t="s">
        <v>5079</v>
      </c>
      <c r="R82" s="4"/>
      <c r="S82" s="4"/>
      <c r="T82" s="4"/>
      <c r="U82" s="4" t="s">
        <v>5080</v>
      </c>
      <c r="V82" s="4" t="s">
        <v>5081</v>
      </c>
      <c r="W82" s="4" t="s">
        <v>3761</v>
      </c>
      <c r="X82" s="4"/>
      <c r="Y82" s="4" t="s">
        <v>3573</v>
      </c>
      <c r="Z82" s="4" t="s">
        <v>3573</v>
      </c>
      <c r="AA82" s="4"/>
      <c r="AB82" s="4">
        <v>14101013</v>
      </c>
      <c r="AC82" s="4"/>
      <c r="AD82" s="4"/>
      <c r="AE82" s="4"/>
      <c r="AF82" s="4" t="s">
        <v>4892</v>
      </c>
      <c r="AG82" s="4"/>
      <c r="AH82" s="4"/>
      <c r="AI82" s="4"/>
    </row>
    <row r="83" ht="16" customHeight="1" s="4" customFormat="1">
      <c r="A83" s="4">
        <v>270</v>
      </c>
      <c r="B83" s="4">
        <v>1</v>
      </c>
      <c r="C83" s="4">
        <v>133609</v>
      </c>
      <c r="D83" s="4" t="s">
        <v>1908</v>
      </c>
      <c r="E83" s="4" t="s">
        <v>4353</v>
      </c>
      <c r="F83" s="4" t="s">
        <v>4355</v>
      </c>
      <c r="G83" s="4" t="s">
        <v>5082</v>
      </c>
      <c r="H83" s="4" t="s">
        <v>10</v>
      </c>
      <c r="I83" s="4" t="s">
        <v>4354</v>
      </c>
      <c r="J83" s="4" t="s">
        <v>4263</v>
      </c>
      <c r="K83" s="4"/>
      <c r="L83" s="4"/>
      <c r="M83" s="4" t="s">
        <v>4356</v>
      </c>
      <c r="N83" s="4" t="s">
        <v>3390</v>
      </c>
      <c r="O83" s="4"/>
      <c r="P83" s="4"/>
      <c r="Q83" s="4" t="s">
        <v>5083</v>
      </c>
      <c r="R83" s="4" t="s">
        <v>4848</v>
      </c>
      <c r="S83" s="4" t="s">
        <v>5068</v>
      </c>
      <c r="T83" s="4" t="s">
        <v>4850</v>
      </c>
      <c r="U83" s="4" t="s">
        <v>5084</v>
      </c>
      <c r="V83" s="4" t="s">
        <v>5085</v>
      </c>
      <c r="W83" s="4" t="s">
        <v>3761</v>
      </c>
      <c r="X83" s="4"/>
      <c r="Y83" s="4" t="s">
        <v>4263</v>
      </c>
      <c r="Z83" s="4" t="s">
        <v>4263</v>
      </c>
      <c r="AA83" s="4"/>
      <c r="AB83" s="4">
        <v>133609</v>
      </c>
      <c r="AC83" s="4"/>
      <c r="AD83" s="4"/>
      <c r="AE83" s="4"/>
      <c r="AF83" s="4" t="s">
        <v>4814</v>
      </c>
      <c r="AG83" s="4"/>
      <c r="AH83" s="4"/>
      <c r="AI83" s="4"/>
    </row>
    <row r="84" ht="16" customHeight="1" s="4" customFormat="1">
      <c r="A84" s="4">
        <v>271</v>
      </c>
      <c r="B84" s="4">
        <v>1</v>
      </c>
      <c r="C84" s="4">
        <v>12346287</v>
      </c>
      <c r="D84" s="4" t="s">
        <v>1908</v>
      </c>
      <c r="E84" s="4" t="s">
        <v>4372</v>
      </c>
      <c r="F84" s="4" t="s">
        <v>4373</v>
      </c>
      <c r="G84" s="4" t="s">
        <v>5086</v>
      </c>
      <c r="H84" s="4" t="s">
        <v>4968</v>
      </c>
      <c r="I84" s="4"/>
      <c r="J84" s="4" t="s">
        <v>4375</v>
      </c>
      <c r="K84" s="4"/>
      <c r="L84" s="4" t="s">
        <v>4798</v>
      </c>
      <c r="M84" s="4" t="s">
        <v>4374</v>
      </c>
      <c r="N84" s="4" t="s">
        <v>3390</v>
      </c>
      <c r="O84" s="4"/>
      <c r="P84" s="4" t="s">
        <v>5087</v>
      </c>
      <c r="Q84" s="4" t="s">
        <v>5088</v>
      </c>
      <c r="R84" s="4" t="s">
        <v>4969</v>
      </c>
      <c r="S84" s="4" t="s">
        <v>4970</v>
      </c>
      <c r="T84" s="4" t="s">
        <v>4971</v>
      </c>
      <c r="U84" s="4" t="s">
        <v>5089</v>
      </c>
      <c r="V84" s="4" t="s">
        <v>5090</v>
      </c>
      <c r="W84" s="4" t="s">
        <v>3761</v>
      </c>
      <c r="X84" s="4" t="s">
        <v>201</v>
      </c>
      <c r="Y84" s="4" t="s">
        <v>4375</v>
      </c>
      <c r="Z84" s="4" t="s">
        <v>4375</v>
      </c>
      <c r="AA84" s="4"/>
      <c r="AB84" s="4">
        <v>12346287</v>
      </c>
      <c r="AC84" s="4"/>
      <c r="AD84" s="4"/>
      <c r="AE84" s="4"/>
      <c r="AF84" s="4" t="s">
        <v>4864</v>
      </c>
      <c r="AG84" s="4"/>
      <c r="AH84" s="4"/>
      <c r="AI84" s="4"/>
    </row>
    <row r="85" ht="16" customHeight="1" s="4" customFormat="1">
      <c r="A85" s="4">
        <v>272</v>
      </c>
      <c r="B85" s="4">
        <v>1</v>
      </c>
      <c r="C85" s="4">
        <v>13548626</v>
      </c>
      <c r="D85" s="4" t="s">
        <v>1908</v>
      </c>
      <c r="E85" s="4" t="s">
        <v>4380</v>
      </c>
      <c r="F85" s="4" t="s">
        <v>4381</v>
      </c>
      <c r="G85" s="4" t="s">
        <v>5091</v>
      </c>
      <c r="H85" s="4" t="s">
        <v>10</v>
      </c>
      <c r="I85" s="4"/>
      <c r="J85" s="4" t="s">
        <v>3464</v>
      </c>
      <c r="K85" s="4"/>
      <c r="L85" s="4" t="s">
        <v>4798</v>
      </c>
      <c r="M85" s="4" t="s">
        <v>4382</v>
      </c>
      <c r="N85" s="4" t="s">
        <v>3390</v>
      </c>
      <c r="O85" s="4"/>
      <c r="P85" s="4" t="s">
        <v>5092</v>
      </c>
      <c r="Q85" s="4" t="s">
        <v>5093</v>
      </c>
      <c r="R85" s="4" t="s">
        <v>4848</v>
      </c>
      <c r="S85" s="4" t="s">
        <v>4849</v>
      </c>
      <c r="T85" s="4" t="s">
        <v>4850</v>
      </c>
      <c r="U85" s="4" t="s">
        <v>5094</v>
      </c>
      <c r="V85" s="4" t="s">
        <v>5095</v>
      </c>
      <c r="W85" s="4" t="s">
        <v>3761</v>
      </c>
      <c r="X85" s="4"/>
      <c r="Y85" s="4" t="s">
        <v>3576</v>
      </c>
      <c r="Z85" s="4" t="s">
        <v>3464</v>
      </c>
      <c r="AA85" s="4"/>
      <c r="AB85" s="4">
        <v>1354862613548625</v>
      </c>
      <c r="AC85" s="4"/>
      <c r="AD85" s="4"/>
      <c r="AE85" s="4"/>
      <c r="AF85" s="4" t="s">
        <v>4864</v>
      </c>
      <c r="AG85" s="4"/>
      <c r="AH85" s="4"/>
      <c r="AI85" s="4"/>
    </row>
    <row r="86" ht="16" customHeight="1" s="4" customFormat="1">
      <c r="A86" s="4">
        <v>273</v>
      </c>
      <c r="B86" s="4">
        <v>1</v>
      </c>
      <c r="C86" s="4">
        <v>2742049</v>
      </c>
      <c r="D86" s="4" t="s">
        <v>1908</v>
      </c>
      <c r="E86" s="4" t="s">
        <v>4173</v>
      </c>
      <c r="F86" s="4" t="s">
        <v>4334</v>
      </c>
      <c r="G86" s="4" t="s">
        <v>5096</v>
      </c>
      <c r="H86" s="4" t="s">
        <v>4836</v>
      </c>
      <c r="I86" s="4"/>
      <c r="J86" s="4" t="s">
        <v>4188</v>
      </c>
      <c r="K86" s="4"/>
      <c r="L86" s="4" t="s">
        <v>4988</v>
      </c>
      <c r="M86" s="4" t="s">
        <v>4335</v>
      </c>
      <c r="N86" s="4" t="s">
        <v>3390</v>
      </c>
      <c r="O86" s="4"/>
      <c r="P86" s="4" t="s">
        <v>5097</v>
      </c>
      <c r="Q86" s="4" t="s">
        <v>5098</v>
      </c>
      <c r="R86" s="4" t="s">
        <v>5099</v>
      </c>
      <c r="S86" s="4" t="s">
        <v>5100</v>
      </c>
      <c r="T86" s="4" t="s">
        <v>5101</v>
      </c>
      <c r="U86" s="4" t="s">
        <v>5102</v>
      </c>
      <c r="V86" s="4" t="s">
        <v>5103</v>
      </c>
      <c r="W86" s="4" t="s">
        <v>3761</v>
      </c>
      <c r="X86" s="4" t="s">
        <v>201</v>
      </c>
      <c r="Y86" s="4" t="s">
        <v>4197</v>
      </c>
      <c r="Z86" s="4" t="s">
        <v>4188</v>
      </c>
      <c r="AA86" s="4"/>
      <c r="AB86" s="4">
        <v>2.7420498807198806E+86</v>
      </c>
      <c r="AC86" s="4"/>
      <c r="AD86" s="4"/>
      <c r="AE86" s="4"/>
      <c r="AF86" s="4" t="s">
        <v>4805</v>
      </c>
      <c r="AG86" s="4"/>
      <c r="AH86" s="4"/>
      <c r="AI86" s="4"/>
    </row>
    <row r="87" ht="16" customHeight="1" s="4" customFormat="1">
      <c r="A87" s="4">
        <v>288</v>
      </c>
      <c r="B87" s="4">
        <v>1</v>
      </c>
      <c r="C87" s="4">
        <v>14010838</v>
      </c>
      <c r="D87" s="4" t="s">
        <v>1908</v>
      </c>
      <c r="E87" s="4" t="s">
        <v>4553</v>
      </c>
      <c r="F87" s="4" t="s">
        <v>4554</v>
      </c>
      <c r="G87" s="4" t="s">
        <v>5104</v>
      </c>
      <c r="H87" s="4" t="s">
        <v>10</v>
      </c>
      <c r="I87" s="4"/>
      <c r="J87" s="4" t="s">
        <v>4222</v>
      </c>
      <c r="K87" s="4"/>
      <c r="L87" s="4" t="s">
        <v>4842</v>
      </c>
      <c r="M87" s="4" t="s">
        <v>4555</v>
      </c>
      <c r="N87" s="4" t="s">
        <v>3390</v>
      </c>
      <c r="O87" s="4"/>
      <c r="P87" s="4"/>
      <c r="Q87" s="4" t="s">
        <v>4868</v>
      </c>
      <c r="R87" s="4" t="s">
        <v>4848</v>
      </c>
      <c r="S87" s="4" t="s">
        <v>4849</v>
      </c>
      <c r="T87" s="4" t="s">
        <v>4850</v>
      </c>
      <c r="U87" s="4" t="s">
        <v>4868</v>
      </c>
      <c r="V87" s="4" t="s">
        <v>4868</v>
      </c>
      <c r="W87" s="4" t="s">
        <v>3819</v>
      </c>
      <c r="X87" s="4" t="s">
        <v>201</v>
      </c>
      <c r="Y87" s="4" t="s">
        <v>4222</v>
      </c>
      <c r="Z87" s="4" t="s">
        <v>4222</v>
      </c>
      <c r="AA87" s="4" t="s">
        <v>4225</v>
      </c>
      <c r="AB87" s="4">
        <v>14010838</v>
      </c>
      <c r="AC87" s="4"/>
      <c r="AD87" s="4"/>
      <c r="AE87" s="4"/>
      <c r="AF87" s="4" t="s">
        <v>4864</v>
      </c>
      <c r="AG87" s="4"/>
      <c r="AH87" s="4"/>
      <c r="AI87" s="4"/>
    </row>
    <row r="88" ht="16" customHeight="1" s="4" customFormat="1">
      <c r="A88" s="4">
        <v>326</v>
      </c>
      <c r="B88" s="4">
        <v>1</v>
      </c>
      <c r="C88" s="4">
        <v>9294939</v>
      </c>
      <c r="D88" s="4" t="s">
        <v>1908</v>
      </c>
      <c r="E88" s="4" t="s">
        <v>3881</v>
      </c>
      <c r="F88" s="4" t="s">
        <v>10</v>
      </c>
      <c r="G88" s="4" t="s">
        <v>4836</v>
      </c>
      <c r="H88" s="4"/>
      <c r="I88" s="4"/>
      <c r="J88" s="4" t="s">
        <v>3487</v>
      </c>
      <c r="K88" s="4"/>
      <c r="L88" s="4" t="s">
        <v>4842</v>
      </c>
      <c r="M88" s="4" t="s">
        <v>3886</v>
      </c>
      <c r="N88" s="4" t="s">
        <v>3390</v>
      </c>
      <c r="O88" s="4"/>
      <c r="P88" s="4" t="s">
        <v>5063</v>
      </c>
      <c r="Q88" s="4" t="s">
        <v>4837</v>
      </c>
      <c r="R88" s="4"/>
      <c r="S88" s="4"/>
      <c r="T88" s="4"/>
      <c r="U88" s="4" t="s">
        <v>4838</v>
      </c>
      <c r="V88" s="4" t="s">
        <v>4839</v>
      </c>
      <c r="W88" s="4" t="s">
        <v>3819</v>
      </c>
      <c r="X88" s="4"/>
      <c r="Y88" s="4" t="s">
        <v>3481</v>
      </c>
      <c r="Z88" s="4" t="s">
        <v>3504</v>
      </c>
      <c r="AA88" s="4" t="s">
        <v>3450</v>
      </c>
      <c r="AB88" s="4">
        <v>8.3151098583447862E+168</v>
      </c>
      <c r="AC88" s="4"/>
      <c r="AD88" s="4"/>
      <c r="AE88" s="4"/>
      <c r="AF88" s="4" t="s">
        <v>4840</v>
      </c>
      <c r="AG88" s="4"/>
      <c r="AH88" s="4"/>
      <c r="AI88" s="4"/>
    </row>
    <row r="89" ht="16" customHeight="1" s="4" customFormat="1">
      <c r="A89" s="4">
        <v>353</v>
      </c>
      <c r="B89" s="4">
        <v>1</v>
      </c>
      <c r="C89" s="4">
        <v>13661767</v>
      </c>
      <c r="D89" s="4" t="s">
        <v>1908</v>
      </c>
      <c r="E89" s="4" t="s">
        <v>4561</v>
      </c>
      <c r="F89" s="4" t="s">
        <v>4562</v>
      </c>
      <c r="G89" s="4" t="s">
        <v>5105</v>
      </c>
      <c r="H89" s="4" t="s">
        <v>10</v>
      </c>
      <c r="I89" s="4"/>
      <c r="J89" s="4" t="s">
        <v>3471</v>
      </c>
      <c r="K89" s="4"/>
      <c r="L89" s="4" t="s">
        <v>4842</v>
      </c>
      <c r="M89" s="4" t="s">
        <v>4569</v>
      </c>
      <c r="N89" s="4" t="s">
        <v>3390</v>
      </c>
      <c r="O89" s="4"/>
      <c r="P89" s="4" t="s">
        <v>5106</v>
      </c>
      <c r="Q89" s="4" t="s">
        <v>5107</v>
      </c>
      <c r="R89" s="4" t="s">
        <v>4848</v>
      </c>
      <c r="S89" s="4" t="s">
        <v>4849</v>
      </c>
      <c r="T89" s="4" t="s">
        <v>4850</v>
      </c>
      <c r="U89" s="4" t="s">
        <v>5108</v>
      </c>
      <c r="V89" s="4" t="s">
        <v>5109</v>
      </c>
      <c r="W89" s="4" t="s">
        <v>3819</v>
      </c>
      <c r="X89" s="4" t="s">
        <v>201</v>
      </c>
      <c r="Y89" s="4" t="s">
        <v>3610</v>
      </c>
      <c r="Z89" s="4" t="s">
        <v>3471</v>
      </c>
      <c r="AA89" s="4" t="s">
        <v>4134</v>
      </c>
      <c r="AB89" s="4">
        <v>1.2981141129811422E+55</v>
      </c>
      <c r="AC89" s="4"/>
      <c r="AD89" s="4"/>
      <c r="AE89" s="4"/>
      <c r="AF89" s="4" t="s">
        <v>4864</v>
      </c>
      <c r="AG89" s="4"/>
      <c r="AH89" s="4"/>
      <c r="AI89" s="4"/>
    </row>
    <row r="90" ht="16" customHeight="1" s="4" customFormat="1">
      <c r="A90" s="4">
        <v>378</v>
      </c>
      <c r="B90" s="4">
        <v>1</v>
      </c>
      <c r="C90" s="4">
        <v>7409213</v>
      </c>
      <c r="D90" s="4" t="s">
        <v>1918</v>
      </c>
      <c r="E90" s="4" t="s">
        <v>4626</v>
      </c>
      <c r="F90" s="4" t="s">
        <v>4627</v>
      </c>
      <c r="G90" s="4" t="s">
        <v>4846</v>
      </c>
      <c r="H90" s="4" t="s">
        <v>5110</v>
      </c>
      <c r="I90" s="4"/>
      <c r="J90" s="4" t="s">
        <v>4629</v>
      </c>
      <c r="K90" s="4"/>
      <c r="L90" s="4" t="s">
        <v>4842</v>
      </c>
      <c r="M90" s="4" t="s">
        <v>4628</v>
      </c>
      <c r="N90" s="4" t="s">
        <v>3390</v>
      </c>
      <c r="O90" s="4"/>
      <c r="P90" s="4" t="s">
        <v>5111</v>
      </c>
      <c r="Q90" s="4" t="s">
        <v>4847</v>
      </c>
      <c r="R90" s="4" t="s">
        <v>5112</v>
      </c>
      <c r="S90" s="4" t="s">
        <v>5113</v>
      </c>
      <c r="T90" s="4" t="s">
        <v>5114</v>
      </c>
      <c r="U90" s="4" t="s">
        <v>4851</v>
      </c>
      <c r="V90" s="4" t="s">
        <v>4852</v>
      </c>
      <c r="W90" s="4" t="s">
        <v>3819</v>
      </c>
      <c r="X90" s="4" t="s">
        <v>201</v>
      </c>
      <c r="Y90" s="4" t="s">
        <v>4629</v>
      </c>
      <c r="Z90" s="4" t="s">
        <v>4629</v>
      </c>
      <c r="AA90" s="4"/>
      <c r="AB90" s="4">
        <v>7409213</v>
      </c>
      <c r="AC90" s="4"/>
      <c r="AD90" s="4"/>
      <c r="AE90" s="4"/>
      <c r="AF90" s="4" t="s">
        <v>4814</v>
      </c>
      <c r="AG90" s="4"/>
      <c r="AH90" s="4"/>
      <c r="AI90" s="4"/>
    </row>
    <row r="91" ht="16" customHeight="1" s="4" customFormat="1">
      <c r="A91" s="4">
        <v>379</v>
      </c>
      <c r="B91" s="4">
        <v>1</v>
      </c>
      <c r="C91" s="4">
        <v>10344357</v>
      </c>
      <c r="D91" s="4" t="s">
        <v>1918</v>
      </c>
      <c r="E91" s="4" t="s">
        <v>4646</v>
      </c>
      <c r="F91" s="4" t="s">
        <v>4647</v>
      </c>
      <c r="G91" s="4" t="s">
        <v>5115</v>
      </c>
      <c r="H91" s="4" t="s">
        <v>5116</v>
      </c>
      <c r="I91" s="4"/>
      <c r="J91" s="4" t="s">
        <v>4046</v>
      </c>
      <c r="K91" s="4"/>
      <c r="L91" s="4" t="s">
        <v>4842</v>
      </c>
      <c r="M91" s="4" t="s">
        <v>4648</v>
      </c>
      <c r="N91" s="4" t="s">
        <v>3390</v>
      </c>
      <c r="O91" s="4"/>
      <c r="P91" s="4" t="s">
        <v>5117</v>
      </c>
      <c r="Q91" s="4" t="s">
        <v>5118</v>
      </c>
      <c r="R91" s="4" t="s">
        <v>5119</v>
      </c>
      <c r="S91" s="4" t="s">
        <v>5120</v>
      </c>
      <c r="T91" s="4" t="s">
        <v>5121</v>
      </c>
      <c r="U91" s="4" t="s">
        <v>5122</v>
      </c>
      <c r="V91" s="4" t="s">
        <v>5123</v>
      </c>
      <c r="W91" s="4" t="s">
        <v>3819</v>
      </c>
      <c r="X91" s="4" t="s">
        <v>201</v>
      </c>
      <c r="Y91" s="4" t="s">
        <v>4046</v>
      </c>
      <c r="Z91" s="4" t="s">
        <v>4096</v>
      </c>
      <c r="AA91" s="4" t="s">
        <v>4503</v>
      </c>
      <c r="AB91" s="4">
        <v>1.034435710711684E+31</v>
      </c>
      <c r="AC91" s="4"/>
      <c r="AD91" s="4"/>
      <c r="AE91" s="4"/>
      <c r="AF91" s="4" t="s">
        <v>4814</v>
      </c>
      <c r="AG91" s="4"/>
      <c r="AH91" s="4"/>
      <c r="AI91" s="4"/>
    </row>
    <row r="92" ht="16" customHeight="1" s="4" customFormat="1">
      <c r="A92" s="4">
        <v>383</v>
      </c>
      <c r="B92" s="4">
        <v>1</v>
      </c>
      <c r="C92" s="4">
        <v>7409085</v>
      </c>
      <c r="D92" s="4" t="s">
        <v>1918</v>
      </c>
      <c r="E92" s="4" t="s">
        <v>4659</v>
      </c>
      <c r="F92" s="4" t="s">
        <v>4660</v>
      </c>
      <c r="G92" s="4" t="s">
        <v>5124</v>
      </c>
      <c r="H92" s="4" t="s">
        <v>5125</v>
      </c>
      <c r="I92" s="4"/>
      <c r="J92" s="4" t="s">
        <v>4629</v>
      </c>
      <c r="K92" s="4"/>
      <c r="L92" s="4" t="s">
        <v>4842</v>
      </c>
      <c r="M92" s="4" t="s">
        <v>4661</v>
      </c>
      <c r="N92" s="4" t="s">
        <v>3390</v>
      </c>
      <c r="O92" s="4"/>
      <c r="P92" s="4" t="s">
        <v>5126</v>
      </c>
      <c r="Q92" s="4" t="s">
        <v>4868</v>
      </c>
      <c r="R92" s="4" t="s">
        <v>5127</v>
      </c>
      <c r="S92" s="4" t="s">
        <v>5128</v>
      </c>
      <c r="T92" s="4" t="s">
        <v>5129</v>
      </c>
      <c r="U92" s="4" t="s">
        <v>4868</v>
      </c>
      <c r="V92" s="4" t="s">
        <v>4868</v>
      </c>
      <c r="W92" s="4" t="s">
        <v>3819</v>
      </c>
      <c r="X92" s="4" t="s">
        <v>201</v>
      </c>
      <c r="Y92" s="4" t="s">
        <v>4629</v>
      </c>
      <c r="Z92" s="4" t="s">
        <v>4629</v>
      </c>
      <c r="AA92" s="4"/>
      <c r="AB92" s="4">
        <v>7409085</v>
      </c>
      <c r="AC92" s="4"/>
      <c r="AD92" s="4"/>
      <c r="AE92" s="4"/>
      <c r="AF92" s="4" t="s">
        <v>4814</v>
      </c>
      <c r="AG92" s="4"/>
      <c r="AH92" s="4"/>
      <c r="AI92" s="4"/>
    </row>
    <row r="93" ht="16" customHeight="1" s="4" customFormat="1">
      <c r="A93" s="4">
        <v>384</v>
      </c>
      <c r="B93" s="4">
        <v>1</v>
      </c>
      <c r="C93" s="4">
        <v>7409082</v>
      </c>
      <c r="D93" s="4" t="s">
        <v>1918</v>
      </c>
      <c r="E93" s="4" t="s">
        <v>4662</v>
      </c>
      <c r="F93" s="4" t="s">
        <v>4663</v>
      </c>
      <c r="G93" s="4" t="s">
        <v>5130</v>
      </c>
      <c r="H93" s="4" t="s">
        <v>5131</v>
      </c>
      <c r="I93" s="4"/>
      <c r="J93" s="4" t="s">
        <v>4629</v>
      </c>
      <c r="K93" s="4"/>
      <c r="L93" s="4" t="s">
        <v>4842</v>
      </c>
      <c r="M93" s="4" t="s">
        <v>4664</v>
      </c>
      <c r="N93" s="4" t="s">
        <v>3390</v>
      </c>
      <c r="O93" s="4"/>
      <c r="P93" s="4" t="s">
        <v>5126</v>
      </c>
      <c r="Q93" s="4" t="s">
        <v>4868</v>
      </c>
      <c r="R93" s="4" t="s">
        <v>5132</v>
      </c>
      <c r="S93" s="4" t="s">
        <v>5133</v>
      </c>
      <c r="T93" s="4" t="s">
        <v>5134</v>
      </c>
      <c r="U93" s="4" t="s">
        <v>4868</v>
      </c>
      <c r="V93" s="4" t="s">
        <v>4868</v>
      </c>
      <c r="W93" s="4" t="s">
        <v>3819</v>
      </c>
      <c r="X93" s="4" t="s">
        <v>201</v>
      </c>
      <c r="Y93" s="4" t="s">
        <v>4629</v>
      </c>
      <c r="Z93" s="4" t="s">
        <v>4629</v>
      </c>
      <c r="AA93" s="4"/>
      <c r="AB93" s="4">
        <v>7409082</v>
      </c>
      <c r="AC93" s="4"/>
      <c r="AD93" s="4"/>
      <c r="AE93" s="4"/>
      <c r="AF93" s="4" t="s">
        <v>4814</v>
      </c>
      <c r="AG93" s="4"/>
      <c r="AH93" s="4"/>
      <c r="AI93" s="4"/>
    </row>
    <row r="94" ht="16" customHeight="1" s="4" customFormat="1">
      <c r="A94" s="4">
        <v>385</v>
      </c>
      <c r="B94" s="4">
        <v>1</v>
      </c>
      <c r="C94" s="4">
        <v>7409081</v>
      </c>
      <c r="D94" s="4" t="s">
        <v>1918</v>
      </c>
      <c r="E94" s="4" t="s">
        <v>4665</v>
      </c>
      <c r="F94" s="4" t="s">
        <v>4666</v>
      </c>
      <c r="G94" s="4" t="s">
        <v>5135</v>
      </c>
      <c r="H94" s="4" t="s">
        <v>5136</v>
      </c>
      <c r="I94" s="4"/>
      <c r="J94" s="4" t="s">
        <v>4629</v>
      </c>
      <c r="K94" s="4"/>
      <c r="L94" s="4" t="s">
        <v>4842</v>
      </c>
      <c r="M94" s="4" t="s">
        <v>4667</v>
      </c>
      <c r="N94" s="4" t="s">
        <v>3390</v>
      </c>
      <c r="O94" s="4"/>
      <c r="P94" s="4" t="s">
        <v>5126</v>
      </c>
      <c r="Q94" s="4" t="s">
        <v>4868</v>
      </c>
      <c r="R94" s="4" t="s">
        <v>5137</v>
      </c>
      <c r="S94" s="4" t="s">
        <v>5138</v>
      </c>
      <c r="T94" s="4" t="s">
        <v>5139</v>
      </c>
      <c r="U94" s="4" t="s">
        <v>4868</v>
      </c>
      <c r="V94" s="4" t="s">
        <v>4868</v>
      </c>
      <c r="W94" s="4" t="s">
        <v>3819</v>
      </c>
      <c r="X94" s="4" t="s">
        <v>201</v>
      </c>
      <c r="Y94" s="4" t="s">
        <v>4629</v>
      </c>
      <c r="Z94" s="4" t="s">
        <v>4629</v>
      </c>
      <c r="AA94" s="4"/>
      <c r="AB94" s="4">
        <v>7409081</v>
      </c>
      <c r="AC94" s="4"/>
      <c r="AD94" s="4"/>
      <c r="AE94" s="4"/>
      <c r="AF94" s="4" t="s">
        <v>4827</v>
      </c>
      <c r="AG94" s="4"/>
      <c r="AH94" s="4"/>
      <c r="AI94" s="4"/>
    </row>
    <row r="95" ht="16" customHeight="1" s="4" customFormat="1">
      <c r="A95" s="4">
        <v>386</v>
      </c>
      <c r="B95" s="4">
        <v>1</v>
      </c>
      <c r="C95" s="4">
        <v>7409084</v>
      </c>
      <c r="D95" s="4" t="s">
        <v>1918</v>
      </c>
      <c r="E95" s="4" t="s">
        <v>4668</v>
      </c>
      <c r="F95" s="4" t="s">
        <v>4669</v>
      </c>
      <c r="G95" s="4" t="s">
        <v>5140</v>
      </c>
      <c r="H95" s="4" t="s">
        <v>5136</v>
      </c>
      <c r="I95" s="4"/>
      <c r="J95" s="4" t="s">
        <v>4629</v>
      </c>
      <c r="K95" s="4"/>
      <c r="L95" s="4" t="s">
        <v>4842</v>
      </c>
      <c r="M95" s="4" t="s">
        <v>4670</v>
      </c>
      <c r="N95" s="4" t="s">
        <v>3390</v>
      </c>
      <c r="O95" s="4"/>
      <c r="P95" s="4" t="s">
        <v>5141</v>
      </c>
      <c r="Q95" s="4" t="s">
        <v>4868</v>
      </c>
      <c r="R95" s="4" t="s">
        <v>5137</v>
      </c>
      <c r="S95" s="4" t="s">
        <v>5138</v>
      </c>
      <c r="T95" s="4" t="s">
        <v>5139</v>
      </c>
      <c r="U95" s="4" t="s">
        <v>4868</v>
      </c>
      <c r="V95" s="4" t="s">
        <v>4868</v>
      </c>
      <c r="W95" s="4" t="s">
        <v>3819</v>
      </c>
      <c r="X95" s="4" t="s">
        <v>201</v>
      </c>
      <c r="Y95" s="4" t="s">
        <v>4629</v>
      </c>
      <c r="Z95" s="4" t="s">
        <v>4629</v>
      </c>
      <c r="AA95" s="4"/>
      <c r="AB95" s="4">
        <v>7409084</v>
      </c>
      <c r="AC95" s="4"/>
      <c r="AD95" s="4"/>
      <c r="AE95" s="4"/>
      <c r="AF95" s="4" t="s">
        <v>4827</v>
      </c>
      <c r="AG95" s="4"/>
      <c r="AH95" s="4"/>
      <c r="AI95" s="4"/>
    </row>
    <row r="96" ht="16" customHeight="1" s="4" customFormat="1">
      <c r="A96" s="4">
        <v>387</v>
      </c>
      <c r="B96" s="4">
        <v>1</v>
      </c>
      <c r="C96" s="4">
        <v>7409086</v>
      </c>
      <c r="D96" s="4" t="s">
        <v>1918</v>
      </c>
      <c r="E96" s="4" t="s">
        <v>4671</v>
      </c>
      <c r="F96" s="4" t="s">
        <v>4672</v>
      </c>
      <c r="G96" s="4" t="s">
        <v>5142</v>
      </c>
      <c r="H96" s="4" t="s">
        <v>5143</v>
      </c>
      <c r="I96" s="4"/>
      <c r="J96" s="4" t="s">
        <v>4629</v>
      </c>
      <c r="K96" s="4"/>
      <c r="L96" s="4" t="s">
        <v>4842</v>
      </c>
      <c r="M96" s="4" t="s">
        <v>4673</v>
      </c>
      <c r="N96" s="4" t="s">
        <v>3390</v>
      </c>
      <c r="O96" s="4"/>
      <c r="P96" s="4" t="s">
        <v>5126</v>
      </c>
      <c r="Q96" s="4" t="s">
        <v>5144</v>
      </c>
      <c r="R96" s="4" t="s">
        <v>5127</v>
      </c>
      <c r="S96" s="4" t="s">
        <v>5128</v>
      </c>
      <c r="T96" s="4" t="s">
        <v>5129</v>
      </c>
      <c r="U96" s="4" t="s">
        <v>5145</v>
      </c>
      <c r="V96" s="4" t="s">
        <v>5146</v>
      </c>
      <c r="W96" s="4" t="s">
        <v>3819</v>
      </c>
      <c r="X96" s="4" t="s">
        <v>201</v>
      </c>
      <c r="Y96" s="4" t="s">
        <v>4629</v>
      </c>
      <c r="Z96" s="4" t="s">
        <v>4629</v>
      </c>
      <c r="AA96" s="4"/>
      <c r="AB96" s="4">
        <v>7409086</v>
      </c>
      <c r="AC96" s="4"/>
      <c r="AD96" s="4"/>
      <c r="AE96" s="4"/>
      <c r="AF96" s="4" t="s">
        <v>4814</v>
      </c>
      <c r="AG96" s="4"/>
      <c r="AH96" s="4"/>
      <c r="AI96" s="4"/>
    </row>
    <row r="97" ht="16" customHeight="1" s="4" customFormat="1">
      <c r="A97" s="4">
        <v>388</v>
      </c>
      <c r="B97" s="4">
        <v>1</v>
      </c>
      <c r="C97" s="4">
        <v>7409191</v>
      </c>
      <c r="D97" s="4" t="s">
        <v>1918</v>
      </c>
      <c r="E97" s="4" t="s">
        <v>4674</v>
      </c>
      <c r="F97" s="4" t="s">
        <v>4675</v>
      </c>
      <c r="G97" s="4" t="s">
        <v>5147</v>
      </c>
      <c r="H97" s="4" t="s">
        <v>5148</v>
      </c>
      <c r="I97" s="4"/>
      <c r="J97" s="4" t="s">
        <v>4629</v>
      </c>
      <c r="K97" s="4"/>
      <c r="L97" s="4" t="s">
        <v>4842</v>
      </c>
      <c r="M97" s="4" t="s">
        <v>4676</v>
      </c>
      <c r="N97" s="4" t="s">
        <v>3390</v>
      </c>
      <c r="O97" s="4"/>
      <c r="P97" s="4" t="s">
        <v>5126</v>
      </c>
      <c r="Q97" s="4" t="s">
        <v>5149</v>
      </c>
      <c r="R97" s="4" t="s">
        <v>5150</v>
      </c>
      <c r="S97" s="4" t="s">
        <v>5151</v>
      </c>
      <c r="T97" s="4" t="s">
        <v>5152</v>
      </c>
      <c r="U97" s="4" t="s">
        <v>5153</v>
      </c>
      <c r="V97" s="4" t="s">
        <v>5154</v>
      </c>
      <c r="W97" s="4" t="s">
        <v>3819</v>
      </c>
      <c r="X97" s="4" t="s">
        <v>201</v>
      </c>
      <c r="Y97" s="4" t="s">
        <v>4629</v>
      </c>
      <c r="Z97" s="4" t="s">
        <v>4629</v>
      </c>
      <c r="AA97" s="4"/>
      <c r="AB97" s="4">
        <v>7409191</v>
      </c>
      <c r="AC97" s="4"/>
      <c r="AD97" s="4"/>
      <c r="AE97" s="4"/>
      <c r="AF97" s="4" t="s">
        <v>4814</v>
      </c>
      <c r="AG97" s="4"/>
      <c r="AH97" s="4"/>
      <c r="AI97" s="4"/>
    </row>
    <row r="98" ht="16" customHeight="1" s="4" customFormat="1">
      <c r="A98" s="4">
        <v>389</v>
      </c>
      <c r="B98" s="4">
        <v>1</v>
      </c>
      <c r="C98" s="4">
        <v>7409083</v>
      </c>
      <c r="D98" s="4" t="s">
        <v>1918</v>
      </c>
      <c r="E98" s="4" t="s">
        <v>4677</v>
      </c>
      <c r="F98" s="4" t="s">
        <v>4678</v>
      </c>
      <c r="G98" s="4" t="s">
        <v>5155</v>
      </c>
      <c r="H98" s="4" t="s">
        <v>5148</v>
      </c>
      <c r="I98" s="4"/>
      <c r="J98" s="4" t="s">
        <v>4629</v>
      </c>
      <c r="K98" s="4"/>
      <c r="L98" s="4" t="s">
        <v>4842</v>
      </c>
      <c r="M98" s="4" t="s">
        <v>4679</v>
      </c>
      <c r="N98" s="4" t="s">
        <v>3390</v>
      </c>
      <c r="O98" s="4"/>
      <c r="P98" s="4" t="s">
        <v>5126</v>
      </c>
      <c r="Q98" s="4" t="s">
        <v>4868</v>
      </c>
      <c r="R98" s="4" t="s">
        <v>5156</v>
      </c>
      <c r="S98" s="4" t="s">
        <v>5157</v>
      </c>
      <c r="T98" s="4" t="s">
        <v>5158</v>
      </c>
      <c r="U98" s="4" t="s">
        <v>4868</v>
      </c>
      <c r="V98" s="4" t="s">
        <v>4868</v>
      </c>
      <c r="W98" s="4" t="s">
        <v>3819</v>
      </c>
      <c r="X98" s="4" t="s">
        <v>201</v>
      </c>
      <c r="Y98" s="4" t="s">
        <v>4629</v>
      </c>
      <c r="Z98" s="4" t="s">
        <v>4629</v>
      </c>
      <c r="AA98" s="4"/>
      <c r="AB98" s="4">
        <v>7409083</v>
      </c>
      <c r="AC98" s="4"/>
      <c r="AD98" s="4"/>
      <c r="AE98" s="4"/>
      <c r="AF98" s="4" t="s">
        <v>4814</v>
      </c>
      <c r="AG98" s="4"/>
      <c r="AH98" s="4"/>
      <c r="AI98" s="4"/>
    </row>
    <row r="99" ht="16" customHeight="1" s="4" customFormat="1">
      <c r="A99" s="4">
        <v>390</v>
      </c>
      <c r="B99" s="4">
        <v>1</v>
      </c>
      <c r="C99" s="4">
        <v>7409190</v>
      </c>
      <c r="D99" s="4" t="s">
        <v>1918</v>
      </c>
      <c r="E99" s="4" t="s">
        <v>4680</v>
      </c>
      <c r="F99" s="4" t="s">
        <v>4681</v>
      </c>
      <c r="G99" s="4" t="s">
        <v>5159</v>
      </c>
      <c r="H99" s="4" t="s">
        <v>5125</v>
      </c>
      <c r="I99" s="4"/>
      <c r="J99" s="4" t="s">
        <v>4629</v>
      </c>
      <c r="K99" s="4"/>
      <c r="L99" s="4" t="s">
        <v>4842</v>
      </c>
      <c r="M99" s="4" t="s">
        <v>4682</v>
      </c>
      <c r="N99" s="4" t="s">
        <v>3390</v>
      </c>
      <c r="O99" s="4"/>
      <c r="P99" s="4" t="s">
        <v>5126</v>
      </c>
      <c r="Q99" s="4" t="s">
        <v>5160</v>
      </c>
      <c r="R99" s="4" t="s">
        <v>5127</v>
      </c>
      <c r="S99" s="4" t="s">
        <v>5128</v>
      </c>
      <c r="T99" s="4" t="s">
        <v>5129</v>
      </c>
      <c r="U99" s="4" t="s">
        <v>5161</v>
      </c>
      <c r="V99" s="4" t="s">
        <v>5162</v>
      </c>
      <c r="W99" s="4" t="s">
        <v>3819</v>
      </c>
      <c r="X99" s="4" t="s">
        <v>201</v>
      </c>
      <c r="Y99" s="4" t="s">
        <v>4629</v>
      </c>
      <c r="Z99" s="4" t="s">
        <v>4629</v>
      </c>
      <c r="AA99" s="4"/>
      <c r="AB99" s="4">
        <v>7409190</v>
      </c>
      <c r="AC99" s="4"/>
      <c r="AD99" s="4"/>
      <c r="AE99" s="4"/>
      <c r="AF99" s="4" t="s">
        <v>4814</v>
      </c>
      <c r="AG99" s="4"/>
      <c r="AH99" s="4"/>
      <c r="AI99" s="4"/>
    </row>
    <row r="100" ht="16" customHeight="1" s="4" customFormat="1">
      <c r="A100" s="4">
        <v>391</v>
      </c>
      <c r="B100" s="4">
        <v>1</v>
      </c>
      <c r="C100" s="4">
        <v>7409087</v>
      </c>
      <c r="D100" s="4" t="s">
        <v>1918</v>
      </c>
      <c r="E100" s="4" t="s">
        <v>4643</v>
      </c>
      <c r="F100" s="4" t="s">
        <v>4644</v>
      </c>
      <c r="G100" s="4" t="s">
        <v>5163</v>
      </c>
      <c r="H100" s="4" t="s">
        <v>5125</v>
      </c>
      <c r="I100" s="4"/>
      <c r="J100" s="4" t="s">
        <v>4629</v>
      </c>
      <c r="K100" s="4"/>
      <c r="L100" s="4" t="s">
        <v>4842</v>
      </c>
      <c r="M100" s="4" t="s">
        <v>4645</v>
      </c>
      <c r="N100" s="4" t="s">
        <v>3390</v>
      </c>
      <c r="O100" s="4"/>
      <c r="P100" s="4" t="s">
        <v>5126</v>
      </c>
      <c r="Q100" s="4" t="s">
        <v>4868</v>
      </c>
      <c r="R100" s="4" t="s">
        <v>5127</v>
      </c>
      <c r="S100" s="4" t="s">
        <v>5128</v>
      </c>
      <c r="T100" s="4" t="s">
        <v>5129</v>
      </c>
      <c r="U100" s="4" t="s">
        <v>4868</v>
      </c>
      <c r="V100" s="4" t="s">
        <v>4868</v>
      </c>
      <c r="W100" s="4" t="s">
        <v>3819</v>
      </c>
      <c r="X100" s="4" t="s">
        <v>201</v>
      </c>
      <c r="Y100" s="4" t="s">
        <v>4629</v>
      </c>
      <c r="Z100" s="4" t="s">
        <v>4629</v>
      </c>
      <c r="AA100" s="4"/>
      <c r="AB100" s="4">
        <v>7409087</v>
      </c>
      <c r="AC100" s="4"/>
      <c r="AD100" s="4"/>
      <c r="AE100" s="4"/>
      <c r="AF100" s="4" t="s">
        <v>4814</v>
      </c>
      <c r="AG100" s="4"/>
      <c r="AH100" s="4"/>
      <c r="AI100" s="4"/>
    </row>
    <row r="101" ht="16" customHeight="1" s="4" customFormat="1">
      <c r="A101" s="4">
        <v>392</v>
      </c>
      <c r="B101" s="4">
        <v>1</v>
      </c>
      <c r="C101" s="4">
        <v>7409194</v>
      </c>
      <c r="D101" s="4" t="s">
        <v>1918</v>
      </c>
      <c r="E101" s="4" t="s">
        <v>4760</v>
      </c>
      <c r="F101" s="4" t="s">
        <v>4761</v>
      </c>
      <c r="G101" s="4" t="s">
        <v>5164</v>
      </c>
      <c r="H101" s="4" t="s">
        <v>5165</v>
      </c>
      <c r="I101" s="4"/>
      <c r="J101" s="4" t="s">
        <v>4629</v>
      </c>
      <c r="K101" s="4"/>
      <c r="L101" s="4" t="s">
        <v>4842</v>
      </c>
      <c r="M101" s="4" t="s">
        <v>4762</v>
      </c>
      <c r="N101" s="4" t="s">
        <v>3390</v>
      </c>
      <c r="O101" s="4"/>
      <c r="P101" s="4" t="s">
        <v>5166</v>
      </c>
      <c r="Q101" s="4" t="s">
        <v>5167</v>
      </c>
      <c r="R101" s="4" t="s">
        <v>5168</v>
      </c>
      <c r="S101" s="4" t="s">
        <v>5169</v>
      </c>
      <c r="T101" s="4" t="s">
        <v>5170</v>
      </c>
      <c r="U101" s="4" t="s">
        <v>5171</v>
      </c>
      <c r="V101" s="4" t="s">
        <v>5172</v>
      </c>
      <c r="W101" s="4" t="s">
        <v>3819</v>
      </c>
      <c r="X101" s="4" t="s">
        <v>201</v>
      </c>
      <c r="Y101" s="4" t="s">
        <v>4629</v>
      </c>
      <c r="Z101" s="4" t="s">
        <v>4629</v>
      </c>
      <c r="AA101" s="4"/>
      <c r="AB101" s="4">
        <v>7409194</v>
      </c>
      <c r="AC101" s="4"/>
      <c r="AD101" s="4"/>
      <c r="AE101" s="4"/>
      <c r="AF101" s="4" t="s">
        <v>4814</v>
      </c>
      <c r="AG101" s="4"/>
      <c r="AH101" s="4"/>
      <c r="AI101" s="4"/>
    </row>
    <row r="102" ht="16" customHeight="1">
      <c r="A102" s="3">
        <v>398</v>
      </c>
      <c r="B102" s="3">
        <v>1</v>
      </c>
      <c r="C102" s="3">
        <v>12964067</v>
      </c>
      <c r="D102" s="3" t="s">
        <v>1922</v>
      </c>
      <c r="E102" s="3" t="s">
        <v>3941</v>
      </c>
      <c r="F102" s="3" t="s">
        <v>3942</v>
      </c>
      <c r="G102" s="3" t="s">
        <v>10</v>
      </c>
      <c r="H102" s="3" t="s">
        <v>5173</v>
      </c>
      <c r="I102" s="3"/>
      <c r="J102" s="3" t="s">
        <v>3634</v>
      </c>
      <c r="K102" s="3"/>
      <c r="L102" s="3" t="s">
        <v>4842</v>
      </c>
      <c r="M102" s="3" t="s">
        <v>3944</v>
      </c>
      <c r="N102" s="3" t="s">
        <v>3390</v>
      </c>
      <c r="O102" s="3"/>
      <c r="P102" s="3" t="s">
        <v>5174</v>
      </c>
      <c r="Q102" s="3" t="s">
        <v>4848</v>
      </c>
      <c r="R102" s="3" t="s">
        <v>5175</v>
      </c>
      <c r="S102" s="3" t="s">
        <v>5176</v>
      </c>
      <c r="T102" s="3" t="s">
        <v>5177</v>
      </c>
      <c r="U102" s="3" t="s">
        <v>4849</v>
      </c>
      <c r="V102" s="3" t="s">
        <v>4850</v>
      </c>
      <c r="W102" s="3" t="s">
        <v>3819</v>
      </c>
      <c r="X102" s="3" t="s">
        <v>201</v>
      </c>
      <c r="Y102" s="3" t="s">
        <v>3637</v>
      </c>
      <c r="Z102" s="3" t="s">
        <v>3585</v>
      </c>
      <c r="AA102" s="3" t="s">
        <v>3631</v>
      </c>
      <c r="AB102" s="3">
        <v>1.2964067129640682E+79</v>
      </c>
      <c r="AC102" s="3"/>
      <c r="AD102" s="3"/>
      <c r="AE102" s="3"/>
      <c r="AF102" s="3" t="s">
        <v>4892</v>
      </c>
      <c r="AG102" s="3"/>
    </row>
  </sheetData>
  <headerFooter/>
</worksheet>
</file>

<file path=xl/worksheets/sheet39.xml><?xml version="1.0" encoding="utf-8"?>
<worksheet xmlns:r="http://schemas.openxmlformats.org/officeDocument/2006/relationships" xmlns="http://schemas.openxmlformats.org/spreadsheetml/2006/main">
  <dimension ref="A1:H278"/>
  <sheetViews>
    <sheetView workbookViewId="0"/>
  </sheetViews>
  <sheetFormatPr defaultRowHeight="15"/>
  <cols>
    <col min="1" max="1" width="16.0548076629639" customWidth="1" style="3"/>
    <col min="2" max="2" width="17.9392948150635" customWidth="1" style="3"/>
    <col min="3" max="3" width="14.9204769134521" customWidth="1" style="3"/>
    <col min="4" max="4" width="12.8065767288208" customWidth="1" style="3"/>
    <col min="5" max="5" width="9.52650451660156" customWidth="1" style="3"/>
    <col min="6" max="16384" width="9.82198429107666" customWidth="1" style="3"/>
    <col min="7" max="16384" width="9.140625" customWidth="1" style="3"/>
    <col min="8" max="16384" width="9.140625" customWidth="1" style="3"/>
  </cols>
  <sheetData>
    <row r="1" ht="20" customHeight="1" s="1" customFormat="1">
      <c r="A1" s="2" t="s">
        <v>5178</v>
      </c>
      <c r="B1" s="2" t="s">
        <v>5179</v>
      </c>
      <c r="C1" s="2" t="s">
        <v>5180</v>
      </c>
      <c r="D1" s="2" t="s">
        <v>5181</v>
      </c>
      <c r="E1" s="2" t="s">
        <v>5182</v>
      </c>
      <c r="F1" s="2" t="s">
        <v>5183</v>
      </c>
    </row>
    <row r="2" ht="16" customHeight="1" s="4" customFormat="1">
      <c r="A2" s="4" t="s">
        <v>5184</v>
      </c>
      <c r="B2" s="4" t="s">
        <v>5185</v>
      </c>
      <c r="C2" s="4"/>
      <c r="D2" s="5">
        <v>46097</v>
      </c>
      <c r="E2" s="4"/>
      <c r="F2" s="4"/>
      <c r="G2" s="4"/>
      <c r="H2" s="4"/>
    </row>
    <row r="3" ht="16" customHeight="1" s="4" customFormat="1">
      <c r="A3" s="4" t="s">
        <v>5186</v>
      </c>
      <c r="B3" s="4" t="s">
        <v>5185</v>
      </c>
      <c r="C3" s="4"/>
      <c r="D3" s="5">
        <v>46092</v>
      </c>
      <c r="E3" s="4"/>
      <c r="F3" s="4"/>
      <c r="G3" s="4"/>
      <c r="H3" s="4"/>
    </row>
    <row r="4" ht="16" customHeight="1" s="4" customFormat="1">
      <c r="A4" s="4" t="s">
        <v>5187</v>
      </c>
      <c r="B4" s="4" t="s">
        <v>5185</v>
      </c>
      <c r="C4" s="4"/>
      <c r="D4" s="5">
        <v>46092</v>
      </c>
      <c r="E4" s="4"/>
      <c r="F4" s="4"/>
      <c r="G4" s="4"/>
      <c r="H4" s="4"/>
    </row>
    <row r="5" ht="16" customHeight="1" s="4" customFormat="1">
      <c r="A5" s="4" t="s">
        <v>5188</v>
      </c>
      <c r="B5" s="4" t="s">
        <v>5185</v>
      </c>
      <c r="C5" s="4">
        <v>9.31</v>
      </c>
      <c r="D5" s="5">
        <v>45813</v>
      </c>
      <c r="E5" s="4">
        <v>2.5</v>
      </c>
      <c r="F5" s="4"/>
      <c r="G5" s="4"/>
      <c r="H5" s="4"/>
    </row>
    <row r="6" ht="16" customHeight="1" s="4" customFormat="1">
      <c r="A6" s="4" t="s">
        <v>5189</v>
      </c>
      <c r="B6" s="4" t="s">
        <v>5185</v>
      </c>
      <c r="C6" s="4">
        <v>9.45</v>
      </c>
      <c r="D6" s="5">
        <v>45813</v>
      </c>
      <c r="E6" s="4">
        <v>3</v>
      </c>
      <c r="F6" s="4"/>
      <c r="G6" s="4"/>
      <c r="H6" s="4"/>
    </row>
    <row r="7" ht="16" customHeight="1" s="4" customFormat="1">
      <c r="A7" s="4" t="s">
        <v>5190</v>
      </c>
      <c r="B7" s="4" t="s">
        <v>5185</v>
      </c>
      <c r="C7" s="4"/>
      <c r="D7" s="5">
        <v>45813</v>
      </c>
      <c r="E7" s="4">
        <v>2</v>
      </c>
      <c r="F7" s="4"/>
      <c r="G7" s="4"/>
      <c r="H7" s="4"/>
    </row>
    <row r="8" ht="16" customHeight="1" s="4" customFormat="1">
      <c r="A8" s="4" t="s">
        <v>5191</v>
      </c>
      <c r="B8" s="4" t="s">
        <v>5185</v>
      </c>
      <c r="C8" s="4">
        <v>9.5</v>
      </c>
      <c r="D8" s="5">
        <v>45708</v>
      </c>
      <c r="E8" s="4">
        <v>2.5</v>
      </c>
      <c r="F8" s="4"/>
      <c r="G8" s="4"/>
      <c r="H8" s="4"/>
    </row>
    <row r="9" ht="16" customHeight="1" s="4" customFormat="1">
      <c r="A9" s="4" t="s">
        <v>5192</v>
      </c>
      <c r="B9" s="4" t="s">
        <v>5185</v>
      </c>
      <c r="C9" s="4">
        <v>9.4</v>
      </c>
      <c r="D9" s="5">
        <v>45708</v>
      </c>
      <c r="E9" s="4">
        <v>2</v>
      </c>
      <c r="F9" s="4"/>
      <c r="G9" s="4"/>
      <c r="H9" s="4"/>
    </row>
    <row r="10" ht="16" customHeight="1" s="4" customFormat="1">
      <c r="A10" s="4" t="s">
        <v>5193</v>
      </c>
      <c r="B10" s="4" t="s">
        <v>5185</v>
      </c>
      <c r="C10" s="4"/>
      <c r="D10" s="5">
        <v>45484</v>
      </c>
      <c r="E10" s="4">
        <v>1.25</v>
      </c>
      <c r="F10" s="4"/>
      <c r="G10" s="4"/>
      <c r="H10" s="4"/>
    </row>
    <row r="11" ht="16" customHeight="1" s="4" customFormat="1">
      <c r="A11" s="4" t="s">
        <v>5194</v>
      </c>
      <c r="B11" s="4" t="s">
        <v>5185</v>
      </c>
      <c r="C11" s="4">
        <v>12</v>
      </c>
      <c r="D11" s="5">
        <v>45194</v>
      </c>
      <c r="E11" s="4">
        <v>1.5</v>
      </c>
      <c r="F11" s="4"/>
      <c r="G11" s="4"/>
      <c r="H11" s="4"/>
    </row>
    <row r="12" ht="16" customHeight="1" s="4" customFormat="1">
      <c r="A12" s="4" t="s">
        <v>5195</v>
      </c>
      <c r="B12" s="4" t="s">
        <v>1768</v>
      </c>
      <c r="C12" s="4"/>
      <c r="D12" s="5">
        <v>44946</v>
      </c>
      <c r="E12" s="4">
        <v>0.15</v>
      </c>
      <c r="F12" s="4"/>
      <c r="G12" s="4"/>
      <c r="H12" s="4"/>
    </row>
    <row r="13" ht="16" customHeight="1" s="4" customFormat="1">
      <c r="A13" s="4" t="s">
        <v>5196</v>
      </c>
      <c r="B13" s="4" t="s">
        <v>5185</v>
      </c>
      <c r="C13" s="4"/>
      <c r="D13" s="5">
        <v>44911</v>
      </c>
      <c r="E13" s="4">
        <v>1.25</v>
      </c>
      <c r="F13" s="4"/>
      <c r="G13" s="4"/>
      <c r="H13" s="4"/>
    </row>
    <row r="14" ht="16" customHeight="1" s="4" customFormat="1">
      <c r="A14" s="4" t="s">
        <v>5197</v>
      </c>
      <c r="B14" s="4" t="s">
        <v>1768</v>
      </c>
      <c r="C14" s="4"/>
      <c r="D14" s="5">
        <v>44897</v>
      </c>
      <c r="E14" s="4">
        <v>0.24</v>
      </c>
      <c r="F14" s="4"/>
      <c r="G14" s="4"/>
      <c r="H14" s="4"/>
    </row>
    <row r="15" ht="16" customHeight="1" s="4" customFormat="1">
      <c r="A15" s="4" t="s">
        <v>5198</v>
      </c>
      <c r="B15" s="4" t="s">
        <v>1768</v>
      </c>
      <c r="C15" s="4"/>
      <c r="D15" s="5">
        <v>44889</v>
      </c>
      <c r="E15" s="4">
        <v>0.25</v>
      </c>
      <c r="F15" s="4"/>
      <c r="G15" s="4"/>
      <c r="H15" s="4"/>
    </row>
    <row r="16" ht="16" customHeight="1" s="4" customFormat="1">
      <c r="A16" s="4" t="s">
        <v>5199</v>
      </c>
      <c r="B16" s="4" t="s">
        <v>1768</v>
      </c>
      <c r="C16" s="4"/>
      <c r="D16" s="5">
        <v>44887</v>
      </c>
      <c r="E16" s="4">
        <v>0.21</v>
      </c>
      <c r="F16" s="4"/>
      <c r="G16" s="4"/>
      <c r="H16" s="4"/>
    </row>
    <row r="17" ht="16" customHeight="1" s="4" customFormat="1">
      <c r="A17" s="4" t="s">
        <v>5200</v>
      </c>
      <c r="B17" s="4" t="s">
        <v>1768</v>
      </c>
      <c r="C17" s="4"/>
      <c r="D17" s="5">
        <v>44872</v>
      </c>
      <c r="E17" s="4">
        <v>0.24</v>
      </c>
      <c r="F17" s="4"/>
      <c r="G17" s="4"/>
      <c r="H17" s="4"/>
    </row>
    <row r="18" ht="16" customHeight="1" s="4" customFormat="1">
      <c r="A18" s="4" t="s">
        <v>5201</v>
      </c>
      <c r="B18" s="4" t="s">
        <v>1768</v>
      </c>
      <c r="C18" s="4"/>
      <c r="D18" s="5">
        <v>44868</v>
      </c>
      <c r="E18" s="4">
        <v>0.24</v>
      </c>
      <c r="F18" s="4"/>
      <c r="G18" s="4"/>
      <c r="H18" s="4"/>
    </row>
    <row r="19" ht="16" customHeight="1" s="4" customFormat="1">
      <c r="A19" s="4" t="s">
        <v>5202</v>
      </c>
      <c r="B19" s="4" t="s">
        <v>1768</v>
      </c>
      <c r="C19" s="4"/>
      <c r="D19" s="5">
        <v>44851</v>
      </c>
      <c r="E19" s="4">
        <v>0.19</v>
      </c>
      <c r="F19" s="4"/>
      <c r="G19" s="4"/>
      <c r="H19" s="4"/>
    </row>
    <row r="20" ht="16" customHeight="1" s="4" customFormat="1">
      <c r="A20" s="4" t="s">
        <v>5203</v>
      </c>
      <c r="B20" s="4" t="s">
        <v>1768</v>
      </c>
      <c r="C20" s="4"/>
      <c r="D20" s="5">
        <v>44851</v>
      </c>
      <c r="E20" s="4">
        <v>0.19</v>
      </c>
      <c r="F20" s="4"/>
      <c r="G20" s="4"/>
      <c r="H20" s="4"/>
    </row>
    <row r="21" ht="16" customHeight="1" s="4" customFormat="1">
      <c r="A21" s="4" t="s">
        <v>5204</v>
      </c>
      <c r="B21" s="4" t="s">
        <v>1768</v>
      </c>
      <c r="C21" s="4"/>
      <c r="D21" s="5">
        <v>44826</v>
      </c>
      <c r="E21" s="4">
        <v>0.17</v>
      </c>
      <c r="F21" s="4"/>
      <c r="G21" s="4"/>
      <c r="H21" s="4"/>
    </row>
    <row r="22" ht="16" customHeight="1" s="4" customFormat="1">
      <c r="A22" s="4" t="s">
        <v>5205</v>
      </c>
      <c r="B22" s="4" t="s">
        <v>1768</v>
      </c>
      <c r="C22" s="4"/>
      <c r="D22" s="5">
        <v>44824</v>
      </c>
      <c r="E22" s="4">
        <v>0.25</v>
      </c>
      <c r="F22" s="4"/>
      <c r="G22" s="4"/>
      <c r="H22" s="4"/>
    </row>
    <row r="23" ht="16" customHeight="1" s="4" customFormat="1">
      <c r="A23" s="4" t="s">
        <v>5206</v>
      </c>
      <c r="B23" s="4" t="s">
        <v>1768</v>
      </c>
      <c r="C23" s="4"/>
      <c r="D23" s="5">
        <v>44820</v>
      </c>
      <c r="E23" s="4">
        <v>0.45</v>
      </c>
      <c r="F23" s="4"/>
      <c r="G23" s="4"/>
      <c r="H23" s="4"/>
    </row>
    <row r="24" ht="16" customHeight="1" s="4" customFormat="1">
      <c r="A24" s="4" t="s">
        <v>5207</v>
      </c>
      <c r="B24" s="4" t="s">
        <v>1768</v>
      </c>
      <c r="C24" s="4"/>
      <c r="D24" s="5">
        <v>44820</v>
      </c>
      <c r="E24" s="4">
        <v>0.25</v>
      </c>
      <c r="F24" s="4"/>
      <c r="G24" s="4"/>
      <c r="H24" s="4"/>
    </row>
    <row r="25" ht="16" customHeight="1" s="4" customFormat="1">
      <c r="A25" s="4" t="s">
        <v>5208</v>
      </c>
      <c r="B25" s="4" t="s">
        <v>1768</v>
      </c>
      <c r="C25" s="4"/>
      <c r="D25" s="5">
        <v>44797</v>
      </c>
      <c r="E25" s="4">
        <v>0.16</v>
      </c>
      <c r="F25" s="4"/>
      <c r="G25" s="4"/>
      <c r="H25" s="4"/>
    </row>
    <row r="26" ht="16" customHeight="1" s="4" customFormat="1">
      <c r="A26" s="4" t="s">
        <v>5209</v>
      </c>
      <c r="B26" s="4" t="s">
        <v>1768</v>
      </c>
      <c r="C26" s="4"/>
      <c r="D26" s="5">
        <v>44796</v>
      </c>
      <c r="E26" s="4">
        <v>0.18</v>
      </c>
      <c r="F26" s="4"/>
      <c r="G26" s="4"/>
      <c r="H26" s="4"/>
    </row>
    <row r="27" ht="16" customHeight="1" s="4" customFormat="1">
      <c r="A27" s="4" t="s">
        <v>5210</v>
      </c>
      <c r="B27" s="4" t="s">
        <v>1768</v>
      </c>
      <c r="C27" s="4"/>
      <c r="D27" s="5">
        <v>44762</v>
      </c>
      <c r="E27" s="4">
        <v>0.17</v>
      </c>
      <c r="F27" s="4"/>
      <c r="G27" s="4"/>
      <c r="H27" s="4"/>
    </row>
    <row r="28" ht="16" customHeight="1" s="4" customFormat="1">
      <c r="A28" s="4" t="s">
        <v>5211</v>
      </c>
      <c r="B28" s="4" t="s">
        <v>1768</v>
      </c>
      <c r="C28" s="4"/>
      <c r="D28" s="5">
        <v>44760</v>
      </c>
      <c r="E28" s="4">
        <v>1</v>
      </c>
      <c r="F28" s="4"/>
      <c r="G28" s="4"/>
      <c r="H28" s="4"/>
    </row>
    <row r="29" ht="16" customHeight="1" s="4" customFormat="1">
      <c r="A29" s="4" t="s">
        <v>5212</v>
      </c>
      <c r="B29" s="4" t="s">
        <v>1768</v>
      </c>
      <c r="C29" s="4"/>
      <c r="D29" s="5">
        <v>44755</v>
      </c>
      <c r="E29" s="4">
        <v>0.17</v>
      </c>
      <c r="F29" s="4"/>
      <c r="G29" s="4"/>
      <c r="H29" s="4"/>
    </row>
    <row r="30" ht="16" customHeight="1" s="4" customFormat="1">
      <c r="A30" s="4" t="s">
        <v>5213</v>
      </c>
      <c r="B30" s="4" t="s">
        <v>5185</v>
      </c>
      <c r="C30" s="4">
        <v>8.74</v>
      </c>
      <c r="D30" s="5">
        <v>44741</v>
      </c>
      <c r="E30" s="4">
        <v>10.01</v>
      </c>
      <c r="F30" s="4"/>
      <c r="G30" s="4"/>
      <c r="H30" s="4"/>
    </row>
    <row r="31" ht="16" customHeight="1" s="4" customFormat="1">
      <c r="A31" s="4" t="s">
        <v>5214</v>
      </c>
      <c r="B31" s="4" t="s">
        <v>1768</v>
      </c>
      <c r="C31" s="4"/>
      <c r="D31" s="5">
        <v>44740</v>
      </c>
      <c r="E31" s="4">
        <v>0.49</v>
      </c>
      <c r="F31" s="4"/>
      <c r="G31" s="4"/>
      <c r="H31" s="4"/>
    </row>
    <row r="32" ht="16" customHeight="1" s="4" customFormat="1">
      <c r="A32" s="4" t="s">
        <v>5215</v>
      </c>
      <c r="B32" s="4" t="s">
        <v>1768</v>
      </c>
      <c r="C32" s="4"/>
      <c r="D32" s="5">
        <v>44736</v>
      </c>
      <c r="E32" s="4">
        <v>0.17</v>
      </c>
      <c r="F32" s="4"/>
      <c r="G32" s="4"/>
      <c r="H32" s="4"/>
    </row>
    <row r="33" ht="16" customHeight="1" s="4" customFormat="1">
      <c r="A33" s="4" t="s">
        <v>5216</v>
      </c>
      <c r="B33" s="4" t="s">
        <v>1768</v>
      </c>
      <c r="C33" s="4"/>
      <c r="D33" s="5">
        <v>44736</v>
      </c>
      <c r="E33" s="4">
        <v>0.16</v>
      </c>
      <c r="F33" s="4"/>
      <c r="G33" s="4"/>
      <c r="H33" s="4"/>
    </row>
    <row r="34" ht="16" customHeight="1" s="4" customFormat="1">
      <c r="A34" s="4" t="s">
        <v>5217</v>
      </c>
      <c r="B34" s="4" t="s">
        <v>1768</v>
      </c>
      <c r="C34" s="4"/>
      <c r="D34" s="5">
        <v>44712</v>
      </c>
      <c r="E34" s="4">
        <v>0.77</v>
      </c>
      <c r="F34" s="4"/>
      <c r="G34" s="4"/>
      <c r="H34" s="4"/>
    </row>
    <row r="35" ht="16" customHeight="1" s="4" customFormat="1">
      <c r="A35" s="4" t="s">
        <v>5218</v>
      </c>
      <c r="B35" s="4" t="s">
        <v>1768</v>
      </c>
      <c r="C35" s="4">
        <v>250</v>
      </c>
      <c r="D35" s="5">
        <v>44683</v>
      </c>
      <c r="E35" s="4">
        <v>0.16</v>
      </c>
      <c r="F35" s="4"/>
      <c r="G35" s="4"/>
      <c r="H35" s="4"/>
    </row>
    <row r="36" ht="16" customHeight="1" s="4" customFormat="1">
      <c r="A36" s="4" t="s">
        <v>5219</v>
      </c>
      <c r="B36" s="4" t="s">
        <v>1768</v>
      </c>
      <c r="C36" s="4">
        <v>250</v>
      </c>
      <c r="D36" s="5">
        <v>44677</v>
      </c>
      <c r="E36" s="4">
        <v>0.42</v>
      </c>
      <c r="F36" s="4"/>
      <c r="G36" s="4"/>
      <c r="H36" s="4"/>
    </row>
    <row r="37" ht="16" customHeight="1" s="4" customFormat="1">
      <c r="A37" s="4" t="s">
        <v>5220</v>
      </c>
      <c r="B37" s="4" t="s">
        <v>1768</v>
      </c>
      <c r="C37" s="4">
        <v>125</v>
      </c>
      <c r="D37" s="5">
        <v>44676</v>
      </c>
      <c r="E37" s="4">
        <v>0.25</v>
      </c>
      <c r="F37" s="4"/>
      <c r="G37" s="4"/>
      <c r="H37" s="4"/>
    </row>
    <row r="38" ht="16" customHeight="1" s="4" customFormat="1">
      <c r="A38" s="4" t="s">
        <v>5221</v>
      </c>
      <c r="B38" s="4" t="s">
        <v>1768</v>
      </c>
      <c r="C38" s="4">
        <v>200</v>
      </c>
      <c r="D38" s="5">
        <v>44676</v>
      </c>
      <c r="E38" s="4">
        <v>0.48</v>
      </c>
      <c r="F38" s="4"/>
      <c r="G38" s="4"/>
      <c r="H38" s="4"/>
    </row>
    <row r="39" ht="16" customHeight="1" s="4" customFormat="1">
      <c r="A39" s="4" t="s">
        <v>5222</v>
      </c>
      <c r="B39" s="4" t="s">
        <v>1768</v>
      </c>
      <c r="C39" s="4"/>
      <c r="D39" s="5">
        <v>44676</v>
      </c>
      <c r="E39" s="4">
        <v>0.18</v>
      </c>
      <c r="F39" s="4"/>
      <c r="G39" s="4"/>
      <c r="H39" s="4"/>
    </row>
    <row r="40" ht="16" customHeight="1" s="4" customFormat="1">
      <c r="A40" s="4" t="s">
        <v>5223</v>
      </c>
      <c r="B40" s="4" t="s">
        <v>1768</v>
      </c>
      <c r="C40" s="4">
        <v>125</v>
      </c>
      <c r="D40" s="5">
        <v>44676</v>
      </c>
      <c r="E40" s="4">
        <v>0.5</v>
      </c>
      <c r="F40" s="4"/>
      <c r="G40" s="4"/>
      <c r="H40" s="4"/>
    </row>
    <row r="41" ht="16" customHeight="1" s="4" customFormat="1">
      <c r="A41" s="4" t="s">
        <v>5224</v>
      </c>
      <c r="B41" s="4" t="s">
        <v>1768</v>
      </c>
      <c r="C41" s="4">
        <v>390</v>
      </c>
      <c r="D41" s="5">
        <v>44673</v>
      </c>
      <c r="E41" s="4">
        <v>0.24</v>
      </c>
      <c r="F41" s="4"/>
      <c r="G41" s="4"/>
      <c r="H41" s="4"/>
    </row>
    <row r="42" ht="16" customHeight="1" s="4" customFormat="1">
      <c r="A42" s="4" t="s">
        <v>5225</v>
      </c>
      <c r="B42" s="4" t="s">
        <v>1768</v>
      </c>
      <c r="C42" s="4">
        <v>500</v>
      </c>
      <c r="D42" s="5">
        <v>44672</v>
      </c>
      <c r="E42" s="4">
        <v>0.5</v>
      </c>
      <c r="F42" s="4"/>
      <c r="G42" s="4"/>
      <c r="H42" s="4"/>
    </row>
    <row r="43" ht="16" customHeight="1" s="4" customFormat="1">
      <c r="A43" s="4" t="s">
        <v>5226</v>
      </c>
      <c r="B43" s="4" t="s">
        <v>1768</v>
      </c>
      <c r="C43" s="4"/>
      <c r="D43" s="5">
        <v>44659</v>
      </c>
      <c r="E43" s="4">
        <v>0.48</v>
      </c>
      <c r="F43" s="4"/>
      <c r="G43" s="4"/>
      <c r="H43" s="4"/>
    </row>
    <row r="44" ht="16" customHeight="1" s="4" customFormat="1">
      <c r="A44" s="4" t="s">
        <v>5227</v>
      </c>
      <c r="B44" s="4" t="s">
        <v>1768</v>
      </c>
      <c r="C44" s="4"/>
      <c r="D44" s="5">
        <v>44648</v>
      </c>
      <c r="E44" s="4">
        <v>1</v>
      </c>
      <c r="F44" s="4"/>
      <c r="G44" s="4"/>
      <c r="H44" s="4"/>
    </row>
    <row r="45" ht="16" customHeight="1" s="4" customFormat="1">
      <c r="A45" s="4" t="s">
        <v>5228</v>
      </c>
      <c r="B45" s="4" t="s">
        <v>1768</v>
      </c>
      <c r="C45" s="4"/>
      <c r="D45" s="5">
        <v>44645</v>
      </c>
      <c r="E45" s="4">
        <v>0.5</v>
      </c>
      <c r="F45" s="4"/>
      <c r="G45" s="4"/>
      <c r="H45" s="4"/>
    </row>
    <row r="46" ht="16" customHeight="1" s="4" customFormat="1">
      <c r="A46" s="4" t="s">
        <v>5229</v>
      </c>
      <c r="B46" s="4" t="s">
        <v>1768</v>
      </c>
      <c r="C46" s="4"/>
      <c r="D46" s="5">
        <v>44642</v>
      </c>
      <c r="E46" s="4">
        <v>1</v>
      </c>
      <c r="F46" s="4"/>
      <c r="G46" s="4"/>
      <c r="H46" s="4"/>
    </row>
    <row r="47" ht="16" customHeight="1" s="4" customFormat="1">
      <c r="A47" s="4" t="s">
        <v>5230</v>
      </c>
      <c r="B47" s="4" t="s">
        <v>1768</v>
      </c>
      <c r="C47" s="4"/>
      <c r="D47" s="5">
        <v>44589</v>
      </c>
      <c r="E47" s="4">
        <v>0.25</v>
      </c>
      <c r="F47" s="4"/>
      <c r="G47" s="4"/>
      <c r="H47" s="4"/>
    </row>
    <row r="48" ht="16" customHeight="1" s="4" customFormat="1">
      <c r="A48" s="4" t="s">
        <v>5231</v>
      </c>
      <c r="B48" s="4" t="s">
        <v>1768</v>
      </c>
      <c r="C48" s="4"/>
      <c r="D48" s="5">
        <v>44586</v>
      </c>
      <c r="E48" s="4">
        <v>0.67</v>
      </c>
      <c r="F48" s="4"/>
      <c r="G48" s="4"/>
      <c r="H48" s="4"/>
    </row>
    <row r="49" ht="16" customHeight="1" s="4" customFormat="1">
      <c r="A49" s="4" t="s">
        <v>5232</v>
      </c>
      <c r="B49" s="4" t="s">
        <v>1768</v>
      </c>
      <c r="C49" s="4"/>
      <c r="D49" s="5">
        <v>44586</v>
      </c>
      <c r="E49" s="4">
        <v>0.25</v>
      </c>
      <c r="F49" s="4"/>
      <c r="G49" s="4"/>
      <c r="H49" s="4"/>
    </row>
    <row r="50" ht="16" customHeight="1" s="4" customFormat="1">
      <c r="A50" s="4" t="s">
        <v>5233</v>
      </c>
      <c r="B50" s="4" t="s">
        <v>1768</v>
      </c>
      <c r="C50" s="4"/>
      <c r="D50" s="5">
        <v>44585</v>
      </c>
      <c r="E50" s="4">
        <v>0.49</v>
      </c>
      <c r="F50" s="4"/>
      <c r="G50" s="4"/>
      <c r="H50" s="4"/>
    </row>
    <row r="51" ht="16" customHeight="1" s="4" customFormat="1">
      <c r="A51" s="4" t="s">
        <v>5234</v>
      </c>
      <c r="B51" s="4" t="s">
        <v>1768</v>
      </c>
      <c r="C51" s="4"/>
      <c r="D51" s="5">
        <v>44585</v>
      </c>
      <c r="E51" s="4">
        <v>0.24</v>
      </c>
      <c r="F51" s="4"/>
      <c r="G51" s="4"/>
      <c r="H51" s="4"/>
    </row>
    <row r="52" ht="16" customHeight="1" s="4" customFormat="1">
      <c r="A52" s="4" t="s">
        <v>5235</v>
      </c>
      <c r="B52" s="4" t="s">
        <v>1768</v>
      </c>
      <c r="C52" s="4"/>
      <c r="D52" s="5">
        <v>44582</v>
      </c>
      <c r="E52" s="4">
        <v>0.5</v>
      </c>
      <c r="F52" s="4"/>
      <c r="G52" s="4"/>
      <c r="H52" s="4"/>
    </row>
    <row r="53" ht="16" customHeight="1" s="4" customFormat="1">
      <c r="A53" s="4" t="s">
        <v>5236</v>
      </c>
      <c r="B53" s="4" t="s">
        <v>1768</v>
      </c>
      <c r="C53" s="4"/>
      <c r="D53" s="5">
        <v>44582</v>
      </c>
      <c r="E53" s="4">
        <v>0.25</v>
      </c>
      <c r="F53" s="4"/>
      <c r="G53" s="4"/>
      <c r="H53" s="4"/>
    </row>
    <row r="54" ht="16" customHeight="1" s="4" customFormat="1">
      <c r="A54" s="4" t="s">
        <v>5237</v>
      </c>
      <c r="B54" s="4" t="s">
        <v>5185</v>
      </c>
      <c r="C54" s="4">
        <v>7.68</v>
      </c>
      <c r="D54" s="5">
        <v>44561</v>
      </c>
      <c r="E54" s="4">
        <v>3</v>
      </c>
      <c r="F54" s="4"/>
      <c r="G54" s="4"/>
      <c r="H54" s="4"/>
    </row>
    <row r="55" ht="16" customHeight="1" s="4" customFormat="1">
      <c r="A55" s="4" t="s">
        <v>5238</v>
      </c>
      <c r="B55" s="4" t="s">
        <v>1768</v>
      </c>
      <c r="C55" s="4"/>
      <c r="D55" s="5">
        <v>44557</v>
      </c>
      <c r="E55" s="4">
        <v>0.24</v>
      </c>
      <c r="F55" s="4"/>
      <c r="G55" s="4"/>
      <c r="H55" s="4"/>
    </row>
    <row r="56" ht="16" customHeight="1" s="4" customFormat="1">
      <c r="A56" s="4" t="s">
        <v>5239</v>
      </c>
      <c r="B56" s="4" t="s">
        <v>1768</v>
      </c>
      <c r="C56" s="4"/>
      <c r="D56" s="5">
        <v>44557</v>
      </c>
      <c r="E56" s="4">
        <v>0.49</v>
      </c>
      <c r="F56" s="4"/>
      <c r="G56" s="4"/>
      <c r="H56" s="4"/>
    </row>
    <row r="57" ht="16" customHeight="1" s="4" customFormat="1">
      <c r="A57" s="4" t="s">
        <v>5240</v>
      </c>
      <c r="B57" s="4" t="s">
        <v>1768</v>
      </c>
      <c r="C57" s="4"/>
      <c r="D57" s="5">
        <v>44491</v>
      </c>
      <c r="E57" s="4">
        <v>0.25</v>
      </c>
      <c r="F57" s="4"/>
      <c r="G57" s="4"/>
      <c r="H57" s="4"/>
    </row>
    <row r="58" ht="16" customHeight="1" s="4" customFormat="1">
      <c r="A58" s="4" t="s">
        <v>5241</v>
      </c>
      <c r="B58" s="4" t="s">
        <v>5185</v>
      </c>
      <c r="C58" s="4">
        <v>7.5</v>
      </c>
      <c r="D58" s="5">
        <v>44244</v>
      </c>
      <c r="E58" s="4">
        <v>1.08</v>
      </c>
      <c r="F58" s="4"/>
      <c r="G58" s="4"/>
      <c r="H58" s="4"/>
    </row>
    <row r="59" ht="16" customHeight="1" s="4" customFormat="1">
      <c r="A59" s="4" t="s">
        <v>5242</v>
      </c>
      <c r="B59" s="4" t="s">
        <v>5185</v>
      </c>
      <c r="C59" s="4">
        <v>9.2</v>
      </c>
      <c r="D59" s="5">
        <v>43886</v>
      </c>
      <c r="E59" s="4">
        <v>10.01</v>
      </c>
      <c r="F59" s="4"/>
      <c r="G59" s="4"/>
      <c r="H59" s="4"/>
    </row>
    <row r="60" ht="16" customHeight="1" s="4" customFormat="1">
      <c r="A60" s="4" t="s">
        <v>5243</v>
      </c>
      <c r="B60" s="4" t="s">
        <v>5185</v>
      </c>
      <c r="C60" s="4">
        <v>8.75</v>
      </c>
      <c r="D60" s="5">
        <v>43860</v>
      </c>
      <c r="E60" s="4">
        <v>2.42</v>
      </c>
      <c r="F60" s="4" t="s">
        <v>828</v>
      </c>
      <c r="G60" s="4"/>
      <c r="H60" s="4"/>
    </row>
    <row r="61" ht="16" customHeight="1" s="4" customFormat="1">
      <c r="A61" s="4" t="s">
        <v>5244</v>
      </c>
      <c r="B61" s="4" t="s">
        <v>5185</v>
      </c>
      <c r="C61" s="4">
        <v>8.9</v>
      </c>
      <c r="D61" s="5">
        <v>43808</v>
      </c>
      <c r="E61" s="4">
        <v>2</v>
      </c>
      <c r="F61" s="4" t="s">
        <v>828</v>
      </c>
      <c r="G61" s="4"/>
      <c r="H61" s="4"/>
    </row>
    <row r="62" ht="16" customHeight="1" s="4" customFormat="1">
      <c r="A62" s="4" t="s">
        <v>5245</v>
      </c>
      <c r="B62" s="4" t="s">
        <v>5185</v>
      </c>
      <c r="C62" s="4">
        <v>9.2</v>
      </c>
      <c r="D62" s="5">
        <v>43808</v>
      </c>
      <c r="E62" s="4">
        <v>3</v>
      </c>
      <c r="F62" s="4" t="s">
        <v>828</v>
      </c>
      <c r="G62" s="4"/>
      <c r="H62" s="4"/>
    </row>
    <row r="63" ht="16" customHeight="1" s="4" customFormat="1">
      <c r="A63" s="4" t="s">
        <v>5246</v>
      </c>
      <c r="B63" s="4" t="s">
        <v>5185</v>
      </c>
      <c r="C63" s="4">
        <v>9.18</v>
      </c>
      <c r="D63" s="5">
        <v>43285</v>
      </c>
      <c r="E63" s="4">
        <v>3</v>
      </c>
      <c r="F63" s="4" t="s">
        <v>5247</v>
      </c>
      <c r="G63" s="4"/>
      <c r="H63" s="4"/>
    </row>
    <row r="64" ht="16" customHeight="1" s="4" customFormat="1">
      <c r="A64" s="4" t="s">
        <v>5248</v>
      </c>
      <c r="B64" s="4" t="s">
        <v>5185</v>
      </c>
      <c r="C64" s="4">
        <v>8.5</v>
      </c>
      <c r="D64" s="5">
        <v>43195</v>
      </c>
      <c r="E64" s="4">
        <v>3.2</v>
      </c>
      <c r="F64" s="4" t="s">
        <v>5247</v>
      </c>
      <c r="G64" s="4"/>
      <c r="H64" s="4"/>
    </row>
    <row r="65" ht="16" customHeight="1" s="4" customFormat="1">
      <c r="A65" s="4" t="s">
        <v>5249</v>
      </c>
      <c r="B65" s="4" t="s">
        <v>5185</v>
      </c>
      <c r="C65" s="4">
        <v>8.5</v>
      </c>
      <c r="D65" s="5">
        <v>43195</v>
      </c>
      <c r="E65" s="4">
        <v>3</v>
      </c>
      <c r="F65" s="4" t="s">
        <v>5247</v>
      </c>
      <c r="G65" s="4"/>
      <c r="H65" s="4"/>
    </row>
    <row r="66" ht="16" customHeight="1" s="4" customFormat="1">
      <c r="A66" s="4" t="s">
        <v>5250</v>
      </c>
      <c r="B66" s="4" t="s">
        <v>5185</v>
      </c>
      <c r="C66" s="4">
        <v>7.8</v>
      </c>
      <c r="D66" s="5">
        <v>43089</v>
      </c>
      <c r="E66" s="4">
        <v>2.96</v>
      </c>
      <c r="F66" s="4" t="s">
        <v>828</v>
      </c>
      <c r="G66" s="4"/>
      <c r="H66" s="4"/>
    </row>
    <row r="67" ht="16" customHeight="1" s="4" customFormat="1">
      <c r="A67" s="4" t="s">
        <v>5251</v>
      </c>
      <c r="B67" s="4" t="s">
        <v>5185</v>
      </c>
      <c r="C67" s="4">
        <v>7.6</v>
      </c>
      <c r="D67" s="5">
        <v>42876</v>
      </c>
      <c r="E67" s="4">
        <v>2.03</v>
      </c>
      <c r="F67" s="4" t="s">
        <v>5247</v>
      </c>
      <c r="G67" s="4"/>
      <c r="H67" s="4"/>
    </row>
    <row r="68" ht="16" customHeight="1" s="4" customFormat="1">
      <c r="A68" s="4" t="s">
        <v>5252</v>
      </c>
      <c r="B68" s="4" t="s">
        <v>1357</v>
      </c>
      <c r="C68" s="4">
        <v>7.5</v>
      </c>
      <c r="D68" s="5">
        <v>42853</v>
      </c>
      <c r="E68" s="4">
        <v>1.5</v>
      </c>
      <c r="F68" s="4" t="s">
        <v>948</v>
      </c>
      <c r="G68" s="4"/>
      <c r="H68" s="4"/>
    </row>
    <row r="69" ht="16" customHeight="1" s="4" customFormat="1">
      <c r="A69" s="4" t="s">
        <v>5253</v>
      </c>
      <c r="B69" s="4" t="s">
        <v>5185</v>
      </c>
      <c r="C69" s="4">
        <v>7.5</v>
      </c>
      <c r="D69" s="5">
        <v>42704</v>
      </c>
      <c r="E69" s="4">
        <v>3</v>
      </c>
      <c r="F69" s="4" t="s">
        <v>5247</v>
      </c>
      <c r="G69" s="4"/>
      <c r="H69" s="4"/>
    </row>
    <row r="70" ht="16" customHeight="1" s="4" customFormat="1">
      <c r="A70" s="4" t="s">
        <v>5254</v>
      </c>
      <c r="B70" s="4" t="s">
        <v>5185</v>
      </c>
      <c r="C70" s="4">
        <v>7.95</v>
      </c>
      <c r="D70" s="5">
        <v>42696</v>
      </c>
      <c r="E70" s="4">
        <v>3.42</v>
      </c>
      <c r="F70" s="4" t="s">
        <v>5247</v>
      </c>
      <c r="G70" s="4"/>
      <c r="H70" s="4"/>
    </row>
    <row r="71" ht="16" customHeight="1" s="4" customFormat="1">
      <c r="A71" s="4" t="s">
        <v>5255</v>
      </c>
      <c r="B71" s="4" t="s">
        <v>5185</v>
      </c>
      <c r="C71" s="4">
        <v>8.25</v>
      </c>
      <c r="D71" s="5">
        <v>42671</v>
      </c>
      <c r="E71" s="4">
        <v>3</v>
      </c>
      <c r="F71" s="4" t="s">
        <v>5247</v>
      </c>
      <c r="G71" s="4"/>
      <c r="H71" s="4"/>
    </row>
    <row r="72" ht="16" customHeight="1" s="4" customFormat="1">
      <c r="A72" s="4" t="s">
        <v>5256</v>
      </c>
      <c r="B72" s="4" t="s">
        <v>5185</v>
      </c>
      <c r="C72" s="4">
        <v>8.75</v>
      </c>
      <c r="D72" s="5">
        <v>42650</v>
      </c>
      <c r="E72" s="4">
        <v>4.52</v>
      </c>
      <c r="F72" s="4" t="s">
        <v>5247</v>
      </c>
      <c r="G72" s="4"/>
      <c r="H72" s="4"/>
    </row>
    <row r="73" ht="16" customHeight="1" s="4" customFormat="1">
      <c r="A73" s="4" t="s">
        <v>5257</v>
      </c>
      <c r="B73" s="4" t="s">
        <v>5185</v>
      </c>
      <c r="C73" s="4">
        <v>8.75</v>
      </c>
      <c r="D73" s="5">
        <v>42650</v>
      </c>
      <c r="E73" s="4">
        <v>4.94</v>
      </c>
      <c r="F73" s="4"/>
      <c r="G73" s="4"/>
      <c r="H73" s="4"/>
    </row>
    <row r="74" ht="16" customHeight="1" s="4" customFormat="1">
      <c r="A74" s="4" t="s">
        <v>5258</v>
      </c>
      <c r="B74" s="4" t="s">
        <v>5185</v>
      </c>
      <c r="C74" s="4">
        <v>8.7</v>
      </c>
      <c r="D74" s="5">
        <v>42643</v>
      </c>
      <c r="E74" s="4">
        <v>3.56</v>
      </c>
      <c r="F74" s="4" t="s">
        <v>5247</v>
      </c>
      <c r="G74" s="4"/>
      <c r="H74" s="4"/>
    </row>
    <row r="75" ht="16" customHeight="1" s="4" customFormat="1">
      <c r="A75" s="4" t="s">
        <v>5259</v>
      </c>
      <c r="B75" s="4" t="s">
        <v>5185</v>
      </c>
      <c r="C75" s="4">
        <v>8.65</v>
      </c>
      <c r="D75" s="5">
        <v>42643</v>
      </c>
      <c r="E75" s="4">
        <v>2.99</v>
      </c>
      <c r="F75" s="4" t="s">
        <v>5247</v>
      </c>
      <c r="G75" s="4"/>
      <c r="H75" s="4"/>
    </row>
    <row r="76" ht="16" customHeight="1" s="4" customFormat="1">
      <c r="A76" s="4" t="s">
        <v>5260</v>
      </c>
      <c r="B76" s="4" t="s">
        <v>5185</v>
      </c>
      <c r="C76" s="4">
        <v>9.45</v>
      </c>
      <c r="D76" s="5">
        <v>42233</v>
      </c>
      <c r="E76" s="4">
        <v>5.01</v>
      </c>
      <c r="F76" s="4" t="s">
        <v>5247</v>
      </c>
      <c r="G76" s="4"/>
      <c r="H76" s="4"/>
    </row>
    <row r="77" ht="16" customHeight="1" s="4" customFormat="1">
      <c r="A77" s="4" t="s">
        <v>5261</v>
      </c>
      <c r="B77" s="4" t="s">
        <v>5185</v>
      </c>
      <c r="C77" s="4">
        <v>9.36</v>
      </c>
      <c r="D77" s="5">
        <v>41942</v>
      </c>
      <c r="E77" s="4">
        <v>3</v>
      </c>
      <c r="F77" s="4" t="s">
        <v>948</v>
      </c>
      <c r="G77" s="4"/>
      <c r="H77" s="4"/>
    </row>
    <row r="78" ht="16" customHeight="1" s="4" customFormat="1">
      <c r="A78" s="4" t="s">
        <v>5262</v>
      </c>
      <c r="B78" s="4" t="s">
        <v>5185</v>
      </c>
      <c r="C78" s="4">
        <v>9.36</v>
      </c>
      <c r="D78" s="5">
        <v>41942</v>
      </c>
      <c r="E78" s="4">
        <v>3.17</v>
      </c>
      <c r="F78" s="4" t="s">
        <v>948</v>
      </c>
      <c r="G78" s="4"/>
      <c r="H78" s="4"/>
    </row>
    <row r="79" ht="16" customHeight="1" s="4" customFormat="1">
      <c r="A79" s="4" t="s">
        <v>5263</v>
      </c>
      <c r="B79" s="4" t="s">
        <v>5185</v>
      </c>
      <c r="C79" s="4">
        <v>11.5</v>
      </c>
      <c r="D79" s="5">
        <v>39744</v>
      </c>
      <c r="E79" s="4">
        <v>7</v>
      </c>
      <c r="F79" s="4"/>
      <c r="G79" s="4"/>
      <c r="H79" s="4"/>
    </row>
    <row r="80" ht="16" customHeight="1" s="4" customFormat="1">
      <c r="A80" s="4" t="s">
        <v>5264</v>
      </c>
      <c r="B80" s="4" t="s">
        <v>1768</v>
      </c>
      <c r="C80" s="4"/>
      <c r="D80" s="5">
        <v>42360</v>
      </c>
      <c r="E80" s="4">
        <v>0.16</v>
      </c>
      <c r="F80" s="4"/>
      <c r="G80" s="4"/>
      <c r="H80" s="4"/>
    </row>
    <row r="81" ht="16" customHeight="1" s="4" customFormat="1">
      <c r="A81" s="4" t="s">
        <v>5265</v>
      </c>
      <c r="B81" s="4" t="s">
        <v>1768</v>
      </c>
      <c r="C81" s="4"/>
      <c r="D81" s="5">
        <v>42508</v>
      </c>
      <c r="E81" s="4">
        <v>0.25</v>
      </c>
      <c r="F81" s="4"/>
      <c r="G81" s="4"/>
      <c r="H81" s="4"/>
    </row>
    <row r="82" ht="16" customHeight="1" s="4" customFormat="1">
      <c r="A82" s="4" t="s">
        <v>5266</v>
      </c>
      <c r="B82" s="4" t="s">
        <v>1768</v>
      </c>
      <c r="C82" s="4"/>
      <c r="D82" s="5">
        <v>43215</v>
      </c>
      <c r="E82" s="4">
        <v>0.25</v>
      </c>
      <c r="F82" s="4"/>
      <c r="G82" s="4"/>
      <c r="H82" s="4"/>
    </row>
    <row r="83" ht="16" customHeight="1" s="4" customFormat="1">
      <c r="A83" s="4" t="s">
        <v>5267</v>
      </c>
      <c r="B83" s="4" t="s">
        <v>1768</v>
      </c>
      <c r="C83" s="4"/>
      <c r="D83" s="5">
        <v>43217</v>
      </c>
      <c r="E83" s="4">
        <v>0.25</v>
      </c>
      <c r="F83" s="4"/>
      <c r="G83" s="4"/>
      <c r="H83" s="4"/>
    </row>
    <row r="84" ht="16" customHeight="1" s="4" customFormat="1">
      <c r="A84" s="4" t="s">
        <v>5268</v>
      </c>
      <c r="B84" s="4" t="s">
        <v>1768</v>
      </c>
      <c r="C84" s="4"/>
      <c r="D84" s="5">
        <v>43262</v>
      </c>
      <c r="E84" s="4">
        <v>0.25</v>
      </c>
      <c r="F84" s="4"/>
      <c r="G84" s="4"/>
      <c r="H84" s="4"/>
    </row>
    <row r="85" ht="16" customHeight="1" s="4" customFormat="1">
      <c r="A85" s="4" t="s">
        <v>5269</v>
      </c>
      <c r="B85" s="4" t="s">
        <v>1768</v>
      </c>
      <c r="C85" s="4"/>
      <c r="D85" s="5">
        <v>43293</v>
      </c>
      <c r="E85" s="4">
        <v>0.16</v>
      </c>
      <c r="F85" s="4"/>
      <c r="G85" s="4"/>
      <c r="H85" s="4"/>
    </row>
    <row r="86" ht="16" customHeight="1" s="4" customFormat="1">
      <c r="A86" s="4" t="s">
        <v>5270</v>
      </c>
      <c r="B86" s="4" t="s">
        <v>1768</v>
      </c>
      <c r="C86" s="4"/>
      <c r="D86" s="5">
        <v>43322</v>
      </c>
      <c r="E86" s="4">
        <v>0.23</v>
      </c>
      <c r="F86" s="4"/>
      <c r="G86" s="4"/>
      <c r="H86" s="4"/>
    </row>
    <row r="87" ht="16" customHeight="1" s="4" customFormat="1">
      <c r="A87" s="4" t="s">
        <v>5271</v>
      </c>
      <c r="B87" s="4" t="s">
        <v>1768</v>
      </c>
      <c r="C87" s="4"/>
      <c r="D87" s="5">
        <v>43325</v>
      </c>
      <c r="E87" s="4">
        <v>0.23</v>
      </c>
      <c r="F87" s="4"/>
      <c r="G87" s="4"/>
      <c r="H87" s="4"/>
    </row>
    <row r="88" ht="16" customHeight="1" s="4" customFormat="1">
      <c r="A88" s="4" t="s">
        <v>5272</v>
      </c>
      <c r="B88" s="4" t="s">
        <v>1768</v>
      </c>
      <c r="C88" s="4"/>
      <c r="D88" s="5">
        <v>43325</v>
      </c>
      <c r="E88" s="4">
        <v>0.23</v>
      </c>
      <c r="F88" s="4"/>
      <c r="G88" s="4"/>
      <c r="H88" s="4"/>
    </row>
    <row r="89" ht="16" customHeight="1" s="4" customFormat="1">
      <c r="A89" s="4" t="s">
        <v>5273</v>
      </c>
      <c r="B89" s="4" t="s">
        <v>1768</v>
      </c>
      <c r="C89" s="4"/>
      <c r="D89" s="5">
        <v>43325</v>
      </c>
      <c r="E89" s="4">
        <v>0.24</v>
      </c>
      <c r="F89" s="4"/>
      <c r="G89" s="4"/>
      <c r="H89" s="4"/>
    </row>
    <row r="90" ht="16" customHeight="1" s="4" customFormat="1">
      <c r="A90" s="4" t="s">
        <v>5274</v>
      </c>
      <c r="B90" s="4" t="s">
        <v>1768</v>
      </c>
      <c r="C90" s="4"/>
      <c r="D90" s="5">
        <v>43339</v>
      </c>
      <c r="E90" s="4">
        <v>0.24</v>
      </c>
      <c r="F90" s="4"/>
      <c r="G90" s="4"/>
      <c r="H90" s="4"/>
    </row>
    <row r="91" ht="16" customHeight="1" s="4" customFormat="1">
      <c r="A91" s="4" t="s">
        <v>5275</v>
      </c>
      <c r="B91" s="4" t="s">
        <v>1768</v>
      </c>
      <c r="C91" s="4"/>
      <c r="D91" s="5">
        <v>43336</v>
      </c>
      <c r="E91" s="4">
        <v>0.24</v>
      </c>
      <c r="F91" s="4"/>
      <c r="G91" s="4"/>
      <c r="H91" s="4"/>
    </row>
    <row r="92" ht="16" customHeight="1" s="4" customFormat="1">
      <c r="A92" s="4" t="s">
        <v>5276</v>
      </c>
      <c r="B92" s="4" t="s">
        <v>1768</v>
      </c>
      <c r="C92" s="4"/>
      <c r="D92" s="5">
        <v>43340</v>
      </c>
      <c r="E92" s="4">
        <v>0.25</v>
      </c>
      <c r="F92" s="4"/>
      <c r="G92" s="4"/>
      <c r="H92" s="4"/>
    </row>
    <row r="93" ht="16" customHeight="1" s="4" customFormat="1">
      <c r="A93" s="4" t="s">
        <v>5277</v>
      </c>
      <c r="B93" s="4" t="s">
        <v>1768</v>
      </c>
      <c r="C93" s="4"/>
      <c r="D93" s="5">
        <v>43342</v>
      </c>
      <c r="E93" s="4">
        <v>0.25</v>
      </c>
      <c r="F93" s="4"/>
      <c r="G93" s="4"/>
      <c r="H93" s="4"/>
    </row>
    <row r="94" ht="16" customHeight="1" s="4" customFormat="1">
      <c r="A94" s="4" t="s">
        <v>5278</v>
      </c>
      <c r="B94" s="4" t="s">
        <v>1768</v>
      </c>
      <c r="C94" s="4"/>
      <c r="D94" s="5">
        <v>43342</v>
      </c>
      <c r="E94" s="4">
        <v>0.25</v>
      </c>
      <c r="F94" s="4"/>
      <c r="G94" s="4"/>
      <c r="H94" s="4"/>
    </row>
    <row r="95" ht="16" customHeight="1" s="4" customFormat="1">
      <c r="A95" s="4" t="s">
        <v>5279</v>
      </c>
      <c r="B95" s="4" t="s">
        <v>1768</v>
      </c>
      <c r="C95" s="4"/>
      <c r="D95" s="5">
        <v>43346</v>
      </c>
      <c r="E95" s="4">
        <v>0.25</v>
      </c>
      <c r="F95" s="4"/>
      <c r="G95" s="4"/>
      <c r="H95" s="4"/>
    </row>
    <row r="96" ht="16" customHeight="1" s="4" customFormat="1">
      <c r="A96" s="4" t="s">
        <v>5280</v>
      </c>
      <c r="B96" s="4" t="s">
        <v>1768</v>
      </c>
      <c r="C96" s="4"/>
      <c r="D96" s="5">
        <v>43343</v>
      </c>
      <c r="E96" s="4">
        <v>0.25</v>
      </c>
      <c r="F96" s="4"/>
      <c r="G96" s="4"/>
      <c r="H96" s="4"/>
    </row>
    <row r="97" ht="16" customHeight="1" s="4" customFormat="1">
      <c r="A97" s="4" t="s">
        <v>5281</v>
      </c>
      <c r="B97" s="4" t="s">
        <v>1768</v>
      </c>
      <c r="C97" s="4"/>
      <c r="D97" s="5">
        <v>43347</v>
      </c>
      <c r="E97" s="4">
        <v>0.25</v>
      </c>
      <c r="F97" s="4"/>
      <c r="G97" s="4"/>
      <c r="H97" s="4"/>
    </row>
    <row r="98" ht="16" customHeight="1" s="4" customFormat="1">
      <c r="A98" s="4" t="s">
        <v>5282</v>
      </c>
      <c r="B98" s="4" t="s">
        <v>1768</v>
      </c>
      <c r="C98" s="4"/>
      <c r="D98" s="5">
        <v>43349</v>
      </c>
      <c r="E98" s="4">
        <v>0.25</v>
      </c>
      <c r="F98" s="4"/>
      <c r="G98" s="4"/>
      <c r="H98" s="4"/>
    </row>
    <row r="99" ht="16" customHeight="1" s="4" customFormat="1">
      <c r="A99" s="4" t="s">
        <v>5283</v>
      </c>
      <c r="B99" s="4" t="s">
        <v>1768</v>
      </c>
      <c r="C99" s="4"/>
      <c r="D99" s="5">
        <v>43353</v>
      </c>
      <c r="E99" s="4">
        <v>0.24</v>
      </c>
      <c r="F99" s="4"/>
      <c r="G99" s="4"/>
      <c r="H99" s="4"/>
    </row>
    <row r="100" ht="16" customHeight="1" s="4" customFormat="1">
      <c r="A100" s="4" t="s">
        <v>5284</v>
      </c>
      <c r="B100" s="4" t="s">
        <v>1768</v>
      </c>
      <c r="C100" s="4"/>
      <c r="D100" s="5">
        <v>43353</v>
      </c>
      <c r="E100" s="4">
        <v>0.25</v>
      </c>
      <c r="F100" s="4"/>
      <c r="G100" s="4"/>
      <c r="H100" s="4"/>
    </row>
    <row r="101" ht="16" customHeight="1" s="4" customFormat="1">
      <c r="A101" s="4" t="s">
        <v>5285</v>
      </c>
      <c r="B101" s="4" t="s">
        <v>1768</v>
      </c>
      <c r="C101" s="4"/>
      <c r="D101" s="5">
        <v>43353</v>
      </c>
      <c r="E101" s="4">
        <v>0.24</v>
      </c>
      <c r="F101" s="4"/>
      <c r="G101" s="4"/>
      <c r="H101" s="4"/>
    </row>
    <row r="102" ht="16" customHeight="1" s="4" customFormat="1">
      <c r="A102" s="4" t="s">
        <v>5286</v>
      </c>
      <c r="B102" s="4" t="s">
        <v>1768</v>
      </c>
      <c r="C102" s="4"/>
      <c r="D102" s="5">
        <v>43355</v>
      </c>
      <c r="E102" s="4">
        <v>0.25</v>
      </c>
      <c r="F102" s="4"/>
      <c r="G102" s="4"/>
      <c r="H102" s="4"/>
    </row>
    <row r="103" ht="16" customHeight="1" s="4" customFormat="1">
      <c r="A103" s="4" t="s">
        <v>5287</v>
      </c>
      <c r="B103" s="4" t="s">
        <v>1768</v>
      </c>
      <c r="C103" s="4"/>
      <c r="D103" s="5">
        <v>43357</v>
      </c>
      <c r="E103" s="4">
        <v>0.24</v>
      </c>
      <c r="F103" s="4"/>
      <c r="G103" s="4"/>
      <c r="H103" s="4"/>
    </row>
    <row r="104" ht="16" customHeight="1" s="4" customFormat="1">
      <c r="A104" s="4" t="s">
        <v>5288</v>
      </c>
      <c r="B104" s="4" t="s">
        <v>1768</v>
      </c>
      <c r="C104" s="4"/>
      <c r="D104" s="5">
        <v>43357</v>
      </c>
      <c r="E104" s="4">
        <v>0.25</v>
      </c>
      <c r="F104" s="4"/>
      <c r="G104" s="4"/>
      <c r="H104" s="4"/>
    </row>
    <row r="105" ht="16" customHeight="1" s="4" customFormat="1">
      <c r="A105" s="4" t="s">
        <v>5289</v>
      </c>
      <c r="B105" s="4" t="s">
        <v>1768</v>
      </c>
      <c r="C105" s="4"/>
      <c r="D105" s="5">
        <v>43361</v>
      </c>
      <c r="E105" s="4">
        <v>0.25</v>
      </c>
      <c r="F105" s="4"/>
      <c r="G105" s="4"/>
      <c r="H105" s="4"/>
    </row>
    <row r="106" ht="16" customHeight="1" s="4" customFormat="1">
      <c r="A106" s="4" t="s">
        <v>5290</v>
      </c>
      <c r="B106" s="4" t="s">
        <v>1768</v>
      </c>
      <c r="C106" s="4"/>
      <c r="D106" s="5">
        <v>43364</v>
      </c>
      <c r="E106" s="4">
        <v>0.25</v>
      </c>
      <c r="F106" s="4"/>
      <c r="G106" s="4"/>
      <c r="H106" s="4"/>
    </row>
    <row r="107" ht="16" customHeight="1" s="4" customFormat="1">
      <c r="A107" s="4" t="s">
        <v>5291</v>
      </c>
      <c r="B107" s="4" t="s">
        <v>1768</v>
      </c>
      <c r="C107" s="4"/>
      <c r="D107" s="5">
        <v>43367</v>
      </c>
      <c r="E107" s="4">
        <v>0.25</v>
      </c>
      <c r="F107" s="4"/>
      <c r="G107" s="4"/>
      <c r="H107" s="4"/>
    </row>
    <row r="108" ht="16" customHeight="1" s="4" customFormat="1">
      <c r="A108" s="4" t="s">
        <v>5292</v>
      </c>
      <c r="B108" s="4" t="s">
        <v>1768</v>
      </c>
      <c r="C108" s="4"/>
      <c r="D108" s="5">
        <v>43395</v>
      </c>
      <c r="E108" s="4">
        <v>0.16</v>
      </c>
      <c r="F108" s="4"/>
      <c r="G108" s="4"/>
      <c r="H108" s="4"/>
    </row>
    <row r="109" ht="16" customHeight="1" s="4" customFormat="1">
      <c r="A109" s="4" t="s">
        <v>5293</v>
      </c>
      <c r="B109" s="4" t="s">
        <v>1768</v>
      </c>
      <c r="C109" s="4"/>
      <c r="D109" s="5">
        <v>43398</v>
      </c>
      <c r="E109" s="4">
        <v>0.25</v>
      </c>
      <c r="F109" s="4"/>
      <c r="G109" s="4"/>
      <c r="H109" s="4"/>
    </row>
    <row r="110" ht="16" customHeight="1" s="4" customFormat="1">
      <c r="A110" s="4" t="s">
        <v>5294</v>
      </c>
      <c r="B110" s="4" t="s">
        <v>1768</v>
      </c>
      <c r="C110" s="4"/>
      <c r="D110" s="5">
        <v>43397</v>
      </c>
      <c r="E110" s="4">
        <v>0.25</v>
      </c>
      <c r="F110" s="4"/>
      <c r="G110" s="4"/>
      <c r="H110" s="4"/>
    </row>
    <row r="111" ht="16" customHeight="1" s="4" customFormat="1">
      <c r="A111" s="4" t="s">
        <v>5295</v>
      </c>
      <c r="B111" s="4" t="s">
        <v>1768</v>
      </c>
      <c r="C111" s="4"/>
      <c r="D111" s="5">
        <v>43397</v>
      </c>
      <c r="E111" s="4">
        <v>0.24</v>
      </c>
      <c r="F111" s="4"/>
      <c r="G111" s="4"/>
      <c r="H111" s="4"/>
    </row>
    <row r="112" ht="16" customHeight="1" s="4" customFormat="1">
      <c r="A112" s="4" t="s">
        <v>5296</v>
      </c>
      <c r="B112" s="4" t="s">
        <v>1768</v>
      </c>
      <c r="C112" s="4"/>
      <c r="D112" s="5">
        <v>43399</v>
      </c>
      <c r="E112" s="4">
        <v>0.25</v>
      </c>
      <c r="F112" s="4"/>
      <c r="G112" s="4"/>
      <c r="H112" s="4"/>
    </row>
    <row r="113" ht="16" customHeight="1" s="4" customFormat="1">
      <c r="A113" s="4" t="s">
        <v>5297</v>
      </c>
      <c r="B113" s="4" t="s">
        <v>1768</v>
      </c>
      <c r="C113" s="4"/>
      <c r="D113" s="5">
        <v>43399</v>
      </c>
      <c r="E113" s="4">
        <v>0.24</v>
      </c>
      <c r="F113" s="4"/>
      <c r="G113" s="4"/>
      <c r="H113" s="4"/>
    </row>
    <row r="114" ht="16" customHeight="1" s="4" customFormat="1">
      <c r="A114" s="4" t="s">
        <v>5298</v>
      </c>
      <c r="B114" s="4" t="s">
        <v>1768</v>
      </c>
      <c r="C114" s="4"/>
      <c r="D114" s="5">
        <v>43406</v>
      </c>
      <c r="E114" s="4">
        <v>0.25</v>
      </c>
      <c r="F114" s="4"/>
      <c r="G114" s="4"/>
      <c r="H114" s="4"/>
    </row>
    <row r="115" ht="16" customHeight="1" s="4" customFormat="1">
      <c r="A115" s="4" t="s">
        <v>5299</v>
      </c>
      <c r="B115" s="4" t="s">
        <v>1768</v>
      </c>
      <c r="C115" s="4"/>
      <c r="D115" s="5">
        <v>43410</v>
      </c>
      <c r="E115" s="4">
        <v>0.25</v>
      </c>
      <c r="F115" s="4"/>
      <c r="G115" s="4"/>
      <c r="H115" s="4"/>
    </row>
    <row r="116" ht="16" customHeight="1" s="4" customFormat="1">
      <c r="A116" s="4" t="s">
        <v>5300</v>
      </c>
      <c r="B116" s="4" t="s">
        <v>1768</v>
      </c>
      <c r="C116" s="4"/>
      <c r="D116" s="5">
        <v>43413</v>
      </c>
      <c r="E116" s="4">
        <v>0.25</v>
      </c>
      <c r="F116" s="4"/>
      <c r="G116" s="4"/>
      <c r="H116" s="4"/>
    </row>
    <row r="117" ht="16" customHeight="1" s="4" customFormat="1">
      <c r="A117" s="4" t="s">
        <v>5301</v>
      </c>
      <c r="B117" s="4" t="s">
        <v>1768</v>
      </c>
      <c r="C117" s="4"/>
      <c r="D117" s="5">
        <v>43409</v>
      </c>
      <c r="E117" s="4">
        <v>0.25</v>
      </c>
      <c r="F117" s="4"/>
      <c r="G117" s="4"/>
      <c r="H117" s="4"/>
    </row>
    <row r="118" ht="16" customHeight="1" s="4" customFormat="1">
      <c r="A118" s="4" t="s">
        <v>5302</v>
      </c>
      <c r="B118" s="4" t="s">
        <v>1768</v>
      </c>
      <c r="C118" s="4"/>
      <c r="D118" s="5">
        <v>43416</v>
      </c>
      <c r="E118" s="4">
        <v>0.25</v>
      </c>
      <c r="F118" s="4"/>
      <c r="G118" s="4"/>
      <c r="H118" s="4"/>
    </row>
    <row r="119" ht="16" customHeight="1" s="4" customFormat="1">
      <c r="A119" s="4" t="s">
        <v>5303</v>
      </c>
      <c r="B119" s="4" t="s">
        <v>1768</v>
      </c>
      <c r="C119" s="4"/>
      <c r="D119" s="5">
        <v>43418</v>
      </c>
      <c r="E119" s="4">
        <v>0.25</v>
      </c>
      <c r="F119" s="4"/>
      <c r="G119" s="4"/>
      <c r="H119" s="4"/>
    </row>
    <row r="120" ht="16" customHeight="1" s="4" customFormat="1">
      <c r="A120" s="4" t="s">
        <v>5304</v>
      </c>
      <c r="B120" s="4" t="s">
        <v>1768</v>
      </c>
      <c r="C120" s="4"/>
      <c r="D120" s="5">
        <v>43424</v>
      </c>
      <c r="E120" s="4">
        <v>0.24</v>
      </c>
      <c r="F120" s="4"/>
      <c r="G120" s="4"/>
      <c r="H120" s="4"/>
    </row>
    <row r="121" ht="16" customHeight="1" s="4" customFormat="1">
      <c r="A121" s="4" t="s">
        <v>5305</v>
      </c>
      <c r="B121" s="4" t="s">
        <v>1768</v>
      </c>
      <c r="C121" s="4"/>
      <c r="D121" s="5">
        <v>43424</v>
      </c>
      <c r="E121" s="4">
        <v>0.25</v>
      </c>
      <c r="F121" s="4"/>
      <c r="G121" s="4"/>
      <c r="H121" s="4"/>
    </row>
    <row r="122" ht="16" customHeight="1" s="4" customFormat="1">
      <c r="A122" s="4" t="s">
        <v>5306</v>
      </c>
      <c r="B122" s="4" t="s">
        <v>1768</v>
      </c>
      <c r="C122" s="4"/>
      <c r="D122" s="5">
        <v>43426</v>
      </c>
      <c r="E122" s="4">
        <v>0.25</v>
      </c>
      <c r="F122" s="4"/>
      <c r="G122" s="4"/>
      <c r="H122" s="4"/>
    </row>
    <row r="123" ht="16" customHeight="1" s="4" customFormat="1">
      <c r="A123" s="4" t="s">
        <v>5307</v>
      </c>
      <c r="B123" s="4" t="s">
        <v>1768</v>
      </c>
      <c r="C123" s="4"/>
      <c r="D123" s="5">
        <v>43430</v>
      </c>
      <c r="E123" s="4">
        <v>0.24</v>
      </c>
      <c r="F123" s="4"/>
      <c r="G123" s="4"/>
      <c r="H123" s="4"/>
    </row>
    <row r="124" ht="16" customHeight="1" s="4" customFormat="1">
      <c r="A124" s="4" t="s">
        <v>5308</v>
      </c>
      <c r="B124" s="4" t="s">
        <v>1768</v>
      </c>
      <c r="C124" s="4"/>
      <c r="D124" s="5">
        <v>43432</v>
      </c>
      <c r="E124" s="4">
        <v>0.24</v>
      </c>
      <c r="F124" s="4"/>
      <c r="G124" s="4"/>
      <c r="H124" s="4"/>
    </row>
    <row r="125" ht="16" customHeight="1" s="4" customFormat="1">
      <c r="A125" s="4" t="s">
        <v>5309</v>
      </c>
      <c r="B125" s="4" t="s">
        <v>1768</v>
      </c>
      <c r="C125" s="4"/>
      <c r="D125" s="5">
        <v>43433</v>
      </c>
      <c r="E125" s="4">
        <v>0.25</v>
      </c>
      <c r="F125" s="4"/>
      <c r="G125" s="4"/>
      <c r="H125" s="4"/>
    </row>
    <row r="126" ht="16" customHeight="1" s="4" customFormat="1">
      <c r="A126" s="4" t="s">
        <v>5310</v>
      </c>
      <c r="B126" s="4" t="s">
        <v>1768</v>
      </c>
      <c r="C126" s="4"/>
      <c r="D126" s="5">
        <v>43433</v>
      </c>
      <c r="E126" s="4">
        <v>0.24</v>
      </c>
      <c r="F126" s="4"/>
      <c r="G126" s="4"/>
      <c r="H126" s="4"/>
    </row>
    <row r="127" ht="16" customHeight="1" s="4" customFormat="1">
      <c r="A127" s="4" t="s">
        <v>5311</v>
      </c>
      <c r="B127" s="4" t="s">
        <v>1768</v>
      </c>
      <c r="C127" s="4"/>
      <c r="D127" s="5">
        <v>43434</v>
      </c>
      <c r="E127" s="4">
        <v>0.25</v>
      </c>
      <c r="F127" s="4"/>
      <c r="G127" s="4"/>
      <c r="H127" s="4"/>
    </row>
    <row r="128" ht="16" customHeight="1" s="4" customFormat="1">
      <c r="A128" s="4" t="s">
        <v>5312</v>
      </c>
      <c r="B128" s="4" t="s">
        <v>1768</v>
      </c>
      <c r="C128" s="4"/>
      <c r="D128" s="5">
        <v>43437</v>
      </c>
      <c r="E128" s="4">
        <v>0.24</v>
      </c>
      <c r="F128" s="4"/>
      <c r="G128" s="4"/>
      <c r="H128" s="4"/>
    </row>
    <row r="129" ht="16" customHeight="1" s="4" customFormat="1">
      <c r="A129" s="4" t="s">
        <v>5313</v>
      </c>
      <c r="B129" s="4" t="s">
        <v>1768</v>
      </c>
      <c r="C129" s="4"/>
      <c r="D129" s="5">
        <v>43440</v>
      </c>
      <c r="E129" s="4">
        <v>0.25</v>
      </c>
      <c r="F129" s="4"/>
      <c r="G129" s="4"/>
      <c r="H129" s="4"/>
    </row>
    <row r="130" ht="16" customHeight="1" s="4" customFormat="1">
      <c r="A130" s="4" t="s">
        <v>5314</v>
      </c>
      <c r="B130" s="4" t="s">
        <v>1768</v>
      </c>
      <c r="C130" s="4"/>
      <c r="D130" s="5">
        <v>43439</v>
      </c>
      <c r="E130" s="4">
        <v>0.25</v>
      </c>
      <c r="F130" s="4"/>
      <c r="G130" s="4"/>
      <c r="H130" s="4"/>
    </row>
    <row r="131" ht="16" customHeight="1" s="4" customFormat="1">
      <c r="A131" s="4" t="s">
        <v>5315</v>
      </c>
      <c r="B131" s="4" t="s">
        <v>1768</v>
      </c>
      <c r="C131" s="4"/>
      <c r="D131" s="5">
        <v>43441</v>
      </c>
      <c r="E131" s="4">
        <v>0.25</v>
      </c>
      <c r="F131" s="4"/>
      <c r="G131" s="4"/>
      <c r="H131" s="4"/>
    </row>
    <row r="132" ht="16" customHeight="1" s="4" customFormat="1">
      <c r="A132" s="4" t="s">
        <v>5316</v>
      </c>
      <c r="B132" s="4" t="s">
        <v>1768</v>
      </c>
      <c r="C132" s="4"/>
      <c r="D132" s="5">
        <v>43444</v>
      </c>
      <c r="E132" s="4">
        <v>0.24</v>
      </c>
      <c r="F132" s="4"/>
      <c r="G132" s="4"/>
      <c r="H132" s="4"/>
    </row>
    <row r="133" ht="16" customHeight="1" s="4" customFormat="1">
      <c r="A133" s="4" t="s">
        <v>5317</v>
      </c>
      <c r="B133" s="4" t="s">
        <v>1768</v>
      </c>
      <c r="C133" s="4"/>
      <c r="D133" s="5">
        <v>43445</v>
      </c>
      <c r="E133" s="4">
        <v>0.25</v>
      </c>
      <c r="F133" s="4"/>
      <c r="G133" s="4"/>
      <c r="H133" s="4"/>
    </row>
    <row r="134" ht="16" customHeight="1" s="4" customFormat="1">
      <c r="A134" s="4" t="s">
        <v>5318</v>
      </c>
      <c r="B134" s="4" t="s">
        <v>1768</v>
      </c>
      <c r="C134" s="4"/>
      <c r="D134" s="5">
        <v>43448</v>
      </c>
      <c r="E134" s="4">
        <v>0.25</v>
      </c>
      <c r="F134" s="4"/>
      <c r="G134" s="4"/>
      <c r="H134" s="4"/>
    </row>
    <row r="135" ht="16" customHeight="1" s="4" customFormat="1">
      <c r="A135" s="4" t="s">
        <v>5319</v>
      </c>
      <c r="B135" s="4" t="s">
        <v>1768</v>
      </c>
      <c r="C135" s="4"/>
      <c r="D135" s="5">
        <v>43454</v>
      </c>
      <c r="E135" s="4">
        <v>0.24</v>
      </c>
      <c r="F135" s="4"/>
      <c r="G135" s="4"/>
      <c r="H135" s="4"/>
    </row>
    <row r="136" ht="16" customHeight="1" s="4" customFormat="1">
      <c r="A136" s="4" t="s">
        <v>5320</v>
      </c>
      <c r="B136" s="4" t="s">
        <v>1768</v>
      </c>
      <c r="C136" s="4"/>
      <c r="D136" s="5">
        <v>43452</v>
      </c>
      <c r="E136" s="4">
        <v>0.25</v>
      </c>
      <c r="F136" s="4"/>
      <c r="G136" s="4"/>
      <c r="H136" s="4"/>
    </row>
    <row r="137" ht="16" customHeight="1" s="4" customFormat="1">
      <c r="A137" s="4" t="s">
        <v>5321</v>
      </c>
      <c r="B137" s="4" t="s">
        <v>1768</v>
      </c>
      <c r="C137" s="4"/>
      <c r="D137" s="5">
        <v>43455</v>
      </c>
      <c r="E137" s="4">
        <v>0.24</v>
      </c>
      <c r="F137" s="4"/>
      <c r="G137" s="4"/>
      <c r="H137" s="4"/>
    </row>
    <row r="138" ht="16" customHeight="1" s="4" customFormat="1">
      <c r="A138" s="4" t="s">
        <v>5322</v>
      </c>
      <c r="B138" s="4" t="s">
        <v>1768</v>
      </c>
      <c r="C138" s="4"/>
      <c r="D138" s="5">
        <v>43486</v>
      </c>
      <c r="E138" s="4">
        <v>0.22</v>
      </c>
      <c r="F138" s="4"/>
      <c r="G138" s="4"/>
      <c r="H138" s="4"/>
    </row>
    <row r="139" ht="16" customHeight="1" s="4" customFormat="1">
      <c r="A139" s="4" t="s">
        <v>5323</v>
      </c>
      <c r="B139" s="4" t="s">
        <v>1768</v>
      </c>
      <c r="C139" s="4"/>
      <c r="D139" s="5">
        <v>43486</v>
      </c>
      <c r="E139" s="4">
        <v>0.24</v>
      </c>
      <c r="F139" s="4"/>
      <c r="G139" s="4"/>
      <c r="H139" s="4"/>
    </row>
    <row r="140" ht="16" customHeight="1" s="4" customFormat="1">
      <c r="A140" s="4" t="s">
        <v>5324</v>
      </c>
      <c r="B140" s="4" t="s">
        <v>1768</v>
      </c>
      <c r="C140" s="4"/>
      <c r="D140" s="5">
        <v>43487</v>
      </c>
      <c r="E140" s="4">
        <v>0.23</v>
      </c>
      <c r="F140" s="4"/>
      <c r="G140" s="4"/>
      <c r="H140" s="4"/>
    </row>
    <row r="141" ht="16" customHeight="1" s="4" customFormat="1">
      <c r="A141" s="4" t="s">
        <v>5325</v>
      </c>
      <c r="B141" s="4" t="s">
        <v>1768</v>
      </c>
      <c r="C141" s="4"/>
      <c r="D141" s="5">
        <v>43488</v>
      </c>
      <c r="E141" s="4">
        <v>0.25</v>
      </c>
      <c r="F141" s="4"/>
      <c r="G141" s="4"/>
      <c r="H141" s="4"/>
    </row>
    <row r="142" ht="16" customHeight="1" s="4" customFormat="1">
      <c r="A142" s="4" t="s">
        <v>5326</v>
      </c>
      <c r="B142" s="4" t="s">
        <v>1768</v>
      </c>
      <c r="C142" s="4"/>
      <c r="D142" s="5">
        <v>43489</v>
      </c>
      <c r="E142" s="4">
        <v>0.25</v>
      </c>
      <c r="F142" s="4"/>
      <c r="G142" s="4"/>
      <c r="H142" s="4"/>
    </row>
    <row r="143" ht="16" customHeight="1" s="4" customFormat="1">
      <c r="A143" s="4" t="s">
        <v>5327</v>
      </c>
      <c r="B143" s="4" t="s">
        <v>1768</v>
      </c>
      <c r="C143" s="4"/>
      <c r="D143" s="5">
        <v>43490</v>
      </c>
      <c r="E143" s="4">
        <v>0.25</v>
      </c>
      <c r="F143" s="4"/>
      <c r="G143" s="4"/>
      <c r="H143" s="4"/>
    </row>
    <row r="144" ht="16" customHeight="1" s="4" customFormat="1">
      <c r="A144" s="4" t="s">
        <v>5328</v>
      </c>
      <c r="B144" s="4" t="s">
        <v>1768</v>
      </c>
      <c r="C144" s="4"/>
      <c r="D144" s="5">
        <v>43500</v>
      </c>
      <c r="E144" s="4">
        <v>0.24</v>
      </c>
      <c r="F144" s="4"/>
      <c r="G144" s="4"/>
      <c r="H144" s="4"/>
    </row>
    <row r="145" ht="16" customHeight="1" s="4" customFormat="1">
      <c r="A145" s="4" t="s">
        <v>5329</v>
      </c>
      <c r="B145" s="4" t="s">
        <v>1768</v>
      </c>
      <c r="C145" s="4"/>
      <c r="D145" s="5">
        <v>43500</v>
      </c>
      <c r="E145" s="4">
        <v>0.24</v>
      </c>
      <c r="F145" s="4"/>
      <c r="G145" s="4"/>
      <c r="H145" s="4"/>
    </row>
    <row r="146" ht="16" customHeight="1" s="4" customFormat="1">
      <c r="A146" s="4" t="s">
        <v>5330</v>
      </c>
      <c r="B146" s="4" t="s">
        <v>1768</v>
      </c>
      <c r="C146" s="4"/>
      <c r="D146" s="5">
        <v>43497</v>
      </c>
      <c r="E146" s="4">
        <v>0.24</v>
      </c>
      <c r="F146" s="4"/>
      <c r="G146" s="4"/>
      <c r="H146" s="4"/>
    </row>
    <row r="147" ht="16" customHeight="1" s="4" customFormat="1">
      <c r="A147" s="4" t="s">
        <v>5331</v>
      </c>
      <c r="B147" s="4" t="s">
        <v>1768</v>
      </c>
      <c r="C147" s="4"/>
      <c r="D147" s="5">
        <v>43504</v>
      </c>
      <c r="E147" s="4">
        <v>0.24</v>
      </c>
      <c r="F147" s="4"/>
      <c r="G147" s="4"/>
      <c r="H147" s="4"/>
    </row>
    <row r="148" ht="16" customHeight="1" s="4" customFormat="1">
      <c r="A148" s="4" t="s">
        <v>5332</v>
      </c>
      <c r="B148" s="4" t="s">
        <v>1768</v>
      </c>
      <c r="C148" s="4"/>
      <c r="D148" s="5">
        <v>43507</v>
      </c>
      <c r="E148" s="4">
        <v>0.24</v>
      </c>
      <c r="F148" s="4"/>
      <c r="G148" s="4"/>
      <c r="H148" s="4"/>
    </row>
    <row r="149" ht="16" customHeight="1" s="4" customFormat="1">
      <c r="A149" s="4" t="s">
        <v>5333</v>
      </c>
      <c r="B149" s="4" t="s">
        <v>1768</v>
      </c>
      <c r="C149" s="4"/>
      <c r="D149" s="5">
        <v>43509</v>
      </c>
      <c r="E149" s="4">
        <v>0.24</v>
      </c>
      <c r="F149" s="4"/>
      <c r="G149" s="4"/>
      <c r="H149" s="4"/>
    </row>
    <row r="150" ht="16" customHeight="1" s="4" customFormat="1">
      <c r="A150" s="4" t="s">
        <v>5334</v>
      </c>
      <c r="B150" s="4" t="s">
        <v>1768</v>
      </c>
      <c r="C150" s="4"/>
      <c r="D150" s="5">
        <v>43511</v>
      </c>
      <c r="E150" s="4">
        <v>0.24</v>
      </c>
      <c r="F150" s="4"/>
      <c r="G150" s="4"/>
      <c r="H150" s="4"/>
    </row>
    <row r="151" ht="16" customHeight="1" s="4" customFormat="1">
      <c r="A151" s="4" t="s">
        <v>5335</v>
      </c>
      <c r="B151" s="4" t="s">
        <v>1768</v>
      </c>
      <c r="C151" s="4"/>
      <c r="D151" s="5">
        <v>43511</v>
      </c>
      <c r="E151" s="4">
        <v>0.22</v>
      </c>
      <c r="F151" s="4"/>
      <c r="G151" s="4"/>
      <c r="H151" s="4"/>
    </row>
    <row r="152" ht="16" customHeight="1" s="4" customFormat="1">
      <c r="A152" s="4" t="s">
        <v>5336</v>
      </c>
      <c r="B152" s="4" t="s">
        <v>1768</v>
      </c>
      <c r="C152" s="4"/>
      <c r="D152" s="5">
        <v>43514</v>
      </c>
      <c r="E152" s="4">
        <v>0.24</v>
      </c>
      <c r="F152" s="4"/>
      <c r="G152" s="4"/>
      <c r="H152" s="4"/>
    </row>
    <row r="153" ht="16" customHeight="1" s="4" customFormat="1">
      <c r="A153" s="4" t="s">
        <v>5337</v>
      </c>
      <c r="B153" s="4" t="s">
        <v>1768</v>
      </c>
      <c r="C153" s="4"/>
      <c r="D153" s="5">
        <v>43518</v>
      </c>
      <c r="E153" s="4">
        <v>0.24</v>
      </c>
      <c r="F153" s="4"/>
      <c r="G153" s="4"/>
      <c r="H153" s="4"/>
    </row>
    <row r="154" ht="16" customHeight="1" s="4" customFormat="1">
      <c r="A154" s="4" t="s">
        <v>5338</v>
      </c>
      <c r="B154" s="4" t="s">
        <v>1768</v>
      </c>
      <c r="C154" s="4"/>
      <c r="D154" s="5">
        <v>43517</v>
      </c>
      <c r="E154" s="4">
        <v>0.24</v>
      </c>
      <c r="F154" s="4"/>
      <c r="G154" s="4"/>
      <c r="H154" s="4"/>
    </row>
    <row r="155" ht="16" customHeight="1" s="4" customFormat="1">
      <c r="A155" s="4" t="s">
        <v>5339</v>
      </c>
      <c r="B155" s="4" t="s">
        <v>1768</v>
      </c>
      <c r="C155" s="4"/>
      <c r="D155" s="5">
        <v>43521</v>
      </c>
      <c r="E155" s="4">
        <v>0.24</v>
      </c>
      <c r="F155" s="4"/>
      <c r="G155" s="4"/>
      <c r="H155" s="4"/>
    </row>
    <row r="156" ht="16" customHeight="1" s="4" customFormat="1">
      <c r="A156" s="4" t="s">
        <v>5340</v>
      </c>
      <c r="B156" s="4" t="s">
        <v>1768</v>
      </c>
      <c r="C156" s="4"/>
      <c r="D156" s="5">
        <v>43522</v>
      </c>
      <c r="E156" s="4">
        <v>0.24</v>
      </c>
      <c r="F156" s="4"/>
      <c r="G156" s="4"/>
      <c r="H156" s="4"/>
    </row>
    <row r="157" ht="16" customHeight="1" s="4" customFormat="1">
      <c r="A157" s="4" t="s">
        <v>5341</v>
      </c>
      <c r="B157" s="4" t="s">
        <v>1768</v>
      </c>
      <c r="C157" s="4"/>
      <c r="D157" s="5">
        <v>43521</v>
      </c>
      <c r="E157" s="4">
        <v>0.24</v>
      </c>
      <c r="F157" s="4"/>
      <c r="G157" s="4"/>
      <c r="H157" s="4"/>
    </row>
    <row r="158" ht="16" customHeight="1" s="4" customFormat="1">
      <c r="A158" s="4" t="s">
        <v>5342</v>
      </c>
      <c r="B158" s="4" t="s">
        <v>1768</v>
      </c>
      <c r="C158" s="4"/>
      <c r="D158" s="5">
        <v>43524</v>
      </c>
      <c r="E158" s="4">
        <v>0.24</v>
      </c>
      <c r="F158" s="4"/>
      <c r="G158" s="4"/>
      <c r="H158" s="4"/>
    </row>
    <row r="159" ht="16" customHeight="1" s="4" customFormat="1">
      <c r="A159" s="4" t="s">
        <v>5343</v>
      </c>
      <c r="B159" s="4" t="s">
        <v>1768</v>
      </c>
      <c r="C159" s="4"/>
      <c r="D159" s="5">
        <v>43524</v>
      </c>
      <c r="E159" s="4">
        <v>0.24</v>
      </c>
      <c r="F159" s="4"/>
      <c r="G159" s="4"/>
      <c r="H159" s="4"/>
    </row>
    <row r="160" ht="16" customHeight="1" s="4" customFormat="1">
      <c r="A160" s="4" t="s">
        <v>5344</v>
      </c>
      <c r="B160" s="4" t="s">
        <v>1768</v>
      </c>
      <c r="C160" s="4"/>
      <c r="D160" s="5">
        <v>43525</v>
      </c>
      <c r="E160" s="4">
        <v>0.24</v>
      </c>
      <c r="F160" s="4"/>
      <c r="G160" s="4"/>
      <c r="H160" s="4"/>
    </row>
    <row r="161" ht="16" customHeight="1" s="4" customFormat="1">
      <c r="A161" s="4" t="s">
        <v>5345</v>
      </c>
      <c r="B161" s="4" t="s">
        <v>1768</v>
      </c>
      <c r="C161" s="4"/>
      <c r="D161" s="5">
        <v>43525</v>
      </c>
      <c r="E161" s="4">
        <v>0.25</v>
      </c>
      <c r="F161" s="4"/>
      <c r="G161" s="4"/>
      <c r="H161" s="4"/>
    </row>
    <row r="162" ht="16" customHeight="1" s="4" customFormat="1">
      <c r="A162" s="4" t="s">
        <v>5346</v>
      </c>
      <c r="B162" s="4" t="s">
        <v>1768</v>
      </c>
      <c r="C162" s="4"/>
      <c r="D162" s="5">
        <v>43532</v>
      </c>
      <c r="E162" s="4">
        <v>0.25</v>
      </c>
      <c r="F162" s="4"/>
      <c r="G162" s="4"/>
      <c r="H162" s="4"/>
    </row>
    <row r="163" ht="16" customHeight="1" s="4" customFormat="1">
      <c r="A163" s="4" t="s">
        <v>5347</v>
      </c>
      <c r="B163" s="4" t="s">
        <v>1768</v>
      </c>
      <c r="C163" s="4"/>
      <c r="D163" s="5">
        <v>43531</v>
      </c>
      <c r="E163" s="4">
        <v>0.25</v>
      </c>
      <c r="F163" s="4"/>
      <c r="G163" s="4"/>
      <c r="H163" s="4"/>
    </row>
    <row r="164" ht="16" customHeight="1" s="4" customFormat="1">
      <c r="A164" s="4" t="s">
        <v>5348</v>
      </c>
      <c r="B164" s="4" t="s">
        <v>1768</v>
      </c>
      <c r="C164" s="4"/>
      <c r="D164" s="5">
        <v>43535</v>
      </c>
      <c r="E164" s="4">
        <v>0.25</v>
      </c>
      <c r="F164" s="4"/>
      <c r="G164" s="4"/>
      <c r="H164" s="4"/>
    </row>
    <row r="165" ht="16" customHeight="1" s="4" customFormat="1">
      <c r="A165" s="4" t="s">
        <v>5349</v>
      </c>
      <c r="B165" s="4" t="s">
        <v>1768</v>
      </c>
      <c r="C165" s="4"/>
      <c r="D165" s="5">
        <v>43538</v>
      </c>
      <c r="E165" s="4">
        <v>0.25</v>
      </c>
      <c r="F165" s="4"/>
      <c r="G165" s="4"/>
      <c r="H165" s="4"/>
    </row>
    <row r="166" ht="16" customHeight="1" s="4" customFormat="1">
      <c r="A166" s="4" t="s">
        <v>5350</v>
      </c>
      <c r="B166" s="4" t="s">
        <v>1768</v>
      </c>
      <c r="C166" s="4"/>
      <c r="D166" s="5">
        <v>43542</v>
      </c>
      <c r="E166" s="4">
        <v>0.25</v>
      </c>
      <c r="F166" s="4"/>
      <c r="G166" s="4"/>
      <c r="H166" s="4"/>
    </row>
    <row r="167" ht="16" customHeight="1" s="4" customFormat="1">
      <c r="A167" s="4" t="s">
        <v>5351</v>
      </c>
      <c r="B167" s="4" t="s">
        <v>1768</v>
      </c>
      <c r="C167" s="4"/>
      <c r="D167" s="5">
        <v>43542</v>
      </c>
      <c r="E167" s="4">
        <v>0.24</v>
      </c>
      <c r="F167" s="4"/>
      <c r="G167" s="4"/>
      <c r="H167" s="4"/>
    </row>
    <row r="168" ht="16" customHeight="1" s="4" customFormat="1">
      <c r="A168" s="4" t="s">
        <v>5352</v>
      </c>
      <c r="B168" s="4" t="s">
        <v>1768</v>
      </c>
      <c r="C168" s="4"/>
      <c r="D168" s="5">
        <v>43543</v>
      </c>
      <c r="E168" s="4">
        <v>0.25</v>
      </c>
      <c r="F168" s="4"/>
      <c r="G168" s="4"/>
      <c r="H168" s="4"/>
    </row>
    <row r="169" ht="16" customHeight="1" s="4" customFormat="1">
      <c r="A169" s="4" t="s">
        <v>5353</v>
      </c>
      <c r="B169" s="4" t="s">
        <v>1768</v>
      </c>
      <c r="C169" s="4"/>
      <c r="D169" s="5">
        <v>43544</v>
      </c>
      <c r="E169" s="4">
        <v>0.25</v>
      </c>
      <c r="F169" s="4"/>
      <c r="G169" s="4"/>
      <c r="H169" s="4"/>
    </row>
    <row r="170" ht="16" customHeight="1" s="4" customFormat="1">
      <c r="A170" s="4" t="s">
        <v>5354</v>
      </c>
      <c r="B170" s="4" t="s">
        <v>1768</v>
      </c>
      <c r="C170" s="4"/>
      <c r="D170" s="5">
        <v>43567</v>
      </c>
      <c r="E170" s="4">
        <v>0.16</v>
      </c>
      <c r="F170" s="4"/>
      <c r="G170" s="4"/>
      <c r="H170" s="4"/>
    </row>
    <row r="171" ht="16" customHeight="1" s="4" customFormat="1">
      <c r="A171" s="4" t="s">
        <v>5355</v>
      </c>
      <c r="B171" s="4" t="s">
        <v>1768</v>
      </c>
      <c r="C171" s="4"/>
      <c r="D171" s="5">
        <v>43578</v>
      </c>
      <c r="E171" s="4">
        <v>0.25</v>
      </c>
      <c r="F171" s="4"/>
      <c r="G171" s="4"/>
      <c r="H171" s="4"/>
    </row>
    <row r="172" ht="16" customHeight="1" s="4" customFormat="1">
      <c r="A172" s="4" t="s">
        <v>5356</v>
      </c>
      <c r="B172" s="4" t="s">
        <v>1768</v>
      </c>
      <c r="C172" s="4"/>
      <c r="D172" s="5">
        <v>43591</v>
      </c>
      <c r="E172" s="4">
        <v>0.25</v>
      </c>
      <c r="F172" s="4"/>
      <c r="G172" s="4"/>
      <c r="H172" s="4"/>
    </row>
    <row r="173" ht="16" customHeight="1" s="4" customFormat="1">
      <c r="A173" s="4" t="s">
        <v>5357</v>
      </c>
      <c r="B173" s="4" t="s">
        <v>1768</v>
      </c>
      <c r="C173" s="4"/>
      <c r="D173" s="5">
        <v>43588</v>
      </c>
      <c r="E173" s="4">
        <v>0.25</v>
      </c>
      <c r="F173" s="4"/>
      <c r="G173" s="4"/>
      <c r="H173" s="4"/>
    </row>
    <row r="174" ht="16" customHeight="1" s="4" customFormat="1">
      <c r="A174" s="4" t="s">
        <v>5358</v>
      </c>
      <c r="B174" s="4" t="s">
        <v>1768</v>
      </c>
      <c r="C174" s="4"/>
      <c r="D174" s="5">
        <v>43593</v>
      </c>
      <c r="E174" s="4">
        <v>0.25</v>
      </c>
      <c r="F174" s="4"/>
      <c r="G174" s="4"/>
      <c r="H174" s="4"/>
    </row>
    <row r="175" ht="16" customHeight="1" s="4" customFormat="1">
      <c r="A175" s="4" t="s">
        <v>5359</v>
      </c>
      <c r="B175" s="4" t="s">
        <v>1768</v>
      </c>
      <c r="C175" s="4"/>
      <c r="D175" s="5">
        <v>43594</v>
      </c>
      <c r="E175" s="4">
        <v>0.25</v>
      </c>
      <c r="F175" s="4"/>
      <c r="G175" s="4"/>
      <c r="H175" s="4"/>
    </row>
    <row r="176" ht="16" customHeight="1" s="4" customFormat="1">
      <c r="A176" s="4" t="s">
        <v>5360</v>
      </c>
      <c r="B176" s="4" t="s">
        <v>1768</v>
      </c>
      <c r="C176" s="4"/>
      <c r="D176" s="5">
        <v>43595</v>
      </c>
      <c r="E176" s="4">
        <v>0.25</v>
      </c>
      <c r="F176" s="4"/>
      <c r="G176" s="4"/>
      <c r="H176" s="4"/>
    </row>
    <row r="177" ht="16" customHeight="1" s="4" customFormat="1">
      <c r="A177" s="4" t="s">
        <v>5361</v>
      </c>
      <c r="B177" s="4" t="s">
        <v>1768</v>
      </c>
      <c r="C177" s="4"/>
      <c r="D177" s="5">
        <v>43595</v>
      </c>
      <c r="E177" s="4">
        <v>0.2</v>
      </c>
      <c r="F177" s="4"/>
      <c r="G177" s="4"/>
      <c r="H177" s="4"/>
    </row>
    <row r="178" ht="16" customHeight="1" s="4" customFormat="1">
      <c r="A178" s="4" t="s">
        <v>5362</v>
      </c>
      <c r="B178" s="4" t="s">
        <v>1768</v>
      </c>
      <c r="C178" s="4"/>
      <c r="D178" s="5">
        <v>43598</v>
      </c>
      <c r="E178" s="4">
        <v>0.24</v>
      </c>
      <c r="F178" s="4"/>
      <c r="G178" s="4"/>
      <c r="H178" s="4"/>
    </row>
    <row r="179" ht="16" customHeight="1" s="4" customFormat="1">
      <c r="A179" s="4" t="s">
        <v>5363</v>
      </c>
      <c r="B179" s="4" t="s">
        <v>1768</v>
      </c>
      <c r="C179" s="4"/>
      <c r="D179" s="5">
        <v>43598</v>
      </c>
      <c r="E179" s="4">
        <v>0.2</v>
      </c>
      <c r="F179" s="4"/>
      <c r="G179" s="4"/>
      <c r="H179" s="4"/>
    </row>
    <row r="180" ht="16" customHeight="1" s="4" customFormat="1">
      <c r="A180" s="4" t="s">
        <v>5364</v>
      </c>
      <c r="B180" s="4" t="s">
        <v>5185</v>
      </c>
      <c r="C180" s="4">
        <v>12</v>
      </c>
      <c r="D180" s="5">
        <v>45281</v>
      </c>
      <c r="E180" s="4">
        <v>1.5</v>
      </c>
      <c r="F180" s="4"/>
      <c r="G180" s="4"/>
      <c r="H180" s="4"/>
    </row>
    <row r="181" ht="16" customHeight="1" s="4" customFormat="1">
      <c r="A181" s="4" t="s">
        <v>5365</v>
      </c>
      <c r="B181" s="4" t="s">
        <v>1768</v>
      </c>
      <c r="C181" s="4"/>
      <c r="D181" s="5">
        <v>43600</v>
      </c>
      <c r="E181" s="4">
        <v>0.25</v>
      </c>
      <c r="F181" s="4"/>
      <c r="G181" s="4"/>
      <c r="H181" s="4"/>
    </row>
    <row r="182" ht="16" customHeight="1" s="4" customFormat="1">
      <c r="A182" s="4" t="s">
        <v>5366</v>
      </c>
      <c r="B182" s="4" t="s">
        <v>1768</v>
      </c>
      <c r="C182" s="4"/>
      <c r="D182" s="5">
        <v>43600</v>
      </c>
      <c r="E182" s="4">
        <v>0.21</v>
      </c>
      <c r="F182" s="4"/>
      <c r="G182" s="4"/>
      <c r="H182" s="4"/>
    </row>
    <row r="183" ht="16" customHeight="1" s="4" customFormat="1">
      <c r="A183" s="4" t="s">
        <v>5367</v>
      </c>
      <c r="B183" s="4" t="s">
        <v>1768</v>
      </c>
      <c r="C183" s="4"/>
      <c r="D183" s="5">
        <v>43605</v>
      </c>
      <c r="E183" s="4">
        <v>0.19</v>
      </c>
      <c r="F183" s="4"/>
      <c r="G183" s="4"/>
      <c r="H183" s="4"/>
    </row>
    <row r="184" ht="16" customHeight="1" s="4" customFormat="1">
      <c r="A184" s="4" t="s">
        <v>5368</v>
      </c>
      <c r="B184" s="4" t="s">
        <v>1768</v>
      </c>
      <c r="C184" s="4"/>
      <c r="D184" s="5">
        <v>43606</v>
      </c>
      <c r="E184" s="4">
        <v>0.2</v>
      </c>
      <c r="F184" s="4"/>
      <c r="G184" s="4"/>
      <c r="H184" s="4"/>
    </row>
    <row r="185" ht="16" customHeight="1" s="4" customFormat="1">
      <c r="A185" s="4" t="s">
        <v>5369</v>
      </c>
      <c r="B185" s="4" t="s">
        <v>1768</v>
      </c>
      <c r="C185" s="4"/>
      <c r="D185" s="5">
        <v>43607</v>
      </c>
      <c r="E185" s="4">
        <v>0.19</v>
      </c>
      <c r="F185" s="4"/>
      <c r="G185" s="4"/>
      <c r="H185" s="4"/>
    </row>
    <row r="186" ht="16" customHeight="1" s="4" customFormat="1">
      <c r="A186" s="4" t="s">
        <v>5370</v>
      </c>
      <c r="B186" s="4" t="s">
        <v>1768</v>
      </c>
      <c r="C186" s="4"/>
      <c r="D186" s="5">
        <v>43607</v>
      </c>
      <c r="E186" s="4">
        <v>0.25</v>
      </c>
      <c r="F186" s="4"/>
      <c r="G186" s="4"/>
      <c r="H186" s="4"/>
    </row>
    <row r="187" ht="16" customHeight="1" s="4" customFormat="1">
      <c r="A187" s="4" t="s">
        <v>5371</v>
      </c>
      <c r="B187" s="4" t="s">
        <v>1768</v>
      </c>
      <c r="C187" s="4"/>
      <c r="D187" s="5">
        <v>43612</v>
      </c>
      <c r="E187" s="4">
        <v>0.16</v>
      </c>
      <c r="F187" s="4"/>
      <c r="G187" s="4"/>
      <c r="H187" s="4"/>
    </row>
    <row r="188" ht="16" customHeight="1" s="4" customFormat="1">
      <c r="A188" s="4" t="s">
        <v>5372</v>
      </c>
      <c r="B188" s="4" t="s">
        <v>1768</v>
      </c>
      <c r="C188" s="4"/>
      <c r="D188" s="5">
        <v>43622</v>
      </c>
      <c r="E188" s="4">
        <v>0.23</v>
      </c>
      <c r="F188" s="4"/>
      <c r="G188" s="4"/>
      <c r="H188" s="4"/>
    </row>
    <row r="189" ht="16" customHeight="1" s="4" customFormat="1">
      <c r="A189" s="4" t="s">
        <v>5373</v>
      </c>
      <c r="B189" s="4" t="s">
        <v>1768</v>
      </c>
      <c r="C189" s="4"/>
      <c r="D189" s="5">
        <v>43627</v>
      </c>
      <c r="E189" s="4">
        <v>0.25</v>
      </c>
      <c r="F189" s="4"/>
      <c r="G189" s="4"/>
      <c r="H189" s="4"/>
    </row>
    <row r="190" ht="16" customHeight="1" s="4" customFormat="1">
      <c r="A190" s="4" t="s">
        <v>5374</v>
      </c>
      <c r="B190" s="4" t="s">
        <v>1768</v>
      </c>
      <c r="C190" s="4"/>
      <c r="D190" s="5">
        <v>43629</v>
      </c>
      <c r="E190" s="4">
        <v>0.25</v>
      </c>
      <c r="F190" s="4"/>
      <c r="G190" s="4"/>
      <c r="H190" s="4"/>
    </row>
    <row r="191" ht="16" customHeight="1" s="4" customFormat="1">
      <c r="A191" s="4" t="s">
        <v>5375</v>
      </c>
      <c r="B191" s="4" t="s">
        <v>1768</v>
      </c>
      <c r="C191" s="4"/>
      <c r="D191" s="5">
        <v>43630</v>
      </c>
      <c r="E191" s="4">
        <v>0.25</v>
      </c>
      <c r="F191" s="4"/>
      <c r="G191" s="4"/>
      <c r="H191" s="4"/>
    </row>
    <row r="192" ht="16" customHeight="1" s="4" customFormat="1">
      <c r="A192" s="4" t="s">
        <v>5376</v>
      </c>
      <c r="B192" s="4" t="s">
        <v>1768</v>
      </c>
      <c r="C192" s="4"/>
      <c r="D192" s="5">
        <v>43629</v>
      </c>
      <c r="E192" s="4">
        <v>0.25</v>
      </c>
      <c r="F192" s="4"/>
      <c r="G192" s="4"/>
      <c r="H192" s="4"/>
    </row>
    <row r="193" ht="16" customHeight="1" s="4" customFormat="1">
      <c r="A193" s="4" t="s">
        <v>5377</v>
      </c>
      <c r="B193" s="4" t="s">
        <v>1768</v>
      </c>
      <c r="C193" s="4"/>
      <c r="D193" s="5">
        <v>43633</v>
      </c>
      <c r="E193" s="4">
        <v>0.25</v>
      </c>
      <c r="F193" s="4"/>
      <c r="G193" s="4"/>
      <c r="H193" s="4"/>
    </row>
    <row r="194" ht="16" customHeight="1" s="4" customFormat="1">
      <c r="A194" s="4" t="s">
        <v>5378</v>
      </c>
      <c r="B194" s="4" t="s">
        <v>1768</v>
      </c>
      <c r="C194" s="4"/>
      <c r="D194" s="5">
        <v>43641</v>
      </c>
      <c r="E194" s="4">
        <v>0.16</v>
      </c>
      <c r="F194" s="4"/>
      <c r="G194" s="4"/>
      <c r="H194" s="4"/>
    </row>
    <row r="195" ht="16" customHeight="1" s="4" customFormat="1">
      <c r="A195" s="4" t="s">
        <v>5379</v>
      </c>
      <c r="B195" s="4" t="s">
        <v>1768</v>
      </c>
      <c r="C195" s="4"/>
      <c r="D195" s="5">
        <v>43641</v>
      </c>
      <c r="E195" s="4">
        <v>0.16</v>
      </c>
      <c r="F195" s="4"/>
      <c r="G195" s="4"/>
      <c r="H195" s="4"/>
    </row>
    <row r="196" ht="16" customHeight="1" s="4" customFormat="1">
      <c r="A196" s="4" t="s">
        <v>5380</v>
      </c>
      <c r="B196" s="4" t="s">
        <v>1768</v>
      </c>
      <c r="C196" s="4"/>
      <c r="D196" s="5">
        <v>43642</v>
      </c>
      <c r="E196" s="4">
        <v>0.17</v>
      </c>
      <c r="F196" s="4"/>
      <c r="G196" s="4"/>
      <c r="H196" s="4"/>
    </row>
    <row r="197" ht="16" customHeight="1" s="4" customFormat="1">
      <c r="A197" s="4" t="s">
        <v>5381</v>
      </c>
      <c r="B197" s="4" t="s">
        <v>1768</v>
      </c>
      <c r="C197" s="4"/>
      <c r="D197" s="5">
        <v>43644</v>
      </c>
      <c r="E197" s="4">
        <v>0.16</v>
      </c>
      <c r="F197" s="4"/>
      <c r="G197" s="4"/>
      <c r="H197" s="4"/>
    </row>
    <row r="198" ht="16" customHeight="1" s="4" customFormat="1">
      <c r="A198" s="4" t="s">
        <v>5382</v>
      </c>
      <c r="B198" s="4" t="s">
        <v>1768</v>
      </c>
      <c r="C198" s="4"/>
      <c r="D198" s="5">
        <v>43665</v>
      </c>
      <c r="E198" s="4">
        <v>0.16</v>
      </c>
      <c r="F198" s="4"/>
      <c r="G198" s="4"/>
      <c r="H198" s="4"/>
    </row>
    <row r="199" ht="16" customHeight="1" s="4" customFormat="1">
      <c r="A199" s="4" t="s">
        <v>5383</v>
      </c>
      <c r="B199" s="4" t="s">
        <v>1768</v>
      </c>
      <c r="C199" s="4"/>
      <c r="D199" s="5">
        <v>43668</v>
      </c>
      <c r="E199" s="4">
        <v>0.16</v>
      </c>
      <c r="F199" s="4"/>
      <c r="G199" s="4"/>
      <c r="H199" s="4"/>
    </row>
    <row r="200" ht="16" customHeight="1" s="4" customFormat="1">
      <c r="A200" s="4" t="s">
        <v>5384</v>
      </c>
      <c r="B200" s="4" t="s">
        <v>1768</v>
      </c>
      <c r="C200" s="4"/>
      <c r="D200" s="5">
        <v>43668</v>
      </c>
      <c r="E200" s="4">
        <v>0.24</v>
      </c>
      <c r="F200" s="4"/>
      <c r="G200" s="4"/>
      <c r="H200" s="4"/>
    </row>
    <row r="201" ht="16" customHeight="1" s="4" customFormat="1">
      <c r="A201" s="4" t="s">
        <v>5385</v>
      </c>
      <c r="B201" s="4" t="s">
        <v>1768</v>
      </c>
      <c r="C201" s="4"/>
      <c r="D201" s="5">
        <v>43670</v>
      </c>
      <c r="E201" s="4">
        <v>0.17</v>
      </c>
      <c r="F201" s="4"/>
      <c r="G201" s="4"/>
      <c r="H201" s="4"/>
    </row>
    <row r="202" ht="16" customHeight="1" s="4" customFormat="1">
      <c r="A202" s="4" t="s">
        <v>5386</v>
      </c>
      <c r="B202" s="4" t="s">
        <v>1768</v>
      </c>
      <c r="C202" s="4"/>
      <c r="D202" s="5">
        <v>43670</v>
      </c>
      <c r="E202" s="4">
        <v>0.25</v>
      </c>
      <c r="F202" s="4"/>
      <c r="G202" s="4"/>
      <c r="H202" s="4"/>
    </row>
    <row r="203" ht="16" customHeight="1" s="4" customFormat="1">
      <c r="A203" s="4" t="s">
        <v>5387</v>
      </c>
      <c r="B203" s="4" t="s">
        <v>1768</v>
      </c>
      <c r="C203" s="4"/>
      <c r="D203" s="5">
        <v>43672</v>
      </c>
      <c r="E203" s="4">
        <v>0.16</v>
      </c>
      <c r="F203" s="4"/>
      <c r="G203" s="4"/>
      <c r="H203" s="4"/>
    </row>
    <row r="204" ht="16" customHeight="1" s="4" customFormat="1">
      <c r="A204" s="4" t="s">
        <v>5388</v>
      </c>
      <c r="B204" s="4" t="s">
        <v>1768</v>
      </c>
      <c r="C204" s="4"/>
      <c r="D204" s="5">
        <v>43676</v>
      </c>
      <c r="E204" s="4">
        <v>0.16</v>
      </c>
      <c r="F204" s="4"/>
      <c r="G204" s="4"/>
      <c r="H204" s="4"/>
    </row>
    <row r="205" ht="16" customHeight="1" s="4" customFormat="1">
      <c r="A205" s="4" t="s">
        <v>5389</v>
      </c>
      <c r="B205" s="4" t="s">
        <v>1768</v>
      </c>
      <c r="C205" s="4"/>
      <c r="D205" s="5">
        <v>43678</v>
      </c>
      <c r="E205" s="4">
        <v>0.25</v>
      </c>
      <c r="F205" s="4"/>
      <c r="G205" s="4"/>
      <c r="H205" s="4"/>
    </row>
    <row r="206" ht="16" customHeight="1" s="4" customFormat="1">
      <c r="A206" s="4" t="s">
        <v>5390</v>
      </c>
      <c r="B206" s="4" t="s">
        <v>1768</v>
      </c>
      <c r="C206" s="4"/>
      <c r="D206" s="5">
        <v>43679</v>
      </c>
      <c r="E206" s="4">
        <v>0.15</v>
      </c>
      <c r="F206" s="4"/>
      <c r="G206" s="4"/>
      <c r="H206" s="4"/>
    </row>
    <row r="207" ht="16" customHeight="1" s="4" customFormat="1">
      <c r="A207" s="4" t="s">
        <v>5391</v>
      </c>
      <c r="B207" s="4" t="s">
        <v>1768</v>
      </c>
      <c r="C207" s="4"/>
      <c r="D207" s="5">
        <v>43679</v>
      </c>
      <c r="E207" s="4">
        <v>0.25</v>
      </c>
      <c r="F207" s="4"/>
      <c r="G207" s="4"/>
      <c r="H207" s="4"/>
    </row>
    <row r="208" ht="16" customHeight="1" s="4" customFormat="1">
      <c r="A208" s="4" t="s">
        <v>5392</v>
      </c>
      <c r="B208" s="4" t="s">
        <v>1768</v>
      </c>
      <c r="C208" s="4"/>
      <c r="D208" s="5">
        <v>43683</v>
      </c>
      <c r="E208" s="4">
        <v>0.24</v>
      </c>
      <c r="F208" s="4"/>
      <c r="G208" s="4"/>
      <c r="H208" s="4"/>
    </row>
    <row r="209" ht="16" customHeight="1" s="4" customFormat="1">
      <c r="A209" s="4" t="s">
        <v>5393</v>
      </c>
      <c r="B209" s="4" t="s">
        <v>1768</v>
      </c>
      <c r="C209" s="4"/>
      <c r="D209" s="5">
        <v>43683</v>
      </c>
      <c r="E209" s="4">
        <v>0.25</v>
      </c>
      <c r="F209" s="4"/>
      <c r="G209" s="4"/>
      <c r="H209" s="4"/>
    </row>
    <row r="210" ht="16" customHeight="1" s="4" customFormat="1">
      <c r="A210" s="4" t="s">
        <v>5394</v>
      </c>
      <c r="B210" s="4" t="s">
        <v>1768</v>
      </c>
      <c r="C210" s="4"/>
      <c r="D210" s="5">
        <v>43683</v>
      </c>
      <c r="E210" s="4">
        <v>0.08</v>
      </c>
      <c r="F210" s="4"/>
      <c r="G210" s="4"/>
      <c r="H210" s="4"/>
    </row>
    <row r="211" ht="16" customHeight="1" s="4" customFormat="1">
      <c r="A211" s="4" t="s">
        <v>5395</v>
      </c>
      <c r="B211" s="4" t="s">
        <v>1768</v>
      </c>
      <c r="C211" s="4"/>
      <c r="D211" s="5">
        <v>43684</v>
      </c>
      <c r="E211" s="4">
        <v>0.08</v>
      </c>
      <c r="F211" s="4"/>
      <c r="G211" s="4"/>
      <c r="H211" s="4"/>
    </row>
    <row r="212" ht="16" customHeight="1" s="4" customFormat="1">
      <c r="A212" s="4" t="s">
        <v>5396</v>
      </c>
      <c r="B212" s="4" t="s">
        <v>1768</v>
      </c>
      <c r="C212" s="4"/>
      <c r="D212" s="5">
        <v>43685</v>
      </c>
      <c r="E212" s="4">
        <v>0.25</v>
      </c>
      <c r="F212" s="4"/>
      <c r="G212" s="4"/>
      <c r="H212" s="4"/>
    </row>
    <row r="213" ht="16" customHeight="1" s="4" customFormat="1">
      <c r="A213" s="4" t="s">
        <v>5397</v>
      </c>
      <c r="B213" s="4" t="s">
        <v>1768</v>
      </c>
      <c r="C213" s="4"/>
      <c r="D213" s="5">
        <v>43686</v>
      </c>
      <c r="E213" s="4">
        <v>0.25</v>
      </c>
      <c r="F213" s="4"/>
      <c r="G213" s="4"/>
      <c r="H213" s="4"/>
    </row>
    <row r="214" ht="16" customHeight="1" s="4" customFormat="1">
      <c r="A214" s="4" t="s">
        <v>5398</v>
      </c>
      <c r="B214" s="4" t="s">
        <v>1768</v>
      </c>
      <c r="C214" s="4"/>
      <c r="D214" s="5">
        <v>43690</v>
      </c>
      <c r="E214" s="4">
        <v>0.25</v>
      </c>
      <c r="F214" s="4"/>
      <c r="G214" s="4"/>
      <c r="H214" s="4"/>
    </row>
    <row r="215" ht="16" customHeight="1" s="4" customFormat="1">
      <c r="A215" s="4" t="s">
        <v>5399</v>
      </c>
      <c r="B215" s="4" t="s">
        <v>1768</v>
      </c>
      <c r="C215" s="4"/>
      <c r="D215" s="5">
        <v>43699</v>
      </c>
      <c r="E215" s="4">
        <v>0.25</v>
      </c>
      <c r="F215" s="4"/>
      <c r="G215" s="4"/>
      <c r="H215" s="4"/>
    </row>
    <row r="216" ht="16" customHeight="1" s="4" customFormat="1">
      <c r="A216" s="4" t="s">
        <v>5400</v>
      </c>
      <c r="B216" s="4" t="s">
        <v>1768</v>
      </c>
      <c r="C216" s="4"/>
      <c r="D216" s="5">
        <v>43700</v>
      </c>
      <c r="E216" s="4">
        <v>0.25</v>
      </c>
      <c r="F216" s="4"/>
      <c r="G216" s="4"/>
      <c r="H216" s="4"/>
    </row>
    <row r="217" ht="16" customHeight="1" s="4" customFormat="1">
      <c r="A217" s="4" t="s">
        <v>5401</v>
      </c>
      <c r="B217" s="4" t="s">
        <v>1768</v>
      </c>
      <c r="C217" s="4"/>
      <c r="D217" s="5">
        <v>43707</v>
      </c>
      <c r="E217" s="4">
        <v>0.16</v>
      </c>
      <c r="F217" s="4"/>
      <c r="G217" s="4"/>
      <c r="H217" s="4"/>
    </row>
    <row r="218" ht="16" customHeight="1" s="4" customFormat="1">
      <c r="A218" s="4" t="s">
        <v>5402</v>
      </c>
      <c r="B218" s="4" t="s">
        <v>1768</v>
      </c>
      <c r="C218" s="4"/>
      <c r="D218" s="5">
        <v>43707</v>
      </c>
      <c r="E218" s="4">
        <v>0.25</v>
      </c>
      <c r="F218" s="4"/>
      <c r="G218" s="4"/>
      <c r="H218" s="4"/>
    </row>
    <row r="219" ht="16" customHeight="1" s="4" customFormat="1">
      <c r="A219" s="4" t="s">
        <v>5403</v>
      </c>
      <c r="B219" s="4" t="s">
        <v>1768</v>
      </c>
      <c r="C219" s="4"/>
      <c r="D219" s="5">
        <v>43719</v>
      </c>
      <c r="E219" s="4">
        <v>0.25</v>
      </c>
      <c r="F219" s="4"/>
      <c r="G219" s="4"/>
      <c r="H219" s="4"/>
    </row>
    <row r="220" ht="16" customHeight="1" s="4" customFormat="1">
      <c r="A220" s="4" t="s">
        <v>5404</v>
      </c>
      <c r="B220" s="4" t="s">
        <v>1768</v>
      </c>
      <c r="C220" s="4"/>
      <c r="D220" s="5">
        <v>43721</v>
      </c>
      <c r="E220" s="4">
        <v>0.25</v>
      </c>
      <c r="F220" s="4"/>
      <c r="G220" s="4"/>
      <c r="H220" s="4"/>
    </row>
    <row r="221" ht="16" customHeight="1" s="4" customFormat="1">
      <c r="A221" s="4" t="s">
        <v>5405</v>
      </c>
      <c r="B221" s="4" t="s">
        <v>1768</v>
      </c>
      <c r="C221" s="4"/>
      <c r="D221" s="5">
        <v>43724</v>
      </c>
      <c r="E221" s="4">
        <v>0.25</v>
      </c>
      <c r="F221" s="4"/>
      <c r="G221" s="4"/>
      <c r="H221" s="4"/>
    </row>
    <row r="222" ht="16" customHeight="1" s="4" customFormat="1">
      <c r="A222" s="4" t="s">
        <v>5406</v>
      </c>
      <c r="B222" s="4" t="s">
        <v>1768</v>
      </c>
      <c r="C222" s="4"/>
      <c r="D222" s="5">
        <v>43728</v>
      </c>
      <c r="E222" s="4">
        <v>0.25</v>
      </c>
      <c r="F222" s="4"/>
      <c r="G222" s="4"/>
      <c r="H222" s="4"/>
    </row>
    <row r="223" ht="16" customHeight="1" s="4" customFormat="1">
      <c r="A223" s="4" t="s">
        <v>5407</v>
      </c>
      <c r="B223" s="4" t="s">
        <v>1768</v>
      </c>
      <c r="C223" s="4"/>
      <c r="D223" s="5">
        <v>43728</v>
      </c>
      <c r="E223" s="4">
        <v>0.16</v>
      </c>
      <c r="F223" s="4"/>
      <c r="G223" s="4"/>
      <c r="H223" s="4"/>
    </row>
    <row r="224" ht="16" customHeight="1" s="4" customFormat="1">
      <c r="A224" s="4" t="s">
        <v>5408</v>
      </c>
      <c r="B224" s="4" t="s">
        <v>1768</v>
      </c>
      <c r="C224" s="4"/>
      <c r="D224" s="5">
        <v>43734</v>
      </c>
      <c r="E224" s="4">
        <v>0.2</v>
      </c>
      <c r="F224" s="4"/>
      <c r="G224" s="4"/>
      <c r="H224" s="4"/>
    </row>
    <row r="225" ht="16" customHeight="1" s="4" customFormat="1">
      <c r="A225" s="4" t="s">
        <v>5409</v>
      </c>
      <c r="B225" s="4" t="s">
        <v>1768</v>
      </c>
      <c r="C225" s="4"/>
      <c r="D225" s="5">
        <v>43760</v>
      </c>
      <c r="E225" s="4">
        <v>0.17</v>
      </c>
      <c r="F225" s="4"/>
      <c r="G225" s="4"/>
      <c r="H225" s="4"/>
    </row>
    <row r="226" ht="16" customHeight="1" s="4" customFormat="1">
      <c r="A226" s="4" t="s">
        <v>5410</v>
      </c>
      <c r="B226" s="4" t="s">
        <v>1768</v>
      </c>
      <c r="C226" s="4"/>
      <c r="D226" s="5">
        <v>43756</v>
      </c>
      <c r="E226" s="4">
        <v>0.17</v>
      </c>
      <c r="F226" s="4"/>
      <c r="G226" s="4"/>
      <c r="H226" s="4"/>
    </row>
    <row r="227" ht="16" customHeight="1" s="4" customFormat="1">
      <c r="A227" s="4" t="s">
        <v>5411</v>
      </c>
      <c r="B227" s="4" t="s">
        <v>1768</v>
      </c>
      <c r="C227" s="4"/>
      <c r="D227" s="5">
        <v>43755</v>
      </c>
      <c r="E227" s="4">
        <v>0.16</v>
      </c>
      <c r="F227" s="4"/>
      <c r="G227" s="4"/>
      <c r="H227" s="4"/>
    </row>
    <row r="228" ht="16" customHeight="1" s="4" customFormat="1">
      <c r="A228" s="4" t="s">
        <v>5412</v>
      </c>
      <c r="B228" s="4" t="s">
        <v>1768</v>
      </c>
      <c r="C228" s="4"/>
      <c r="D228" s="5">
        <v>43760</v>
      </c>
      <c r="E228" s="4">
        <v>0.25</v>
      </c>
      <c r="F228" s="4"/>
      <c r="G228" s="4"/>
      <c r="H228" s="4"/>
    </row>
    <row r="229" ht="16" customHeight="1" s="4" customFormat="1">
      <c r="A229" s="4" t="s">
        <v>5413</v>
      </c>
      <c r="B229" s="4" t="s">
        <v>1768</v>
      </c>
      <c r="C229" s="4"/>
      <c r="D229" s="5">
        <v>43768</v>
      </c>
      <c r="E229" s="4">
        <v>0.25</v>
      </c>
      <c r="F229" s="4"/>
      <c r="G229" s="4"/>
      <c r="H229" s="4"/>
    </row>
    <row r="230" ht="16" customHeight="1" s="4" customFormat="1">
      <c r="A230" s="4" t="s">
        <v>5414</v>
      </c>
      <c r="B230" s="4" t="s">
        <v>1768</v>
      </c>
      <c r="C230" s="4"/>
      <c r="D230" s="5">
        <v>43769</v>
      </c>
      <c r="E230" s="4">
        <v>0.25</v>
      </c>
      <c r="F230" s="4"/>
      <c r="G230" s="4"/>
      <c r="H230" s="4"/>
    </row>
    <row r="231" ht="16" customHeight="1" s="4" customFormat="1">
      <c r="A231" s="4" t="s">
        <v>5415</v>
      </c>
      <c r="B231" s="4" t="s">
        <v>1768</v>
      </c>
      <c r="C231" s="4"/>
      <c r="D231" s="5">
        <v>43763</v>
      </c>
      <c r="E231" s="4">
        <v>0.25</v>
      </c>
      <c r="F231" s="4"/>
      <c r="G231" s="4"/>
      <c r="H231" s="4"/>
    </row>
    <row r="232" ht="16" customHeight="1" s="4" customFormat="1">
      <c r="A232" s="4" t="s">
        <v>5416</v>
      </c>
      <c r="B232" s="4" t="s">
        <v>1768</v>
      </c>
      <c r="C232" s="4"/>
      <c r="D232" s="5">
        <v>43763</v>
      </c>
      <c r="E232" s="4">
        <v>0.17</v>
      </c>
      <c r="F232" s="4"/>
      <c r="G232" s="4"/>
      <c r="H232" s="4"/>
    </row>
    <row r="233" ht="16" customHeight="1" s="4" customFormat="1">
      <c r="A233" s="4" t="s">
        <v>5417</v>
      </c>
      <c r="B233" s="4" t="s">
        <v>1768</v>
      </c>
      <c r="C233" s="4"/>
      <c r="D233" s="5">
        <v>43763</v>
      </c>
      <c r="E233" s="4">
        <v>0.15</v>
      </c>
      <c r="F233" s="4"/>
      <c r="G233" s="4"/>
      <c r="H233" s="4"/>
    </row>
    <row r="234" ht="16" customHeight="1" s="4" customFormat="1">
      <c r="A234" s="4" t="s">
        <v>5418</v>
      </c>
      <c r="B234" s="4" t="s">
        <v>1768</v>
      </c>
      <c r="C234" s="4"/>
      <c r="D234" s="5">
        <v>43770</v>
      </c>
      <c r="E234" s="4">
        <v>0.16</v>
      </c>
      <c r="F234" s="4"/>
      <c r="G234" s="4"/>
      <c r="H234" s="4"/>
    </row>
    <row r="235" ht="16" customHeight="1" s="4" customFormat="1">
      <c r="A235" s="4" t="s">
        <v>5419</v>
      </c>
      <c r="B235" s="4" t="s">
        <v>1768</v>
      </c>
      <c r="C235" s="4"/>
      <c r="D235" s="5">
        <v>43773</v>
      </c>
      <c r="E235" s="4">
        <v>0.24</v>
      </c>
      <c r="F235" s="4"/>
      <c r="G235" s="4"/>
      <c r="H235" s="4"/>
    </row>
    <row r="236" ht="16" customHeight="1" s="4" customFormat="1">
      <c r="A236" s="4" t="s">
        <v>5420</v>
      </c>
      <c r="B236" s="4" t="s">
        <v>1768</v>
      </c>
      <c r="C236" s="4"/>
      <c r="D236" s="5">
        <v>43774</v>
      </c>
      <c r="E236" s="4">
        <v>0.25</v>
      </c>
      <c r="F236" s="4"/>
      <c r="G236" s="4"/>
      <c r="H236" s="4"/>
    </row>
    <row r="237" ht="16" customHeight="1" s="4" customFormat="1">
      <c r="A237" s="4" t="s">
        <v>5421</v>
      </c>
      <c r="B237" s="4" t="s">
        <v>1768</v>
      </c>
      <c r="C237" s="4"/>
      <c r="D237" s="5">
        <v>43775</v>
      </c>
      <c r="E237" s="4">
        <v>0.25</v>
      </c>
      <c r="F237" s="4"/>
      <c r="G237" s="4"/>
      <c r="H237" s="4"/>
    </row>
    <row r="238" ht="16" customHeight="1" s="4" customFormat="1">
      <c r="A238" s="4" t="s">
        <v>5422</v>
      </c>
      <c r="B238" s="4" t="s">
        <v>1768</v>
      </c>
      <c r="C238" s="4"/>
      <c r="D238" s="5">
        <v>43780</v>
      </c>
      <c r="E238" s="4">
        <v>0.24</v>
      </c>
      <c r="F238" s="4"/>
      <c r="G238" s="4"/>
      <c r="H238" s="4"/>
    </row>
    <row r="239" ht="16" customHeight="1" s="4" customFormat="1">
      <c r="A239" s="4" t="s">
        <v>5423</v>
      </c>
      <c r="B239" s="4" t="s">
        <v>1768</v>
      </c>
      <c r="C239" s="4"/>
      <c r="D239" s="5">
        <v>43776</v>
      </c>
      <c r="E239" s="4">
        <v>0.25</v>
      </c>
      <c r="F239" s="4"/>
      <c r="G239" s="4"/>
      <c r="H239" s="4"/>
    </row>
    <row r="240" ht="16" customHeight="1" s="4" customFormat="1">
      <c r="A240" s="4" t="s">
        <v>5424</v>
      </c>
      <c r="B240" s="4" t="s">
        <v>1768</v>
      </c>
      <c r="C240" s="4"/>
      <c r="D240" s="5">
        <v>43783</v>
      </c>
      <c r="E240" s="4">
        <v>0.25</v>
      </c>
      <c r="F240" s="4"/>
      <c r="G240" s="4"/>
      <c r="H240" s="4"/>
    </row>
    <row r="241" ht="16" customHeight="1" s="4" customFormat="1">
      <c r="A241" s="4" t="s">
        <v>5425</v>
      </c>
      <c r="B241" s="4" t="s">
        <v>1768</v>
      </c>
      <c r="C241" s="4"/>
      <c r="D241" s="5">
        <v>43808</v>
      </c>
      <c r="E241" s="4">
        <v>0.17</v>
      </c>
      <c r="F241" s="4"/>
      <c r="G241" s="4"/>
      <c r="H241" s="4"/>
    </row>
    <row r="242" ht="16" customHeight="1" s="4" customFormat="1">
      <c r="A242" s="4" t="s">
        <v>5426</v>
      </c>
      <c r="B242" s="4" t="s">
        <v>1768</v>
      </c>
      <c r="C242" s="4"/>
      <c r="D242" s="5">
        <v>43811</v>
      </c>
      <c r="E242" s="4">
        <v>0.25</v>
      </c>
      <c r="F242" s="4"/>
      <c r="G242" s="4"/>
      <c r="H242" s="4"/>
    </row>
    <row r="243" ht="16" customHeight="1" s="4" customFormat="1">
      <c r="A243" s="4" t="s">
        <v>5427</v>
      </c>
      <c r="B243" s="4" t="s">
        <v>1768</v>
      </c>
      <c r="C243" s="4"/>
      <c r="D243" s="5">
        <v>43812</v>
      </c>
      <c r="E243" s="4">
        <v>0.25</v>
      </c>
      <c r="F243" s="4"/>
      <c r="G243" s="4"/>
      <c r="H243" s="4"/>
    </row>
    <row r="244" ht="16" customHeight="1" s="4" customFormat="1">
      <c r="A244" s="4" t="s">
        <v>5428</v>
      </c>
      <c r="B244" s="4" t="s">
        <v>1768</v>
      </c>
      <c r="C244" s="4"/>
      <c r="D244" s="5">
        <v>43818</v>
      </c>
      <c r="E244" s="4">
        <v>0.25</v>
      </c>
      <c r="F244" s="4"/>
      <c r="G244" s="4"/>
      <c r="H244" s="4"/>
    </row>
    <row r="245" ht="16" customHeight="1" s="4" customFormat="1">
      <c r="A245" s="4" t="s">
        <v>5429</v>
      </c>
      <c r="B245" s="4" t="s">
        <v>1768</v>
      </c>
      <c r="C245" s="4"/>
      <c r="D245" s="5">
        <v>43817</v>
      </c>
      <c r="E245" s="4">
        <v>0.25</v>
      </c>
      <c r="F245" s="4"/>
      <c r="G245" s="4"/>
      <c r="H245" s="4"/>
    </row>
    <row r="246" ht="16" customHeight="1" s="4" customFormat="1">
      <c r="A246" s="4" t="s">
        <v>5430</v>
      </c>
      <c r="B246" s="4" t="s">
        <v>1768</v>
      </c>
      <c r="C246" s="4"/>
      <c r="D246" s="5">
        <v>43817</v>
      </c>
      <c r="E246" s="4">
        <v>0.17</v>
      </c>
      <c r="F246" s="4"/>
      <c r="G246" s="4"/>
      <c r="H246" s="4"/>
    </row>
    <row r="247" ht="16" customHeight="1" s="4" customFormat="1">
      <c r="A247" s="4" t="s">
        <v>5431</v>
      </c>
      <c r="B247" s="4" t="s">
        <v>1768</v>
      </c>
      <c r="C247" s="4"/>
      <c r="D247" s="5">
        <v>43819</v>
      </c>
      <c r="E247" s="4">
        <v>0.17</v>
      </c>
      <c r="F247" s="4"/>
      <c r="G247" s="4"/>
      <c r="H247" s="4"/>
    </row>
    <row r="248" ht="16" customHeight="1" s="4" customFormat="1">
      <c r="A248" s="4" t="s">
        <v>5432</v>
      </c>
      <c r="B248" s="4" t="s">
        <v>1768</v>
      </c>
      <c r="C248" s="4"/>
      <c r="D248" s="5">
        <v>43822</v>
      </c>
      <c r="E248" s="4">
        <v>0.17</v>
      </c>
      <c r="F248" s="4"/>
      <c r="G248" s="4"/>
      <c r="H248" s="4"/>
    </row>
    <row r="249" ht="16" customHeight="1" s="4" customFormat="1">
      <c r="A249" s="4" t="s">
        <v>5433</v>
      </c>
      <c r="B249" s="4" t="s">
        <v>1768</v>
      </c>
      <c r="C249" s="4"/>
      <c r="D249" s="5">
        <v>43825</v>
      </c>
      <c r="E249" s="4">
        <v>0.25</v>
      </c>
      <c r="F249" s="4"/>
      <c r="G249" s="4"/>
      <c r="H249" s="4"/>
    </row>
    <row r="250" ht="16" customHeight="1" s="4" customFormat="1">
      <c r="A250" s="4" t="s">
        <v>5434</v>
      </c>
      <c r="B250" s="4" t="s">
        <v>1768</v>
      </c>
      <c r="C250" s="4"/>
      <c r="D250" s="5">
        <v>43826</v>
      </c>
      <c r="E250" s="4">
        <v>0.25</v>
      </c>
      <c r="F250" s="4"/>
      <c r="G250" s="4"/>
      <c r="H250" s="4"/>
    </row>
    <row r="251" ht="16" customHeight="1" s="4" customFormat="1">
      <c r="A251" s="4" t="s">
        <v>5435</v>
      </c>
      <c r="B251" s="4" t="s">
        <v>1768</v>
      </c>
      <c r="C251" s="4"/>
      <c r="D251" s="5">
        <v>43854</v>
      </c>
      <c r="E251" s="4">
        <v>0.16</v>
      </c>
      <c r="F251" s="4"/>
      <c r="G251" s="4"/>
      <c r="H251" s="4"/>
    </row>
    <row r="252" ht="16" customHeight="1" s="4" customFormat="1">
      <c r="A252" s="4" t="s">
        <v>5436</v>
      </c>
      <c r="B252" s="4" t="s">
        <v>1768</v>
      </c>
      <c r="C252" s="4"/>
      <c r="D252" s="5">
        <v>43851</v>
      </c>
      <c r="E252" s="4">
        <v>0.16</v>
      </c>
      <c r="F252" s="4"/>
      <c r="G252" s="4"/>
      <c r="H252" s="4"/>
    </row>
    <row r="253" ht="16" customHeight="1" s="4" customFormat="1">
      <c r="A253" s="4" t="s">
        <v>5437</v>
      </c>
      <c r="B253" s="4" t="s">
        <v>1768</v>
      </c>
      <c r="C253" s="4"/>
      <c r="D253" s="5">
        <v>43858</v>
      </c>
      <c r="E253" s="4">
        <v>0.25</v>
      </c>
      <c r="F253" s="4"/>
      <c r="G253" s="4"/>
      <c r="H253" s="4"/>
    </row>
    <row r="254" ht="16" customHeight="1" s="4" customFormat="1">
      <c r="A254" s="4" t="s">
        <v>5438</v>
      </c>
      <c r="B254" s="4" t="s">
        <v>1768</v>
      </c>
      <c r="C254" s="4"/>
      <c r="D254" s="5">
        <v>43861</v>
      </c>
      <c r="E254" s="4">
        <v>0.16</v>
      </c>
      <c r="F254" s="4"/>
      <c r="G254" s="4"/>
      <c r="H254" s="4"/>
    </row>
    <row r="255" ht="16" customHeight="1" s="4" customFormat="1">
      <c r="A255" s="4" t="s">
        <v>5439</v>
      </c>
      <c r="B255" s="4" t="s">
        <v>1768</v>
      </c>
      <c r="C255" s="4"/>
      <c r="D255" s="5">
        <v>43861</v>
      </c>
      <c r="E255" s="4">
        <v>0.16</v>
      </c>
      <c r="F255" s="4"/>
      <c r="G255" s="4"/>
      <c r="H255" s="4"/>
    </row>
    <row r="256" ht="16" customHeight="1" s="4" customFormat="1">
      <c r="A256" s="4" t="s">
        <v>5440</v>
      </c>
      <c r="B256" s="4" t="s">
        <v>1768</v>
      </c>
      <c r="C256" s="4"/>
      <c r="D256" s="5">
        <v>43861</v>
      </c>
      <c r="E256" s="4">
        <v>0.25</v>
      </c>
      <c r="F256" s="4"/>
      <c r="G256" s="4"/>
      <c r="H256" s="4"/>
    </row>
    <row r="257" ht="16" customHeight="1" s="4" customFormat="1">
      <c r="A257" s="4" t="s">
        <v>5441</v>
      </c>
      <c r="B257" s="4" t="s">
        <v>1768</v>
      </c>
      <c r="C257" s="4"/>
      <c r="D257" s="5">
        <v>43860</v>
      </c>
      <c r="E257" s="4">
        <v>0.25</v>
      </c>
      <c r="F257" s="4"/>
      <c r="G257" s="4"/>
      <c r="H257" s="4"/>
    </row>
    <row r="258" ht="16" customHeight="1" s="4" customFormat="1">
      <c r="A258" s="4" t="s">
        <v>5442</v>
      </c>
      <c r="B258" s="4" t="s">
        <v>1768</v>
      </c>
      <c r="C258" s="4"/>
      <c r="D258" s="5">
        <v>43867</v>
      </c>
      <c r="E258" s="4">
        <v>0.25</v>
      </c>
      <c r="F258" s="4"/>
      <c r="G258" s="4"/>
      <c r="H258" s="4"/>
    </row>
    <row r="259" ht="16" customHeight="1" s="4" customFormat="1">
      <c r="A259" s="4" t="s">
        <v>5443</v>
      </c>
      <c r="B259" s="4" t="s">
        <v>1768</v>
      </c>
      <c r="C259" s="4"/>
      <c r="D259" s="5">
        <v>43866</v>
      </c>
      <c r="E259" s="4">
        <v>0.25</v>
      </c>
      <c r="F259" s="4"/>
      <c r="G259" s="4"/>
      <c r="H259" s="4"/>
    </row>
    <row r="260" ht="16" customHeight="1" s="4" customFormat="1">
      <c r="A260" s="4" t="s">
        <v>5444</v>
      </c>
      <c r="B260" s="4" t="s">
        <v>1768</v>
      </c>
      <c r="C260" s="4"/>
      <c r="D260" s="5">
        <v>43871</v>
      </c>
      <c r="E260" s="4">
        <v>0.25</v>
      </c>
      <c r="F260" s="4"/>
      <c r="G260" s="4"/>
      <c r="H260" s="4"/>
    </row>
    <row r="261" ht="16" customHeight="1" s="4" customFormat="1">
      <c r="A261" s="4" t="s">
        <v>5445</v>
      </c>
      <c r="B261" s="4" t="s">
        <v>1768</v>
      </c>
      <c r="C261" s="4"/>
      <c r="D261" s="5">
        <v>43868</v>
      </c>
      <c r="E261" s="4">
        <v>0.25</v>
      </c>
      <c r="F261" s="4"/>
      <c r="G261" s="4"/>
      <c r="H261" s="4"/>
    </row>
    <row r="262" ht="16" customHeight="1" s="4" customFormat="1">
      <c r="A262" s="4" t="s">
        <v>5446</v>
      </c>
      <c r="B262" s="4" t="s">
        <v>1768</v>
      </c>
      <c r="C262" s="4"/>
      <c r="D262" s="5">
        <v>43885</v>
      </c>
      <c r="E262" s="4">
        <v>0.24</v>
      </c>
      <c r="F262" s="4"/>
      <c r="G262" s="4"/>
      <c r="H262" s="4"/>
    </row>
    <row r="263" ht="16" customHeight="1" s="4" customFormat="1">
      <c r="A263" s="4" t="s">
        <v>5447</v>
      </c>
      <c r="B263" s="4" t="s">
        <v>1768</v>
      </c>
      <c r="C263" s="4"/>
      <c r="D263" s="5">
        <v>43881</v>
      </c>
      <c r="E263" s="4">
        <v>0.25</v>
      </c>
      <c r="F263" s="4"/>
      <c r="G263" s="4"/>
      <c r="H263" s="4"/>
    </row>
    <row r="264" ht="16" customHeight="1" s="4" customFormat="1">
      <c r="A264" s="4" t="s">
        <v>5448</v>
      </c>
      <c r="B264" s="4" t="s">
        <v>1768</v>
      </c>
      <c r="C264" s="4"/>
      <c r="D264" s="5">
        <v>43886</v>
      </c>
      <c r="E264" s="4">
        <v>0.24</v>
      </c>
      <c r="F264" s="4"/>
      <c r="G264" s="4"/>
      <c r="H264" s="4"/>
    </row>
    <row r="265" ht="16" customHeight="1" s="4" customFormat="1">
      <c r="A265" s="4" t="s">
        <v>5449</v>
      </c>
      <c r="B265" s="4" t="s">
        <v>1768</v>
      </c>
      <c r="C265" s="4"/>
      <c r="D265" s="5">
        <v>43921</v>
      </c>
      <c r="E265" s="4">
        <v>0.24</v>
      </c>
      <c r="F265" s="4"/>
      <c r="G265" s="4"/>
      <c r="H265" s="4"/>
    </row>
    <row r="266" ht="16" customHeight="1" s="4" customFormat="1">
      <c r="A266" s="4" t="s">
        <v>5450</v>
      </c>
      <c r="B266" s="4" t="s">
        <v>1768</v>
      </c>
      <c r="C266" s="4"/>
      <c r="D266" s="5">
        <v>43949</v>
      </c>
      <c r="E266" s="4">
        <v>0.5</v>
      </c>
      <c r="F266" s="4"/>
      <c r="G266" s="4"/>
      <c r="H266" s="4"/>
    </row>
    <row r="267" ht="16" customHeight="1" s="4" customFormat="1">
      <c r="A267" s="4" t="s">
        <v>5451</v>
      </c>
      <c r="B267" s="4" t="s">
        <v>1768</v>
      </c>
      <c r="C267" s="4"/>
      <c r="D267" s="5">
        <v>43948</v>
      </c>
      <c r="E267" s="4">
        <v>0.5</v>
      </c>
      <c r="F267" s="4"/>
      <c r="G267" s="4"/>
      <c r="H267" s="4"/>
    </row>
    <row r="268" ht="16" customHeight="1" s="4" customFormat="1">
      <c r="A268" s="4" t="s">
        <v>5452</v>
      </c>
      <c r="B268" s="4" t="s">
        <v>1768</v>
      </c>
      <c r="C268" s="4"/>
      <c r="D268" s="5">
        <v>43951</v>
      </c>
      <c r="E268" s="4">
        <v>0.25</v>
      </c>
      <c r="F268" s="4"/>
      <c r="G268" s="4"/>
      <c r="H268" s="4"/>
    </row>
    <row r="269" ht="16" customHeight="1" s="4" customFormat="1">
      <c r="A269" s="4" t="s">
        <v>5453</v>
      </c>
      <c r="B269" s="4" t="s">
        <v>1768</v>
      </c>
      <c r="C269" s="4"/>
      <c r="D269" s="5">
        <v>43955</v>
      </c>
      <c r="E269" s="4">
        <v>0.25</v>
      </c>
      <c r="F269" s="4"/>
      <c r="G269" s="4"/>
      <c r="H269" s="4"/>
    </row>
    <row r="270" ht="16" customHeight="1" s="4" customFormat="1">
      <c r="A270" s="4" t="s">
        <v>5454</v>
      </c>
      <c r="B270" s="4" t="s">
        <v>1768</v>
      </c>
      <c r="C270" s="4"/>
      <c r="D270" s="5">
        <v>43951</v>
      </c>
      <c r="E270" s="4">
        <v>0.25</v>
      </c>
      <c r="F270" s="4"/>
      <c r="G270" s="4"/>
      <c r="H270" s="4"/>
    </row>
    <row r="271" ht="16" customHeight="1" s="4" customFormat="1">
      <c r="A271" s="4" t="s">
        <v>5455</v>
      </c>
      <c r="B271" s="4" t="s">
        <v>1768</v>
      </c>
      <c r="C271" s="4"/>
      <c r="D271" s="5">
        <v>43956</v>
      </c>
      <c r="E271" s="4">
        <v>0.24</v>
      </c>
      <c r="F271" s="4"/>
      <c r="G271" s="4"/>
      <c r="H271" s="4"/>
    </row>
    <row r="272" ht="16" customHeight="1" s="4" customFormat="1">
      <c r="A272" s="4" t="s">
        <v>5456</v>
      </c>
      <c r="B272" s="4" t="s">
        <v>1768</v>
      </c>
      <c r="C272" s="4"/>
      <c r="D272" s="5">
        <v>43957</v>
      </c>
      <c r="E272" s="4">
        <v>0.12</v>
      </c>
      <c r="F272" s="4"/>
      <c r="G272" s="4"/>
      <c r="H272" s="4"/>
    </row>
    <row r="273" ht="16" customHeight="1" s="4" customFormat="1">
      <c r="A273" s="4" t="s">
        <v>5457</v>
      </c>
      <c r="B273" s="4" t="s">
        <v>1768</v>
      </c>
      <c r="C273" s="4"/>
      <c r="D273" s="5">
        <v>43959</v>
      </c>
      <c r="E273" s="4">
        <v>0.12</v>
      </c>
      <c r="F273" s="4"/>
      <c r="G273" s="4"/>
      <c r="H273" s="4"/>
    </row>
    <row r="274" ht="16" customHeight="1" s="4" customFormat="1">
      <c r="A274" s="4" t="s">
        <v>5458</v>
      </c>
      <c r="B274" s="4" t="s">
        <v>1768</v>
      </c>
      <c r="C274" s="4"/>
      <c r="D274" s="5">
        <v>43962</v>
      </c>
      <c r="E274" s="4">
        <v>0.08</v>
      </c>
      <c r="F274" s="4"/>
      <c r="G274" s="4"/>
      <c r="H274" s="4"/>
    </row>
    <row r="275" ht="16" customHeight="1" s="4" customFormat="1">
      <c r="A275" s="4" t="s">
        <v>5459</v>
      </c>
      <c r="B275" s="4" t="s">
        <v>1768</v>
      </c>
      <c r="C275" s="4"/>
      <c r="D275" s="5">
        <v>43971</v>
      </c>
      <c r="E275" s="4">
        <v>0.25</v>
      </c>
      <c r="F275" s="4"/>
      <c r="G275" s="4"/>
      <c r="H275" s="4"/>
    </row>
    <row r="276" ht="16" customHeight="1" s="4" customFormat="1">
      <c r="A276" s="4" t="s">
        <v>5460</v>
      </c>
      <c r="B276" s="4" t="s">
        <v>1768</v>
      </c>
      <c r="C276" s="4"/>
      <c r="D276" s="5">
        <v>44042</v>
      </c>
      <c r="E276" s="4">
        <v>0.09</v>
      </c>
      <c r="F276" s="4"/>
      <c r="G276" s="4"/>
      <c r="H276" s="4"/>
    </row>
    <row r="277" ht="16" customHeight="1" s="4" customFormat="1">
      <c r="A277" s="4" t="s">
        <v>5461</v>
      </c>
      <c r="B277" s="4" t="s">
        <v>1768</v>
      </c>
      <c r="C277" s="4"/>
      <c r="D277" s="5">
        <v>44131</v>
      </c>
      <c r="E277" s="4">
        <v>0.02</v>
      </c>
      <c r="F277" s="4"/>
      <c r="G277" s="4"/>
      <c r="H277" s="4"/>
    </row>
    <row r="278" ht="16" customHeight="1">
      <c r="A278" s="3" t="s">
        <v>5462</v>
      </c>
      <c r="B278" s="3" t="s">
        <v>1768</v>
      </c>
      <c r="C278" s="3"/>
      <c r="D278" s="6">
        <v>44131</v>
      </c>
      <c r="E278" s="3">
        <v>0.08</v>
      </c>
      <c r="F278" s="3"/>
    </row>
  </sheetData>
  <headerFooter/>
</worksheet>
</file>

<file path=xl/worksheets/sheet40.xml><?xml version="1.0" encoding="utf-8"?>
<worksheet xmlns:r="http://schemas.openxmlformats.org/officeDocument/2006/relationships" xmlns="http://schemas.openxmlformats.org/spreadsheetml/2006/main">
  <dimension ref="A1:G13"/>
  <sheetViews>
    <sheetView workbookViewId="0"/>
  </sheetViews>
  <sheetFormatPr defaultRowHeight="15"/>
  <cols>
    <col min="1" max="1" width="9.140625" customWidth="1" style="3"/>
    <col min="2" max="2" width="29.567455291748" customWidth="1" style="3"/>
    <col min="3" max="3" width="16.2727222442627" customWidth="1" style="3"/>
    <col min="4" max="4" width="17.5341606140137" customWidth="1" style="3"/>
    <col min="5" max="16384" width="12.1724300384521" customWidth="1" style="3"/>
    <col min="6" max="16384" width="9.140625" customWidth="1" style="3"/>
    <col min="7" max="16384" width="9.140625" customWidth="1" style="3"/>
  </cols>
  <sheetData>
    <row r="1" ht="20" customHeight="1" s="1" customFormat="1">
      <c r="A1" s="2" t="s">
        <v>2116</v>
      </c>
      <c r="B1" s="2" t="s">
        <v>3339</v>
      </c>
      <c r="C1" s="2" t="s">
        <v>2231</v>
      </c>
      <c r="D1" s="2" t="s">
        <v>5463</v>
      </c>
      <c r="E1" s="2" t="s">
        <v>5464</v>
      </c>
    </row>
    <row r="2" ht="16" customHeight="1" s="4" customFormat="1">
      <c r="A2" s="4" t="s">
        <v>5465</v>
      </c>
      <c r="B2" s="4" t="s">
        <v>5466</v>
      </c>
      <c r="C2" s="4" t="s">
        <v>2256</v>
      </c>
      <c r="D2" s="4" t="s">
        <v>5467</v>
      </c>
      <c r="E2" s="4">
        <v>45</v>
      </c>
      <c r="F2" s="4"/>
      <c r="G2" s="4"/>
    </row>
    <row r="3" ht="16" customHeight="1" s="4" customFormat="1">
      <c r="A3" s="4" t="s">
        <v>5465</v>
      </c>
      <c r="B3" s="4" t="s">
        <v>5466</v>
      </c>
      <c r="C3" s="4" t="s">
        <v>2256</v>
      </c>
      <c r="D3" s="4" t="s">
        <v>5468</v>
      </c>
      <c r="E3" s="4">
        <v>115</v>
      </c>
      <c r="F3" s="4"/>
      <c r="G3" s="4"/>
    </row>
    <row r="4" ht="16" customHeight="1" s="4" customFormat="1">
      <c r="A4" s="4" t="s">
        <v>5469</v>
      </c>
      <c r="B4" s="4" t="s">
        <v>5470</v>
      </c>
      <c r="C4" s="4" t="s">
        <v>2256</v>
      </c>
      <c r="D4" s="4" t="s">
        <v>5468</v>
      </c>
      <c r="E4" s="4">
        <v>75</v>
      </c>
      <c r="F4" s="4"/>
      <c r="G4" s="4"/>
    </row>
    <row r="5" ht="16" customHeight="1" s="4" customFormat="1">
      <c r="A5" s="4" t="s">
        <v>5471</v>
      </c>
      <c r="B5" s="4" t="s">
        <v>5472</v>
      </c>
      <c r="C5" s="4" t="s">
        <v>2256</v>
      </c>
      <c r="D5" s="4" t="s">
        <v>5467</v>
      </c>
      <c r="E5" s="4">
        <v>200</v>
      </c>
      <c r="F5" s="4"/>
      <c r="G5" s="4"/>
    </row>
    <row r="6" ht="16" customHeight="1" s="4" customFormat="1">
      <c r="A6" s="4" t="s">
        <v>5473</v>
      </c>
      <c r="B6" s="4" t="s">
        <v>5474</v>
      </c>
      <c r="C6" s="4" t="s">
        <v>2256</v>
      </c>
      <c r="D6" s="4" t="s">
        <v>5475</v>
      </c>
      <c r="E6" s="4">
        <v>150</v>
      </c>
      <c r="F6" s="4"/>
      <c r="G6" s="4"/>
    </row>
    <row r="7" ht="16" customHeight="1" s="4" customFormat="1">
      <c r="A7" s="4" t="s">
        <v>5476</v>
      </c>
      <c r="B7" s="4" t="s">
        <v>5477</v>
      </c>
      <c r="C7" s="4" t="s">
        <v>2256</v>
      </c>
      <c r="D7" s="4" t="s">
        <v>5478</v>
      </c>
      <c r="E7" s="4">
        <v>50</v>
      </c>
      <c r="F7" s="4"/>
      <c r="G7" s="4"/>
    </row>
    <row r="8" ht="16" customHeight="1" s="4" customFormat="1">
      <c r="A8" s="4" t="s">
        <v>5479</v>
      </c>
      <c r="B8" s="4" t="s">
        <v>5474</v>
      </c>
      <c r="C8" s="4" t="s">
        <v>2256</v>
      </c>
      <c r="D8" s="4" t="s">
        <v>5480</v>
      </c>
      <c r="E8" s="4">
        <v>50</v>
      </c>
      <c r="F8" s="4"/>
      <c r="G8" s="4"/>
    </row>
    <row r="9" ht="16" customHeight="1" s="4" customFormat="1">
      <c r="A9" s="4" t="s">
        <v>5481</v>
      </c>
      <c r="B9" s="4" t="s">
        <v>5482</v>
      </c>
      <c r="C9" s="4" t="s">
        <v>2256</v>
      </c>
      <c r="D9" s="4" t="s">
        <v>5483</v>
      </c>
      <c r="E9" s="4">
        <v>164</v>
      </c>
      <c r="F9" s="4"/>
      <c r="G9" s="4"/>
    </row>
    <row r="10" ht="16" customHeight="1" s="4" customFormat="1">
      <c r="A10" s="4" t="s">
        <v>5484</v>
      </c>
      <c r="B10" s="4" t="s">
        <v>5485</v>
      </c>
      <c r="C10" s="4" t="s">
        <v>2256</v>
      </c>
      <c r="D10" s="4" t="s">
        <v>5467</v>
      </c>
      <c r="E10" s="4">
        <v>150</v>
      </c>
      <c r="F10" s="4"/>
      <c r="G10" s="4"/>
    </row>
    <row r="11" ht="16" customHeight="1" s="4" customFormat="1">
      <c r="A11" s="4" t="s">
        <v>5486</v>
      </c>
      <c r="B11" s="4" t="s">
        <v>5470</v>
      </c>
      <c r="C11" s="4" t="s">
        <v>2256</v>
      </c>
      <c r="D11" s="4" t="s">
        <v>5487</v>
      </c>
      <c r="E11" s="4">
        <v>500</v>
      </c>
      <c r="F11" s="4"/>
      <c r="G11" s="4"/>
    </row>
    <row r="12" ht="16" customHeight="1">
      <c r="A12" s="3" t="s">
        <v>5488</v>
      </c>
      <c r="B12" s="3" t="s">
        <v>5470</v>
      </c>
      <c r="C12" s="3" t="s">
        <v>2256</v>
      </c>
      <c r="D12" s="3" t="s">
        <v>5489</v>
      </c>
      <c r="E12" s="3">
        <v>44.6</v>
      </c>
    </row>
    <row r="13" ht="16" customHeight="1">
      <c r="A13" s="3" t="s">
        <v>5490</v>
      </c>
      <c r="B13" s="3" t="s">
        <v>5485</v>
      </c>
      <c r="C13" s="3" t="s">
        <v>2256</v>
      </c>
      <c r="D13" s="3" t="s">
        <v>5491</v>
      </c>
      <c r="E13" s="3">
        <v>500</v>
      </c>
    </row>
  </sheetData>
  <headerFooter/>
</worksheet>
</file>

<file path=xl/worksheets/sheet41.xml><?xml version="1.0" encoding="utf-8"?>
<worksheet xmlns:r="http://schemas.openxmlformats.org/officeDocument/2006/relationships" xmlns="http://schemas.openxmlformats.org/spreadsheetml/2006/main">
  <dimension ref="A1:F5"/>
  <sheetViews>
    <sheetView workbookViewId="0"/>
  </sheetViews>
  <sheetFormatPr defaultRowHeight="15"/>
  <cols>
    <col min="1" max="1" width="26.5934047698975" customWidth="1" style="3"/>
    <col min="2" max="2" width="9.32979679107666" customWidth="1" style="3"/>
    <col min="3" max="3" width="11.4885568618774" customWidth="1" style="3"/>
    <col min="4" max="16384" width="9.140625" customWidth="1" style="3"/>
    <col min="5" max="16384" width="9.140625" customWidth="1" style="3"/>
    <col min="6" max="16384" width="9.140625" customWidth="1" style="3"/>
  </cols>
  <sheetData>
    <row r="1" ht="20" customHeight="1" s="1" customFormat="1">
      <c r="A1" s="2" t="s">
        <v>824</v>
      </c>
      <c r="B1" s="2" t="s">
        <v>3342</v>
      </c>
      <c r="C1" s="2" t="s">
        <v>4776</v>
      </c>
      <c r="D1" s="2" t="s">
        <v>2171</v>
      </c>
    </row>
    <row r="2" ht="16" customHeight="1" s="4" customFormat="1">
      <c r="A2" s="4" t="s">
        <v>1271</v>
      </c>
      <c r="B2" s="4">
        <v>13</v>
      </c>
      <c r="C2" s="4">
        <v>15</v>
      </c>
      <c r="D2" s="4">
        <v>28</v>
      </c>
      <c r="E2" s="4"/>
      <c r="F2" s="4"/>
    </row>
    <row r="3" ht="16" customHeight="1" s="4" customFormat="1">
      <c r="A3" s="4" t="s">
        <v>5492</v>
      </c>
      <c r="B3" s="4">
        <v>59</v>
      </c>
      <c r="C3" s="4">
        <v>52</v>
      </c>
      <c r="D3" s="4">
        <v>111</v>
      </c>
      <c r="E3" s="4"/>
      <c r="F3" s="4"/>
    </row>
    <row r="4" ht="16" customHeight="1">
      <c r="A4" s="3" t="s">
        <v>1391</v>
      </c>
      <c r="B4" s="3">
        <v>1778</v>
      </c>
      <c r="C4" s="3">
        <v>1312</v>
      </c>
      <c r="D4" s="3">
        <v>3090</v>
      </c>
    </row>
    <row r="5" ht="16" customHeight="1">
      <c r="A5" s="3" t="s">
        <v>5493</v>
      </c>
      <c r="B5" s="3">
        <v>1850</v>
      </c>
      <c r="C5" s="3">
        <v>1379</v>
      </c>
      <c r="D5" s="3">
        <v>3229</v>
      </c>
    </row>
  </sheetData>
  <headerFooter/>
</worksheet>
</file>

<file path=xl/worksheets/sheet42.xml><?xml version="1.0" encoding="utf-8"?>
<worksheet xmlns:r="http://schemas.openxmlformats.org/officeDocument/2006/relationships" xmlns="http://schemas.openxmlformats.org/spreadsheetml/2006/main">
  <dimension ref="A1:M3171"/>
  <sheetViews>
    <sheetView workbookViewId="0"/>
  </sheetViews>
  <sheetFormatPr defaultRowHeight="15"/>
  <cols>
    <col min="1" max="1" width="9.140625" customWidth="1" style="3"/>
    <col min="2" max="2" width="28.0615043640137" customWidth="1" style="3"/>
    <col min="3" max="3" width="27.5683860778809" customWidth="1" style="3"/>
    <col min="4" max="4" width="34.7011985778809" customWidth="1" style="3"/>
    <col min="5" max="5" width="173.110641479492" customWidth="1" style="3"/>
    <col min="6" max="6" width="176.769134521484" customWidth="1" style="3"/>
    <col min="7" max="7" width="271.407775878906" customWidth="1" style="3"/>
    <col min="8" max="8" width="278.089416503906" customWidth="1" style="3"/>
    <col min="9" max="9" width="25.9126605987549" customWidth="1" style="3"/>
    <col min="10" max="10" width="21.0555534362793" customWidth="1" style="3"/>
    <col min="11" max="16384" width="9.140625" customWidth="1" style="3"/>
    <col min="12" max="16384" width="9.140625" customWidth="1" style="3"/>
    <col min="13" max="16384" width="9.140625" customWidth="1" style="3"/>
  </cols>
  <sheetData>
    <row r="1" ht="20" customHeight="1" s="1" customFormat="1">
      <c r="A1" s="2" t="s">
        <v>4770</v>
      </c>
      <c r="B1" s="2" t="s">
        <v>5494</v>
      </c>
      <c r="C1" s="2" t="s">
        <v>5495</v>
      </c>
      <c r="D1" s="2" t="s">
        <v>5496</v>
      </c>
      <c r="E1" s="2" t="s">
        <v>4791</v>
      </c>
      <c r="F1" s="2" t="s">
        <v>4774</v>
      </c>
      <c r="G1" s="2" t="s">
        <v>3342</v>
      </c>
      <c r="H1" s="2" t="s">
        <v>4776</v>
      </c>
      <c r="I1" s="2" t="s">
        <v>5497</v>
      </c>
      <c r="J1" s="2" t="s">
        <v>4778</v>
      </c>
      <c r="K1" s="2" t="s">
        <v>5498</v>
      </c>
    </row>
    <row r="2" ht="16" customHeight="1" s="4" customFormat="1">
      <c r="A2" s="4">
        <v>1576</v>
      </c>
      <c r="B2" s="4" t="s">
        <v>5499</v>
      </c>
      <c r="C2" s="4" t="s">
        <v>5500</v>
      </c>
      <c r="D2" s="4" t="s">
        <v>5501</v>
      </c>
      <c r="E2" s="4" t="s">
        <v>5502</v>
      </c>
      <c r="F2" s="4" t="s">
        <v>5503</v>
      </c>
      <c r="G2" s="4" t="s">
        <v>5504</v>
      </c>
      <c r="H2" s="4" t="s">
        <v>5505</v>
      </c>
      <c r="I2" s="5">
        <v>42461</v>
      </c>
      <c r="J2" s="4" t="s">
        <v>5506</v>
      </c>
      <c r="K2" s="4" t="s">
        <v>201</v>
      </c>
      <c r="L2" s="4"/>
      <c r="M2" s="4"/>
    </row>
    <row r="3" ht="16" customHeight="1" s="4" customFormat="1">
      <c r="A3" s="4">
        <v>2389</v>
      </c>
      <c r="B3" s="4" t="s">
        <v>5499</v>
      </c>
      <c r="C3" s="4" t="s">
        <v>5500</v>
      </c>
      <c r="D3" s="4"/>
      <c r="E3" s="4"/>
      <c r="F3" s="4" t="s">
        <v>5507</v>
      </c>
      <c r="G3" s="4" t="s">
        <v>1664</v>
      </c>
      <c r="H3" s="4" t="s">
        <v>5508</v>
      </c>
      <c r="I3" s="5">
        <v>40824</v>
      </c>
      <c r="J3" s="4" t="s">
        <v>4798</v>
      </c>
      <c r="K3" s="4" t="s">
        <v>201</v>
      </c>
      <c r="L3" s="4"/>
      <c r="M3" s="4"/>
    </row>
    <row r="4" ht="16" customHeight="1" s="4" customFormat="1">
      <c r="A4" s="4">
        <v>2407</v>
      </c>
      <c r="B4" s="4" t="s">
        <v>5499</v>
      </c>
      <c r="C4" s="4" t="s">
        <v>5509</v>
      </c>
      <c r="D4" s="4"/>
      <c r="E4" s="4"/>
      <c r="F4" s="4" t="s">
        <v>5510</v>
      </c>
      <c r="G4" s="4" t="s">
        <v>5511</v>
      </c>
      <c r="H4" s="4" t="s">
        <v>5512</v>
      </c>
      <c r="I4" s="5">
        <v>40619</v>
      </c>
      <c r="J4" s="4" t="s">
        <v>4798</v>
      </c>
      <c r="K4" s="4" t="s">
        <v>201</v>
      </c>
      <c r="L4" s="4"/>
      <c r="M4" s="4"/>
    </row>
    <row r="5" ht="16" customHeight="1" s="4" customFormat="1">
      <c r="A5" s="4">
        <v>1335</v>
      </c>
      <c r="B5" s="4" t="s">
        <v>5499</v>
      </c>
      <c r="C5" s="4" t="s">
        <v>5513</v>
      </c>
      <c r="D5" s="4" t="s">
        <v>5514</v>
      </c>
      <c r="E5" s="4" t="s">
        <v>5515</v>
      </c>
      <c r="F5" s="4" t="s">
        <v>5516</v>
      </c>
      <c r="G5" s="4" t="s">
        <v>5517</v>
      </c>
      <c r="H5" s="4" t="s">
        <v>5518</v>
      </c>
      <c r="I5" s="5">
        <v>42738</v>
      </c>
      <c r="J5" s="4" t="s">
        <v>4842</v>
      </c>
      <c r="K5" s="4" t="s">
        <v>201</v>
      </c>
      <c r="L5" s="4"/>
      <c r="M5" s="4"/>
    </row>
    <row r="6" ht="16" customHeight="1" s="4" customFormat="1">
      <c r="A6" s="4">
        <v>1317</v>
      </c>
      <c r="B6" s="4" t="s">
        <v>5499</v>
      </c>
      <c r="C6" s="4" t="s">
        <v>5519</v>
      </c>
      <c r="D6" s="4"/>
      <c r="E6" s="4" t="s">
        <v>5520</v>
      </c>
      <c r="F6" s="4" t="s">
        <v>5521</v>
      </c>
      <c r="G6" s="4" t="s">
        <v>5522</v>
      </c>
      <c r="H6" s="4" t="s">
        <v>5523</v>
      </c>
      <c r="I6" s="5">
        <v>42787</v>
      </c>
      <c r="J6" s="4" t="s">
        <v>4842</v>
      </c>
      <c r="K6" s="4" t="s">
        <v>201</v>
      </c>
      <c r="L6" s="4"/>
      <c r="M6" s="4"/>
    </row>
    <row r="7" ht="16" customHeight="1" s="4" customFormat="1">
      <c r="A7" s="4">
        <v>1313</v>
      </c>
      <c r="B7" s="4" t="s">
        <v>5499</v>
      </c>
      <c r="C7" s="4" t="s">
        <v>5519</v>
      </c>
      <c r="D7" s="4"/>
      <c r="E7" s="4" t="s">
        <v>5524</v>
      </c>
      <c r="F7" s="4" t="s">
        <v>5525</v>
      </c>
      <c r="G7" s="4" t="s">
        <v>5522</v>
      </c>
      <c r="H7" s="4" t="s">
        <v>5523</v>
      </c>
      <c r="I7" s="5">
        <v>42795</v>
      </c>
      <c r="J7" s="4" t="s">
        <v>4842</v>
      </c>
      <c r="K7" s="4" t="s">
        <v>201</v>
      </c>
      <c r="L7" s="4"/>
      <c r="M7" s="4"/>
    </row>
    <row r="8" ht="16" customHeight="1" s="4" customFormat="1">
      <c r="A8" s="4">
        <v>1330</v>
      </c>
      <c r="B8" s="4" t="s">
        <v>5499</v>
      </c>
      <c r="C8" s="4" t="s">
        <v>5500</v>
      </c>
      <c r="D8" s="4" t="s">
        <v>5501</v>
      </c>
      <c r="E8" s="4" t="s">
        <v>5502</v>
      </c>
      <c r="F8" s="4" t="s">
        <v>5526</v>
      </c>
      <c r="G8" s="4" t="s">
        <v>5527</v>
      </c>
      <c r="H8" s="4" t="s">
        <v>5511</v>
      </c>
      <c r="I8" s="5">
        <v>42748</v>
      </c>
      <c r="J8" s="4" t="s">
        <v>4798</v>
      </c>
      <c r="K8" s="4" t="s">
        <v>201</v>
      </c>
      <c r="L8" s="4"/>
      <c r="M8" s="4"/>
    </row>
    <row r="9" ht="16" customHeight="1" s="4" customFormat="1">
      <c r="A9" s="4">
        <v>88</v>
      </c>
      <c r="B9" s="4" t="s">
        <v>5528</v>
      </c>
      <c r="C9" s="4" t="s">
        <v>5529</v>
      </c>
      <c r="D9" s="4"/>
      <c r="E9" s="4" t="s">
        <v>5530</v>
      </c>
      <c r="F9" s="4" t="s">
        <v>5531</v>
      </c>
      <c r="G9" s="4" t="s">
        <v>5532</v>
      </c>
      <c r="H9" s="4" t="s">
        <v>5533</v>
      </c>
      <c r="I9" s="5">
        <v>46006</v>
      </c>
      <c r="J9" s="4" t="s">
        <v>4842</v>
      </c>
      <c r="K9" s="4" t="s">
        <v>201</v>
      </c>
      <c r="L9" s="4"/>
      <c r="M9" s="4"/>
    </row>
    <row r="10" ht="16" customHeight="1" s="4" customFormat="1">
      <c r="A10" s="4">
        <v>410</v>
      </c>
      <c r="B10" s="4" t="s">
        <v>5534</v>
      </c>
      <c r="C10" s="4" t="s">
        <v>5535</v>
      </c>
      <c r="D10" s="4"/>
      <c r="E10" s="4"/>
      <c r="F10" s="4" t="s">
        <v>5536</v>
      </c>
      <c r="G10" s="4" t="s">
        <v>1609</v>
      </c>
      <c r="H10" s="4" t="s">
        <v>5537</v>
      </c>
      <c r="I10" s="5">
        <v>44831</v>
      </c>
      <c r="J10" s="4" t="s">
        <v>4842</v>
      </c>
      <c r="K10" s="4" t="s">
        <v>201</v>
      </c>
      <c r="L10" s="4"/>
      <c r="M10" s="4"/>
    </row>
    <row r="11" ht="16" customHeight="1" s="4" customFormat="1">
      <c r="A11" s="4">
        <v>45</v>
      </c>
      <c r="B11" s="4" t="s">
        <v>5528</v>
      </c>
      <c r="C11" s="4" t="s">
        <v>5529</v>
      </c>
      <c r="D11" s="4"/>
      <c r="E11" s="4" t="s">
        <v>5530</v>
      </c>
      <c r="F11" s="4" t="s">
        <v>5538</v>
      </c>
      <c r="G11" s="4" t="s">
        <v>5532</v>
      </c>
      <c r="H11" s="4" t="s">
        <v>5533</v>
      </c>
      <c r="I11" s="5">
        <v>46085</v>
      </c>
      <c r="J11" s="4" t="s">
        <v>4842</v>
      </c>
      <c r="K11" s="4" t="s">
        <v>201</v>
      </c>
      <c r="L11" s="4"/>
      <c r="M11" s="4"/>
    </row>
    <row r="12" ht="16" customHeight="1" s="4" customFormat="1">
      <c r="A12" s="4">
        <v>70</v>
      </c>
      <c r="B12" s="4" t="s">
        <v>5528</v>
      </c>
      <c r="C12" s="4" t="s">
        <v>5529</v>
      </c>
      <c r="D12" s="4"/>
      <c r="E12" s="4" t="s">
        <v>5530</v>
      </c>
      <c r="F12" s="4" t="s">
        <v>5539</v>
      </c>
      <c r="G12" s="4" t="s">
        <v>5532</v>
      </c>
      <c r="H12" s="4" t="s">
        <v>5533</v>
      </c>
      <c r="I12" s="5">
        <v>46036</v>
      </c>
      <c r="J12" s="4" t="s">
        <v>4842</v>
      </c>
      <c r="K12" s="4" t="s">
        <v>201</v>
      </c>
      <c r="L12" s="4"/>
      <c r="M12" s="4"/>
    </row>
    <row r="13" ht="16" customHeight="1" s="4" customFormat="1">
      <c r="A13" s="4">
        <v>71</v>
      </c>
      <c r="B13" s="4" t="s">
        <v>5528</v>
      </c>
      <c r="C13" s="4" t="s">
        <v>5529</v>
      </c>
      <c r="D13" s="4"/>
      <c r="E13" s="4" t="s">
        <v>5530</v>
      </c>
      <c r="F13" s="4" t="s">
        <v>5540</v>
      </c>
      <c r="G13" s="4" t="s">
        <v>5532</v>
      </c>
      <c r="H13" s="4" t="s">
        <v>5533</v>
      </c>
      <c r="I13" s="5">
        <v>46036</v>
      </c>
      <c r="J13" s="4" t="s">
        <v>4842</v>
      </c>
      <c r="K13" s="4" t="s">
        <v>201</v>
      </c>
      <c r="L13" s="4"/>
      <c r="M13" s="4"/>
    </row>
    <row r="14" ht="16" customHeight="1" s="4" customFormat="1">
      <c r="A14" s="4">
        <v>72</v>
      </c>
      <c r="B14" s="4" t="s">
        <v>5528</v>
      </c>
      <c r="C14" s="4" t="s">
        <v>5529</v>
      </c>
      <c r="D14" s="4"/>
      <c r="E14" s="4" t="s">
        <v>5530</v>
      </c>
      <c r="F14" s="4" t="s">
        <v>5541</v>
      </c>
      <c r="G14" s="4" t="s">
        <v>5532</v>
      </c>
      <c r="H14" s="4" t="s">
        <v>5533</v>
      </c>
      <c r="I14" s="5">
        <v>46036</v>
      </c>
      <c r="J14" s="4" t="s">
        <v>4842</v>
      </c>
      <c r="K14" s="4" t="s">
        <v>201</v>
      </c>
      <c r="L14" s="4"/>
      <c r="M14" s="4"/>
    </row>
    <row r="15" ht="16" customHeight="1" s="4" customFormat="1">
      <c r="A15" s="4">
        <v>73</v>
      </c>
      <c r="B15" s="4" t="s">
        <v>5528</v>
      </c>
      <c r="C15" s="4" t="s">
        <v>5529</v>
      </c>
      <c r="D15" s="4"/>
      <c r="E15" s="4" t="s">
        <v>5530</v>
      </c>
      <c r="F15" s="4" t="s">
        <v>5542</v>
      </c>
      <c r="G15" s="4" t="s">
        <v>5532</v>
      </c>
      <c r="H15" s="4" t="s">
        <v>5533</v>
      </c>
      <c r="I15" s="5">
        <v>46036</v>
      </c>
      <c r="J15" s="4" t="s">
        <v>4842</v>
      </c>
      <c r="K15" s="4" t="s">
        <v>201</v>
      </c>
      <c r="L15" s="4"/>
      <c r="M15" s="4"/>
    </row>
    <row r="16" ht="16" customHeight="1" s="4" customFormat="1">
      <c r="A16" s="4">
        <v>74</v>
      </c>
      <c r="B16" s="4" t="s">
        <v>5528</v>
      </c>
      <c r="C16" s="4" t="s">
        <v>5529</v>
      </c>
      <c r="D16" s="4"/>
      <c r="E16" s="4" t="s">
        <v>5530</v>
      </c>
      <c r="F16" s="4" t="s">
        <v>5543</v>
      </c>
      <c r="G16" s="4" t="s">
        <v>5532</v>
      </c>
      <c r="H16" s="4" t="s">
        <v>5533</v>
      </c>
      <c r="I16" s="5">
        <v>46036</v>
      </c>
      <c r="J16" s="4" t="s">
        <v>4842</v>
      </c>
      <c r="K16" s="4" t="s">
        <v>201</v>
      </c>
      <c r="L16" s="4"/>
      <c r="M16" s="4"/>
    </row>
    <row r="17" ht="16" customHeight="1" s="4" customFormat="1">
      <c r="A17" s="4">
        <v>75</v>
      </c>
      <c r="B17" s="4" t="s">
        <v>5528</v>
      </c>
      <c r="C17" s="4" t="s">
        <v>5529</v>
      </c>
      <c r="D17" s="4"/>
      <c r="E17" s="4" t="s">
        <v>5530</v>
      </c>
      <c r="F17" s="4" t="s">
        <v>5544</v>
      </c>
      <c r="G17" s="4" t="s">
        <v>5532</v>
      </c>
      <c r="H17" s="4" t="s">
        <v>5533</v>
      </c>
      <c r="I17" s="5">
        <v>46036</v>
      </c>
      <c r="J17" s="4" t="s">
        <v>4842</v>
      </c>
      <c r="K17" s="4" t="s">
        <v>201</v>
      </c>
      <c r="L17" s="4"/>
      <c r="M17" s="4"/>
    </row>
    <row r="18" ht="16" customHeight="1" s="4" customFormat="1">
      <c r="A18" s="4">
        <v>356</v>
      </c>
      <c r="B18" s="4" t="s">
        <v>5528</v>
      </c>
      <c r="C18" s="4" t="s">
        <v>5529</v>
      </c>
      <c r="D18" s="4"/>
      <c r="E18" s="4" t="s">
        <v>5530</v>
      </c>
      <c r="F18" s="4" t="s">
        <v>5545</v>
      </c>
      <c r="G18" s="4" t="s">
        <v>5532</v>
      </c>
      <c r="H18" s="4" t="s">
        <v>5546</v>
      </c>
      <c r="I18" s="5">
        <v>45016</v>
      </c>
      <c r="J18" s="4" t="s">
        <v>4798</v>
      </c>
      <c r="K18" s="4" t="s">
        <v>201</v>
      </c>
      <c r="L18" s="4"/>
      <c r="M18" s="4"/>
    </row>
    <row r="19" ht="16" customHeight="1" s="4" customFormat="1">
      <c r="A19" s="4">
        <v>2672</v>
      </c>
      <c r="B19" s="4" t="s">
        <v>5499</v>
      </c>
      <c r="C19" s="4" t="s">
        <v>5500</v>
      </c>
      <c r="D19" s="4"/>
      <c r="E19" s="4"/>
      <c r="F19" s="4" t="s">
        <v>5547</v>
      </c>
      <c r="G19" s="4" t="s">
        <v>5548</v>
      </c>
      <c r="H19" s="4" t="s">
        <v>5549</v>
      </c>
      <c r="I19" s="5">
        <v>37684</v>
      </c>
      <c r="J19" s="4" t="s">
        <v>4798</v>
      </c>
      <c r="K19" s="4" t="s">
        <v>201</v>
      </c>
      <c r="L19" s="4"/>
      <c r="M19" s="4"/>
    </row>
    <row r="20" ht="16" customHeight="1" s="4" customFormat="1">
      <c r="A20" s="4">
        <v>2697</v>
      </c>
      <c r="B20" s="4" t="s">
        <v>5499</v>
      </c>
      <c r="C20" s="4" t="s">
        <v>5500</v>
      </c>
      <c r="D20" s="4"/>
      <c r="E20" s="4"/>
      <c r="F20" s="4" t="s">
        <v>5550</v>
      </c>
      <c r="G20" s="4" t="s">
        <v>1664</v>
      </c>
      <c r="H20" s="4" t="s">
        <v>5551</v>
      </c>
      <c r="I20" s="5">
        <v>35404</v>
      </c>
      <c r="J20" s="4" t="s">
        <v>4798</v>
      </c>
      <c r="K20" s="4" t="s">
        <v>201</v>
      </c>
      <c r="L20" s="4"/>
      <c r="M20" s="4"/>
    </row>
    <row r="21" ht="16" customHeight="1" s="4" customFormat="1">
      <c r="A21" s="4">
        <v>2698</v>
      </c>
      <c r="B21" s="4" t="s">
        <v>5499</v>
      </c>
      <c r="C21" s="4" t="s">
        <v>5500</v>
      </c>
      <c r="D21" s="4"/>
      <c r="E21" s="4"/>
      <c r="F21" s="4" t="s">
        <v>5552</v>
      </c>
      <c r="G21" s="4" t="s">
        <v>1664</v>
      </c>
      <c r="H21" s="4" t="s">
        <v>5553</v>
      </c>
      <c r="I21" s="5">
        <v>35404</v>
      </c>
      <c r="J21" s="4" t="s">
        <v>4798</v>
      </c>
      <c r="K21" s="4" t="s">
        <v>201</v>
      </c>
      <c r="L21" s="4"/>
      <c r="M21" s="4"/>
    </row>
    <row r="22" ht="16" customHeight="1" s="4" customFormat="1">
      <c r="A22" s="4">
        <v>2699</v>
      </c>
      <c r="B22" s="4" t="s">
        <v>5499</v>
      </c>
      <c r="C22" s="4" t="s">
        <v>5500</v>
      </c>
      <c r="D22" s="4"/>
      <c r="E22" s="4"/>
      <c r="F22" s="4" t="s">
        <v>5554</v>
      </c>
      <c r="G22" s="4" t="s">
        <v>1664</v>
      </c>
      <c r="H22" s="4" t="s">
        <v>5555</v>
      </c>
      <c r="I22" s="5">
        <v>35404</v>
      </c>
      <c r="J22" s="4" t="s">
        <v>4798</v>
      </c>
      <c r="K22" s="4" t="s">
        <v>201</v>
      </c>
      <c r="L22" s="4"/>
      <c r="M22" s="4"/>
    </row>
    <row r="23" ht="16" customHeight="1" s="4" customFormat="1">
      <c r="A23" s="4">
        <v>2700</v>
      </c>
      <c r="B23" s="4" t="s">
        <v>5499</v>
      </c>
      <c r="C23" s="4" t="s">
        <v>5500</v>
      </c>
      <c r="D23" s="4"/>
      <c r="E23" s="4"/>
      <c r="F23" s="4" t="s">
        <v>5556</v>
      </c>
      <c r="G23" s="4" t="s">
        <v>1664</v>
      </c>
      <c r="H23" s="4" t="s">
        <v>5557</v>
      </c>
      <c r="I23" s="5">
        <v>35404</v>
      </c>
      <c r="J23" s="4" t="s">
        <v>4798</v>
      </c>
      <c r="K23" s="4" t="s">
        <v>201</v>
      </c>
      <c r="L23" s="4"/>
      <c r="M23" s="4"/>
    </row>
    <row r="24" ht="16" customHeight="1" s="4" customFormat="1">
      <c r="A24" s="4">
        <v>2713</v>
      </c>
      <c r="B24" s="4" t="s">
        <v>5499</v>
      </c>
      <c r="C24" s="4" t="s">
        <v>5500</v>
      </c>
      <c r="D24" s="4"/>
      <c r="E24" s="4"/>
      <c r="F24" s="4" t="s">
        <v>5558</v>
      </c>
      <c r="G24" s="4" t="s">
        <v>1664</v>
      </c>
      <c r="H24" s="4" t="s">
        <v>5559</v>
      </c>
      <c r="I24" s="5">
        <v>34444</v>
      </c>
      <c r="J24" s="4" t="s">
        <v>4798</v>
      </c>
      <c r="K24" s="4" t="s">
        <v>201</v>
      </c>
      <c r="L24" s="4"/>
      <c r="M24" s="4"/>
    </row>
    <row r="25" ht="16" customHeight="1" s="4" customFormat="1">
      <c r="A25" s="4">
        <v>2714</v>
      </c>
      <c r="B25" s="4" t="s">
        <v>5499</v>
      </c>
      <c r="C25" s="4" t="s">
        <v>5500</v>
      </c>
      <c r="D25" s="4"/>
      <c r="E25" s="4"/>
      <c r="F25" s="4" t="s">
        <v>5560</v>
      </c>
      <c r="G25" s="4" t="s">
        <v>1664</v>
      </c>
      <c r="H25" s="4" t="s">
        <v>5561</v>
      </c>
      <c r="I25" s="5">
        <v>34409</v>
      </c>
      <c r="J25" s="4" t="s">
        <v>4798</v>
      </c>
      <c r="K25" s="4" t="s">
        <v>201</v>
      </c>
      <c r="L25" s="4"/>
      <c r="M25" s="4"/>
    </row>
    <row r="26" ht="16" customHeight="1" s="4" customFormat="1">
      <c r="A26" s="4">
        <v>2715</v>
      </c>
      <c r="B26" s="4" t="s">
        <v>5499</v>
      </c>
      <c r="C26" s="4" t="s">
        <v>5500</v>
      </c>
      <c r="D26" s="4"/>
      <c r="E26" s="4"/>
      <c r="F26" s="4" t="s">
        <v>5562</v>
      </c>
      <c r="G26" s="4" t="s">
        <v>1664</v>
      </c>
      <c r="H26" s="4" t="s">
        <v>5563</v>
      </c>
      <c r="I26" s="5">
        <v>34339</v>
      </c>
      <c r="J26" s="4" t="s">
        <v>4798</v>
      </c>
      <c r="K26" s="4" t="s">
        <v>201</v>
      </c>
      <c r="L26" s="4"/>
      <c r="M26" s="4"/>
    </row>
    <row r="27" ht="16" customHeight="1" s="4" customFormat="1">
      <c r="A27" s="4">
        <v>2716</v>
      </c>
      <c r="B27" s="4" t="s">
        <v>5499</v>
      </c>
      <c r="C27" s="4" t="s">
        <v>5500</v>
      </c>
      <c r="D27" s="4"/>
      <c r="E27" s="4"/>
      <c r="F27" s="4" t="s">
        <v>5564</v>
      </c>
      <c r="G27" s="4" t="s">
        <v>1664</v>
      </c>
      <c r="H27" s="4" t="s">
        <v>5565</v>
      </c>
      <c r="I27" s="5">
        <v>34179</v>
      </c>
      <c r="J27" s="4" t="s">
        <v>4798</v>
      </c>
      <c r="K27" s="4" t="s">
        <v>201</v>
      </c>
      <c r="L27" s="4"/>
      <c r="M27" s="4"/>
    </row>
    <row r="28" ht="16" customHeight="1" s="4" customFormat="1">
      <c r="A28" s="4">
        <v>612</v>
      </c>
      <c r="B28" s="4" t="s">
        <v>5499</v>
      </c>
      <c r="C28" s="4" t="s">
        <v>5566</v>
      </c>
      <c r="D28" s="4"/>
      <c r="E28" s="4"/>
      <c r="F28" s="4" t="s">
        <v>5567</v>
      </c>
      <c r="G28" s="4" t="s">
        <v>5568</v>
      </c>
      <c r="H28" s="4" t="s">
        <v>5569</v>
      </c>
      <c r="I28" s="5">
        <v>43838</v>
      </c>
      <c r="J28" s="4" t="s">
        <v>4842</v>
      </c>
      <c r="K28" s="4" t="s">
        <v>201</v>
      </c>
      <c r="L28" s="4"/>
      <c r="M28" s="4"/>
    </row>
    <row r="29" ht="16" customHeight="1" s="4" customFormat="1">
      <c r="A29" s="4">
        <v>528</v>
      </c>
      <c r="B29" s="4" t="s">
        <v>5528</v>
      </c>
      <c r="C29" s="4" t="s">
        <v>5529</v>
      </c>
      <c r="D29" s="4"/>
      <c r="E29" s="4" t="s">
        <v>5570</v>
      </c>
      <c r="F29" s="4" t="s">
        <v>5571</v>
      </c>
      <c r="G29" s="4" t="s">
        <v>4850</v>
      </c>
      <c r="H29" s="4" t="s">
        <v>5572</v>
      </c>
      <c r="I29" s="5">
        <v>44097</v>
      </c>
      <c r="J29" s="4" t="s">
        <v>4798</v>
      </c>
      <c r="K29" s="4" t="s">
        <v>201</v>
      </c>
      <c r="L29" s="4"/>
      <c r="M29" s="4"/>
    </row>
    <row r="30" ht="16" customHeight="1" s="4" customFormat="1">
      <c r="A30" s="4">
        <v>2408</v>
      </c>
      <c r="B30" s="4" t="s">
        <v>5499</v>
      </c>
      <c r="C30" s="4" t="s">
        <v>5573</v>
      </c>
      <c r="D30" s="4" t="s">
        <v>5574</v>
      </c>
      <c r="E30" s="4" t="s">
        <v>5575</v>
      </c>
      <c r="F30" s="4" t="s">
        <v>5576</v>
      </c>
      <c r="G30" s="4" t="s">
        <v>5577</v>
      </c>
      <c r="H30" s="4" t="s">
        <v>5578</v>
      </c>
      <c r="I30" s="5">
        <v>40589</v>
      </c>
      <c r="J30" s="4" t="s">
        <v>4798</v>
      </c>
      <c r="K30" s="4" t="s">
        <v>57</v>
      </c>
      <c r="L30" s="4"/>
      <c r="M30" s="4"/>
    </row>
    <row r="31" ht="16" customHeight="1" s="4" customFormat="1">
      <c r="A31" s="4">
        <v>2409</v>
      </c>
      <c r="B31" s="4" t="s">
        <v>5499</v>
      </c>
      <c r="C31" s="4" t="s">
        <v>5573</v>
      </c>
      <c r="D31" s="4" t="s">
        <v>5574</v>
      </c>
      <c r="E31" s="4" t="s">
        <v>5575</v>
      </c>
      <c r="F31" s="4" t="s">
        <v>5579</v>
      </c>
      <c r="G31" s="4" t="s">
        <v>5577</v>
      </c>
      <c r="H31" s="4" t="s">
        <v>5578</v>
      </c>
      <c r="I31" s="5">
        <v>40589</v>
      </c>
      <c r="J31" s="4" t="s">
        <v>4798</v>
      </c>
      <c r="K31" s="4" t="s">
        <v>57</v>
      </c>
      <c r="L31" s="4"/>
      <c r="M31" s="4"/>
    </row>
    <row r="32" ht="16" customHeight="1" s="4" customFormat="1">
      <c r="A32" s="4">
        <v>2390</v>
      </c>
      <c r="B32" s="4" t="s">
        <v>5499</v>
      </c>
      <c r="C32" s="4" t="s">
        <v>5519</v>
      </c>
      <c r="D32" s="4"/>
      <c r="E32" s="4" t="s">
        <v>5580</v>
      </c>
      <c r="F32" s="4" t="s">
        <v>5581</v>
      </c>
      <c r="G32" s="4" t="s">
        <v>5582</v>
      </c>
      <c r="H32" s="4" t="s">
        <v>5583</v>
      </c>
      <c r="I32" s="5">
        <v>40805</v>
      </c>
      <c r="J32" s="4" t="s">
        <v>4798</v>
      </c>
      <c r="K32" s="4" t="s">
        <v>57</v>
      </c>
      <c r="L32" s="4"/>
      <c r="M32" s="4"/>
    </row>
    <row r="33" ht="16" customHeight="1" s="4" customFormat="1">
      <c r="A33" s="4">
        <v>2391</v>
      </c>
      <c r="B33" s="4" t="s">
        <v>5499</v>
      </c>
      <c r="C33" s="4" t="s">
        <v>5519</v>
      </c>
      <c r="D33" s="4"/>
      <c r="E33" s="4" t="s">
        <v>5584</v>
      </c>
      <c r="F33" s="4" t="s">
        <v>5585</v>
      </c>
      <c r="G33" s="4" t="s">
        <v>5582</v>
      </c>
      <c r="H33" s="4" t="s">
        <v>5583</v>
      </c>
      <c r="I33" s="5">
        <v>40805</v>
      </c>
      <c r="J33" s="4" t="s">
        <v>4798</v>
      </c>
      <c r="K33" s="4" t="s">
        <v>57</v>
      </c>
      <c r="L33" s="4"/>
      <c r="M33" s="4"/>
    </row>
    <row r="34" ht="16" customHeight="1" s="4" customFormat="1">
      <c r="A34" s="4">
        <v>2392</v>
      </c>
      <c r="B34" s="4" t="s">
        <v>5499</v>
      </c>
      <c r="C34" s="4" t="s">
        <v>5573</v>
      </c>
      <c r="D34" s="4" t="s">
        <v>5574</v>
      </c>
      <c r="E34" s="4" t="s">
        <v>5575</v>
      </c>
      <c r="F34" s="4" t="s">
        <v>5586</v>
      </c>
      <c r="G34" s="4" t="s">
        <v>5587</v>
      </c>
      <c r="H34" s="4" t="s">
        <v>5588</v>
      </c>
      <c r="I34" s="5">
        <v>40805</v>
      </c>
      <c r="J34" s="4" t="s">
        <v>4798</v>
      </c>
      <c r="K34" s="4" t="s">
        <v>57</v>
      </c>
      <c r="L34" s="4"/>
      <c r="M34" s="4"/>
    </row>
    <row r="35" ht="16" customHeight="1" s="4" customFormat="1">
      <c r="A35" s="4">
        <v>2393</v>
      </c>
      <c r="B35" s="4" t="s">
        <v>5499</v>
      </c>
      <c r="C35" s="4" t="s">
        <v>5573</v>
      </c>
      <c r="D35" s="4" t="s">
        <v>5574</v>
      </c>
      <c r="E35" s="4" t="s">
        <v>5575</v>
      </c>
      <c r="F35" s="4" t="s">
        <v>5589</v>
      </c>
      <c r="G35" s="4" t="s">
        <v>5577</v>
      </c>
      <c r="H35" s="4" t="s">
        <v>5578</v>
      </c>
      <c r="I35" s="5">
        <v>40773</v>
      </c>
      <c r="J35" s="4" t="s">
        <v>4798</v>
      </c>
      <c r="K35" s="4" t="s">
        <v>57</v>
      </c>
      <c r="L35" s="4"/>
      <c r="M35" s="4"/>
    </row>
    <row r="36" ht="16" customHeight="1" s="4" customFormat="1">
      <c r="A36" s="4">
        <v>2394</v>
      </c>
      <c r="B36" s="4" t="s">
        <v>5499</v>
      </c>
      <c r="C36" s="4" t="s">
        <v>5590</v>
      </c>
      <c r="D36" s="4" t="s">
        <v>5591</v>
      </c>
      <c r="E36" s="4" t="s">
        <v>5592</v>
      </c>
      <c r="F36" s="4" t="s">
        <v>5593</v>
      </c>
      <c r="G36" s="4" t="s">
        <v>5594</v>
      </c>
      <c r="H36" s="4" t="s">
        <v>5595</v>
      </c>
      <c r="I36" s="5">
        <v>40765</v>
      </c>
      <c r="J36" s="4" t="s">
        <v>4798</v>
      </c>
      <c r="K36" s="4" t="s">
        <v>57</v>
      </c>
      <c r="L36" s="4"/>
      <c r="M36" s="4"/>
    </row>
    <row r="37" ht="16" customHeight="1" s="4" customFormat="1">
      <c r="A37" s="4">
        <v>2395</v>
      </c>
      <c r="B37" s="4" t="s">
        <v>5499</v>
      </c>
      <c r="C37" s="4" t="s">
        <v>5590</v>
      </c>
      <c r="D37" s="4" t="s">
        <v>5574</v>
      </c>
      <c r="E37" s="4" t="s">
        <v>5596</v>
      </c>
      <c r="F37" s="4" t="s">
        <v>5597</v>
      </c>
      <c r="G37" s="4" t="s">
        <v>5598</v>
      </c>
      <c r="H37" s="4" t="s">
        <v>5599</v>
      </c>
      <c r="I37" s="5">
        <v>40737</v>
      </c>
      <c r="J37" s="4" t="s">
        <v>4842</v>
      </c>
      <c r="K37" s="4" t="s">
        <v>57</v>
      </c>
      <c r="L37" s="4"/>
      <c r="M37" s="4"/>
    </row>
    <row r="38" ht="16" customHeight="1" s="4" customFormat="1">
      <c r="A38" s="4">
        <v>2396</v>
      </c>
      <c r="B38" s="4" t="s">
        <v>5600</v>
      </c>
      <c r="C38" s="4" t="s">
        <v>5600</v>
      </c>
      <c r="D38" s="4" t="s">
        <v>5601</v>
      </c>
      <c r="E38" s="4" t="s">
        <v>5602</v>
      </c>
      <c r="F38" s="4" t="s">
        <v>5603</v>
      </c>
      <c r="G38" s="4" t="s">
        <v>5604</v>
      </c>
      <c r="H38" s="4" t="s">
        <v>5605</v>
      </c>
      <c r="I38" s="5">
        <v>40735</v>
      </c>
      <c r="J38" s="4" t="s">
        <v>4798</v>
      </c>
      <c r="K38" s="4" t="s">
        <v>57</v>
      </c>
      <c r="L38" s="4"/>
      <c r="M38" s="4"/>
    </row>
    <row r="39" ht="16" customHeight="1" s="4" customFormat="1">
      <c r="A39" s="4">
        <v>2397</v>
      </c>
      <c r="B39" s="4" t="s">
        <v>5600</v>
      </c>
      <c r="C39" s="4" t="s">
        <v>5600</v>
      </c>
      <c r="D39" s="4" t="s">
        <v>5574</v>
      </c>
      <c r="E39" s="4" t="s">
        <v>5606</v>
      </c>
      <c r="F39" s="4" t="s">
        <v>5607</v>
      </c>
      <c r="G39" s="4" t="s">
        <v>5608</v>
      </c>
      <c r="H39" s="4" t="s">
        <v>5609</v>
      </c>
      <c r="I39" s="5">
        <v>40735</v>
      </c>
      <c r="J39" s="4" t="s">
        <v>5506</v>
      </c>
      <c r="K39" s="4" t="s">
        <v>57</v>
      </c>
      <c r="L39" s="4"/>
      <c r="M39" s="4"/>
    </row>
    <row r="40" ht="16" customHeight="1" s="4" customFormat="1">
      <c r="A40" s="4">
        <v>2398</v>
      </c>
      <c r="B40" s="4" t="s">
        <v>5499</v>
      </c>
      <c r="C40" s="4" t="s">
        <v>5519</v>
      </c>
      <c r="D40" s="4"/>
      <c r="E40" s="4" t="s">
        <v>5580</v>
      </c>
      <c r="F40" s="4" t="s">
        <v>5610</v>
      </c>
      <c r="G40" s="4" t="s">
        <v>5611</v>
      </c>
      <c r="H40" s="4" t="s">
        <v>5612</v>
      </c>
      <c r="I40" s="5">
        <v>40702</v>
      </c>
      <c r="J40" s="4" t="s">
        <v>4798</v>
      </c>
      <c r="K40" s="4" t="s">
        <v>57</v>
      </c>
      <c r="L40" s="4"/>
      <c r="M40" s="4"/>
    </row>
    <row r="41" ht="16" customHeight="1" s="4" customFormat="1">
      <c r="A41" s="4">
        <v>2399</v>
      </c>
      <c r="B41" s="4" t="s">
        <v>5499</v>
      </c>
      <c r="C41" s="4" t="s">
        <v>5519</v>
      </c>
      <c r="D41" s="4"/>
      <c r="E41" s="4" t="s">
        <v>5613</v>
      </c>
      <c r="F41" s="4" t="s">
        <v>5614</v>
      </c>
      <c r="G41" s="4" t="s">
        <v>5611</v>
      </c>
      <c r="H41" s="4" t="s">
        <v>5611</v>
      </c>
      <c r="I41" s="5">
        <v>40702</v>
      </c>
      <c r="J41" s="4" t="s">
        <v>4798</v>
      </c>
      <c r="K41" s="4" t="s">
        <v>57</v>
      </c>
      <c r="L41" s="4"/>
      <c r="M41" s="4"/>
    </row>
    <row r="42" ht="16" customHeight="1" s="4" customFormat="1">
      <c r="A42" s="4">
        <v>2400</v>
      </c>
      <c r="B42" s="4" t="s">
        <v>5499</v>
      </c>
      <c r="C42" s="4" t="s">
        <v>5519</v>
      </c>
      <c r="D42" s="4"/>
      <c r="E42" s="4" t="s">
        <v>5613</v>
      </c>
      <c r="F42" s="4" t="s">
        <v>5615</v>
      </c>
      <c r="G42" s="4" t="s">
        <v>5611</v>
      </c>
      <c r="H42" s="4" t="s">
        <v>5611</v>
      </c>
      <c r="I42" s="5">
        <v>40702</v>
      </c>
      <c r="J42" s="4" t="s">
        <v>4798</v>
      </c>
      <c r="K42" s="4" t="s">
        <v>57</v>
      </c>
      <c r="L42" s="4"/>
      <c r="M42" s="4"/>
    </row>
    <row r="43" ht="16" customHeight="1" s="4" customFormat="1">
      <c r="A43" s="4">
        <v>2401</v>
      </c>
      <c r="B43" s="4" t="s">
        <v>5499</v>
      </c>
      <c r="C43" s="4" t="s">
        <v>5519</v>
      </c>
      <c r="D43" s="4"/>
      <c r="E43" s="4" t="s">
        <v>5613</v>
      </c>
      <c r="F43" s="4" t="s">
        <v>5616</v>
      </c>
      <c r="G43" s="4" t="s">
        <v>5611</v>
      </c>
      <c r="H43" s="4" t="s">
        <v>5611</v>
      </c>
      <c r="I43" s="5">
        <v>40702</v>
      </c>
      <c r="J43" s="4" t="s">
        <v>4798</v>
      </c>
      <c r="K43" s="4" t="s">
        <v>57</v>
      </c>
      <c r="L43" s="4"/>
      <c r="M43" s="4"/>
    </row>
    <row r="44" ht="16" customHeight="1" s="4" customFormat="1">
      <c r="A44" s="4">
        <v>2402</v>
      </c>
      <c r="B44" s="4" t="s">
        <v>5499</v>
      </c>
      <c r="C44" s="4" t="s">
        <v>5519</v>
      </c>
      <c r="D44" s="4"/>
      <c r="E44" s="4" t="s">
        <v>5613</v>
      </c>
      <c r="F44" s="4" t="s">
        <v>5617</v>
      </c>
      <c r="G44" s="4" t="s">
        <v>5611</v>
      </c>
      <c r="H44" s="4" t="s">
        <v>5611</v>
      </c>
      <c r="I44" s="5">
        <v>40702</v>
      </c>
      <c r="J44" s="4" t="s">
        <v>4798</v>
      </c>
      <c r="K44" s="4" t="s">
        <v>57</v>
      </c>
      <c r="L44" s="4"/>
      <c r="M44" s="4"/>
    </row>
    <row r="45" ht="16" customHeight="1" s="4" customFormat="1">
      <c r="A45" s="4">
        <v>2403</v>
      </c>
      <c r="B45" s="4" t="s">
        <v>5600</v>
      </c>
      <c r="C45" s="4" t="s">
        <v>5600</v>
      </c>
      <c r="D45" s="4" t="s">
        <v>5618</v>
      </c>
      <c r="E45" s="4" t="s">
        <v>5619</v>
      </c>
      <c r="F45" s="4" t="s">
        <v>5620</v>
      </c>
      <c r="G45" s="4" t="s">
        <v>5621</v>
      </c>
      <c r="H45" s="4" t="s">
        <v>5622</v>
      </c>
      <c r="I45" s="5">
        <v>40669</v>
      </c>
      <c r="J45" s="4" t="s">
        <v>4798</v>
      </c>
      <c r="K45" s="4" t="s">
        <v>57</v>
      </c>
      <c r="L45" s="4"/>
      <c r="M45" s="4"/>
    </row>
    <row r="46" ht="16" customHeight="1" s="4" customFormat="1">
      <c r="A46" s="4">
        <v>2404</v>
      </c>
      <c r="B46" s="4" t="s">
        <v>5600</v>
      </c>
      <c r="C46" s="4" t="s">
        <v>5600</v>
      </c>
      <c r="D46" s="4" t="s">
        <v>5618</v>
      </c>
      <c r="E46" s="4" t="s">
        <v>5619</v>
      </c>
      <c r="F46" s="4" t="s">
        <v>5623</v>
      </c>
      <c r="G46" s="4" t="s">
        <v>5624</v>
      </c>
      <c r="H46" s="4" t="s">
        <v>5625</v>
      </c>
      <c r="I46" s="5">
        <v>40669</v>
      </c>
      <c r="J46" s="4" t="s">
        <v>5506</v>
      </c>
      <c r="K46" s="4" t="s">
        <v>57</v>
      </c>
      <c r="L46" s="4"/>
      <c r="M46" s="4"/>
    </row>
    <row r="47" ht="16" customHeight="1" s="4" customFormat="1">
      <c r="A47" s="4">
        <v>2405</v>
      </c>
      <c r="B47" s="4" t="s">
        <v>5499</v>
      </c>
      <c r="C47" s="4" t="s">
        <v>5519</v>
      </c>
      <c r="D47" s="4"/>
      <c r="E47" s="4" t="s">
        <v>5626</v>
      </c>
      <c r="F47" s="4" t="s">
        <v>5627</v>
      </c>
      <c r="G47" s="4" t="s">
        <v>5628</v>
      </c>
      <c r="H47" s="4" t="s">
        <v>5628</v>
      </c>
      <c r="I47" s="5">
        <v>40646</v>
      </c>
      <c r="J47" s="4" t="s">
        <v>4798</v>
      </c>
      <c r="K47" s="4" t="s">
        <v>57</v>
      </c>
      <c r="L47" s="4"/>
      <c r="M47" s="4"/>
    </row>
    <row r="48" ht="16" customHeight="1" s="4" customFormat="1">
      <c r="A48" s="4">
        <v>2406</v>
      </c>
      <c r="B48" s="4" t="s">
        <v>5499</v>
      </c>
      <c r="C48" s="4" t="s">
        <v>5573</v>
      </c>
      <c r="D48" s="4" t="s">
        <v>5574</v>
      </c>
      <c r="E48" s="4" t="s">
        <v>5575</v>
      </c>
      <c r="F48" s="4" t="s">
        <v>5629</v>
      </c>
      <c r="G48" s="4" t="s">
        <v>5630</v>
      </c>
      <c r="H48" s="4" t="s">
        <v>5578</v>
      </c>
      <c r="I48" s="5">
        <v>40631</v>
      </c>
      <c r="J48" s="4" t="s">
        <v>4842</v>
      </c>
      <c r="K48" s="4" t="s">
        <v>57</v>
      </c>
      <c r="L48" s="4"/>
      <c r="M48" s="4"/>
    </row>
    <row r="49" ht="16" customHeight="1" s="4" customFormat="1">
      <c r="A49" s="4">
        <v>2071</v>
      </c>
      <c r="B49" s="4" t="s">
        <v>5534</v>
      </c>
      <c r="C49" s="4" t="s">
        <v>5631</v>
      </c>
      <c r="D49" s="4"/>
      <c r="E49" s="4"/>
      <c r="F49" s="4">
        <v>6231</v>
      </c>
      <c r="G49" s="4" t="s">
        <v>5632</v>
      </c>
      <c r="H49" s="4" t="s">
        <v>5633</v>
      </c>
      <c r="I49" s="5">
        <v>41745</v>
      </c>
      <c r="J49" s="4" t="s">
        <v>5506</v>
      </c>
      <c r="K49" s="4" t="s">
        <v>57</v>
      </c>
      <c r="L49" s="4"/>
      <c r="M49" s="4"/>
    </row>
    <row r="50" ht="16" customHeight="1" s="4" customFormat="1">
      <c r="A50" s="4">
        <v>2072</v>
      </c>
      <c r="B50" s="4" t="s">
        <v>5534</v>
      </c>
      <c r="C50" s="4" t="s">
        <v>5631</v>
      </c>
      <c r="D50" s="4"/>
      <c r="E50" s="4"/>
      <c r="F50" s="4">
        <v>11261</v>
      </c>
      <c r="G50" s="4" t="s">
        <v>5632</v>
      </c>
      <c r="H50" s="4" t="s">
        <v>5634</v>
      </c>
      <c r="I50" s="5">
        <v>41745</v>
      </c>
      <c r="J50" s="4" t="s">
        <v>5506</v>
      </c>
      <c r="K50" s="4" t="s">
        <v>57</v>
      </c>
      <c r="L50" s="4"/>
      <c r="M50" s="4"/>
    </row>
    <row r="51" ht="16" customHeight="1" s="4" customFormat="1">
      <c r="A51" s="4">
        <v>2073</v>
      </c>
      <c r="B51" s="4" t="s">
        <v>5534</v>
      </c>
      <c r="C51" s="4" t="s">
        <v>5631</v>
      </c>
      <c r="D51" s="4"/>
      <c r="E51" s="4"/>
      <c r="F51" s="4">
        <v>6245</v>
      </c>
      <c r="G51" s="4" t="s">
        <v>5632</v>
      </c>
      <c r="H51" s="4" t="s">
        <v>5633</v>
      </c>
      <c r="I51" s="5">
        <v>41745</v>
      </c>
      <c r="J51" s="4" t="s">
        <v>5506</v>
      </c>
      <c r="K51" s="4" t="s">
        <v>57</v>
      </c>
      <c r="L51" s="4"/>
      <c r="M51" s="4"/>
    </row>
    <row r="52" ht="16" customHeight="1" s="4" customFormat="1">
      <c r="A52" s="4">
        <v>2074</v>
      </c>
      <c r="B52" s="4" t="s">
        <v>5534</v>
      </c>
      <c r="C52" s="4" t="s">
        <v>5631</v>
      </c>
      <c r="D52" s="4"/>
      <c r="E52" s="4"/>
      <c r="F52" s="4">
        <v>6251</v>
      </c>
      <c r="G52" s="4" t="s">
        <v>5632</v>
      </c>
      <c r="H52" s="4" t="s">
        <v>5633</v>
      </c>
      <c r="I52" s="5">
        <v>41745</v>
      </c>
      <c r="J52" s="4" t="s">
        <v>5506</v>
      </c>
      <c r="K52" s="4" t="s">
        <v>57</v>
      </c>
      <c r="L52" s="4"/>
      <c r="M52" s="4"/>
    </row>
    <row r="53" ht="16" customHeight="1" s="4" customFormat="1">
      <c r="A53" s="4">
        <v>2075</v>
      </c>
      <c r="B53" s="4" t="s">
        <v>5534</v>
      </c>
      <c r="C53" s="4" t="s">
        <v>5631</v>
      </c>
      <c r="D53" s="4"/>
      <c r="E53" s="4"/>
      <c r="F53" s="4">
        <v>6225</v>
      </c>
      <c r="G53" s="4" t="s">
        <v>5632</v>
      </c>
      <c r="H53" s="4" t="s">
        <v>5635</v>
      </c>
      <c r="I53" s="5">
        <v>41745</v>
      </c>
      <c r="J53" s="4" t="s">
        <v>5506</v>
      </c>
      <c r="K53" s="4" t="s">
        <v>57</v>
      </c>
      <c r="L53" s="4"/>
      <c r="M53" s="4"/>
    </row>
    <row r="54" ht="16" customHeight="1" s="4" customFormat="1">
      <c r="A54" s="4">
        <v>2076</v>
      </c>
      <c r="B54" s="4" t="s">
        <v>5534</v>
      </c>
      <c r="C54" s="4" t="s">
        <v>5631</v>
      </c>
      <c r="D54" s="4"/>
      <c r="E54" s="4"/>
      <c r="F54" s="4">
        <v>11230</v>
      </c>
      <c r="G54" s="4" t="s">
        <v>5632</v>
      </c>
      <c r="H54" s="4" t="s">
        <v>5636</v>
      </c>
      <c r="I54" s="5">
        <v>41745</v>
      </c>
      <c r="J54" s="4" t="s">
        <v>5506</v>
      </c>
      <c r="K54" s="4" t="s">
        <v>57</v>
      </c>
      <c r="L54" s="4"/>
      <c r="M54" s="4"/>
    </row>
    <row r="55" ht="16" customHeight="1" s="4" customFormat="1">
      <c r="A55" s="4">
        <v>2077</v>
      </c>
      <c r="B55" s="4" t="s">
        <v>5534</v>
      </c>
      <c r="C55" s="4" t="s">
        <v>5631</v>
      </c>
      <c r="D55" s="4"/>
      <c r="E55" s="4"/>
      <c r="F55" s="4">
        <v>11236</v>
      </c>
      <c r="G55" s="4" t="s">
        <v>5632</v>
      </c>
      <c r="H55" s="4" t="s">
        <v>5634</v>
      </c>
      <c r="I55" s="5">
        <v>41745</v>
      </c>
      <c r="J55" s="4" t="s">
        <v>5506</v>
      </c>
      <c r="K55" s="4" t="s">
        <v>57</v>
      </c>
      <c r="L55" s="4"/>
      <c r="M55" s="4"/>
    </row>
    <row r="56" ht="16" customHeight="1" s="4" customFormat="1">
      <c r="A56" s="4">
        <v>2078</v>
      </c>
      <c r="B56" s="4" t="s">
        <v>5534</v>
      </c>
      <c r="C56" s="4" t="s">
        <v>5631</v>
      </c>
      <c r="D56" s="4"/>
      <c r="E56" s="4"/>
      <c r="F56" s="4">
        <v>11233</v>
      </c>
      <c r="G56" s="4" t="s">
        <v>5632</v>
      </c>
      <c r="H56" s="4" t="s">
        <v>5636</v>
      </c>
      <c r="I56" s="5">
        <v>41745</v>
      </c>
      <c r="J56" s="4" t="s">
        <v>5506</v>
      </c>
      <c r="K56" s="4" t="s">
        <v>57</v>
      </c>
      <c r="L56" s="4"/>
      <c r="M56" s="4"/>
    </row>
    <row r="57" ht="16" customHeight="1" s="4" customFormat="1">
      <c r="A57" s="4">
        <v>2079</v>
      </c>
      <c r="B57" s="4" t="s">
        <v>5499</v>
      </c>
      <c r="C57" s="4" t="s">
        <v>5637</v>
      </c>
      <c r="D57" s="4"/>
      <c r="E57" s="4" t="s">
        <v>5584</v>
      </c>
      <c r="F57" s="4" t="s">
        <v>5638</v>
      </c>
      <c r="G57" s="4" t="s">
        <v>5639</v>
      </c>
      <c r="H57" s="4" t="s">
        <v>5640</v>
      </c>
      <c r="I57" s="5">
        <v>41744</v>
      </c>
      <c r="J57" s="4" t="s">
        <v>4798</v>
      </c>
      <c r="K57" s="4" t="s">
        <v>57</v>
      </c>
      <c r="L57" s="4"/>
      <c r="M57" s="4"/>
    </row>
    <row r="58" ht="16" customHeight="1" s="4" customFormat="1">
      <c r="A58" s="4">
        <v>2080</v>
      </c>
      <c r="B58" s="4" t="s">
        <v>5499</v>
      </c>
      <c r="C58" s="4" t="s">
        <v>5519</v>
      </c>
      <c r="D58" s="4"/>
      <c r="E58" s="4" t="s">
        <v>5641</v>
      </c>
      <c r="F58" s="4" t="s">
        <v>5642</v>
      </c>
      <c r="G58" s="4" t="s">
        <v>5643</v>
      </c>
      <c r="H58" s="4" t="s">
        <v>5644</v>
      </c>
      <c r="I58" s="5">
        <v>41732</v>
      </c>
      <c r="J58" s="4" t="s">
        <v>4798</v>
      </c>
      <c r="K58" s="4" t="s">
        <v>57</v>
      </c>
      <c r="L58" s="4"/>
      <c r="M58" s="4"/>
    </row>
    <row r="59" ht="16" customHeight="1" s="4" customFormat="1">
      <c r="A59" s="4">
        <v>2081</v>
      </c>
      <c r="B59" s="4" t="s">
        <v>5499</v>
      </c>
      <c r="C59" s="4" t="s">
        <v>5519</v>
      </c>
      <c r="D59" s="4"/>
      <c r="E59" s="4" t="s">
        <v>5645</v>
      </c>
      <c r="F59" s="4" t="s">
        <v>5646</v>
      </c>
      <c r="G59" s="4" t="s">
        <v>5643</v>
      </c>
      <c r="H59" s="4" t="s">
        <v>5644</v>
      </c>
      <c r="I59" s="5">
        <v>41732</v>
      </c>
      <c r="J59" s="4" t="s">
        <v>4798</v>
      </c>
      <c r="K59" s="4" t="s">
        <v>57</v>
      </c>
      <c r="L59" s="4"/>
      <c r="M59" s="4"/>
    </row>
    <row r="60" ht="16" customHeight="1" s="4" customFormat="1">
      <c r="A60" s="4">
        <v>2082</v>
      </c>
      <c r="B60" s="4" t="s">
        <v>5534</v>
      </c>
      <c r="C60" s="4" t="s">
        <v>5631</v>
      </c>
      <c r="D60" s="4"/>
      <c r="E60" s="4"/>
      <c r="F60" s="4">
        <v>28604</v>
      </c>
      <c r="G60" s="4" t="s">
        <v>5632</v>
      </c>
      <c r="H60" s="4" t="s">
        <v>5647</v>
      </c>
      <c r="I60" s="5">
        <v>41731</v>
      </c>
      <c r="J60" s="4" t="s">
        <v>5506</v>
      </c>
      <c r="K60" s="4" t="s">
        <v>57</v>
      </c>
      <c r="L60" s="4"/>
      <c r="M60" s="4"/>
    </row>
    <row r="61" ht="16" customHeight="1" s="4" customFormat="1">
      <c r="A61" s="4">
        <v>1377</v>
      </c>
      <c r="B61" s="4" t="s">
        <v>5499</v>
      </c>
      <c r="C61" s="4" t="s">
        <v>5519</v>
      </c>
      <c r="D61" s="4"/>
      <c r="E61" s="4" t="s">
        <v>5648</v>
      </c>
      <c r="F61" s="4" t="s">
        <v>5649</v>
      </c>
      <c r="G61" s="4" t="s">
        <v>5650</v>
      </c>
      <c r="H61" s="4" t="s">
        <v>5651</v>
      </c>
      <c r="I61" s="5">
        <v>42643</v>
      </c>
      <c r="J61" s="4" t="s">
        <v>4842</v>
      </c>
      <c r="K61" s="4" t="s">
        <v>57</v>
      </c>
      <c r="L61" s="4"/>
      <c r="M61" s="4"/>
    </row>
    <row r="62" ht="16" customHeight="1" s="4" customFormat="1">
      <c r="A62" s="4">
        <v>1378</v>
      </c>
      <c r="B62" s="4" t="s">
        <v>5499</v>
      </c>
      <c r="C62" s="4" t="s">
        <v>5519</v>
      </c>
      <c r="D62" s="4"/>
      <c r="E62" s="4" t="s">
        <v>5641</v>
      </c>
      <c r="F62" s="4" t="s">
        <v>5652</v>
      </c>
      <c r="G62" s="4" t="s">
        <v>5650</v>
      </c>
      <c r="H62" s="4" t="s">
        <v>5651</v>
      </c>
      <c r="I62" s="5">
        <v>42643</v>
      </c>
      <c r="J62" s="4" t="s">
        <v>4842</v>
      </c>
      <c r="K62" s="4" t="s">
        <v>57</v>
      </c>
      <c r="L62" s="4"/>
      <c r="M62" s="4"/>
    </row>
    <row r="63" ht="16" customHeight="1" s="4" customFormat="1">
      <c r="A63" s="4">
        <v>1379</v>
      </c>
      <c r="B63" s="4" t="s">
        <v>5499</v>
      </c>
      <c r="C63" s="4" t="s">
        <v>5590</v>
      </c>
      <c r="D63" s="4" t="s">
        <v>5574</v>
      </c>
      <c r="E63" s="4" t="s">
        <v>5575</v>
      </c>
      <c r="F63" s="4" t="s">
        <v>5653</v>
      </c>
      <c r="G63" s="4" t="s">
        <v>5654</v>
      </c>
      <c r="H63" s="4" t="s">
        <v>5655</v>
      </c>
      <c r="I63" s="5">
        <v>42635</v>
      </c>
      <c r="J63" s="4" t="s">
        <v>4798</v>
      </c>
      <c r="K63" s="4" t="s">
        <v>57</v>
      </c>
      <c r="L63" s="4"/>
      <c r="M63" s="4"/>
    </row>
    <row r="64" ht="16" customHeight="1" s="4" customFormat="1">
      <c r="A64" s="4">
        <v>1380</v>
      </c>
      <c r="B64" s="4" t="s">
        <v>5499</v>
      </c>
      <c r="C64" s="4" t="s">
        <v>5590</v>
      </c>
      <c r="D64" s="4" t="s">
        <v>5574</v>
      </c>
      <c r="E64" s="4" t="s">
        <v>5575</v>
      </c>
      <c r="F64" s="4" t="s">
        <v>5656</v>
      </c>
      <c r="G64" s="4" t="s">
        <v>5657</v>
      </c>
      <c r="H64" s="4" t="s">
        <v>5658</v>
      </c>
      <c r="I64" s="5">
        <v>42635</v>
      </c>
      <c r="J64" s="4" t="s">
        <v>4798</v>
      </c>
      <c r="K64" s="4" t="s">
        <v>57</v>
      </c>
      <c r="L64" s="4"/>
      <c r="M64" s="4"/>
    </row>
    <row r="65" ht="16" customHeight="1" s="4" customFormat="1">
      <c r="A65" s="4">
        <v>1381</v>
      </c>
      <c r="B65" s="4" t="s">
        <v>5499</v>
      </c>
      <c r="C65" s="4" t="s">
        <v>5573</v>
      </c>
      <c r="D65" s="4" t="s">
        <v>5574</v>
      </c>
      <c r="E65" s="4" t="s">
        <v>5575</v>
      </c>
      <c r="F65" s="4" t="s">
        <v>5659</v>
      </c>
      <c r="G65" s="4" t="s">
        <v>4850</v>
      </c>
      <c r="H65" s="4" t="s">
        <v>5660</v>
      </c>
      <c r="I65" s="5">
        <v>42635</v>
      </c>
      <c r="J65" s="4" t="s">
        <v>4798</v>
      </c>
      <c r="K65" s="4" t="s">
        <v>57</v>
      </c>
      <c r="L65" s="4"/>
      <c r="M65" s="4"/>
    </row>
    <row r="66" ht="16" customHeight="1" s="4" customFormat="1">
      <c r="A66" s="4">
        <v>1382</v>
      </c>
      <c r="B66" s="4" t="s">
        <v>5499</v>
      </c>
      <c r="C66" s="4" t="s">
        <v>5519</v>
      </c>
      <c r="D66" s="4"/>
      <c r="E66" s="4" t="s">
        <v>5584</v>
      </c>
      <c r="F66" s="4" t="s">
        <v>5661</v>
      </c>
      <c r="G66" s="4" t="s">
        <v>5662</v>
      </c>
      <c r="H66" s="4" t="s">
        <v>5663</v>
      </c>
      <c r="I66" s="5">
        <v>42627</v>
      </c>
      <c r="J66" s="4" t="s">
        <v>4842</v>
      </c>
      <c r="K66" s="4" t="s">
        <v>57</v>
      </c>
      <c r="L66" s="4"/>
      <c r="M66" s="4"/>
    </row>
    <row r="67" ht="16" customHeight="1" s="4" customFormat="1">
      <c r="A67" s="4">
        <v>1383</v>
      </c>
      <c r="B67" s="4" t="s">
        <v>5499</v>
      </c>
      <c r="C67" s="4" t="s">
        <v>5519</v>
      </c>
      <c r="D67" s="4"/>
      <c r="E67" s="4" t="s">
        <v>5664</v>
      </c>
      <c r="F67" s="4" t="s">
        <v>5665</v>
      </c>
      <c r="G67" s="4" t="s">
        <v>5666</v>
      </c>
      <c r="H67" s="4" t="s">
        <v>5667</v>
      </c>
      <c r="I67" s="5">
        <v>42627</v>
      </c>
      <c r="J67" s="4" t="s">
        <v>4842</v>
      </c>
      <c r="K67" s="4" t="s">
        <v>57</v>
      </c>
      <c r="L67" s="4"/>
      <c r="M67" s="4"/>
    </row>
    <row r="68" ht="16" customHeight="1" s="4" customFormat="1">
      <c r="A68" s="4">
        <v>1384</v>
      </c>
      <c r="B68" s="4" t="s">
        <v>5499</v>
      </c>
      <c r="C68" s="4" t="s">
        <v>5519</v>
      </c>
      <c r="D68" s="4"/>
      <c r="E68" s="4" t="s">
        <v>5668</v>
      </c>
      <c r="F68" s="4" t="s">
        <v>5669</v>
      </c>
      <c r="G68" s="4" t="s">
        <v>5670</v>
      </c>
      <c r="H68" s="4" t="s">
        <v>5670</v>
      </c>
      <c r="I68" s="5">
        <v>42627</v>
      </c>
      <c r="J68" s="4" t="s">
        <v>4842</v>
      </c>
      <c r="K68" s="4" t="s">
        <v>57</v>
      </c>
      <c r="L68" s="4"/>
      <c r="M68" s="4"/>
    </row>
    <row r="69" ht="16" customHeight="1" s="4" customFormat="1">
      <c r="A69" s="4">
        <v>1385</v>
      </c>
      <c r="B69" s="4" t="s">
        <v>5499</v>
      </c>
      <c r="C69" s="4" t="s">
        <v>5519</v>
      </c>
      <c r="D69" s="4"/>
      <c r="E69" s="4" t="s">
        <v>5668</v>
      </c>
      <c r="F69" s="4" t="s">
        <v>5671</v>
      </c>
      <c r="G69" s="4" t="s">
        <v>5672</v>
      </c>
      <c r="H69" s="4" t="s">
        <v>5672</v>
      </c>
      <c r="I69" s="5">
        <v>42627</v>
      </c>
      <c r="J69" s="4" t="s">
        <v>4842</v>
      </c>
      <c r="K69" s="4" t="s">
        <v>57</v>
      </c>
      <c r="L69" s="4"/>
      <c r="M69" s="4"/>
    </row>
    <row r="70" ht="16" customHeight="1" s="4" customFormat="1">
      <c r="A70" s="4">
        <v>1386</v>
      </c>
      <c r="B70" s="4" t="s">
        <v>5499</v>
      </c>
      <c r="C70" s="4" t="s">
        <v>5509</v>
      </c>
      <c r="D70" s="4"/>
      <c r="E70" s="4"/>
      <c r="F70" s="4" t="s">
        <v>5673</v>
      </c>
      <c r="G70" s="4" t="s">
        <v>5674</v>
      </c>
      <c r="H70" s="4" t="s">
        <v>5675</v>
      </c>
      <c r="I70" s="5">
        <v>42627</v>
      </c>
      <c r="J70" s="4" t="s">
        <v>4798</v>
      </c>
      <c r="K70" s="4" t="s">
        <v>57</v>
      </c>
      <c r="L70" s="4"/>
      <c r="M70" s="4"/>
    </row>
    <row r="71" ht="16" customHeight="1" s="4" customFormat="1">
      <c r="A71" s="4">
        <v>1387</v>
      </c>
      <c r="B71" s="4" t="s">
        <v>5499</v>
      </c>
      <c r="C71" s="4" t="s">
        <v>5519</v>
      </c>
      <c r="D71" s="4"/>
      <c r="E71" s="4" t="s">
        <v>5676</v>
      </c>
      <c r="F71" s="4" t="s">
        <v>5677</v>
      </c>
      <c r="G71" s="4" t="s">
        <v>5678</v>
      </c>
      <c r="H71" s="4" t="s">
        <v>5667</v>
      </c>
      <c r="I71" s="5">
        <v>42620</v>
      </c>
      <c r="J71" s="4" t="s">
        <v>4842</v>
      </c>
      <c r="K71" s="4" t="s">
        <v>57</v>
      </c>
      <c r="L71" s="4"/>
      <c r="M71" s="4"/>
    </row>
    <row r="72" ht="16" customHeight="1" s="4" customFormat="1">
      <c r="A72" s="4">
        <v>1388</v>
      </c>
      <c r="B72" s="4" t="s">
        <v>5528</v>
      </c>
      <c r="C72" s="4" t="s">
        <v>5529</v>
      </c>
      <c r="D72" s="4"/>
      <c r="E72" s="4" t="s">
        <v>5570</v>
      </c>
      <c r="F72" s="4" t="s">
        <v>5679</v>
      </c>
      <c r="G72" s="4" t="s">
        <v>5680</v>
      </c>
      <c r="H72" s="4" t="s">
        <v>5681</v>
      </c>
      <c r="I72" s="5">
        <v>42615</v>
      </c>
      <c r="J72" s="4" t="s">
        <v>4798</v>
      </c>
      <c r="K72" s="4" t="s">
        <v>57</v>
      </c>
      <c r="L72" s="4"/>
      <c r="M72" s="4"/>
    </row>
    <row r="73" ht="16" customHeight="1" s="4" customFormat="1">
      <c r="A73" s="4">
        <v>1389</v>
      </c>
      <c r="B73" s="4" t="s">
        <v>5499</v>
      </c>
      <c r="C73" s="4" t="s">
        <v>5590</v>
      </c>
      <c r="D73" s="4" t="s">
        <v>5591</v>
      </c>
      <c r="E73" s="4" t="s">
        <v>5592</v>
      </c>
      <c r="F73" s="4" t="s">
        <v>5682</v>
      </c>
      <c r="G73" s="4" t="s">
        <v>5683</v>
      </c>
      <c r="H73" s="4" t="s">
        <v>4850</v>
      </c>
      <c r="I73" s="5">
        <v>42615</v>
      </c>
      <c r="J73" s="4" t="s">
        <v>4798</v>
      </c>
      <c r="K73" s="4" t="s">
        <v>57</v>
      </c>
      <c r="L73" s="4"/>
      <c r="M73" s="4"/>
    </row>
    <row r="74" ht="16" customHeight="1" s="4" customFormat="1">
      <c r="A74" s="4">
        <v>1390</v>
      </c>
      <c r="B74" s="4" t="s">
        <v>5499</v>
      </c>
      <c r="C74" s="4" t="s">
        <v>5590</v>
      </c>
      <c r="D74" s="4" t="s">
        <v>5574</v>
      </c>
      <c r="E74" s="4" t="s">
        <v>5575</v>
      </c>
      <c r="F74" s="4" t="s">
        <v>5684</v>
      </c>
      <c r="G74" s="4" t="s">
        <v>5685</v>
      </c>
      <c r="H74" s="4" t="s">
        <v>5686</v>
      </c>
      <c r="I74" s="5">
        <v>42615</v>
      </c>
      <c r="J74" s="4" t="s">
        <v>4798</v>
      </c>
      <c r="K74" s="4" t="s">
        <v>57</v>
      </c>
      <c r="L74" s="4"/>
      <c r="M74" s="4"/>
    </row>
    <row r="75" ht="16" customHeight="1" s="4" customFormat="1">
      <c r="A75" s="4">
        <v>1391</v>
      </c>
      <c r="B75" s="4" t="s">
        <v>5499</v>
      </c>
      <c r="C75" s="4" t="s">
        <v>5519</v>
      </c>
      <c r="D75" s="4"/>
      <c r="E75" s="4" t="s">
        <v>5687</v>
      </c>
      <c r="F75" s="4" t="s">
        <v>5688</v>
      </c>
      <c r="G75" s="4" t="s">
        <v>5689</v>
      </c>
      <c r="H75" s="4" t="s">
        <v>5689</v>
      </c>
      <c r="I75" s="5">
        <v>42612</v>
      </c>
      <c r="J75" s="4" t="s">
        <v>4842</v>
      </c>
      <c r="K75" s="4" t="s">
        <v>57</v>
      </c>
      <c r="L75" s="4"/>
      <c r="M75" s="4"/>
    </row>
    <row r="76" ht="16" customHeight="1" s="4" customFormat="1">
      <c r="A76" s="4">
        <v>1392</v>
      </c>
      <c r="B76" s="4" t="s">
        <v>5499</v>
      </c>
      <c r="C76" s="4" t="s">
        <v>5519</v>
      </c>
      <c r="D76" s="4"/>
      <c r="E76" s="4" t="s">
        <v>5690</v>
      </c>
      <c r="F76" s="4" t="s">
        <v>5691</v>
      </c>
      <c r="G76" s="4" t="s">
        <v>5692</v>
      </c>
      <c r="H76" s="4" t="s">
        <v>5692</v>
      </c>
      <c r="I76" s="5">
        <v>42612</v>
      </c>
      <c r="J76" s="4" t="s">
        <v>4842</v>
      </c>
      <c r="K76" s="4" t="s">
        <v>57</v>
      </c>
      <c r="L76" s="4"/>
      <c r="M76" s="4"/>
    </row>
    <row r="77" ht="16" customHeight="1" s="4" customFormat="1">
      <c r="A77" s="4">
        <v>1393</v>
      </c>
      <c r="B77" s="4" t="s">
        <v>5499</v>
      </c>
      <c r="C77" s="4" t="s">
        <v>5519</v>
      </c>
      <c r="D77" s="4"/>
      <c r="E77" s="4" t="s">
        <v>5690</v>
      </c>
      <c r="F77" s="4" t="s">
        <v>5693</v>
      </c>
      <c r="G77" s="4" t="s">
        <v>5692</v>
      </c>
      <c r="H77" s="4" t="s">
        <v>5692</v>
      </c>
      <c r="I77" s="5">
        <v>42612</v>
      </c>
      <c r="J77" s="4" t="s">
        <v>4842</v>
      </c>
      <c r="K77" s="4" t="s">
        <v>57</v>
      </c>
      <c r="L77" s="4"/>
      <c r="M77" s="4"/>
    </row>
    <row r="78" ht="16" customHeight="1" s="4" customFormat="1">
      <c r="A78" s="4">
        <v>1394</v>
      </c>
      <c r="B78" s="4" t="s">
        <v>5694</v>
      </c>
      <c r="C78" s="4" t="s">
        <v>5695</v>
      </c>
      <c r="D78" s="4"/>
      <c r="E78" s="4" t="s">
        <v>5696</v>
      </c>
      <c r="F78" s="4" t="s">
        <v>5697</v>
      </c>
      <c r="G78" s="4" t="s">
        <v>5698</v>
      </c>
      <c r="H78" s="4" t="s">
        <v>5699</v>
      </c>
      <c r="I78" s="5">
        <v>42605</v>
      </c>
      <c r="J78" s="4" t="s">
        <v>5506</v>
      </c>
      <c r="K78" s="4" t="s">
        <v>57</v>
      </c>
      <c r="L78" s="4"/>
      <c r="M78" s="4"/>
    </row>
    <row r="79" ht="16" customHeight="1" s="4" customFormat="1">
      <c r="A79" s="4">
        <v>1395</v>
      </c>
      <c r="B79" s="4" t="s">
        <v>5499</v>
      </c>
      <c r="C79" s="4" t="s">
        <v>5519</v>
      </c>
      <c r="D79" s="4"/>
      <c r="E79" s="4" t="s">
        <v>5613</v>
      </c>
      <c r="F79" s="4" t="s">
        <v>5700</v>
      </c>
      <c r="G79" s="4" t="s">
        <v>5701</v>
      </c>
      <c r="H79" s="4" t="s">
        <v>5701</v>
      </c>
      <c r="I79" s="5">
        <v>42604</v>
      </c>
      <c r="J79" s="4" t="s">
        <v>4798</v>
      </c>
      <c r="K79" s="4" t="s">
        <v>57</v>
      </c>
      <c r="L79" s="4"/>
      <c r="M79" s="4"/>
    </row>
    <row r="80" ht="16" customHeight="1" s="4" customFormat="1">
      <c r="A80" s="4">
        <v>1396</v>
      </c>
      <c r="B80" s="4" t="s">
        <v>5499</v>
      </c>
      <c r="C80" s="4" t="s">
        <v>5702</v>
      </c>
      <c r="D80" s="4" t="s">
        <v>5574</v>
      </c>
      <c r="E80" s="4" t="s">
        <v>5575</v>
      </c>
      <c r="F80" s="4" t="s">
        <v>5703</v>
      </c>
      <c r="G80" s="4" t="s">
        <v>5704</v>
      </c>
      <c r="H80" s="4" t="s">
        <v>5705</v>
      </c>
      <c r="I80" s="5">
        <v>42593</v>
      </c>
      <c r="J80" s="4" t="s">
        <v>4798</v>
      </c>
      <c r="K80" s="4" t="s">
        <v>57</v>
      </c>
      <c r="L80" s="4"/>
      <c r="M80" s="4"/>
    </row>
    <row r="81" ht="16" customHeight="1" s="4" customFormat="1">
      <c r="A81" s="4">
        <v>1397</v>
      </c>
      <c r="B81" s="4" t="s">
        <v>5499</v>
      </c>
      <c r="C81" s="4" t="s">
        <v>5500</v>
      </c>
      <c r="D81" s="4" t="s">
        <v>5574</v>
      </c>
      <c r="E81" s="4" t="s">
        <v>5706</v>
      </c>
      <c r="F81" s="4" t="s">
        <v>5707</v>
      </c>
      <c r="G81" s="4" t="s">
        <v>5708</v>
      </c>
      <c r="H81" s="4" t="s">
        <v>5709</v>
      </c>
      <c r="I81" s="5">
        <v>42592</v>
      </c>
      <c r="J81" s="4" t="s">
        <v>5506</v>
      </c>
      <c r="K81" s="4" t="s">
        <v>57</v>
      </c>
      <c r="L81" s="4"/>
      <c r="M81" s="4"/>
    </row>
    <row r="82" ht="16" customHeight="1" s="4" customFormat="1">
      <c r="A82" s="4">
        <v>1398</v>
      </c>
      <c r="B82" s="4" t="s">
        <v>5499</v>
      </c>
      <c r="C82" s="4" t="s">
        <v>5573</v>
      </c>
      <c r="D82" s="4"/>
      <c r="E82" s="4"/>
      <c r="F82" s="4" t="s">
        <v>5710</v>
      </c>
      <c r="G82" s="4" t="s">
        <v>10</v>
      </c>
      <c r="H82" s="4" t="s">
        <v>5578</v>
      </c>
      <c r="I82" s="5">
        <v>42588</v>
      </c>
      <c r="J82" s="4" t="s">
        <v>4842</v>
      </c>
      <c r="K82" s="4" t="s">
        <v>57</v>
      </c>
      <c r="L82" s="4"/>
      <c r="M82" s="4"/>
    </row>
    <row r="83" ht="16" customHeight="1" s="4" customFormat="1">
      <c r="A83" s="4">
        <v>1399</v>
      </c>
      <c r="B83" s="4" t="s">
        <v>5694</v>
      </c>
      <c r="C83" s="4" t="s">
        <v>5695</v>
      </c>
      <c r="D83" s="4"/>
      <c r="E83" s="4" t="s">
        <v>5696</v>
      </c>
      <c r="F83" s="4" t="s">
        <v>5711</v>
      </c>
      <c r="G83" s="4" t="s">
        <v>5712</v>
      </c>
      <c r="H83" s="4" t="s">
        <v>5713</v>
      </c>
      <c r="I83" s="5">
        <v>42586</v>
      </c>
      <c r="J83" s="4" t="s">
        <v>5506</v>
      </c>
      <c r="K83" s="4" t="s">
        <v>57</v>
      </c>
      <c r="L83" s="4"/>
      <c r="M83" s="4"/>
    </row>
    <row r="84" ht="16" customHeight="1" s="4" customFormat="1">
      <c r="A84" s="4">
        <v>1400</v>
      </c>
      <c r="B84" s="4" t="s">
        <v>5499</v>
      </c>
      <c r="C84" s="4" t="s">
        <v>5714</v>
      </c>
      <c r="D84" s="4"/>
      <c r="E84" s="4"/>
      <c r="F84" s="4" t="s">
        <v>5715</v>
      </c>
      <c r="G84" s="4" t="s">
        <v>5716</v>
      </c>
      <c r="H84" s="4" t="s">
        <v>5717</v>
      </c>
      <c r="I84" s="5">
        <v>42585</v>
      </c>
      <c r="J84" s="4" t="s">
        <v>4798</v>
      </c>
      <c r="K84" s="4" t="s">
        <v>57</v>
      </c>
      <c r="L84" s="4"/>
      <c r="M84" s="4"/>
    </row>
    <row r="85" ht="16" customHeight="1" s="4" customFormat="1">
      <c r="A85" s="4">
        <v>1401</v>
      </c>
      <c r="B85" s="4" t="s">
        <v>5499</v>
      </c>
      <c r="C85" s="4" t="s">
        <v>5714</v>
      </c>
      <c r="D85" s="4"/>
      <c r="E85" s="4"/>
      <c r="F85" s="4" t="s">
        <v>5718</v>
      </c>
      <c r="G85" s="4" t="s">
        <v>5716</v>
      </c>
      <c r="H85" s="4" t="s">
        <v>5717</v>
      </c>
      <c r="I85" s="5">
        <v>42585</v>
      </c>
      <c r="J85" s="4" t="s">
        <v>4842</v>
      </c>
      <c r="K85" s="4" t="s">
        <v>57</v>
      </c>
      <c r="L85" s="4"/>
      <c r="M85" s="4"/>
    </row>
    <row r="86" ht="16" customHeight="1" s="4" customFormat="1">
      <c r="A86" s="4">
        <v>1402</v>
      </c>
      <c r="B86" s="4" t="s">
        <v>5499</v>
      </c>
      <c r="C86" s="4" t="s">
        <v>5714</v>
      </c>
      <c r="D86" s="4"/>
      <c r="E86" s="4"/>
      <c r="F86" s="4" t="s">
        <v>5719</v>
      </c>
      <c r="G86" s="4" t="s">
        <v>5716</v>
      </c>
      <c r="H86" s="4" t="s">
        <v>5717</v>
      </c>
      <c r="I86" s="5">
        <v>42585</v>
      </c>
      <c r="J86" s="4" t="s">
        <v>4842</v>
      </c>
      <c r="K86" s="4" t="s">
        <v>57</v>
      </c>
      <c r="L86" s="4"/>
      <c r="M86" s="4"/>
    </row>
    <row r="87" ht="16" customHeight="1" s="4" customFormat="1">
      <c r="A87" s="4">
        <v>1403</v>
      </c>
      <c r="B87" s="4" t="s">
        <v>5499</v>
      </c>
      <c r="C87" s="4" t="s">
        <v>5714</v>
      </c>
      <c r="D87" s="4"/>
      <c r="E87" s="4"/>
      <c r="F87" s="4" t="s">
        <v>5720</v>
      </c>
      <c r="G87" s="4" t="s">
        <v>5716</v>
      </c>
      <c r="H87" s="4" t="s">
        <v>5717</v>
      </c>
      <c r="I87" s="5">
        <v>42585</v>
      </c>
      <c r="J87" s="4" t="s">
        <v>4842</v>
      </c>
      <c r="K87" s="4" t="s">
        <v>57</v>
      </c>
      <c r="L87" s="4"/>
      <c r="M87" s="4"/>
    </row>
    <row r="88" ht="16" customHeight="1" s="4" customFormat="1">
      <c r="A88" s="4">
        <v>1404</v>
      </c>
      <c r="B88" s="4" t="s">
        <v>5499</v>
      </c>
      <c r="C88" s="4" t="s">
        <v>5500</v>
      </c>
      <c r="D88" s="4" t="s">
        <v>5501</v>
      </c>
      <c r="E88" s="4" t="s">
        <v>5502</v>
      </c>
      <c r="F88" s="4" t="s">
        <v>5721</v>
      </c>
      <c r="G88" s="4" t="s">
        <v>5722</v>
      </c>
      <c r="H88" s="4" t="s">
        <v>5723</v>
      </c>
      <c r="I88" s="5">
        <v>42580</v>
      </c>
      <c r="J88" s="4" t="s">
        <v>5506</v>
      </c>
      <c r="K88" s="4" t="s">
        <v>57</v>
      </c>
      <c r="L88" s="4"/>
      <c r="M88" s="4"/>
    </row>
    <row r="89" ht="16" customHeight="1" s="4" customFormat="1">
      <c r="A89" s="4">
        <v>1405</v>
      </c>
      <c r="B89" s="4" t="s">
        <v>5528</v>
      </c>
      <c r="C89" s="4" t="s">
        <v>5724</v>
      </c>
      <c r="D89" s="4" t="s">
        <v>5514</v>
      </c>
      <c r="E89" s="4" t="s">
        <v>5515</v>
      </c>
      <c r="F89" s="4" t="s">
        <v>5725</v>
      </c>
      <c r="G89" s="4" t="s">
        <v>5726</v>
      </c>
      <c r="H89" s="4" t="s">
        <v>5727</v>
      </c>
      <c r="I89" s="5">
        <v>42580</v>
      </c>
      <c r="J89" s="4" t="s">
        <v>4798</v>
      </c>
      <c r="K89" s="4" t="s">
        <v>57</v>
      </c>
      <c r="L89" s="4"/>
      <c r="M89" s="4"/>
    </row>
    <row r="90" ht="16" customHeight="1" s="4" customFormat="1">
      <c r="A90" s="4">
        <v>1406</v>
      </c>
      <c r="B90" s="4" t="s">
        <v>5499</v>
      </c>
      <c r="C90" s="4" t="s">
        <v>5500</v>
      </c>
      <c r="D90" s="4" t="s">
        <v>5728</v>
      </c>
      <c r="E90" s="4" t="s">
        <v>5729</v>
      </c>
      <c r="F90" s="4" t="s">
        <v>5730</v>
      </c>
      <c r="G90" s="4" t="s">
        <v>5731</v>
      </c>
      <c r="H90" s="4" t="s">
        <v>5732</v>
      </c>
      <c r="I90" s="5">
        <v>42576</v>
      </c>
      <c r="J90" s="4" t="s">
        <v>5506</v>
      </c>
      <c r="K90" s="4" t="s">
        <v>57</v>
      </c>
      <c r="L90" s="4"/>
      <c r="M90" s="4"/>
    </row>
    <row r="91" ht="16" customHeight="1" s="4" customFormat="1">
      <c r="A91" s="4">
        <v>1407</v>
      </c>
      <c r="B91" s="4" t="s">
        <v>5499</v>
      </c>
      <c r="C91" s="4" t="s">
        <v>5500</v>
      </c>
      <c r="D91" s="4" t="s">
        <v>5728</v>
      </c>
      <c r="E91" s="4" t="s">
        <v>5729</v>
      </c>
      <c r="F91" s="4" t="s">
        <v>5733</v>
      </c>
      <c r="G91" s="4" t="s">
        <v>5734</v>
      </c>
      <c r="H91" s="4" t="s">
        <v>5735</v>
      </c>
      <c r="I91" s="5">
        <v>42576</v>
      </c>
      <c r="J91" s="4" t="s">
        <v>5506</v>
      </c>
      <c r="K91" s="4" t="s">
        <v>57</v>
      </c>
      <c r="L91" s="4"/>
      <c r="M91" s="4"/>
    </row>
    <row r="92" ht="16" customHeight="1" s="4" customFormat="1">
      <c r="A92" s="4">
        <v>1408</v>
      </c>
      <c r="B92" s="4" t="s">
        <v>5499</v>
      </c>
      <c r="C92" s="4" t="s">
        <v>5500</v>
      </c>
      <c r="D92" s="4" t="s">
        <v>5728</v>
      </c>
      <c r="E92" s="4" t="s">
        <v>5729</v>
      </c>
      <c r="F92" s="4" t="s">
        <v>5736</v>
      </c>
      <c r="G92" s="4" t="s">
        <v>5737</v>
      </c>
      <c r="H92" s="4" t="s">
        <v>5732</v>
      </c>
      <c r="I92" s="5">
        <v>42576</v>
      </c>
      <c r="J92" s="4" t="s">
        <v>5506</v>
      </c>
      <c r="K92" s="4" t="s">
        <v>57</v>
      </c>
      <c r="L92" s="4"/>
      <c r="M92" s="4"/>
    </row>
    <row r="93" ht="16" customHeight="1" s="4" customFormat="1">
      <c r="A93" s="4">
        <v>1409</v>
      </c>
      <c r="B93" s="4" t="s">
        <v>5499</v>
      </c>
      <c r="C93" s="4" t="s">
        <v>5500</v>
      </c>
      <c r="D93" s="4" t="s">
        <v>5728</v>
      </c>
      <c r="E93" s="4" t="s">
        <v>5729</v>
      </c>
      <c r="F93" s="4" t="s">
        <v>5738</v>
      </c>
      <c r="G93" s="4" t="s">
        <v>5734</v>
      </c>
      <c r="H93" s="4" t="s">
        <v>5735</v>
      </c>
      <c r="I93" s="5">
        <v>42576</v>
      </c>
      <c r="J93" s="4" t="s">
        <v>5506</v>
      </c>
      <c r="K93" s="4" t="s">
        <v>57</v>
      </c>
      <c r="L93" s="4"/>
      <c r="M93" s="4"/>
    </row>
    <row r="94" ht="16" customHeight="1" s="4" customFormat="1">
      <c r="A94" s="4">
        <v>1410</v>
      </c>
      <c r="B94" s="4" t="s">
        <v>5499</v>
      </c>
      <c r="C94" s="4" t="s">
        <v>5500</v>
      </c>
      <c r="D94" s="4" t="s">
        <v>5728</v>
      </c>
      <c r="E94" s="4" t="s">
        <v>5729</v>
      </c>
      <c r="F94" s="4" t="s">
        <v>5739</v>
      </c>
      <c r="G94" s="4" t="s">
        <v>5734</v>
      </c>
      <c r="H94" s="4" t="s">
        <v>5735</v>
      </c>
      <c r="I94" s="5">
        <v>42576</v>
      </c>
      <c r="J94" s="4" t="s">
        <v>5506</v>
      </c>
      <c r="K94" s="4" t="s">
        <v>57</v>
      </c>
      <c r="L94" s="4"/>
      <c r="M94" s="4"/>
    </row>
    <row r="95" ht="16" customHeight="1" s="4" customFormat="1">
      <c r="A95" s="4">
        <v>1411</v>
      </c>
      <c r="B95" s="4" t="s">
        <v>5499</v>
      </c>
      <c r="C95" s="4" t="s">
        <v>5500</v>
      </c>
      <c r="D95" s="4" t="s">
        <v>5728</v>
      </c>
      <c r="E95" s="4" t="s">
        <v>5729</v>
      </c>
      <c r="F95" s="4" t="s">
        <v>5740</v>
      </c>
      <c r="G95" s="4" t="s">
        <v>5734</v>
      </c>
      <c r="H95" s="4" t="s">
        <v>5735</v>
      </c>
      <c r="I95" s="5">
        <v>42576</v>
      </c>
      <c r="J95" s="4" t="s">
        <v>5506</v>
      </c>
      <c r="K95" s="4" t="s">
        <v>57</v>
      </c>
      <c r="L95" s="4"/>
      <c r="M95" s="4"/>
    </row>
    <row r="96" ht="16" customHeight="1" s="4" customFormat="1">
      <c r="A96" s="4">
        <v>1412</v>
      </c>
      <c r="B96" s="4" t="s">
        <v>5499</v>
      </c>
      <c r="C96" s="4" t="s">
        <v>5500</v>
      </c>
      <c r="D96" s="4" t="s">
        <v>5728</v>
      </c>
      <c r="E96" s="4" t="s">
        <v>5729</v>
      </c>
      <c r="F96" s="4" t="s">
        <v>5741</v>
      </c>
      <c r="G96" s="4" t="s">
        <v>5734</v>
      </c>
      <c r="H96" s="4" t="s">
        <v>5742</v>
      </c>
      <c r="I96" s="5">
        <v>42576</v>
      </c>
      <c r="J96" s="4" t="s">
        <v>5506</v>
      </c>
      <c r="K96" s="4" t="s">
        <v>57</v>
      </c>
      <c r="L96" s="4"/>
      <c r="M96" s="4"/>
    </row>
    <row r="97" ht="16" customHeight="1" s="4" customFormat="1">
      <c r="A97" s="4">
        <v>1413</v>
      </c>
      <c r="B97" s="4" t="s">
        <v>5499</v>
      </c>
      <c r="C97" s="4" t="s">
        <v>5500</v>
      </c>
      <c r="D97" s="4" t="s">
        <v>5728</v>
      </c>
      <c r="E97" s="4" t="s">
        <v>5729</v>
      </c>
      <c r="F97" s="4" t="s">
        <v>5743</v>
      </c>
      <c r="G97" s="4" t="s">
        <v>5734</v>
      </c>
      <c r="H97" s="4" t="s">
        <v>5744</v>
      </c>
      <c r="I97" s="5">
        <v>42576</v>
      </c>
      <c r="J97" s="4" t="s">
        <v>5506</v>
      </c>
      <c r="K97" s="4" t="s">
        <v>57</v>
      </c>
      <c r="L97" s="4"/>
      <c r="M97" s="4"/>
    </row>
    <row r="98" ht="16" customHeight="1" s="4" customFormat="1">
      <c r="A98" s="4">
        <v>1414</v>
      </c>
      <c r="B98" s="4" t="s">
        <v>5694</v>
      </c>
      <c r="C98" s="4" t="s">
        <v>5695</v>
      </c>
      <c r="D98" s="4"/>
      <c r="E98" s="4" t="s">
        <v>5696</v>
      </c>
      <c r="F98" s="4" t="s">
        <v>5745</v>
      </c>
      <c r="G98" s="4" t="s">
        <v>5746</v>
      </c>
      <c r="H98" s="4" t="s">
        <v>5747</v>
      </c>
      <c r="I98" s="5">
        <v>42573</v>
      </c>
      <c r="J98" s="4" t="s">
        <v>5506</v>
      </c>
      <c r="K98" s="4" t="s">
        <v>57</v>
      </c>
      <c r="L98" s="4"/>
      <c r="M98" s="4"/>
    </row>
    <row r="99" ht="16" customHeight="1" s="4" customFormat="1">
      <c r="A99" s="4">
        <v>1415</v>
      </c>
      <c r="B99" s="4" t="s">
        <v>5694</v>
      </c>
      <c r="C99" s="4" t="s">
        <v>5695</v>
      </c>
      <c r="D99" s="4"/>
      <c r="E99" s="4" t="s">
        <v>5696</v>
      </c>
      <c r="F99" s="4" t="s">
        <v>5748</v>
      </c>
      <c r="G99" s="4" t="s">
        <v>5749</v>
      </c>
      <c r="H99" s="4" t="s">
        <v>5750</v>
      </c>
      <c r="I99" s="5">
        <v>42573</v>
      </c>
      <c r="J99" s="4" t="s">
        <v>5506</v>
      </c>
      <c r="K99" s="4" t="s">
        <v>57</v>
      </c>
      <c r="L99" s="4"/>
      <c r="M99" s="4"/>
    </row>
    <row r="100" ht="16" customHeight="1" s="4" customFormat="1">
      <c r="A100" s="4">
        <v>1416</v>
      </c>
      <c r="B100" s="4" t="s">
        <v>5694</v>
      </c>
      <c r="C100" s="4" t="s">
        <v>5695</v>
      </c>
      <c r="D100" s="4"/>
      <c r="E100" s="4" t="s">
        <v>5696</v>
      </c>
      <c r="F100" s="4" t="s">
        <v>5751</v>
      </c>
      <c r="G100" s="4" t="s">
        <v>5746</v>
      </c>
      <c r="H100" s="4" t="s">
        <v>5747</v>
      </c>
      <c r="I100" s="5">
        <v>42573</v>
      </c>
      <c r="J100" s="4" t="s">
        <v>5506</v>
      </c>
      <c r="K100" s="4" t="s">
        <v>57</v>
      </c>
      <c r="L100" s="4"/>
      <c r="M100" s="4"/>
    </row>
    <row r="101" ht="16" customHeight="1" s="4" customFormat="1">
      <c r="A101" s="4">
        <v>1417</v>
      </c>
      <c r="B101" s="4" t="s">
        <v>5499</v>
      </c>
      <c r="C101" s="4" t="s">
        <v>5519</v>
      </c>
      <c r="D101" s="4"/>
      <c r="E101" s="4" t="s">
        <v>5676</v>
      </c>
      <c r="F101" s="4" t="s">
        <v>5752</v>
      </c>
      <c r="G101" s="4" t="s">
        <v>10</v>
      </c>
      <c r="H101" s="4" t="s">
        <v>5753</v>
      </c>
      <c r="I101" s="5">
        <v>42573</v>
      </c>
      <c r="J101" s="4" t="s">
        <v>4798</v>
      </c>
      <c r="K101" s="4" t="s">
        <v>57</v>
      </c>
      <c r="L101" s="4"/>
      <c r="M101" s="4"/>
    </row>
    <row r="102" ht="16" customHeight="1" s="4" customFormat="1">
      <c r="A102" s="4">
        <v>1418</v>
      </c>
      <c r="B102" s="4" t="s">
        <v>5499</v>
      </c>
      <c r="C102" s="4" t="s">
        <v>5519</v>
      </c>
      <c r="D102" s="4"/>
      <c r="E102" s="4" t="s">
        <v>5524</v>
      </c>
      <c r="F102" s="4" t="s">
        <v>5754</v>
      </c>
      <c r="G102" s="4" t="s">
        <v>10</v>
      </c>
      <c r="H102" s="4" t="s">
        <v>5753</v>
      </c>
      <c r="I102" s="5">
        <v>42573</v>
      </c>
      <c r="J102" s="4" t="s">
        <v>4798</v>
      </c>
      <c r="K102" s="4" t="s">
        <v>57</v>
      </c>
      <c r="L102" s="4"/>
      <c r="M102" s="4"/>
    </row>
    <row r="103" ht="16" customHeight="1" s="4" customFormat="1">
      <c r="A103" s="4">
        <v>1419</v>
      </c>
      <c r="B103" s="4" t="s">
        <v>5499</v>
      </c>
      <c r="C103" s="4" t="s">
        <v>5500</v>
      </c>
      <c r="D103" s="4" t="s">
        <v>5591</v>
      </c>
      <c r="E103" s="4" t="s">
        <v>5755</v>
      </c>
      <c r="F103" s="4" t="s">
        <v>5756</v>
      </c>
      <c r="G103" s="4" t="s">
        <v>5757</v>
      </c>
      <c r="H103" s="4" t="s">
        <v>5758</v>
      </c>
      <c r="I103" s="5">
        <v>42573</v>
      </c>
      <c r="J103" s="4" t="s">
        <v>4798</v>
      </c>
      <c r="K103" s="4" t="s">
        <v>57</v>
      </c>
      <c r="L103" s="4"/>
      <c r="M103" s="4"/>
    </row>
    <row r="104" ht="16" customHeight="1" s="4" customFormat="1">
      <c r="A104" s="4">
        <v>1420</v>
      </c>
      <c r="B104" s="4" t="s">
        <v>5499</v>
      </c>
      <c r="C104" s="4" t="s">
        <v>5519</v>
      </c>
      <c r="D104" s="4"/>
      <c r="E104" s="4" t="s">
        <v>5690</v>
      </c>
      <c r="F104" s="4" t="s">
        <v>5759</v>
      </c>
      <c r="G104" s="4" t="s">
        <v>5760</v>
      </c>
      <c r="H104" s="4" t="s">
        <v>5760</v>
      </c>
      <c r="I104" s="5">
        <v>42573</v>
      </c>
      <c r="J104" s="4" t="s">
        <v>4842</v>
      </c>
      <c r="K104" s="4" t="s">
        <v>57</v>
      </c>
      <c r="L104" s="4"/>
      <c r="M104" s="4"/>
    </row>
    <row r="105" ht="16" customHeight="1" s="4" customFormat="1">
      <c r="A105" s="4">
        <v>1421</v>
      </c>
      <c r="B105" s="4" t="s">
        <v>5499</v>
      </c>
      <c r="C105" s="4" t="s">
        <v>5500</v>
      </c>
      <c r="D105" s="4" t="s">
        <v>5574</v>
      </c>
      <c r="E105" s="4" t="s">
        <v>5761</v>
      </c>
      <c r="F105" s="4" t="s">
        <v>5762</v>
      </c>
      <c r="G105" s="4" t="s">
        <v>5763</v>
      </c>
      <c r="H105" s="4" t="s">
        <v>5764</v>
      </c>
      <c r="I105" s="5">
        <v>42572</v>
      </c>
      <c r="J105" s="4" t="s">
        <v>4798</v>
      </c>
      <c r="K105" s="4" t="s">
        <v>57</v>
      </c>
      <c r="L105" s="4"/>
      <c r="M105" s="4"/>
    </row>
    <row r="106" ht="16" customHeight="1" s="4" customFormat="1">
      <c r="A106" s="4">
        <v>1422</v>
      </c>
      <c r="B106" s="4" t="s">
        <v>5600</v>
      </c>
      <c r="C106" s="4" t="s">
        <v>5600</v>
      </c>
      <c r="D106" s="4" t="s">
        <v>5618</v>
      </c>
      <c r="E106" s="4" t="s">
        <v>5765</v>
      </c>
      <c r="F106" s="4" t="s">
        <v>5766</v>
      </c>
      <c r="G106" s="4" t="s">
        <v>5767</v>
      </c>
      <c r="H106" s="4" t="s">
        <v>5768</v>
      </c>
      <c r="I106" s="5">
        <v>42570</v>
      </c>
      <c r="J106" s="4" t="s">
        <v>4798</v>
      </c>
      <c r="K106" s="4" t="s">
        <v>57</v>
      </c>
      <c r="L106" s="4"/>
      <c r="M106" s="4"/>
    </row>
    <row r="107" ht="16" customHeight="1" s="4" customFormat="1">
      <c r="A107" s="4">
        <v>1423</v>
      </c>
      <c r="B107" s="4" t="s">
        <v>5600</v>
      </c>
      <c r="C107" s="4" t="s">
        <v>5600</v>
      </c>
      <c r="D107" s="4" t="s">
        <v>5574</v>
      </c>
      <c r="E107" s="4" t="s">
        <v>5769</v>
      </c>
      <c r="F107" s="4" t="s">
        <v>5770</v>
      </c>
      <c r="G107" s="4" t="s">
        <v>5771</v>
      </c>
      <c r="H107" s="4" t="s">
        <v>5772</v>
      </c>
      <c r="I107" s="5">
        <v>42569</v>
      </c>
      <c r="J107" s="4" t="s">
        <v>4842</v>
      </c>
      <c r="K107" s="4" t="s">
        <v>57</v>
      </c>
      <c r="L107" s="4"/>
      <c r="M107" s="4"/>
    </row>
    <row r="108" ht="16" customHeight="1" s="4" customFormat="1">
      <c r="A108" s="4">
        <v>1424</v>
      </c>
      <c r="B108" s="4" t="s">
        <v>5534</v>
      </c>
      <c r="C108" s="4" t="s">
        <v>5773</v>
      </c>
      <c r="D108" s="4"/>
      <c r="E108" s="4"/>
      <c r="F108" s="4" t="s">
        <v>5774</v>
      </c>
      <c r="G108" s="4" t="s">
        <v>5712</v>
      </c>
      <c r="H108" s="4" t="s">
        <v>5775</v>
      </c>
      <c r="I108" s="5">
        <v>42569</v>
      </c>
      <c r="J108" s="4" t="s">
        <v>5506</v>
      </c>
      <c r="K108" s="4" t="s">
        <v>57</v>
      </c>
      <c r="L108" s="4"/>
      <c r="M108" s="4"/>
    </row>
    <row r="109" ht="16" customHeight="1" s="4" customFormat="1">
      <c r="A109" s="4">
        <v>1425</v>
      </c>
      <c r="B109" s="4" t="s">
        <v>5534</v>
      </c>
      <c r="C109" s="4" t="s">
        <v>5773</v>
      </c>
      <c r="D109" s="4"/>
      <c r="E109" s="4"/>
      <c r="F109" s="4" t="s">
        <v>5776</v>
      </c>
      <c r="G109" s="4" t="s">
        <v>5712</v>
      </c>
      <c r="H109" s="4" t="s">
        <v>5775</v>
      </c>
      <c r="I109" s="5">
        <v>42569</v>
      </c>
      <c r="J109" s="4" t="s">
        <v>5506</v>
      </c>
      <c r="K109" s="4" t="s">
        <v>57</v>
      </c>
      <c r="L109" s="4"/>
      <c r="M109" s="4"/>
    </row>
    <row r="110" ht="16" customHeight="1" s="4" customFormat="1">
      <c r="A110" s="4">
        <v>1426</v>
      </c>
      <c r="B110" s="4" t="s">
        <v>5534</v>
      </c>
      <c r="C110" s="4" t="s">
        <v>5773</v>
      </c>
      <c r="D110" s="4"/>
      <c r="E110" s="4"/>
      <c r="F110" s="4" t="s">
        <v>5777</v>
      </c>
      <c r="G110" s="4" t="s">
        <v>10</v>
      </c>
      <c r="H110" s="4" t="s">
        <v>5778</v>
      </c>
      <c r="I110" s="5">
        <v>42569</v>
      </c>
      <c r="J110" s="4" t="s">
        <v>4842</v>
      </c>
      <c r="K110" s="4" t="s">
        <v>57</v>
      </c>
      <c r="L110" s="4"/>
      <c r="M110" s="4"/>
    </row>
    <row r="111" ht="16" customHeight="1" s="4" customFormat="1">
      <c r="A111" s="4">
        <v>1427</v>
      </c>
      <c r="B111" s="4" t="s">
        <v>5534</v>
      </c>
      <c r="C111" s="4" t="s">
        <v>5773</v>
      </c>
      <c r="D111" s="4"/>
      <c r="E111" s="4"/>
      <c r="F111" s="4" t="s">
        <v>5779</v>
      </c>
      <c r="G111" s="4" t="s">
        <v>10</v>
      </c>
      <c r="H111" s="4" t="s">
        <v>5778</v>
      </c>
      <c r="I111" s="5">
        <v>42569</v>
      </c>
      <c r="J111" s="4" t="s">
        <v>4842</v>
      </c>
      <c r="K111" s="4" t="s">
        <v>57</v>
      </c>
      <c r="L111" s="4"/>
      <c r="M111" s="4"/>
    </row>
    <row r="112" ht="16" customHeight="1" s="4" customFormat="1">
      <c r="A112" s="4">
        <v>1428</v>
      </c>
      <c r="B112" s="4" t="s">
        <v>5534</v>
      </c>
      <c r="C112" s="4" t="s">
        <v>5773</v>
      </c>
      <c r="D112" s="4"/>
      <c r="E112" s="4"/>
      <c r="F112" s="4" t="s">
        <v>5780</v>
      </c>
      <c r="G112" s="4" t="s">
        <v>10</v>
      </c>
      <c r="H112" s="4" t="s">
        <v>5778</v>
      </c>
      <c r="I112" s="5">
        <v>42569</v>
      </c>
      <c r="J112" s="4" t="s">
        <v>4842</v>
      </c>
      <c r="K112" s="4" t="s">
        <v>57</v>
      </c>
      <c r="L112" s="4"/>
      <c r="M112" s="4"/>
    </row>
    <row r="113" ht="16" customHeight="1" s="4" customFormat="1">
      <c r="A113" s="4">
        <v>1429</v>
      </c>
      <c r="B113" s="4" t="s">
        <v>5534</v>
      </c>
      <c r="C113" s="4" t="s">
        <v>5773</v>
      </c>
      <c r="D113" s="4"/>
      <c r="E113" s="4"/>
      <c r="F113" s="4" t="s">
        <v>5781</v>
      </c>
      <c r="G113" s="4" t="s">
        <v>10</v>
      </c>
      <c r="H113" s="4" t="s">
        <v>5778</v>
      </c>
      <c r="I113" s="5">
        <v>42569</v>
      </c>
      <c r="J113" s="4" t="s">
        <v>4842</v>
      </c>
      <c r="K113" s="4" t="s">
        <v>57</v>
      </c>
      <c r="L113" s="4"/>
      <c r="M113" s="4"/>
    </row>
    <row r="114" ht="16" customHeight="1" s="4" customFormat="1">
      <c r="A114" s="4">
        <v>1430</v>
      </c>
      <c r="B114" s="4" t="s">
        <v>5534</v>
      </c>
      <c r="C114" s="4" t="s">
        <v>5773</v>
      </c>
      <c r="D114" s="4"/>
      <c r="E114" s="4"/>
      <c r="F114" s="4" t="s">
        <v>5782</v>
      </c>
      <c r="G114" s="4" t="s">
        <v>10</v>
      </c>
      <c r="H114" s="4" t="s">
        <v>5778</v>
      </c>
      <c r="I114" s="5">
        <v>42569</v>
      </c>
      <c r="J114" s="4" t="s">
        <v>4842</v>
      </c>
      <c r="K114" s="4" t="s">
        <v>57</v>
      </c>
      <c r="L114" s="4"/>
      <c r="M114" s="4"/>
    </row>
    <row r="115" ht="16" customHeight="1" s="4" customFormat="1">
      <c r="A115" s="4">
        <v>1431</v>
      </c>
      <c r="B115" s="4" t="s">
        <v>5534</v>
      </c>
      <c r="C115" s="4" t="s">
        <v>5773</v>
      </c>
      <c r="D115" s="4"/>
      <c r="E115" s="4"/>
      <c r="F115" s="4" t="s">
        <v>5783</v>
      </c>
      <c r="G115" s="4" t="s">
        <v>10</v>
      </c>
      <c r="H115" s="4" t="s">
        <v>5778</v>
      </c>
      <c r="I115" s="5">
        <v>42569</v>
      </c>
      <c r="J115" s="4" t="s">
        <v>4842</v>
      </c>
      <c r="K115" s="4" t="s">
        <v>57</v>
      </c>
      <c r="L115" s="4"/>
      <c r="M115" s="4"/>
    </row>
    <row r="116" ht="16" customHeight="1" s="4" customFormat="1">
      <c r="A116" s="4">
        <v>1432</v>
      </c>
      <c r="B116" s="4" t="s">
        <v>5534</v>
      </c>
      <c r="C116" s="4" t="s">
        <v>5773</v>
      </c>
      <c r="D116" s="4"/>
      <c r="E116" s="4"/>
      <c r="F116" s="4" t="s">
        <v>5784</v>
      </c>
      <c r="G116" s="4" t="s">
        <v>10</v>
      </c>
      <c r="H116" s="4" t="s">
        <v>5778</v>
      </c>
      <c r="I116" s="5">
        <v>42569</v>
      </c>
      <c r="J116" s="4" t="s">
        <v>4842</v>
      </c>
      <c r="K116" s="4" t="s">
        <v>57</v>
      </c>
      <c r="L116" s="4"/>
      <c r="M116" s="4"/>
    </row>
    <row r="117" ht="16" customHeight="1" s="4" customFormat="1">
      <c r="A117" s="4">
        <v>1433</v>
      </c>
      <c r="B117" s="4" t="s">
        <v>5534</v>
      </c>
      <c r="C117" s="4" t="s">
        <v>5773</v>
      </c>
      <c r="D117" s="4"/>
      <c r="E117" s="4"/>
      <c r="F117" s="4" t="s">
        <v>5785</v>
      </c>
      <c r="G117" s="4" t="s">
        <v>10</v>
      </c>
      <c r="H117" s="4" t="s">
        <v>5778</v>
      </c>
      <c r="I117" s="5">
        <v>42569</v>
      </c>
      <c r="J117" s="4" t="s">
        <v>4842</v>
      </c>
      <c r="K117" s="4" t="s">
        <v>57</v>
      </c>
      <c r="L117" s="4"/>
      <c r="M117" s="4"/>
    </row>
    <row r="118" ht="16" customHeight="1" s="4" customFormat="1">
      <c r="A118" s="4">
        <v>1434</v>
      </c>
      <c r="B118" s="4" t="s">
        <v>5534</v>
      </c>
      <c r="C118" s="4" t="s">
        <v>5773</v>
      </c>
      <c r="D118" s="4"/>
      <c r="E118" s="4"/>
      <c r="F118" s="4" t="s">
        <v>5786</v>
      </c>
      <c r="G118" s="4" t="s">
        <v>10</v>
      </c>
      <c r="H118" s="4" t="s">
        <v>5778</v>
      </c>
      <c r="I118" s="5">
        <v>42569</v>
      </c>
      <c r="J118" s="4" t="s">
        <v>4842</v>
      </c>
      <c r="K118" s="4" t="s">
        <v>57</v>
      </c>
      <c r="L118" s="4"/>
      <c r="M118" s="4"/>
    </row>
    <row r="119" ht="16" customHeight="1" s="4" customFormat="1">
      <c r="A119" s="4">
        <v>1435</v>
      </c>
      <c r="B119" s="4" t="s">
        <v>5534</v>
      </c>
      <c r="C119" s="4" t="s">
        <v>5773</v>
      </c>
      <c r="D119" s="4"/>
      <c r="E119" s="4"/>
      <c r="F119" s="4" t="s">
        <v>5787</v>
      </c>
      <c r="G119" s="4" t="s">
        <v>10</v>
      </c>
      <c r="H119" s="4" t="s">
        <v>5778</v>
      </c>
      <c r="I119" s="5">
        <v>42569</v>
      </c>
      <c r="J119" s="4" t="s">
        <v>4842</v>
      </c>
      <c r="K119" s="4" t="s">
        <v>57</v>
      </c>
      <c r="L119" s="4"/>
      <c r="M119" s="4"/>
    </row>
    <row r="120" ht="16" customHeight="1" s="4" customFormat="1">
      <c r="A120" s="4">
        <v>1436</v>
      </c>
      <c r="B120" s="4" t="s">
        <v>5534</v>
      </c>
      <c r="C120" s="4" t="s">
        <v>5773</v>
      </c>
      <c r="D120" s="4"/>
      <c r="E120" s="4"/>
      <c r="F120" s="4" t="s">
        <v>5788</v>
      </c>
      <c r="G120" s="4" t="s">
        <v>10</v>
      </c>
      <c r="H120" s="4" t="s">
        <v>5778</v>
      </c>
      <c r="I120" s="5">
        <v>42569</v>
      </c>
      <c r="J120" s="4" t="s">
        <v>4842</v>
      </c>
      <c r="K120" s="4" t="s">
        <v>57</v>
      </c>
      <c r="L120" s="4"/>
      <c r="M120" s="4"/>
    </row>
    <row r="121" ht="16" customHeight="1" s="4" customFormat="1">
      <c r="A121" s="4">
        <v>1437</v>
      </c>
      <c r="B121" s="4" t="s">
        <v>5534</v>
      </c>
      <c r="C121" s="4" t="s">
        <v>5773</v>
      </c>
      <c r="D121" s="4"/>
      <c r="E121" s="4"/>
      <c r="F121" s="4" t="s">
        <v>5789</v>
      </c>
      <c r="G121" s="4" t="s">
        <v>10</v>
      </c>
      <c r="H121" s="4" t="s">
        <v>5778</v>
      </c>
      <c r="I121" s="5">
        <v>42569</v>
      </c>
      <c r="J121" s="4" t="s">
        <v>4842</v>
      </c>
      <c r="K121" s="4" t="s">
        <v>57</v>
      </c>
      <c r="L121" s="4"/>
      <c r="M121" s="4"/>
    </row>
    <row r="122" ht="16" customHeight="1" s="4" customFormat="1">
      <c r="A122" s="4">
        <v>1438</v>
      </c>
      <c r="B122" s="4" t="s">
        <v>5534</v>
      </c>
      <c r="C122" s="4" t="s">
        <v>5773</v>
      </c>
      <c r="D122" s="4"/>
      <c r="E122" s="4"/>
      <c r="F122" s="4" t="s">
        <v>5790</v>
      </c>
      <c r="G122" s="4" t="s">
        <v>5791</v>
      </c>
      <c r="H122" s="4" t="s">
        <v>5792</v>
      </c>
      <c r="I122" s="5">
        <v>42569</v>
      </c>
      <c r="J122" s="4" t="s">
        <v>4842</v>
      </c>
      <c r="K122" s="4" t="s">
        <v>57</v>
      </c>
      <c r="L122" s="4"/>
      <c r="M122" s="4"/>
    </row>
    <row r="123" ht="16" customHeight="1" s="4" customFormat="1">
      <c r="A123" s="4">
        <v>1439</v>
      </c>
      <c r="B123" s="4" t="s">
        <v>5534</v>
      </c>
      <c r="C123" s="4" t="s">
        <v>5773</v>
      </c>
      <c r="D123" s="4"/>
      <c r="E123" s="4"/>
      <c r="F123" s="4" t="s">
        <v>5793</v>
      </c>
      <c r="G123" s="4" t="s">
        <v>5791</v>
      </c>
      <c r="H123" s="4" t="s">
        <v>5792</v>
      </c>
      <c r="I123" s="5">
        <v>42569</v>
      </c>
      <c r="J123" s="4" t="s">
        <v>4842</v>
      </c>
      <c r="K123" s="4" t="s">
        <v>57</v>
      </c>
      <c r="L123" s="4"/>
      <c r="M123" s="4"/>
    </row>
    <row r="124" ht="16" customHeight="1" s="4" customFormat="1">
      <c r="A124" s="4">
        <v>1440</v>
      </c>
      <c r="B124" s="4" t="s">
        <v>5534</v>
      </c>
      <c r="C124" s="4" t="s">
        <v>5773</v>
      </c>
      <c r="D124" s="4"/>
      <c r="E124" s="4"/>
      <c r="F124" s="4" t="s">
        <v>5794</v>
      </c>
      <c r="G124" s="4" t="s">
        <v>5791</v>
      </c>
      <c r="H124" s="4" t="s">
        <v>5792</v>
      </c>
      <c r="I124" s="5">
        <v>42569</v>
      </c>
      <c r="J124" s="4" t="s">
        <v>4842</v>
      </c>
      <c r="K124" s="4" t="s">
        <v>57</v>
      </c>
      <c r="L124" s="4"/>
      <c r="M124" s="4"/>
    </row>
    <row r="125" ht="16" customHeight="1" s="4" customFormat="1">
      <c r="A125" s="4">
        <v>1441</v>
      </c>
      <c r="B125" s="4" t="s">
        <v>5534</v>
      </c>
      <c r="C125" s="4" t="s">
        <v>5773</v>
      </c>
      <c r="D125" s="4"/>
      <c r="E125" s="4"/>
      <c r="F125" s="4" t="s">
        <v>5795</v>
      </c>
      <c r="G125" s="4" t="s">
        <v>5791</v>
      </c>
      <c r="H125" s="4" t="s">
        <v>5792</v>
      </c>
      <c r="I125" s="5">
        <v>42569</v>
      </c>
      <c r="J125" s="4" t="s">
        <v>4842</v>
      </c>
      <c r="K125" s="4" t="s">
        <v>57</v>
      </c>
      <c r="L125" s="4"/>
      <c r="M125" s="4"/>
    </row>
    <row r="126" ht="16" customHeight="1" s="4" customFormat="1">
      <c r="A126" s="4">
        <v>1442</v>
      </c>
      <c r="B126" s="4" t="s">
        <v>5534</v>
      </c>
      <c r="C126" s="4" t="s">
        <v>5773</v>
      </c>
      <c r="D126" s="4"/>
      <c r="E126" s="4"/>
      <c r="F126" s="4" t="s">
        <v>5796</v>
      </c>
      <c r="G126" s="4" t="s">
        <v>5791</v>
      </c>
      <c r="H126" s="4" t="s">
        <v>5792</v>
      </c>
      <c r="I126" s="5">
        <v>42569</v>
      </c>
      <c r="J126" s="4" t="s">
        <v>4842</v>
      </c>
      <c r="K126" s="4" t="s">
        <v>57</v>
      </c>
      <c r="L126" s="4"/>
      <c r="M126" s="4"/>
    </row>
    <row r="127" ht="16" customHeight="1" s="4" customFormat="1">
      <c r="A127" s="4">
        <v>1443</v>
      </c>
      <c r="B127" s="4" t="s">
        <v>5534</v>
      </c>
      <c r="C127" s="4" t="s">
        <v>5773</v>
      </c>
      <c r="D127" s="4"/>
      <c r="E127" s="4"/>
      <c r="F127" s="4" t="s">
        <v>5797</v>
      </c>
      <c r="G127" s="4" t="s">
        <v>5791</v>
      </c>
      <c r="H127" s="4" t="s">
        <v>5792</v>
      </c>
      <c r="I127" s="5">
        <v>42569</v>
      </c>
      <c r="J127" s="4" t="s">
        <v>4842</v>
      </c>
      <c r="K127" s="4" t="s">
        <v>57</v>
      </c>
      <c r="L127" s="4"/>
      <c r="M127" s="4"/>
    </row>
    <row r="128" ht="16" customHeight="1" s="4" customFormat="1">
      <c r="A128" s="4">
        <v>1444</v>
      </c>
      <c r="B128" s="4" t="s">
        <v>5534</v>
      </c>
      <c r="C128" s="4" t="s">
        <v>5773</v>
      </c>
      <c r="D128" s="4"/>
      <c r="E128" s="4"/>
      <c r="F128" s="4" t="s">
        <v>5798</v>
      </c>
      <c r="G128" s="4" t="s">
        <v>5791</v>
      </c>
      <c r="H128" s="4" t="s">
        <v>5792</v>
      </c>
      <c r="I128" s="5">
        <v>42569</v>
      </c>
      <c r="J128" s="4" t="s">
        <v>4842</v>
      </c>
      <c r="K128" s="4" t="s">
        <v>57</v>
      </c>
      <c r="L128" s="4"/>
      <c r="M128" s="4"/>
    </row>
    <row r="129" ht="16" customHeight="1" s="4" customFormat="1">
      <c r="A129" s="4">
        <v>1445</v>
      </c>
      <c r="B129" s="4" t="s">
        <v>5534</v>
      </c>
      <c r="C129" s="4" t="s">
        <v>5773</v>
      </c>
      <c r="D129" s="4"/>
      <c r="E129" s="4"/>
      <c r="F129" s="4" t="s">
        <v>5799</v>
      </c>
      <c r="G129" s="4" t="s">
        <v>5791</v>
      </c>
      <c r="H129" s="4" t="s">
        <v>5792</v>
      </c>
      <c r="I129" s="5">
        <v>42569</v>
      </c>
      <c r="J129" s="4" t="s">
        <v>4842</v>
      </c>
      <c r="K129" s="4" t="s">
        <v>57</v>
      </c>
      <c r="L129" s="4"/>
      <c r="M129" s="4"/>
    </row>
    <row r="130" ht="16" customHeight="1" s="4" customFormat="1">
      <c r="A130" s="4">
        <v>1446</v>
      </c>
      <c r="B130" s="4" t="s">
        <v>5534</v>
      </c>
      <c r="C130" s="4" t="s">
        <v>5773</v>
      </c>
      <c r="D130" s="4"/>
      <c r="E130" s="4"/>
      <c r="F130" s="4" t="s">
        <v>5800</v>
      </c>
      <c r="G130" s="4" t="s">
        <v>5791</v>
      </c>
      <c r="H130" s="4" t="s">
        <v>5792</v>
      </c>
      <c r="I130" s="5">
        <v>42569</v>
      </c>
      <c r="J130" s="4" t="s">
        <v>4842</v>
      </c>
      <c r="K130" s="4" t="s">
        <v>57</v>
      </c>
      <c r="L130" s="4"/>
      <c r="M130" s="4"/>
    </row>
    <row r="131" ht="16" customHeight="1" s="4" customFormat="1">
      <c r="A131" s="4">
        <v>1447</v>
      </c>
      <c r="B131" s="4" t="s">
        <v>5534</v>
      </c>
      <c r="C131" s="4" t="s">
        <v>5773</v>
      </c>
      <c r="D131" s="4"/>
      <c r="E131" s="4"/>
      <c r="F131" s="4" t="s">
        <v>5801</v>
      </c>
      <c r="G131" s="4" t="s">
        <v>5791</v>
      </c>
      <c r="H131" s="4" t="s">
        <v>5792</v>
      </c>
      <c r="I131" s="5">
        <v>42569</v>
      </c>
      <c r="J131" s="4" t="s">
        <v>4842</v>
      </c>
      <c r="K131" s="4" t="s">
        <v>57</v>
      </c>
      <c r="L131" s="4"/>
      <c r="M131" s="4"/>
    </row>
    <row r="132" ht="16" customHeight="1" s="4" customFormat="1">
      <c r="A132" s="4">
        <v>1448</v>
      </c>
      <c r="B132" s="4" t="s">
        <v>5534</v>
      </c>
      <c r="C132" s="4" t="s">
        <v>5773</v>
      </c>
      <c r="D132" s="4"/>
      <c r="E132" s="4"/>
      <c r="F132" s="4" t="s">
        <v>5802</v>
      </c>
      <c r="G132" s="4" t="s">
        <v>5791</v>
      </c>
      <c r="H132" s="4" t="s">
        <v>5792</v>
      </c>
      <c r="I132" s="5">
        <v>42569</v>
      </c>
      <c r="J132" s="4" t="s">
        <v>4842</v>
      </c>
      <c r="K132" s="4" t="s">
        <v>57</v>
      </c>
      <c r="L132" s="4"/>
      <c r="M132" s="4"/>
    </row>
    <row r="133" ht="16" customHeight="1" s="4" customFormat="1">
      <c r="A133" s="4">
        <v>1449</v>
      </c>
      <c r="B133" s="4" t="s">
        <v>5534</v>
      </c>
      <c r="C133" s="4" t="s">
        <v>5773</v>
      </c>
      <c r="D133" s="4"/>
      <c r="E133" s="4"/>
      <c r="F133" s="4" t="s">
        <v>5803</v>
      </c>
      <c r="G133" s="4" t="s">
        <v>5791</v>
      </c>
      <c r="H133" s="4" t="s">
        <v>5792</v>
      </c>
      <c r="I133" s="5">
        <v>42569</v>
      </c>
      <c r="J133" s="4" t="s">
        <v>4842</v>
      </c>
      <c r="K133" s="4" t="s">
        <v>57</v>
      </c>
      <c r="L133" s="4"/>
      <c r="M133" s="4"/>
    </row>
    <row r="134" ht="16" customHeight="1" s="4" customFormat="1">
      <c r="A134" s="4">
        <v>1450</v>
      </c>
      <c r="B134" s="4" t="s">
        <v>5534</v>
      </c>
      <c r="C134" s="4" t="s">
        <v>5773</v>
      </c>
      <c r="D134" s="4"/>
      <c r="E134" s="4"/>
      <c r="F134" s="4" t="s">
        <v>5804</v>
      </c>
      <c r="G134" s="4" t="s">
        <v>5791</v>
      </c>
      <c r="H134" s="4" t="s">
        <v>5792</v>
      </c>
      <c r="I134" s="5">
        <v>42569</v>
      </c>
      <c r="J134" s="4" t="s">
        <v>4842</v>
      </c>
      <c r="K134" s="4" t="s">
        <v>57</v>
      </c>
      <c r="L134" s="4"/>
      <c r="M134" s="4"/>
    </row>
    <row r="135" ht="16" customHeight="1" s="4" customFormat="1">
      <c r="A135" s="4">
        <v>1451</v>
      </c>
      <c r="B135" s="4" t="s">
        <v>5534</v>
      </c>
      <c r="C135" s="4" t="s">
        <v>5773</v>
      </c>
      <c r="D135" s="4"/>
      <c r="E135" s="4"/>
      <c r="F135" s="4" t="s">
        <v>5805</v>
      </c>
      <c r="G135" s="4" t="s">
        <v>5791</v>
      </c>
      <c r="H135" s="4" t="s">
        <v>5792</v>
      </c>
      <c r="I135" s="5">
        <v>42569</v>
      </c>
      <c r="J135" s="4" t="s">
        <v>4842</v>
      </c>
      <c r="K135" s="4" t="s">
        <v>57</v>
      </c>
      <c r="L135" s="4"/>
      <c r="M135" s="4"/>
    </row>
    <row r="136" ht="16" customHeight="1" s="4" customFormat="1">
      <c r="A136" s="4">
        <v>1452</v>
      </c>
      <c r="B136" s="4" t="s">
        <v>5534</v>
      </c>
      <c r="C136" s="4" t="s">
        <v>5773</v>
      </c>
      <c r="D136" s="4"/>
      <c r="E136" s="4"/>
      <c r="F136" s="4" t="s">
        <v>5806</v>
      </c>
      <c r="G136" s="4" t="s">
        <v>5791</v>
      </c>
      <c r="H136" s="4" t="s">
        <v>5792</v>
      </c>
      <c r="I136" s="5">
        <v>42569</v>
      </c>
      <c r="J136" s="4" t="s">
        <v>4842</v>
      </c>
      <c r="K136" s="4" t="s">
        <v>57</v>
      </c>
      <c r="L136" s="4"/>
      <c r="M136" s="4"/>
    </row>
    <row r="137" ht="16" customHeight="1" s="4" customFormat="1">
      <c r="A137" s="4">
        <v>1453</v>
      </c>
      <c r="B137" s="4" t="s">
        <v>5534</v>
      </c>
      <c r="C137" s="4" t="s">
        <v>5773</v>
      </c>
      <c r="D137" s="4"/>
      <c r="E137" s="4"/>
      <c r="F137" s="4" t="s">
        <v>5807</v>
      </c>
      <c r="G137" s="4" t="s">
        <v>5791</v>
      </c>
      <c r="H137" s="4" t="s">
        <v>5792</v>
      </c>
      <c r="I137" s="5">
        <v>42569</v>
      </c>
      <c r="J137" s="4" t="s">
        <v>4842</v>
      </c>
      <c r="K137" s="4" t="s">
        <v>57</v>
      </c>
      <c r="L137" s="4"/>
      <c r="M137" s="4"/>
    </row>
    <row r="138" ht="16" customHeight="1" s="4" customFormat="1">
      <c r="A138" s="4">
        <v>1454</v>
      </c>
      <c r="B138" s="4" t="s">
        <v>5534</v>
      </c>
      <c r="C138" s="4" t="s">
        <v>5773</v>
      </c>
      <c r="D138" s="4"/>
      <c r="E138" s="4"/>
      <c r="F138" s="4" t="s">
        <v>5808</v>
      </c>
      <c r="G138" s="4" t="s">
        <v>5791</v>
      </c>
      <c r="H138" s="4" t="s">
        <v>5792</v>
      </c>
      <c r="I138" s="5">
        <v>42569</v>
      </c>
      <c r="J138" s="4" t="s">
        <v>4842</v>
      </c>
      <c r="K138" s="4" t="s">
        <v>57</v>
      </c>
      <c r="L138" s="4"/>
      <c r="M138" s="4"/>
    </row>
    <row r="139" ht="16" customHeight="1" s="4" customFormat="1">
      <c r="A139" s="4">
        <v>1455</v>
      </c>
      <c r="B139" s="4" t="s">
        <v>5534</v>
      </c>
      <c r="C139" s="4" t="s">
        <v>5773</v>
      </c>
      <c r="D139" s="4"/>
      <c r="E139" s="4"/>
      <c r="F139" s="4" t="s">
        <v>5809</v>
      </c>
      <c r="G139" s="4" t="s">
        <v>5791</v>
      </c>
      <c r="H139" s="4" t="s">
        <v>5792</v>
      </c>
      <c r="I139" s="5">
        <v>42569</v>
      </c>
      <c r="J139" s="4" t="s">
        <v>4842</v>
      </c>
      <c r="K139" s="4" t="s">
        <v>57</v>
      </c>
      <c r="L139" s="4"/>
      <c r="M139" s="4"/>
    </row>
    <row r="140" ht="16" customHeight="1" s="4" customFormat="1">
      <c r="A140" s="4">
        <v>1456</v>
      </c>
      <c r="B140" s="4" t="s">
        <v>5534</v>
      </c>
      <c r="C140" s="4" t="s">
        <v>5773</v>
      </c>
      <c r="D140" s="4"/>
      <c r="E140" s="4"/>
      <c r="F140" s="4" t="s">
        <v>5810</v>
      </c>
      <c r="G140" s="4" t="s">
        <v>5791</v>
      </c>
      <c r="H140" s="4" t="s">
        <v>5792</v>
      </c>
      <c r="I140" s="5">
        <v>42569</v>
      </c>
      <c r="J140" s="4" t="s">
        <v>4842</v>
      </c>
      <c r="K140" s="4" t="s">
        <v>57</v>
      </c>
      <c r="L140" s="4"/>
      <c r="M140" s="4"/>
    </row>
    <row r="141" ht="16" customHeight="1" s="4" customFormat="1">
      <c r="A141" s="4">
        <v>1457</v>
      </c>
      <c r="B141" s="4" t="s">
        <v>5534</v>
      </c>
      <c r="C141" s="4" t="s">
        <v>5773</v>
      </c>
      <c r="D141" s="4"/>
      <c r="E141" s="4"/>
      <c r="F141" s="4" t="s">
        <v>5811</v>
      </c>
      <c r="G141" s="4" t="s">
        <v>5791</v>
      </c>
      <c r="H141" s="4" t="s">
        <v>5792</v>
      </c>
      <c r="I141" s="5">
        <v>42569</v>
      </c>
      <c r="J141" s="4" t="s">
        <v>4842</v>
      </c>
      <c r="K141" s="4" t="s">
        <v>57</v>
      </c>
      <c r="L141" s="4"/>
      <c r="M141" s="4"/>
    </row>
    <row r="142" ht="16" customHeight="1" s="4" customFormat="1">
      <c r="A142" s="4">
        <v>1458</v>
      </c>
      <c r="B142" s="4" t="s">
        <v>5534</v>
      </c>
      <c r="C142" s="4" t="s">
        <v>5773</v>
      </c>
      <c r="D142" s="4"/>
      <c r="E142" s="4"/>
      <c r="F142" s="4" t="s">
        <v>5812</v>
      </c>
      <c r="G142" s="4" t="s">
        <v>5791</v>
      </c>
      <c r="H142" s="4" t="s">
        <v>5792</v>
      </c>
      <c r="I142" s="5">
        <v>42569</v>
      </c>
      <c r="J142" s="4" t="s">
        <v>4842</v>
      </c>
      <c r="K142" s="4" t="s">
        <v>57</v>
      </c>
      <c r="L142" s="4"/>
      <c r="M142" s="4"/>
    </row>
    <row r="143" ht="16" customHeight="1" s="4" customFormat="1">
      <c r="A143" s="4">
        <v>1459</v>
      </c>
      <c r="B143" s="4" t="s">
        <v>5694</v>
      </c>
      <c r="C143" s="4" t="s">
        <v>5695</v>
      </c>
      <c r="D143" s="4"/>
      <c r="E143" s="4" t="s">
        <v>5696</v>
      </c>
      <c r="F143" s="4" t="s">
        <v>5813</v>
      </c>
      <c r="G143" s="4" t="s">
        <v>5746</v>
      </c>
      <c r="H143" s="4" t="s">
        <v>5747</v>
      </c>
      <c r="I143" s="5">
        <v>42565</v>
      </c>
      <c r="J143" s="4" t="s">
        <v>5506</v>
      </c>
      <c r="K143" s="4" t="s">
        <v>57</v>
      </c>
      <c r="L143" s="4"/>
      <c r="M143" s="4"/>
    </row>
    <row r="144" ht="16" customHeight="1" s="4" customFormat="1">
      <c r="A144" s="4">
        <v>1460</v>
      </c>
      <c r="B144" s="4" t="s">
        <v>5499</v>
      </c>
      <c r="C144" s="4" t="s">
        <v>5519</v>
      </c>
      <c r="D144" s="4"/>
      <c r="E144" s="4" t="s">
        <v>5641</v>
      </c>
      <c r="F144" s="4" t="s">
        <v>5814</v>
      </c>
      <c r="G144" s="4" t="s">
        <v>5815</v>
      </c>
      <c r="H144" s="4" t="s">
        <v>5663</v>
      </c>
      <c r="I144" s="5">
        <v>42562</v>
      </c>
      <c r="J144" s="4" t="s">
        <v>4842</v>
      </c>
      <c r="K144" s="4" t="s">
        <v>57</v>
      </c>
      <c r="L144" s="4"/>
      <c r="M144" s="4"/>
    </row>
    <row r="145" ht="16" customHeight="1" s="4" customFormat="1">
      <c r="A145" s="4">
        <v>1461</v>
      </c>
      <c r="B145" s="4" t="s">
        <v>5534</v>
      </c>
      <c r="C145" s="4" t="s">
        <v>5773</v>
      </c>
      <c r="D145" s="4"/>
      <c r="E145" s="4"/>
      <c r="F145" s="4" t="s">
        <v>5816</v>
      </c>
      <c r="G145" s="4" t="s">
        <v>5817</v>
      </c>
      <c r="H145" s="4" t="s">
        <v>5818</v>
      </c>
      <c r="I145" s="5">
        <v>42562</v>
      </c>
      <c r="J145" s="4" t="s">
        <v>4798</v>
      </c>
      <c r="K145" s="4" t="s">
        <v>57</v>
      </c>
      <c r="L145" s="4"/>
      <c r="M145" s="4"/>
    </row>
    <row r="146" ht="16" customHeight="1" s="4" customFormat="1">
      <c r="A146" s="4">
        <v>1462</v>
      </c>
      <c r="B146" s="4" t="s">
        <v>5534</v>
      </c>
      <c r="C146" s="4" t="s">
        <v>5773</v>
      </c>
      <c r="D146" s="4"/>
      <c r="E146" s="4"/>
      <c r="F146" s="4" t="s">
        <v>5819</v>
      </c>
      <c r="G146" s="4" t="s">
        <v>5817</v>
      </c>
      <c r="H146" s="4" t="s">
        <v>5818</v>
      </c>
      <c r="I146" s="5">
        <v>42562</v>
      </c>
      <c r="J146" s="4" t="s">
        <v>4798</v>
      </c>
      <c r="K146" s="4" t="s">
        <v>57</v>
      </c>
      <c r="L146" s="4"/>
      <c r="M146" s="4"/>
    </row>
    <row r="147" ht="16" customHeight="1" s="4" customFormat="1">
      <c r="A147" s="4">
        <v>1463</v>
      </c>
      <c r="B147" s="4" t="s">
        <v>5534</v>
      </c>
      <c r="C147" s="4" t="s">
        <v>5773</v>
      </c>
      <c r="D147" s="4"/>
      <c r="E147" s="4"/>
      <c r="F147" s="4" t="s">
        <v>5820</v>
      </c>
      <c r="G147" s="4" t="s">
        <v>5817</v>
      </c>
      <c r="H147" s="4" t="s">
        <v>5818</v>
      </c>
      <c r="I147" s="5">
        <v>42562</v>
      </c>
      <c r="J147" s="4" t="s">
        <v>4798</v>
      </c>
      <c r="K147" s="4" t="s">
        <v>57</v>
      </c>
      <c r="L147" s="4"/>
      <c r="M147" s="4"/>
    </row>
    <row r="148" ht="16" customHeight="1" s="4" customFormat="1">
      <c r="A148" s="4">
        <v>1464</v>
      </c>
      <c r="B148" s="4" t="s">
        <v>5499</v>
      </c>
      <c r="C148" s="4" t="s">
        <v>5590</v>
      </c>
      <c r="D148" s="4" t="s">
        <v>5574</v>
      </c>
      <c r="E148" s="4" t="s">
        <v>5575</v>
      </c>
      <c r="F148" s="4" t="s">
        <v>5821</v>
      </c>
      <c r="G148" s="4" t="s">
        <v>5822</v>
      </c>
      <c r="H148" s="4" t="s">
        <v>5823</v>
      </c>
      <c r="I148" s="5">
        <v>42562</v>
      </c>
      <c r="J148" s="4" t="s">
        <v>4798</v>
      </c>
      <c r="K148" s="4" t="s">
        <v>57</v>
      </c>
      <c r="L148" s="4"/>
      <c r="M148" s="4"/>
    </row>
    <row r="149" ht="16" customHeight="1" s="4" customFormat="1">
      <c r="A149" s="4">
        <v>1465</v>
      </c>
      <c r="B149" s="4" t="s">
        <v>5499</v>
      </c>
      <c r="C149" s="4" t="s">
        <v>5590</v>
      </c>
      <c r="D149" s="4" t="s">
        <v>5574</v>
      </c>
      <c r="E149" s="4" t="s">
        <v>5575</v>
      </c>
      <c r="F149" s="4" t="s">
        <v>5824</v>
      </c>
      <c r="G149" s="4" t="s">
        <v>5822</v>
      </c>
      <c r="H149" s="4" t="s">
        <v>5823</v>
      </c>
      <c r="I149" s="5">
        <v>42562</v>
      </c>
      <c r="J149" s="4" t="s">
        <v>4798</v>
      </c>
      <c r="K149" s="4" t="s">
        <v>57</v>
      </c>
      <c r="L149" s="4"/>
      <c r="M149" s="4"/>
    </row>
    <row r="150" ht="16" customHeight="1" s="4" customFormat="1">
      <c r="A150" s="4">
        <v>1466</v>
      </c>
      <c r="B150" s="4" t="s">
        <v>5499</v>
      </c>
      <c r="C150" s="4" t="s">
        <v>5590</v>
      </c>
      <c r="D150" s="4" t="s">
        <v>5574</v>
      </c>
      <c r="E150" s="4" t="s">
        <v>5575</v>
      </c>
      <c r="F150" s="4" t="s">
        <v>5825</v>
      </c>
      <c r="G150" s="4" t="s">
        <v>5826</v>
      </c>
      <c r="H150" s="4" t="s">
        <v>5827</v>
      </c>
      <c r="I150" s="5">
        <v>42556</v>
      </c>
      <c r="J150" s="4" t="s">
        <v>4798</v>
      </c>
      <c r="K150" s="4" t="s">
        <v>57</v>
      </c>
      <c r="L150" s="4"/>
      <c r="M150" s="4"/>
    </row>
    <row r="151" ht="16" customHeight="1" s="4" customFormat="1">
      <c r="A151" s="4">
        <v>1467</v>
      </c>
      <c r="B151" s="4" t="s">
        <v>5534</v>
      </c>
      <c r="C151" s="4" t="s">
        <v>5773</v>
      </c>
      <c r="D151" s="4"/>
      <c r="E151" s="4"/>
      <c r="F151" s="4" t="s">
        <v>5828</v>
      </c>
      <c r="G151" s="4" t="s">
        <v>5829</v>
      </c>
      <c r="H151" s="4" t="s">
        <v>5791</v>
      </c>
      <c r="I151" s="5">
        <v>42551</v>
      </c>
      <c r="J151" s="4" t="s">
        <v>4842</v>
      </c>
      <c r="K151" s="4" t="s">
        <v>57</v>
      </c>
      <c r="L151" s="4"/>
      <c r="M151" s="4"/>
    </row>
    <row r="152" ht="16" customHeight="1" s="4" customFormat="1">
      <c r="A152" s="4">
        <v>1468</v>
      </c>
      <c r="B152" s="4" t="s">
        <v>5534</v>
      </c>
      <c r="C152" s="4" t="s">
        <v>5773</v>
      </c>
      <c r="D152" s="4"/>
      <c r="E152" s="4"/>
      <c r="F152" s="4" t="s">
        <v>5830</v>
      </c>
      <c r="G152" s="4" t="s">
        <v>10</v>
      </c>
      <c r="H152" s="4" t="s">
        <v>5831</v>
      </c>
      <c r="I152" s="5">
        <v>42550</v>
      </c>
      <c r="J152" s="4" t="s">
        <v>4842</v>
      </c>
      <c r="K152" s="4" t="s">
        <v>57</v>
      </c>
      <c r="L152" s="4"/>
      <c r="M152" s="4"/>
    </row>
    <row r="153" ht="16" customHeight="1" s="4" customFormat="1">
      <c r="A153" s="4">
        <v>1469</v>
      </c>
      <c r="B153" s="4" t="s">
        <v>5534</v>
      </c>
      <c r="C153" s="4" t="s">
        <v>5773</v>
      </c>
      <c r="D153" s="4"/>
      <c r="E153" s="4"/>
      <c r="F153" s="4" t="s">
        <v>5832</v>
      </c>
      <c r="G153" s="4" t="s">
        <v>10</v>
      </c>
      <c r="H153" s="4" t="s">
        <v>5831</v>
      </c>
      <c r="I153" s="5">
        <v>42550</v>
      </c>
      <c r="J153" s="4" t="s">
        <v>4842</v>
      </c>
      <c r="K153" s="4" t="s">
        <v>57</v>
      </c>
      <c r="L153" s="4"/>
      <c r="M153" s="4"/>
    </row>
    <row r="154" ht="16" customHeight="1" s="4" customFormat="1">
      <c r="A154" s="4">
        <v>1470</v>
      </c>
      <c r="B154" s="4" t="s">
        <v>5534</v>
      </c>
      <c r="C154" s="4" t="s">
        <v>5773</v>
      </c>
      <c r="D154" s="4"/>
      <c r="E154" s="4"/>
      <c r="F154" s="4" t="s">
        <v>5833</v>
      </c>
      <c r="G154" s="4" t="s">
        <v>5791</v>
      </c>
      <c r="H154" s="4" t="s">
        <v>5831</v>
      </c>
      <c r="I154" s="5">
        <v>42550</v>
      </c>
      <c r="J154" s="4" t="s">
        <v>4842</v>
      </c>
      <c r="K154" s="4" t="s">
        <v>57</v>
      </c>
      <c r="L154" s="4"/>
      <c r="M154" s="4"/>
    </row>
    <row r="155" ht="16" customHeight="1" s="4" customFormat="1">
      <c r="A155" s="4">
        <v>1471</v>
      </c>
      <c r="B155" s="4" t="s">
        <v>5499</v>
      </c>
      <c r="C155" s="4" t="s">
        <v>5573</v>
      </c>
      <c r="D155" s="4" t="s">
        <v>5574</v>
      </c>
      <c r="E155" s="4" t="s">
        <v>5575</v>
      </c>
      <c r="F155" s="4" t="s">
        <v>5834</v>
      </c>
      <c r="G155" s="4" t="s">
        <v>10</v>
      </c>
      <c r="H155" s="4" t="s">
        <v>5835</v>
      </c>
      <c r="I155" s="5">
        <v>42549</v>
      </c>
      <c r="J155" s="4" t="s">
        <v>4842</v>
      </c>
      <c r="K155" s="4" t="s">
        <v>57</v>
      </c>
      <c r="L155" s="4"/>
      <c r="M155" s="4"/>
    </row>
    <row r="156" ht="16" customHeight="1" s="4" customFormat="1">
      <c r="A156" s="4">
        <v>1472</v>
      </c>
      <c r="B156" s="4" t="s">
        <v>5499</v>
      </c>
      <c r="C156" s="4" t="s">
        <v>5573</v>
      </c>
      <c r="D156" s="4" t="s">
        <v>5574</v>
      </c>
      <c r="E156" s="4" t="s">
        <v>5575</v>
      </c>
      <c r="F156" s="4" t="s">
        <v>5836</v>
      </c>
      <c r="G156" s="4" t="s">
        <v>5837</v>
      </c>
      <c r="H156" s="4" t="s">
        <v>5838</v>
      </c>
      <c r="I156" s="5">
        <v>42543</v>
      </c>
      <c r="J156" s="4" t="s">
        <v>4842</v>
      </c>
      <c r="K156" s="4" t="s">
        <v>57</v>
      </c>
      <c r="L156" s="4"/>
      <c r="M156" s="4"/>
    </row>
    <row r="157" ht="16" customHeight="1" s="4" customFormat="1">
      <c r="A157" s="4">
        <v>1473</v>
      </c>
      <c r="B157" s="4" t="s">
        <v>5499</v>
      </c>
      <c r="C157" s="4" t="s">
        <v>5519</v>
      </c>
      <c r="D157" s="4"/>
      <c r="E157" s="4" t="s">
        <v>5524</v>
      </c>
      <c r="F157" s="4" t="s">
        <v>5839</v>
      </c>
      <c r="G157" s="4" t="s">
        <v>10</v>
      </c>
      <c r="H157" s="4" t="s">
        <v>5753</v>
      </c>
      <c r="I157" s="5">
        <v>42538</v>
      </c>
      <c r="J157" s="4" t="s">
        <v>4798</v>
      </c>
      <c r="K157" s="4" t="s">
        <v>57</v>
      </c>
      <c r="L157" s="4"/>
      <c r="M157" s="4"/>
    </row>
    <row r="158" ht="16" customHeight="1" s="4" customFormat="1">
      <c r="A158" s="4">
        <v>1474</v>
      </c>
      <c r="B158" s="4" t="s">
        <v>5499</v>
      </c>
      <c r="C158" s="4" t="s">
        <v>5519</v>
      </c>
      <c r="D158" s="4"/>
      <c r="E158" s="4" t="s">
        <v>5840</v>
      </c>
      <c r="F158" s="4" t="s">
        <v>5841</v>
      </c>
      <c r="G158" s="4" t="s">
        <v>10</v>
      </c>
      <c r="H158" s="4" t="s">
        <v>10</v>
      </c>
      <c r="I158" s="5">
        <v>42538</v>
      </c>
      <c r="J158" s="4" t="s">
        <v>4798</v>
      </c>
      <c r="K158" s="4" t="s">
        <v>57</v>
      </c>
      <c r="L158" s="4"/>
      <c r="M158" s="4"/>
    </row>
    <row r="159" ht="16" customHeight="1" s="4" customFormat="1">
      <c r="A159" s="4">
        <v>1475</v>
      </c>
      <c r="B159" s="4" t="s">
        <v>5499</v>
      </c>
      <c r="C159" s="4" t="s">
        <v>5590</v>
      </c>
      <c r="D159" s="4" t="s">
        <v>5574</v>
      </c>
      <c r="E159" s="4" t="s">
        <v>5575</v>
      </c>
      <c r="F159" s="4" t="s">
        <v>5842</v>
      </c>
      <c r="G159" s="4" t="s">
        <v>5843</v>
      </c>
      <c r="H159" s="4" t="s">
        <v>5844</v>
      </c>
      <c r="I159" s="5">
        <v>42522</v>
      </c>
      <c r="J159" s="4" t="s">
        <v>5506</v>
      </c>
      <c r="K159" s="4" t="s">
        <v>57</v>
      </c>
      <c r="L159" s="4"/>
      <c r="M159" s="4"/>
    </row>
    <row r="160" ht="16" customHeight="1" s="4" customFormat="1">
      <c r="A160" s="4">
        <v>1476</v>
      </c>
      <c r="B160" s="4" t="s">
        <v>5499</v>
      </c>
      <c r="C160" s="4" t="s">
        <v>5509</v>
      </c>
      <c r="D160" s="4" t="s">
        <v>5845</v>
      </c>
      <c r="E160" s="4" t="s">
        <v>5846</v>
      </c>
      <c r="F160" s="4" t="s">
        <v>5847</v>
      </c>
      <c r="G160" s="4" t="s">
        <v>5848</v>
      </c>
      <c r="H160" s="4" t="s">
        <v>10</v>
      </c>
      <c r="I160" s="5">
        <v>42520</v>
      </c>
      <c r="J160" s="4" t="s">
        <v>4798</v>
      </c>
      <c r="K160" s="4" t="s">
        <v>57</v>
      </c>
      <c r="L160" s="4"/>
      <c r="M160" s="4"/>
    </row>
    <row r="161" ht="16" customHeight="1" s="4" customFormat="1">
      <c r="A161" s="4">
        <v>1477</v>
      </c>
      <c r="B161" s="4" t="s">
        <v>5534</v>
      </c>
      <c r="C161" s="4" t="s">
        <v>5773</v>
      </c>
      <c r="D161" s="4"/>
      <c r="E161" s="4"/>
      <c r="F161" s="4" t="s">
        <v>5849</v>
      </c>
      <c r="G161" s="4" t="s">
        <v>5850</v>
      </c>
      <c r="H161" s="4" t="s">
        <v>5851</v>
      </c>
      <c r="I161" s="5">
        <v>42517</v>
      </c>
      <c r="J161" s="4" t="s">
        <v>5506</v>
      </c>
      <c r="K161" s="4" t="s">
        <v>57</v>
      </c>
      <c r="L161" s="4"/>
      <c r="M161" s="4"/>
    </row>
    <row r="162" ht="16" customHeight="1" s="4" customFormat="1">
      <c r="A162" s="4">
        <v>1478</v>
      </c>
      <c r="B162" s="4" t="s">
        <v>5534</v>
      </c>
      <c r="C162" s="4" t="s">
        <v>5773</v>
      </c>
      <c r="D162" s="4"/>
      <c r="E162" s="4"/>
      <c r="F162" s="4" t="s">
        <v>5852</v>
      </c>
      <c r="G162" s="4" t="s">
        <v>10</v>
      </c>
      <c r="H162" s="4" t="s">
        <v>5853</v>
      </c>
      <c r="I162" s="5">
        <v>42517</v>
      </c>
      <c r="J162" s="4" t="s">
        <v>4798</v>
      </c>
      <c r="K162" s="4" t="s">
        <v>57</v>
      </c>
      <c r="L162" s="4"/>
      <c r="M162" s="4"/>
    </row>
    <row r="163" ht="16" customHeight="1" s="4" customFormat="1">
      <c r="A163" s="4">
        <v>1479</v>
      </c>
      <c r="B163" s="4" t="s">
        <v>5694</v>
      </c>
      <c r="C163" s="4" t="s">
        <v>5695</v>
      </c>
      <c r="D163" s="4"/>
      <c r="E163" s="4" t="s">
        <v>5696</v>
      </c>
      <c r="F163" s="4" t="s">
        <v>5854</v>
      </c>
      <c r="G163" s="4" t="s">
        <v>5855</v>
      </c>
      <c r="H163" s="4" t="s">
        <v>5856</v>
      </c>
      <c r="I163" s="5">
        <v>42509</v>
      </c>
      <c r="J163" s="4" t="s">
        <v>5506</v>
      </c>
      <c r="K163" s="4" t="s">
        <v>57</v>
      </c>
      <c r="L163" s="4"/>
      <c r="M163" s="4"/>
    </row>
    <row r="164" ht="16" customHeight="1" s="4" customFormat="1">
      <c r="A164" s="4">
        <v>1480</v>
      </c>
      <c r="B164" s="4" t="s">
        <v>5694</v>
      </c>
      <c r="C164" s="4" t="s">
        <v>5695</v>
      </c>
      <c r="D164" s="4"/>
      <c r="E164" s="4" t="s">
        <v>5696</v>
      </c>
      <c r="F164" s="4" t="s">
        <v>5857</v>
      </c>
      <c r="G164" s="4" t="s">
        <v>5698</v>
      </c>
      <c r="H164" s="4" t="s">
        <v>5858</v>
      </c>
      <c r="I164" s="5">
        <v>42509</v>
      </c>
      <c r="J164" s="4" t="s">
        <v>5506</v>
      </c>
      <c r="K164" s="4" t="s">
        <v>57</v>
      </c>
      <c r="L164" s="4"/>
      <c r="M164" s="4"/>
    </row>
    <row r="165" ht="16" customHeight="1" s="4" customFormat="1">
      <c r="A165" s="4">
        <v>1481</v>
      </c>
      <c r="B165" s="4" t="s">
        <v>5499</v>
      </c>
      <c r="C165" s="4" t="s">
        <v>5573</v>
      </c>
      <c r="D165" s="4" t="s">
        <v>5574</v>
      </c>
      <c r="E165" s="4" t="s">
        <v>5575</v>
      </c>
      <c r="F165" s="4" t="s">
        <v>5859</v>
      </c>
      <c r="G165" s="4" t="s">
        <v>5837</v>
      </c>
      <c r="H165" s="4" t="s">
        <v>5860</v>
      </c>
      <c r="I165" s="5">
        <v>42508</v>
      </c>
      <c r="J165" s="4" t="s">
        <v>4842</v>
      </c>
      <c r="K165" s="4" t="s">
        <v>57</v>
      </c>
      <c r="L165" s="4"/>
      <c r="M165" s="4"/>
    </row>
    <row r="166" ht="16" customHeight="1" s="4" customFormat="1">
      <c r="A166" s="4">
        <v>1482</v>
      </c>
      <c r="B166" s="4" t="s">
        <v>5694</v>
      </c>
      <c r="C166" s="4" t="s">
        <v>5695</v>
      </c>
      <c r="D166" s="4"/>
      <c r="E166" s="4" t="s">
        <v>5696</v>
      </c>
      <c r="F166" s="4" t="s">
        <v>5861</v>
      </c>
      <c r="G166" s="4" t="s">
        <v>5862</v>
      </c>
      <c r="H166" s="4" t="s">
        <v>5863</v>
      </c>
      <c r="I166" s="5">
        <v>42500</v>
      </c>
      <c r="J166" s="4" t="s">
        <v>5506</v>
      </c>
      <c r="K166" s="4" t="s">
        <v>57</v>
      </c>
      <c r="L166" s="4"/>
      <c r="M166" s="4"/>
    </row>
    <row r="167" ht="16" customHeight="1" s="4" customFormat="1">
      <c r="A167" s="4">
        <v>1483</v>
      </c>
      <c r="B167" s="4" t="s">
        <v>5694</v>
      </c>
      <c r="C167" s="4" t="s">
        <v>5695</v>
      </c>
      <c r="D167" s="4"/>
      <c r="E167" s="4" t="s">
        <v>5696</v>
      </c>
      <c r="F167" s="4" t="s">
        <v>5864</v>
      </c>
      <c r="G167" s="4" t="s">
        <v>5865</v>
      </c>
      <c r="H167" s="4" t="s">
        <v>5866</v>
      </c>
      <c r="I167" s="5">
        <v>42500</v>
      </c>
      <c r="J167" s="4" t="s">
        <v>5506</v>
      </c>
      <c r="K167" s="4" t="s">
        <v>57</v>
      </c>
      <c r="L167" s="4"/>
      <c r="M167" s="4"/>
    </row>
    <row r="168" ht="16" customHeight="1" s="4" customFormat="1">
      <c r="A168" s="4">
        <v>1484</v>
      </c>
      <c r="B168" s="4" t="s">
        <v>5499</v>
      </c>
      <c r="C168" s="4" t="s">
        <v>5702</v>
      </c>
      <c r="D168" s="4" t="s">
        <v>5574</v>
      </c>
      <c r="E168" s="4" t="s">
        <v>5575</v>
      </c>
      <c r="F168" s="4" t="s">
        <v>5867</v>
      </c>
      <c r="G168" s="4" t="s">
        <v>5868</v>
      </c>
      <c r="H168" s="4" t="s">
        <v>5869</v>
      </c>
      <c r="I168" s="5">
        <v>42500</v>
      </c>
      <c r="J168" s="4" t="s">
        <v>4798</v>
      </c>
      <c r="K168" s="4" t="s">
        <v>57</v>
      </c>
      <c r="L168" s="4"/>
      <c r="M168" s="4"/>
    </row>
    <row r="169" ht="16" customHeight="1" s="4" customFormat="1">
      <c r="A169" s="4">
        <v>1485</v>
      </c>
      <c r="B169" s="4" t="s">
        <v>5499</v>
      </c>
      <c r="C169" s="4" t="s">
        <v>5519</v>
      </c>
      <c r="D169" s="4"/>
      <c r="E169" s="4" t="s">
        <v>5676</v>
      </c>
      <c r="F169" s="4" t="s">
        <v>5870</v>
      </c>
      <c r="G169" s="4" t="s">
        <v>10</v>
      </c>
      <c r="H169" s="4" t="s">
        <v>5753</v>
      </c>
      <c r="I169" s="5">
        <v>42496</v>
      </c>
      <c r="J169" s="4" t="s">
        <v>4798</v>
      </c>
      <c r="K169" s="4" t="s">
        <v>57</v>
      </c>
      <c r="L169" s="4"/>
      <c r="M169" s="4"/>
    </row>
    <row r="170" ht="16" customHeight="1" s="4" customFormat="1">
      <c r="A170" s="4">
        <v>1486</v>
      </c>
      <c r="B170" s="4" t="s">
        <v>5499</v>
      </c>
      <c r="C170" s="4" t="s">
        <v>5519</v>
      </c>
      <c r="D170" s="4"/>
      <c r="E170" s="4" t="s">
        <v>5524</v>
      </c>
      <c r="F170" s="4" t="s">
        <v>5871</v>
      </c>
      <c r="G170" s="4" t="s">
        <v>10</v>
      </c>
      <c r="H170" s="4" t="s">
        <v>5753</v>
      </c>
      <c r="I170" s="5">
        <v>42496</v>
      </c>
      <c r="J170" s="4" t="s">
        <v>4798</v>
      </c>
      <c r="K170" s="4" t="s">
        <v>57</v>
      </c>
      <c r="L170" s="4"/>
      <c r="M170" s="4"/>
    </row>
    <row r="171" ht="16" customHeight="1" s="4" customFormat="1">
      <c r="A171" s="4">
        <v>1487</v>
      </c>
      <c r="B171" s="4" t="s">
        <v>5534</v>
      </c>
      <c r="C171" s="4" t="s">
        <v>5773</v>
      </c>
      <c r="D171" s="4"/>
      <c r="E171" s="4"/>
      <c r="F171" s="4" t="s">
        <v>5872</v>
      </c>
      <c r="G171" s="4" t="s">
        <v>10</v>
      </c>
      <c r="H171" s="4" t="s">
        <v>5778</v>
      </c>
      <c r="I171" s="5">
        <v>42485</v>
      </c>
      <c r="J171" s="4" t="s">
        <v>4842</v>
      </c>
      <c r="K171" s="4" t="s">
        <v>57</v>
      </c>
      <c r="L171" s="4"/>
      <c r="M171" s="4"/>
    </row>
    <row r="172" ht="16" customHeight="1" s="4" customFormat="1">
      <c r="A172" s="4">
        <v>1488</v>
      </c>
      <c r="B172" s="4" t="s">
        <v>5534</v>
      </c>
      <c r="C172" s="4" t="s">
        <v>5773</v>
      </c>
      <c r="D172" s="4"/>
      <c r="E172" s="4"/>
      <c r="F172" s="4" t="s">
        <v>5873</v>
      </c>
      <c r="G172" s="4" t="s">
        <v>10</v>
      </c>
      <c r="H172" s="4" t="s">
        <v>5778</v>
      </c>
      <c r="I172" s="5">
        <v>42485</v>
      </c>
      <c r="J172" s="4" t="s">
        <v>4842</v>
      </c>
      <c r="K172" s="4" t="s">
        <v>57</v>
      </c>
      <c r="L172" s="4"/>
      <c r="M172" s="4"/>
    </row>
    <row r="173" ht="16" customHeight="1" s="4" customFormat="1">
      <c r="A173" s="4">
        <v>1489</v>
      </c>
      <c r="B173" s="4" t="s">
        <v>5534</v>
      </c>
      <c r="C173" s="4" t="s">
        <v>5773</v>
      </c>
      <c r="D173" s="4"/>
      <c r="E173" s="4"/>
      <c r="F173" s="4" t="s">
        <v>5874</v>
      </c>
      <c r="G173" s="4" t="s">
        <v>10</v>
      </c>
      <c r="H173" s="4" t="s">
        <v>5778</v>
      </c>
      <c r="I173" s="5">
        <v>42485</v>
      </c>
      <c r="J173" s="4" t="s">
        <v>4842</v>
      </c>
      <c r="K173" s="4" t="s">
        <v>57</v>
      </c>
      <c r="L173" s="4"/>
      <c r="M173" s="4"/>
    </row>
    <row r="174" ht="16" customHeight="1" s="4" customFormat="1">
      <c r="A174" s="4">
        <v>1490</v>
      </c>
      <c r="B174" s="4" t="s">
        <v>5534</v>
      </c>
      <c r="C174" s="4" t="s">
        <v>5773</v>
      </c>
      <c r="D174" s="4"/>
      <c r="E174" s="4"/>
      <c r="F174" s="4" t="s">
        <v>5875</v>
      </c>
      <c r="G174" s="4" t="s">
        <v>10</v>
      </c>
      <c r="H174" s="4" t="s">
        <v>5778</v>
      </c>
      <c r="I174" s="5">
        <v>42485</v>
      </c>
      <c r="J174" s="4" t="s">
        <v>4842</v>
      </c>
      <c r="K174" s="4" t="s">
        <v>57</v>
      </c>
      <c r="L174" s="4"/>
      <c r="M174" s="4"/>
    </row>
    <row r="175" ht="16" customHeight="1" s="4" customFormat="1">
      <c r="A175" s="4">
        <v>1491</v>
      </c>
      <c r="B175" s="4" t="s">
        <v>5534</v>
      </c>
      <c r="C175" s="4" t="s">
        <v>5773</v>
      </c>
      <c r="D175" s="4"/>
      <c r="E175" s="4"/>
      <c r="F175" s="4" t="s">
        <v>5876</v>
      </c>
      <c r="G175" s="4" t="s">
        <v>10</v>
      </c>
      <c r="H175" s="4" t="s">
        <v>5778</v>
      </c>
      <c r="I175" s="5">
        <v>42485</v>
      </c>
      <c r="J175" s="4" t="s">
        <v>4842</v>
      </c>
      <c r="K175" s="4" t="s">
        <v>57</v>
      </c>
      <c r="L175" s="4"/>
      <c r="M175" s="4"/>
    </row>
    <row r="176" ht="16" customHeight="1" s="4" customFormat="1">
      <c r="A176" s="4">
        <v>1492</v>
      </c>
      <c r="B176" s="4" t="s">
        <v>5534</v>
      </c>
      <c r="C176" s="4" t="s">
        <v>5773</v>
      </c>
      <c r="D176" s="4"/>
      <c r="E176" s="4"/>
      <c r="F176" s="4" t="s">
        <v>5877</v>
      </c>
      <c r="G176" s="4" t="s">
        <v>10</v>
      </c>
      <c r="H176" s="4" t="s">
        <v>5778</v>
      </c>
      <c r="I176" s="5">
        <v>42485</v>
      </c>
      <c r="J176" s="4" t="s">
        <v>4842</v>
      </c>
      <c r="K176" s="4" t="s">
        <v>57</v>
      </c>
      <c r="L176" s="4"/>
      <c r="M176" s="4"/>
    </row>
    <row r="177" ht="16" customHeight="1" s="4" customFormat="1">
      <c r="A177" s="4">
        <v>1493</v>
      </c>
      <c r="B177" s="4" t="s">
        <v>5534</v>
      </c>
      <c r="C177" s="4" t="s">
        <v>5773</v>
      </c>
      <c r="D177" s="4"/>
      <c r="E177" s="4"/>
      <c r="F177" s="4" t="s">
        <v>5878</v>
      </c>
      <c r="G177" s="4" t="s">
        <v>10</v>
      </c>
      <c r="H177" s="4" t="s">
        <v>5778</v>
      </c>
      <c r="I177" s="5">
        <v>42485</v>
      </c>
      <c r="J177" s="4" t="s">
        <v>4842</v>
      </c>
      <c r="K177" s="4" t="s">
        <v>57</v>
      </c>
      <c r="L177" s="4"/>
      <c r="M177" s="4"/>
    </row>
    <row r="178" ht="16" customHeight="1" s="4" customFormat="1">
      <c r="A178" s="4">
        <v>1494</v>
      </c>
      <c r="B178" s="4" t="s">
        <v>5534</v>
      </c>
      <c r="C178" s="4" t="s">
        <v>5773</v>
      </c>
      <c r="D178" s="4"/>
      <c r="E178" s="4"/>
      <c r="F178" s="4" t="s">
        <v>5879</v>
      </c>
      <c r="G178" s="4" t="s">
        <v>10</v>
      </c>
      <c r="H178" s="4" t="s">
        <v>5778</v>
      </c>
      <c r="I178" s="5">
        <v>42485</v>
      </c>
      <c r="J178" s="4" t="s">
        <v>4842</v>
      </c>
      <c r="K178" s="4" t="s">
        <v>57</v>
      </c>
      <c r="L178" s="4"/>
      <c r="M178" s="4"/>
    </row>
    <row r="179" ht="16" customHeight="1" s="4" customFormat="1">
      <c r="A179" s="4">
        <v>1495</v>
      </c>
      <c r="B179" s="4" t="s">
        <v>5534</v>
      </c>
      <c r="C179" s="4" t="s">
        <v>5773</v>
      </c>
      <c r="D179" s="4"/>
      <c r="E179" s="4"/>
      <c r="F179" s="4" t="s">
        <v>5880</v>
      </c>
      <c r="G179" s="4" t="s">
        <v>10</v>
      </c>
      <c r="H179" s="4" t="s">
        <v>5778</v>
      </c>
      <c r="I179" s="5">
        <v>42485</v>
      </c>
      <c r="J179" s="4" t="s">
        <v>4842</v>
      </c>
      <c r="K179" s="4" t="s">
        <v>57</v>
      </c>
      <c r="L179" s="4"/>
      <c r="M179" s="4"/>
    </row>
    <row r="180" ht="16" customHeight="1" s="4" customFormat="1">
      <c r="A180" s="4">
        <v>1496</v>
      </c>
      <c r="B180" s="4" t="s">
        <v>5534</v>
      </c>
      <c r="C180" s="4" t="s">
        <v>5773</v>
      </c>
      <c r="D180" s="4"/>
      <c r="E180" s="4"/>
      <c r="F180" s="4" t="s">
        <v>5881</v>
      </c>
      <c r="G180" s="4" t="s">
        <v>10</v>
      </c>
      <c r="H180" s="4" t="s">
        <v>5778</v>
      </c>
      <c r="I180" s="5">
        <v>42485</v>
      </c>
      <c r="J180" s="4" t="s">
        <v>4842</v>
      </c>
      <c r="K180" s="4" t="s">
        <v>57</v>
      </c>
      <c r="L180" s="4"/>
      <c r="M180" s="4"/>
    </row>
    <row r="181" ht="16" customHeight="1" s="4" customFormat="1">
      <c r="A181" s="4">
        <v>1497</v>
      </c>
      <c r="B181" s="4" t="s">
        <v>5534</v>
      </c>
      <c r="C181" s="4" t="s">
        <v>5773</v>
      </c>
      <c r="D181" s="4"/>
      <c r="E181" s="4"/>
      <c r="F181" s="4" t="s">
        <v>5882</v>
      </c>
      <c r="G181" s="4" t="s">
        <v>10</v>
      </c>
      <c r="H181" s="4" t="s">
        <v>5778</v>
      </c>
      <c r="I181" s="5">
        <v>42485</v>
      </c>
      <c r="J181" s="4" t="s">
        <v>4842</v>
      </c>
      <c r="K181" s="4" t="s">
        <v>57</v>
      </c>
      <c r="L181" s="4"/>
      <c r="M181" s="4"/>
    </row>
    <row r="182" ht="16" customHeight="1" s="4" customFormat="1">
      <c r="A182" s="4">
        <v>1498</v>
      </c>
      <c r="B182" s="4" t="s">
        <v>5534</v>
      </c>
      <c r="C182" s="4" t="s">
        <v>5773</v>
      </c>
      <c r="D182" s="4"/>
      <c r="E182" s="4"/>
      <c r="F182" s="4" t="s">
        <v>5883</v>
      </c>
      <c r="G182" s="4" t="s">
        <v>10</v>
      </c>
      <c r="H182" s="4" t="s">
        <v>5778</v>
      </c>
      <c r="I182" s="5">
        <v>42485</v>
      </c>
      <c r="J182" s="4" t="s">
        <v>4842</v>
      </c>
      <c r="K182" s="4" t="s">
        <v>57</v>
      </c>
      <c r="L182" s="4"/>
      <c r="M182" s="4"/>
    </row>
    <row r="183" ht="16" customHeight="1" s="4" customFormat="1">
      <c r="A183" s="4">
        <v>1499</v>
      </c>
      <c r="B183" s="4" t="s">
        <v>5534</v>
      </c>
      <c r="C183" s="4" t="s">
        <v>5773</v>
      </c>
      <c r="D183" s="4"/>
      <c r="E183" s="4"/>
      <c r="F183" s="4" t="s">
        <v>5884</v>
      </c>
      <c r="G183" s="4" t="s">
        <v>10</v>
      </c>
      <c r="H183" s="4" t="s">
        <v>5778</v>
      </c>
      <c r="I183" s="5">
        <v>42485</v>
      </c>
      <c r="J183" s="4" t="s">
        <v>4842</v>
      </c>
      <c r="K183" s="4" t="s">
        <v>57</v>
      </c>
      <c r="L183" s="4"/>
      <c r="M183" s="4"/>
    </row>
    <row r="184" ht="16" customHeight="1" s="4" customFormat="1">
      <c r="A184" s="4">
        <v>1500</v>
      </c>
      <c r="B184" s="4" t="s">
        <v>5534</v>
      </c>
      <c r="C184" s="4" t="s">
        <v>5773</v>
      </c>
      <c r="D184" s="4"/>
      <c r="E184" s="4"/>
      <c r="F184" s="4" t="s">
        <v>5885</v>
      </c>
      <c r="G184" s="4" t="s">
        <v>10</v>
      </c>
      <c r="H184" s="4" t="s">
        <v>5778</v>
      </c>
      <c r="I184" s="5">
        <v>42485</v>
      </c>
      <c r="J184" s="4" t="s">
        <v>4842</v>
      </c>
      <c r="K184" s="4" t="s">
        <v>57</v>
      </c>
      <c r="L184" s="4"/>
      <c r="M184" s="4"/>
    </row>
    <row r="185" ht="16" customHeight="1" s="4" customFormat="1">
      <c r="A185" s="4">
        <v>1501</v>
      </c>
      <c r="B185" s="4" t="s">
        <v>5534</v>
      </c>
      <c r="C185" s="4" t="s">
        <v>5773</v>
      </c>
      <c r="D185" s="4"/>
      <c r="E185" s="4"/>
      <c r="F185" s="4" t="s">
        <v>5886</v>
      </c>
      <c r="G185" s="4" t="s">
        <v>10</v>
      </c>
      <c r="H185" s="4" t="s">
        <v>5778</v>
      </c>
      <c r="I185" s="5">
        <v>42485</v>
      </c>
      <c r="J185" s="4" t="s">
        <v>4842</v>
      </c>
      <c r="K185" s="4" t="s">
        <v>57</v>
      </c>
      <c r="L185" s="4"/>
      <c r="M185" s="4"/>
    </row>
    <row r="186" ht="16" customHeight="1" s="4" customFormat="1">
      <c r="A186" s="4">
        <v>1502</v>
      </c>
      <c r="B186" s="4" t="s">
        <v>5534</v>
      </c>
      <c r="C186" s="4" t="s">
        <v>5773</v>
      </c>
      <c r="D186" s="4"/>
      <c r="E186" s="4"/>
      <c r="F186" s="4" t="s">
        <v>5887</v>
      </c>
      <c r="G186" s="4" t="s">
        <v>10</v>
      </c>
      <c r="H186" s="4" t="s">
        <v>5778</v>
      </c>
      <c r="I186" s="5">
        <v>42485</v>
      </c>
      <c r="J186" s="4" t="s">
        <v>4842</v>
      </c>
      <c r="K186" s="4" t="s">
        <v>57</v>
      </c>
      <c r="L186" s="4"/>
      <c r="M186" s="4"/>
    </row>
    <row r="187" ht="16" customHeight="1" s="4" customFormat="1">
      <c r="A187" s="4">
        <v>1503</v>
      </c>
      <c r="B187" s="4" t="s">
        <v>5534</v>
      </c>
      <c r="C187" s="4" t="s">
        <v>5773</v>
      </c>
      <c r="D187" s="4"/>
      <c r="E187" s="4"/>
      <c r="F187" s="4" t="s">
        <v>5888</v>
      </c>
      <c r="G187" s="4" t="s">
        <v>10</v>
      </c>
      <c r="H187" s="4" t="s">
        <v>5778</v>
      </c>
      <c r="I187" s="5">
        <v>42485</v>
      </c>
      <c r="J187" s="4" t="s">
        <v>4842</v>
      </c>
      <c r="K187" s="4" t="s">
        <v>57</v>
      </c>
      <c r="L187" s="4"/>
      <c r="M187" s="4"/>
    </row>
    <row r="188" ht="16" customHeight="1" s="4" customFormat="1">
      <c r="A188" s="4">
        <v>1504</v>
      </c>
      <c r="B188" s="4" t="s">
        <v>5534</v>
      </c>
      <c r="C188" s="4" t="s">
        <v>5773</v>
      </c>
      <c r="D188" s="4"/>
      <c r="E188" s="4"/>
      <c r="F188" s="4" t="s">
        <v>5889</v>
      </c>
      <c r="G188" s="4" t="s">
        <v>10</v>
      </c>
      <c r="H188" s="4" t="s">
        <v>5778</v>
      </c>
      <c r="I188" s="5">
        <v>42485</v>
      </c>
      <c r="J188" s="4" t="s">
        <v>4842</v>
      </c>
      <c r="K188" s="4" t="s">
        <v>57</v>
      </c>
      <c r="L188" s="4"/>
      <c r="M188" s="4"/>
    </row>
    <row r="189" ht="16" customHeight="1" s="4" customFormat="1">
      <c r="A189" s="4">
        <v>1505</v>
      </c>
      <c r="B189" s="4" t="s">
        <v>5534</v>
      </c>
      <c r="C189" s="4" t="s">
        <v>5773</v>
      </c>
      <c r="D189" s="4"/>
      <c r="E189" s="4"/>
      <c r="F189" s="4" t="s">
        <v>5890</v>
      </c>
      <c r="G189" s="4" t="s">
        <v>10</v>
      </c>
      <c r="H189" s="4" t="s">
        <v>5778</v>
      </c>
      <c r="I189" s="5">
        <v>42485</v>
      </c>
      <c r="J189" s="4" t="s">
        <v>4842</v>
      </c>
      <c r="K189" s="4" t="s">
        <v>57</v>
      </c>
      <c r="L189" s="4"/>
      <c r="M189" s="4"/>
    </row>
    <row r="190" ht="16" customHeight="1" s="4" customFormat="1">
      <c r="A190" s="4">
        <v>1506</v>
      </c>
      <c r="B190" s="4" t="s">
        <v>5534</v>
      </c>
      <c r="C190" s="4" t="s">
        <v>5773</v>
      </c>
      <c r="D190" s="4"/>
      <c r="E190" s="4"/>
      <c r="F190" s="4" t="s">
        <v>5891</v>
      </c>
      <c r="G190" s="4" t="s">
        <v>10</v>
      </c>
      <c r="H190" s="4" t="s">
        <v>5778</v>
      </c>
      <c r="I190" s="5">
        <v>42485</v>
      </c>
      <c r="J190" s="4" t="s">
        <v>4842</v>
      </c>
      <c r="K190" s="4" t="s">
        <v>57</v>
      </c>
      <c r="L190" s="4"/>
      <c r="M190" s="4"/>
    </row>
    <row r="191" ht="16" customHeight="1" s="4" customFormat="1">
      <c r="A191" s="4">
        <v>1507</v>
      </c>
      <c r="B191" s="4" t="s">
        <v>5534</v>
      </c>
      <c r="C191" s="4" t="s">
        <v>5773</v>
      </c>
      <c r="D191" s="4"/>
      <c r="E191" s="4"/>
      <c r="F191" s="4" t="s">
        <v>5892</v>
      </c>
      <c r="G191" s="4" t="s">
        <v>10</v>
      </c>
      <c r="H191" s="4" t="s">
        <v>5778</v>
      </c>
      <c r="I191" s="5">
        <v>42485</v>
      </c>
      <c r="J191" s="4" t="s">
        <v>4842</v>
      </c>
      <c r="K191" s="4" t="s">
        <v>57</v>
      </c>
      <c r="L191" s="4"/>
      <c r="M191" s="4"/>
    </row>
    <row r="192" ht="16" customHeight="1" s="4" customFormat="1">
      <c r="A192" s="4">
        <v>1508</v>
      </c>
      <c r="B192" s="4" t="s">
        <v>5534</v>
      </c>
      <c r="C192" s="4" t="s">
        <v>5773</v>
      </c>
      <c r="D192" s="4"/>
      <c r="E192" s="4"/>
      <c r="F192" s="4" t="s">
        <v>5893</v>
      </c>
      <c r="G192" s="4" t="s">
        <v>10</v>
      </c>
      <c r="H192" s="4" t="s">
        <v>5778</v>
      </c>
      <c r="I192" s="5">
        <v>42485</v>
      </c>
      <c r="J192" s="4" t="s">
        <v>4842</v>
      </c>
      <c r="K192" s="4" t="s">
        <v>57</v>
      </c>
      <c r="L192" s="4"/>
      <c r="M192" s="4"/>
    </row>
    <row r="193" ht="16" customHeight="1" s="4" customFormat="1">
      <c r="A193" s="4">
        <v>1509</v>
      </c>
      <c r="B193" s="4" t="s">
        <v>5534</v>
      </c>
      <c r="C193" s="4" t="s">
        <v>5773</v>
      </c>
      <c r="D193" s="4"/>
      <c r="E193" s="4"/>
      <c r="F193" s="4" t="s">
        <v>5894</v>
      </c>
      <c r="G193" s="4" t="s">
        <v>10</v>
      </c>
      <c r="H193" s="4" t="s">
        <v>5778</v>
      </c>
      <c r="I193" s="5">
        <v>42485</v>
      </c>
      <c r="J193" s="4" t="s">
        <v>4842</v>
      </c>
      <c r="K193" s="4" t="s">
        <v>57</v>
      </c>
      <c r="L193" s="4"/>
      <c r="M193" s="4"/>
    </row>
    <row r="194" ht="16" customHeight="1" s="4" customFormat="1">
      <c r="A194" s="4">
        <v>1510</v>
      </c>
      <c r="B194" s="4" t="s">
        <v>5534</v>
      </c>
      <c r="C194" s="4" t="s">
        <v>5773</v>
      </c>
      <c r="D194" s="4"/>
      <c r="E194" s="4"/>
      <c r="F194" s="4" t="s">
        <v>5895</v>
      </c>
      <c r="G194" s="4" t="s">
        <v>10</v>
      </c>
      <c r="H194" s="4" t="s">
        <v>5778</v>
      </c>
      <c r="I194" s="5">
        <v>42485</v>
      </c>
      <c r="J194" s="4" t="s">
        <v>4842</v>
      </c>
      <c r="K194" s="4" t="s">
        <v>57</v>
      </c>
      <c r="L194" s="4"/>
      <c r="M194" s="4"/>
    </row>
    <row r="195" ht="16" customHeight="1" s="4" customFormat="1">
      <c r="A195" s="4">
        <v>1511</v>
      </c>
      <c r="B195" s="4" t="s">
        <v>5534</v>
      </c>
      <c r="C195" s="4" t="s">
        <v>5773</v>
      </c>
      <c r="D195" s="4"/>
      <c r="E195" s="4"/>
      <c r="F195" s="4" t="s">
        <v>5896</v>
      </c>
      <c r="G195" s="4" t="s">
        <v>10</v>
      </c>
      <c r="H195" s="4" t="s">
        <v>5778</v>
      </c>
      <c r="I195" s="5">
        <v>42485</v>
      </c>
      <c r="J195" s="4" t="s">
        <v>4842</v>
      </c>
      <c r="K195" s="4" t="s">
        <v>57</v>
      </c>
      <c r="L195" s="4"/>
      <c r="M195" s="4"/>
    </row>
    <row r="196" ht="16" customHeight="1" s="4" customFormat="1">
      <c r="A196" s="4">
        <v>1512</v>
      </c>
      <c r="B196" s="4" t="s">
        <v>5534</v>
      </c>
      <c r="C196" s="4" t="s">
        <v>5773</v>
      </c>
      <c r="D196" s="4"/>
      <c r="E196" s="4"/>
      <c r="F196" s="4" t="s">
        <v>5897</v>
      </c>
      <c r="G196" s="4" t="s">
        <v>10</v>
      </c>
      <c r="H196" s="4" t="s">
        <v>5778</v>
      </c>
      <c r="I196" s="5">
        <v>42485</v>
      </c>
      <c r="J196" s="4" t="s">
        <v>4842</v>
      </c>
      <c r="K196" s="4" t="s">
        <v>57</v>
      </c>
      <c r="L196" s="4"/>
      <c r="M196" s="4"/>
    </row>
    <row r="197" ht="16" customHeight="1" s="4" customFormat="1">
      <c r="A197" s="4">
        <v>1513</v>
      </c>
      <c r="B197" s="4" t="s">
        <v>5534</v>
      </c>
      <c r="C197" s="4" t="s">
        <v>5773</v>
      </c>
      <c r="D197" s="4"/>
      <c r="E197" s="4"/>
      <c r="F197" s="4" t="s">
        <v>5898</v>
      </c>
      <c r="G197" s="4" t="s">
        <v>10</v>
      </c>
      <c r="H197" s="4" t="s">
        <v>5899</v>
      </c>
      <c r="I197" s="5">
        <v>42485</v>
      </c>
      <c r="J197" s="4" t="s">
        <v>4842</v>
      </c>
      <c r="K197" s="4" t="s">
        <v>57</v>
      </c>
      <c r="L197" s="4"/>
      <c r="M197" s="4"/>
    </row>
    <row r="198" ht="16" customHeight="1" s="4" customFormat="1">
      <c r="A198" s="4">
        <v>1514</v>
      </c>
      <c r="B198" s="4" t="s">
        <v>5534</v>
      </c>
      <c r="C198" s="4" t="s">
        <v>5773</v>
      </c>
      <c r="D198" s="4"/>
      <c r="E198" s="4"/>
      <c r="F198" s="4" t="s">
        <v>5900</v>
      </c>
      <c r="G198" s="4" t="s">
        <v>10</v>
      </c>
      <c r="H198" s="4" t="s">
        <v>5899</v>
      </c>
      <c r="I198" s="5">
        <v>42485</v>
      </c>
      <c r="J198" s="4" t="s">
        <v>4842</v>
      </c>
      <c r="K198" s="4" t="s">
        <v>57</v>
      </c>
      <c r="L198" s="4"/>
      <c r="M198" s="4"/>
    </row>
    <row r="199" ht="16" customHeight="1" s="4" customFormat="1">
      <c r="A199" s="4">
        <v>1515</v>
      </c>
      <c r="B199" s="4" t="s">
        <v>5534</v>
      </c>
      <c r="C199" s="4" t="s">
        <v>5773</v>
      </c>
      <c r="D199" s="4"/>
      <c r="E199" s="4"/>
      <c r="F199" s="4" t="s">
        <v>5901</v>
      </c>
      <c r="G199" s="4" t="s">
        <v>10</v>
      </c>
      <c r="H199" s="4" t="s">
        <v>5778</v>
      </c>
      <c r="I199" s="5">
        <v>42485</v>
      </c>
      <c r="J199" s="4" t="s">
        <v>4842</v>
      </c>
      <c r="K199" s="4" t="s">
        <v>57</v>
      </c>
      <c r="L199" s="4"/>
      <c r="M199" s="4"/>
    </row>
    <row r="200" ht="16" customHeight="1" s="4" customFormat="1">
      <c r="A200" s="4">
        <v>1516</v>
      </c>
      <c r="B200" s="4" t="s">
        <v>5534</v>
      </c>
      <c r="C200" s="4" t="s">
        <v>5773</v>
      </c>
      <c r="D200" s="4"/>
      <c r="E200" s="4"/>
      <c r="F200" s="4" t="s">
        <v>5902</v>
      </c>
      <c r="G200" s="4" t="s">
        <v>10</v>
      </c>
      <c r="H200" s="4" t="s">
        <v>5899</v>
      </c>
      <c r="I200" s="5">
        <v>42485</v>
      </c>
      <c r="J200" s="4" t="s">
        <v>4842</v>
      </c>
      <c r="K200" s="4" t="s">
        <v>57</v>
      </c>
      <c r="L200" s="4"/>
      <c r="M200" s="4"/>
    </row>
    <row r="201" ht="16" customHeight="1" s="4" customFormat="1">
      <c r="A201" s="4">
        <v>1517</v>
      </c>
      <c r="B201" s="4" t="s">
        <v>5534</v>
      </c>
      <c r="C201" s="4" t="s">
        <v>5773</v>
      </c>
      <c r="D201" s="4"/>
      <c r="E201" s="4"/>
      <c r="F201" s="4" t="s">
        <v>5903</v>
      </c>
      <c r="G201" s="4" t="s">
        <v>10</v>
      </c>
      <c r="H201" s="4" t="s">
        <v>5778</v>
      </c>
      <c r="I201" s="5">
        <v>42485</v>
      </c>
      <c r="J201" s="4" t="s">
        <v>4842</v>
      </c>
      <c r="K201" s="4" t="s">
        <v>57</v>
      </c>
      <c r="L201" s="4"/>
      <c r="M201" s="4"/>
    </row>
    <row r="202" ht="16" customHeight="1" s="4" customFormat="1">
      <c r="A202" s="4">
        <v>1518</v>
      </c>
      <c r="B202" s="4" t="s">
        <v>5534</v>
      </c>
      <c r="C202" s="4" t="s">
        <v>5773</v>
      </c>
      <c r="D202" s="4"/>
      <c r="E202" s="4"/>
      <c r="F202" s="4" t="s">
        <v>5904</v>
      </c>
      <c r="G202" s="4" t="s">
        <v>5791</v>
      </c>
      <c r="H202" s="4" t="s">
        <v>5899</v>
      </c>
      <c r="I202" s="5">
        <v>42485</v>
      </c>
      <c r="J202" s="4" t="s">
        <v>4842</v>
      </c>
      <c r="K202" s="4" t="s">
        <v>57</v>
      </c>
      <c r="L202" s="4"/>
      <c r="M202" s="4"/>
    </row>
    <row r="203" ht="16" customHeight="1" s="4" customFormat="1">
      <c r="A203" s="4">
        <v>1519</v>
      </c>
      <c r="B203" s="4" t="s">
        <v>5534</v>
      </c>
      <c r="C203" s="4" t="s">
        <v>5773</v>
      </c>
      <c r="D203" s="4"/>
      <c r="E203" s="4"/>
      <c r="F203" s="4" t="s">
        <v>5905</v>
      </c>
      <c r="G203" s="4" t="s">
        <v>5791</v>
      </c>
      <c r="H203" s="4" t="s">
        <v>5792</v>
      </c>
      <c r="I203" s="5">
        <v>42485</v>
      </c>
      <c r="J203" s="4" t="s">
        <v>4842</v>
      </c>
      <c r="K203" s="4" t="s">
        <v>57</v>
      </c>
      <c r="L203" s="4"/>
      <c r="M203" s="4"/>
    </row>
    <row r="204" ht="16" customHeight="1" s="4" customFormat="1">
      <c r="A204" s="4">
        <v>1520</v>
      </c>
      <c r="B204" s="4" t="s">
        <v>5534</v>
      </c>
      <c r="C204" s="4" t="s">
        <v>5773</v>
      </c>
      <c r="D204" s="4"/>
      <c r="E204" s="4"/>
      <c r="F204" s="4" t="s">
        <v>5906</v>
      </c>
      <c r="G204" s="4" t="s">
        <v>5791</v>
      </c>
      <c r="H204" s="4" t="s">
        <v>5792</v>
      </c>
      <c r="I204" s="5">
        <v>42485</v>
      </c>
      <c r="J204" s="4" t="s">
        <v>4842</v>
      </c>
      <c r="K204" s="4" t="s">
        <v>57</v>
      </c>
      <c r="L204" s="4"/>
      <c r="M204" s="4"/>
    </row>
    <row r="205" ht="16" customHeight="1" s="4" customFormat="1">
      <c r="A205" s="4">
        <v>1521</v>
      </c>
      <c r="B205" s="4" t="s">
        <v>5534</v>
      </c>
      <c r="C205" s="4" t="s">
        <v>5773</v>
      </c>
      <c r="D205" s="4"/>
      <c r="E205" s="4"/>
      <c r="F205" s="4" t="s">
        <v>5907</v>
      </c>
      <c r="G205" s="4" t="s">
        <v>5791</v>
      </c>
      <c r="H205" s="4" t="s">
        <v>5792</v>
      </c>
      <c r="I205" s="5">
        <v>42485</v>
      </c>
      <c r="J205" s="4" t="s">
        <v>4842</v>
      </c>
      <c r="K205" s="4" t="s">
        <v>57</v>
      </c>
      <c r="L205" s="4"/>
      <c r="M205" s="4"/>
    </row>
    <row r="206" ht="16" customHeight="1" s="4" customFormat="1">
      <c r="A206" s="4">
        <v>1522</v>
      </c>
      <c r="B206" s="4" t="s">
        <v>5534</v>
      </c>
      <c r="C206" s="4" t="s">
        <v>5773</v>
      </c>
      <c r="D206" s="4"/>
      <c r="E206" s="4"/>
      <c r="F206" s="4" t="s">
        <v>5908</v>
      </c>
      <c r="G206" s="4" t="s">
        <v>5791</v>
      </c>
      <c r="H206" s="4" t="s">
        <v>5792</v>
      </c>
      <c r="I206" s="5">
        <v>42485</v>
      </c>
      <c r="J206" s="4" t="s">
        <v>4842</v>
      </c>
      <c r="K206" s="4" t="s">
        <v>57</v>
      </c>
      <c r="L206" s="4"/>
      <c r="M206" s="4"/>
    </row>
    <row r="207" ht="16" customHeight="1" s="4" customFormat="1">
      <c r="A207" s="4">
        <v>1523</v>
      </c>
      <c r="B207" s="4" t="s">
        <v>5534</v>
      </c>
      <c r="C207" s="4" t="s">
        <v>5773</v>
      </c>
      <c r="D207" s="4"/>
      <c r="E207" s="4"/>
      <c r="F207" s="4" t="s">
        <v>5909</v>
      </c>
      <c r="G207" s="4" t="s">
        <v>5791</v>
      </c>
      <c r="H207" s="4" t="s">
        <v>5792</v>
      </c>
      <c r="I207" s="5">
        <v>42485</v>
      </c>
      <c r="J207" s="4" t="s">
        <v>4842</v>
      </c>
      <c r="K207" s="4" t="s">
        <v>57</v>
      </c>
      <c r="L207" s="4"/>
      <c r="M207" s="4"/>
    </row>
    <row r="208" ht="16" customHeight="1" s="4" customFormat="1">
      <c r="A208" s="4">
        <v>1524</v>
      </c>
      <c r="B208" s="4" t="s">
        <v>5534</v>
      </c>
      <c r="C208" s="4" t="s">
        <v>5773</v>
      </c>
      <c r="D208" s="4"/>
      <c r="E208" s="4"/>
      <c r="F208" s="4" t="s">
        <v>5910</v>
      </c>
      <c r="G208" s="4" t="s">
        <v>5791</v>
      </c>
      <c r="H208" s="4" t="s">
        <v>5792</v>
      </c>
      <c r="I208" s="5">
        <v>42485</v>
      </c>
      <c r="J208" s="4" t="s">
        <v>4842</v>
      </c>
      <c r="K208" s="4" t="s">
        <v>57</v>
      </c>
      <c r="L208" s="4"/>
      <c r="M208" s="4"/>
    </row>
    <row r="209" ht="16" customHeight="1" s="4" customFormat="1">
      <c r="A209" s="4">
        <v>1525</v>
      </c>
      <c r="B209" s="4" t="s">
        <v>5534</v>
      </c>
      <c r="C209" s="4" t="s">
        <v>5773</v>
      </c>
      <c r="D209" s="4"/>
      <c r="E209" s="4"/>
      <c r="F209" s="4" t="s">
        <v>5911</v>
      </c>
      <c r="G209" s="4" t="s">
        <v>5791</v>
      </c>
      <c r="H209" s="4" t="s">
        <v>5792</v>
      </c>
      <c r="I209" s="5">
        <v>42485</v>
      </c>
      <c r="J209" s="4" t="s">
        <v>4842</v>
      </c>
      <c r="K209" s="4" t="s">
        <v>57</v>
      </c>
      <c r="L209" s="4"/>
      <c r="M209" s="4"/>
    </row>
    <row r="210" ht="16" customHeight="1" s="4" customFormat="1">
      <c r="A210" s="4">
        <v>1526</v>
      </c>
      <c r="B210" s="4" t="s">
        <v>5534</v>
      </c>
      <c r="C210" s="4" t="s">
        <v>5773</v>
      </c>
      <c r="D210" s="4"/>
      <c r="E210" s="4"/>
      <c r="F210" s="4" t="s">
        <v>5912</v>
      </c>
      <c r="G210" s="4" t="s">
        <v>5791</v>
      </c>
      <c r="H210" s="4" t="s">
        <v>5792</v>
      </c>
      <c r="I210" s="5">
        <v>42485</v>
      </c>
      <c r="J210" s="4" t="s">
        <v>4842</v>
      </c>
      <c r="K210" s="4" t="s">
        <v>57</v>
      </c>
      <c r="L210" s="4"/>
      <c r="M210" s="4"/>
    </row>
    <row r="211" ht="16" customHeight="1" s="4" customFormat="1">
      <c r="A211" s="4">
        <v>1527</v>
      </c>
      <c r="B211" s="4" t="s">
        <v>5534</v>
      </c>
      <c r="C211" s="4" t="s">
        <v>5773</v>
      </c>
      <c r="D211" s="4"/>
      <c r="E211" s="4"/>
      <c r="F211" s="4" t="s">
        <v>5913</v>
      </c>
      <c r="G211" s="4" t="s">
        <v>5791</v>
      </c>
      <c r="H211" s="4" t="s">
        <v>5792</v>
      </c>
      <c r="I211" s="5">
        <v>42485</v>
      </c>
      <c r="J211" s="4" t="s">
        <v>4842</v>
      </c>
      <c r="K211" s="4" t="s">
        <v>57</v>
      </c>
      <c r="L211" s="4"/>
      <c r="M211" s="4"/>
    </row>
    <row r="212" ht="16" customHeight="1" s="4" customFormat="1">
      <c r="A212" s="4">
        <v>1528</v>
      </c>
      <c r="B212" s="4" t="s">
        <v>5534</v>
      </c>
      <c r="C212" s="4" t="s">
        <v>5773</v>
      </c>
      <c r="D212" s="4"/>
      <c r="E212" s="4"/>
      <c r="F212" s="4" t="s">
        <v>5914</v>
      </c>
      <c r="G212" s="4" t="s">
        <v>5791</v>
      </c>
      <c r="H212" s="4" t="s">
        <v>5792</v>
      </c>
      <c r="I212" s="5">
        <v>42485</v>
      </c>
      <c r="J212" s="4" t="s">
        <v>4842</v>
      </c>
      <c r="K212" s="4" t="s">
        <v>57</v>
      </c>
      <c r="L212" s="4"/>
      <c r="M212" s="4"/>
    </row>
    <row r="213" ht="16" customHeight="1" s="4" customFormat="1">
      <c r="A213" s="4">
        <v>1529</v>
      </c>
      <c r="B213" s="4" t="s">
        <v>5534</v>
      </c>
      <c r="C213" s="4" t="s">
        <v>5773</v>
      </c>
      <c r="D213" s="4"/>
      <c r="E213" s="4"/>
      <c r="F213" s="4" t="s">
        <v>5915</v>
      </c>
      <c r="G213" s="4" t="s">
        <v>5791</v>
      </c>
      <c r="H213" s="4" t="s">
        <v>5899</v>
      </c>
      <c r="I213" s="5">
        <v>42485</v>
      </c>
      <c r="J213" s="4" t="s">
        <v>4842</v>
      </c>
      <c r="K213" s="4" t="s">
        <v>57</v>
      </c>
      <c r="L213" s="4"/>
      <c r="M213" s="4"/>
    </row>
    <row r="214" ht="16" customHeight="1" s="4" customFormat="1">
      <c r="A214" s="4">
        <v>1530</v>
      </c>
      <c r="B214" s="4" t="s">
        <v>5534</v>
      </c>
      <c r="C214" s="4" t="s">
        <v>5773</v>
      </c>
      <c r="D214" s="4"/>
      <c r="E214" s="4"/>
      <c r="F214" s="4" t="s">
        <v>5916</v>
      </c>
      <c r="G214" s="4" t="s">
        <v>5791</v>
      </c>
      <c r="H214" s="4" t="s">
        <v>5899</v>
      </c>
      <c r="I214" s="5">
        <v>42485</v>
      </c>
      <c r="J214" s="4" t="s">
        <v>4842</v>
      </c>
      <c r="K214" s="4" t="s">
        <v>57</v>
      </c>
      <c r="L214" s="4"/>
      <c r="M214" s="4"/>
    </row>
    <row r="215" ht="16" customHeight="1" s="4" customFormat="1">
      <c r="A215" s="4">
        <v>1531</v>
      </c>
      <c r="B215" s="4" t="s">
        <v>5534</v>
      </c>
      <c r="C215" s="4" t="s">
        <v>5773</v>
      </c>
      <c r="D215" s="4"/>
      <c r="E215" s="4"/>
      <c r="F215" s="4" t="s">
        <v>5917</v>
      </c>
      <c r="G215" s="4" t="s">
        <v>5791</v>
      </c>
      <c r="H215" s="4" t="s">
        <v>5899</v>
      </c>
      <c r="I215" s="5">
        <v>42485</v>
      </c>
      <c r="J215" s="4" t="s">
        <v>4842</v>
      </c>
      <c r="K215" s="4" t="s">
        <v>57</v>
      </c>
      <c r="L215" s="4"/>
      <c r="M215" s="4"/>
    </row>
    <row r="216" ht="16" customHeight="1" s="4" customFormat="1">
      <c r="A216" s="4">
        <v>1532</v>
      </c>
      <c r="B216" s="4" t="s">
        <v>5534</v>
      </c>
      <c r="C216" s="4" t="s">
        <v>5773</v>
      </c>
      <c r="D216" s="4"/>
      <c r="E216" s="4"/>
      <c r="F216" s="4" t="s">
        <v>5918</v>
      </c>
      <c r="G216" s="4" t="s">
        <v>5791</v>
      </c>
      <c r="H216" s="4" t="s">
        <v>5792</v>
      </c>
      <c r="I216" s="5">
        <v>42485</v>
      </c>
      <c r="J216" s="4" t="s">
        <v>4842</v>
      </c>
      <c r="K216" s="4" t="s">
        <v>57</v>
      </c>
      <c r="L216" s="4"/>
      <c r="M216" s="4"/>
    </row>
    <row r="217" ht="16" customHeight="1" s="4" customFormat="1">
      <c r="A217" s="4">
        <v>1533</v>
      </c>
      <c r="B217" s="4" t="s">
        <v>5534</v>
      </c>
      <c r="C217" s="4" t="s">
        <v>5773</v>
      </c>
      <c r="D217" s="4"/>
      <c r="E217" s="4"/>
      <c r="F217" s="4" t="s">
        <v>5919</v>
      </c>
      <c r="G217" s="4" t="s">
        <v>5791</v>
      </c>
      <c r="H217" s="4" t="s">
        <v>5792</v>
      </c>
      <c r="I217" s="5">
        <v>42485</v>
      </c>
      <c r="J217" s="4" t="s">
        <v>4842</v>
      </c>
      <c r="K217" s="4" t="s">
        <v>57</v>
      </c>
      <c r="L217" s="4"/>
      <c r="M217" s="4"/>
    </row>
    <row r="218" ht="16" customHeight="1" s="4" customFormat="1">
      <c r="A218" s="4">
        <v>1534</v>
      </c>
      <c r="B218" s="4" t="s">
        <v>5534</v>
      </c>
      <c r="C218" s="4" t="s">
        <v>5773</v>
      </c>
      <c r="D218" s="4"/>
      <c r="E218" s="4"/>
      <c r="F218" s="4" t="s">
        <v>5920</v>
      </c>
      <c r="G218" s="4" t="s">
        <v>5791</v>
      </c>
      <c r="H218" s="4" t="s">
        <v>5792</v>
      </c>
      <c r="I218" s="5">
        <v>42485</v>
      </c>
      <c r="J218" s="4" t="s">
        <v>4842</v>
      </c>
      <c r="K218" s="4" t="s">
        <v>57</v>
      </c>
      <c r="L218" s="4"/>
      <c r="M218" s="4"/>
    </row>
    <row r="219" ht="16" customHeight="1" s="4" customFormat="1">
      <c r="A219" s="4">
        <v>1535</v>
      </c>
      <c r="B219" s="4" t="s">
        <v>5534</v>
      </c>
      <c r="C219" s="4" t="s">
        <v>5773</v>
      </c>
      <c r="D219" s="4"/>
      <c r="E219" s="4"/>
      <c r="F219" s="4" t="s">
        <v>5921</v>
      </c>
      <c r="G219" s="4" t="s">
        <v>5791</v>
      </c>
      <c r="H219" s="4" t="s">
        <v>5792</v>
      </c>
      <c r="I219" s="5">
        <v>42485</v>
      </c>
      <c r="J219" s="4" t="s">
        <v>4842</v>
      </c>
      <c r="K219" s="4" t="s">
        <v>57</v>
      </c>
      <c r="L219" s="4"/>
      <c r="M219" s="4"/>
    </row>
    <row r="220" ht="16" customHeight="1" s="4" customFormat="1">
      <c r="A220" s="4">
        <v>1536</v>
      </c>
      <c r="B220" s="4" t="s">
        <v>5534</v>
      </c>
      <c r="C220" s="4" t="s">
        <v>5773</v>
      </c>
      <c r="D220" s="4"/>
      <c r="E220" s="4"/>
      <c r="F220" s="4" t="s">
        <v>5922</v>
      </c>
      <c r="G220" s="4" t="s">
        <v>5791</v>
      </c>
      <c r="H220" s="4" t="s">
        <v>5792</v>
      </c>
      <c r="I220" s="5">
        <v>42485</v>
      </c>
      <c r="J220" s="4" t="s">
        <v>4842</v>
      </c>
      <c r="K220" s="4" t="s">
        <v>57</v>
      </c>
      <c r="L220" s="4"/>
      <c r="M220" s="4"/>
    </row>
    <row r="221" ht="16" customHeight="1" s="4" customFormat="1">
      <c r="A221" s="4">
        <v>1537</v>
      </c>
      <c r="B221" s="4" t="s">
        <v>5534</v>
      </c>
      <c r="C221" s="4" t="s">
        <v>5773</v>
      </c>
      <c r="D221" s="4"/>
      <c r="E221" s="4"/>
      <c r="F221" s="4" t="s">
        <v>5923</v>
      </c>
      <c r="G221" s="4" t="s">
        <v>5791</v>
      </c>
      <c r="H221" s="4" t="s">
        <v>5792</v>
      </c>
      <c r="I221" s="5">
        <v>42485</v>
      </c>
      <c r="J221" s="4" t="s">
        <v>4842</v>
      </c>
      <c r="K221" s="4" t="s">
        <v>57</v>
      </c>
      <c r="L221" s="4"/>
      <c r="M221" s="4"/>
    </row>
    <row r="222" ht="16" customHeight="1" s="4" customFormat="1">
      <c r="A222" s="4">
        <v>1538</v>
      </c>
      <c r="B222" s="4" t="s">
        <v>5534</v>
      </c>
      <c r="C222" s="4" t="s">
        <v>5773</v>
      </c>
      <c r="D222" s="4"/>
      <c r="E222" s="4"/>
      <c r="F222" s="4" t="s">
        <v>5924</v>
      </c>
      <c r="G222" s="4" t="s">
        <v>5791</v>
      </c>
      <c r="H222" s="4" t="s">
        <v>5792</v>
      </c>
      <c r="I222" s="5">
        <v>42485</v>
      </c>
      <c r="J222" s="4" t="s">
        <v>4842</v>
      </c>
      <c r="K222" s="4" t="s">
        <v>57</v>
      </c>
      <c r="L222" s="4"/>
      <c r="M222" s="4"/>
    </row>
    <row r="223" ht="16" customHeight="1" s="4" customFormat="1">
      <c r="A223" s="4">
        <v>1539</v>
      </c>
      <c r="B223" s="4" t="s">
        <v>5534</v>
      </c>
      <c r="C223" s="4" t="s">
        <v>5773</v>
      </c>
      <c r="D223" s="4"/>
      <c r="E223" s="4"/>
      <c r="F223" s="4" t="s">
        <v>5925</v>
      </c>
      <c r="G223" s="4" t="s">
        <v>5791</v>
      </c>
      <c r="H223" s="4" t="s">
        <v>5792</v>
      </c>
      <c r="I223" s="5">
        <v>42485</v>
      </c>
      <c r="J223" s="4" t="s">
        <v>4842</v>
      </c>
      <c r="K223" s="4" t="s">
        <v>57</v>
      </c>
      <c r="L223" s="4"/>
      <c r="M223" s="4"/>
    </row>
    <row r="224" ht="16" customHeight="1" s="4" customFormat="1">
      <c r="A224" s="4">
        <v>1540</v>
      </c>
      <c r="B224" s="4" t="s">
        <v>5534</v>
      </c>
      <c r="C224" s="4" t="s">
        <v>5773</v>
      </c>
      <c r="D224" s="4"/>
      <c r="E224" s="4"/>
      <c r="F224" s="4" t="s">
        <v>5926</v>
      </c>
      <c r="G224" s="4" t="s">
        <v>5791</v>
      </c>
      <c r="H224" s="4" t="s">
        <v>5792</v>
      </c>
      <c r="I224" s="5">
        <v>42485</v>
      </c>
      <c r="J224" s="4" t="s">
        <v>4842</v>
      </c>
      <c r="K224" s="4" t="s">
        <v>57</v>
      </c>
      <c r="L224" s="4"/>
      <c r="M224" s="4"/>
    </row>
    <row r="225" ht="16" customHeight="1" s="4" customFormat="1">
      <c r="A225" s="4">
        <v>1541</v>
      </c>
      <c r="B225" s="4" t="s">
        <v>5499</v>
      </c>
      <c r="C225" s="4" t="s">
        <v>5714</v>
      </c>
      <c r="D225" s="4" t="s">
        <v>5514</v>
      </c>
      <c r="E225" s="4" t="s">
        <v>5515</v>
      </c>
      <c r="F225" s="4" t="s">
        <v>5927</v>
      </c>
      <c r="G225" s="4" t="s">
        <v>5843</v>
      </c>
      <c r="H225" s="4" t="s">
        <v>5928</v>
      </c>
      <c r="I225" s="5">
        <v>42482</v>
      </c>
      <c r="J225" s="4" t="s">
        <v>4842</v>
      </c>
      <c r="K225" s="4" t="s">
        <v>57</v>
      </c>
      <c r="L225" s="4"/>
      <c r="M225" s="4"/>
    </row>
    <row r="226" ht="16" customHeight="1" s="4" customFormat="1">
      <c r="A226" s="4">
        <v>1542</v>
      </c>
      <c r="B226" s="4" t="s">
        <v>5499</v>
      </c>
      <c r="C226" s="4" t="s">
        <v>5714</v>
      </c>
      <c r="D226" s="4" t="s">
        <v>5514</v>
      </c>
      <c r="E226" s="4" t="s">
        <v>5515</v>
      </c>
      <c r="F226" s="4" t="s">
        <v>5929</v>
      </c>
      <c r="G226" s="4" t="s">
        <v>5930</v>
      </c>
      <c r="H226" s="4" t="s">
        <v>5928</v>
      </c>
      <c r="I226" s="5">
        <v>42482</v>
      </c>
      <c r="J226" s="4" t="s">
        <v>4842</v>
      </c>
      <c r="K226" s="4" t="s">
        <v>57</v>
      </c>
      <c r="L226" s="4"/>
      <c r="M226" s="4"/>
    </row>
    <row r="227" ht="16" customHeight="1" s="4" customFormat="1">
      <c r="A227" s="4">
        <v>1543</v>
      </c>
      <c r="B227" s="4" t="s">
        <v>5499</v>
      </c>
      <c r="C227" s="4" t="s">
        <v>5714</v>
      </c>
      <c r="D227" s="4" t="s">
        <v>5574</v>
      </c>
      <c r="E227" s="4" t="s">
        <v>5575</v>
      </c>
      <c r="F227" s="4" t="s">
        <v>5931</v>
      </c>
      <c r="G227" s="4" t="s">
        <v>5930</v>
      </c>
      <c r="H227" s="4" t="s">
        <v>5928</v>
      </c>
      <c r="I227" s="5">
        <v>42482</v>
      </c>
      <c r="J227" s="4" t="s">
        <v>4842</v>
      </c>
      <c r="K227" s="4" t="s">
        <v>57</v>
      </c>
      <c r="L227" s="4"/>
      <c r="M227" s="4"/>
    </row>
    <row r="228" ht="16" customHeight="1" s="4" customFormat="1">
      <c r="A228" s="4">
        <v>1544</v>
      </c>
      <c r="B228" s="4" t="s">
        <v>5499</v>
      </c>
      <c r="C228" s="4" t="s">
        <v>5714</v>
      </c>
      <c r="D228" s="4" t="s">
        <v>5574</v>
      </c>
      <c r="E228" s="4" t="s">
        <v>5575</v>
      </c>
      <c r="F228" s="4" t="s">
        <v>5932</v>
      </c>
      <c r="G228" s="4" t="s">
        <v>5930</v>
      </c>
      <c r="H228" s="4" t="s">
        <v>5928</v>
      </c>
      <c r="I228" s="5">
        <v>42482</v>
      </c>
      <c r="J228" s="4" t="s">
        <v>4842</v>
      </c>
      <c r="K228" s="4" t="s">
        <v>57</v>
      </c>
      <c r="L228" s="4"/>
      <c r="M228" s="4"/>
    </row>
    <row r="229" ht="16" customHeight="1" s="4" customFormat="1">
      <c r="A229" s="4">
        <v>1545</v>
      </c>
      <c r="B229" s="4" t="s">
        <v>5499</v>
      </c>
      <c r="C229" s="4" t="s">
        <v>5714</v>
      </c>
      <c r="D229" s="4" t="s">
        <v>5574</v>
      </c>
      <c r="E229" s="4" t="s">
        <v>5575</v>
      </c>
      <c r="F229" s="4" t="s">
        <v>5933</v>
      </c>
      <c r="G229" s="4" t="s">
        <v>5843</v>
      </c>
      <c r="H229" s="4" t="s">
        <v>5928</v>
      </c>
      <c r="I229" s="5">
        <v>42482</v>
      </c>
      <c r="J229" s="4" t="s">
        <v>4842</v>
      </c>
      <c r="K229" s="4" t="s">
        <v>57</v>
      </c>
      <c r="L229" s="4"/>
      <c r="M229" s="4"/>
    </row>
    <row r="230" ht="16" customHeight="1" s="4" customFormat="1">
      <c r="A230" s="4">
        <v>1546</v>
      </c>
      <c r="B230" s="4" t="s">
        <v>5499</v>
      </c>
      <c r="C230" s="4" t="s">
        <v>5714</v>
      </c>
      <c r="D230" s="4" t="s">
        <v>5514</v>
      </c>
      <c r="E230" s="4" t="s">
        <v>5515</v>
      </c>
      <c r="F230" s="4" t="s">
        <v>5934</v>
      </c>
      <c r="G230" s="4" t="s">
        <v>5930</v>
      </c>
      <c r="H230" s="4" t="s">
        <v>5928</v>
      </c>
      <c r="I230" s="5">
        <v>42482</v>
      </c>
      <c r="J230" s="4" t="s">
        <v>4842</v>
      </c>
      <c r="K230" s="4" t="s">
        <v>57</v>
      </c>
      <c r="L230" s="4"/>
      <c r="M230" s="4"/>
    </row>
    <row r="231" ht="16" customHeight="1" s="4" customFormat="1">
      <c r="A231" s="4">
        <v>1547</v>
      </c>
      <c r="B231" s="4" t="s">
        <v>5499</v>
      </c>
      <c r="C231" s="4" t="s">
        <v>5714</v>
      </c>
      <c r="D231" s="4" t="s">
        <v>5574</v>
      </c>
      <c r="E231" s="4" t="s">
        <v>5575</v>
      </c>
      <c r="F231" s="4" t="s">
        <v>5935</v>
      </c>
      <c r="G231" s="4" t="s">
        <v>5843</v>
      </c>
      <c r="H231" s="4" t="s">
        <v>5928</v>
      </c>
      <c r="I231" s="5">
        <v>42482</v>
      </c>
      <c r="J231" s="4" t="s">
        <v>4842</v>
      </c>
      <c r="K231" s="4" t="s">
        <v>57</v>
      </c>
      <c r="L231" s="4"/>
      <c r="M231" s="4"/>
    </row>
    <row r="232" ht="16" customHeight="1" s="4" customFormat="1">
      <c r="A232" s="4">
        <v>1548</v>
      </c>
      <c r="B232" s="4" t="s">
        <v>5499</v>
      </c>
      <c r="C232" s="4" t="s">
        <v>5714</v>
      </c>
      <c r="D232" s="4" t="s">
        <v>5574</v>
      </c>
      <c r="E232" s="4" t="s">
        <v>5575</v>
      </c>
      <c r="F232" s="4" t="s">
        <v>5936</v>
      </c>
      <c r="G232" s="4" t="s">
        <v>5930</v>
      </c>
      <c r="H232" s="4" t="s">
        <v>5928</v>
      </c>
      <c r="I232" s="5">
        <v>42482</v>
      </c>
      <c r="J232" s="4" t="s">
        <v>4842</v>
      </c>
      <c r="K232" s="4" t="s">
        <v>57</v>
      </c>
      <c r="L232" s="4"/>
      <c r="M232" s="4"/>
    </row>
    <row r="233" ht="16" customHeight="1" s="4" customFormat="1">
      <c r="A233" s="4">
        <v>1549</v>
      </c>
      <c r="B233" s="4" t="s">
        <v>5499</v>
      </c>
      <c r="C233" s="4" t="s">
        <v>5519</v>
      </c>
      <c r="D233" s="4"/>
      <c r="E233" s="4" t="s">
        <v>5937</v>
      </c>
      <c r="F233" s="4" t="s">
        <v>5938</v>
      </c>
      <c r="G233" s="4" t="s">
        <v>5939</v>
      </c>
      <c r="H233" s="4" t="s">
        <v>5667</v>
      </c>
      <c r="I233" s="5">
        <v>42482</v>
      </c>
      <c r="J233" s="4" t="s">
        <v>4798</v>
      </c>
      <c r="K233" s="4" t="s">
        <v>57</v>
      </c>
      <c r="L233" s="4"/>
      <c r="M233" s="4"/>
    </row>
    <row r="234" ht="16" customHeight="1" s="4" customFormat="1">
      <c r="A234" s="4">
        <v>1550</v>
      </c>
      <c r="B234" s="4" t="s">
        <v>5499</v>
      </c>
      <c r="C234" s="4" t="s">
        <v>5519</v>
      </c>
      <c r="D234" s="4"/>
      <c r="E234" s="4" t="s">
        <v>5937</v>
      </c>
      <c r="F234" s="4" t="s">
        <v>5940</v>
      </c>
      <c r="G234" s="4" t="s">
        <v>5939</v>
      </c>
      <c r="H234" s="4" t="s">
        <v>5667</v>
      </c>
      <c r="I234" s="5">
        <v>42482</v>
      </c>
      <c r="J234" s="4" t="s">
        <v>4798</v>
      </c>
      <c r="K234" s="4" t="s">
        <v>57</v>
      </c>
      <c r="L234" s="4"/>
      <c r="M234" s="4"/>
    </row>
    <row r="235" ht="16" customHeight="1" s="4" customFormat="1">
      <c r="A235" s="4">
        <v>1551</v>
      </c>
      <c r="B235" s="4" t="s">
        <v>5499</v>
      </c>
      <c r="C235" s="4" t="s">
        <v>5519</v>
      </c>
      <c r="D235" s="4"/>
      <c r="E235" s="4" t="s">
        <v>5676</v>
      </c>
      <c r="F235" s="4" t="s">
        <v>5941</v>
      </c>
      <c r="G235" s="4" t="s">
        <v>5942</v>
      </c>
      <c r="H235" s="4" t="s">
        <v>10</v>
      </c>
      <c r="I235" s="5">
        <v>42482</v>
      </c>
      <c r="J235" s="4" t="s">
        <v>4798</v>
      </c>
      <c r="K235" s="4" t="s">
        <v>57</v>
      </c>
      <c r="L235" s="4"/>
      <c r="M235" s="4"/>
    </row>
    <row r="236" ht="16" customHeight="1" s="4" customFormat="1">
      <c r="A236" s="4">
        <v>1552</v>
      </c>
      <c r="B236" s="4" t="s">
        <v>5499</v>
      </c>
      <c r="C236" s="4" t="s">
        <v>5519</v>
      </c>
      <c r="D236" s="4"/>
      <c r="E236" s="4" t="s">
        <v>5676</v>
      </c>
      <c r="F236" s="4" t="s">
        <v>5943</v>
      </c>
      <c r="G236" s="4" t="s">
        <v>5942</v>
      </c>
      <c r="H236" s="4" t="s">
        <v>5944</v>
      </c>
      <c r="I236" s="5">
        <v>42482</v>
      </c>
      <c r="J236" s="4" t="s">
        <v>4798</v>
      </c>
      <c r="K236" s="4" t="s">
        <v>57</v>
      </c>
      <c r="L236" s="4"/>
      <c r="M236" s="4"/>
    </row>
    <row r="237" ht="16" customHeight="1" s="4" customFormat="1">
      <c r="A237" s="4">
        <v>1553</v>
      </c>
      <c r="B237" s="4" t="s">
        <v>5499</v>
      </c>
      <c r="C237" s="4" t="s">
        <v>5519</v>
      </c>
      <c r="D237" s="4"/>
      <c r="E237" s="4" t="s">
        <v>5524</v>
      </c>
      <c r="F237" s="4" t="s">
        <v>5945</v>
      </c>
      <c r="G237" s="4" t="s">
        <v>5942</v>
      </c>
      <c r="H237" s="4" t="s">
        <v>10</v>
      </c>
      <c r="I237" s="5">
        <v>42482</v>
      </c>
      <c r="J237" s="4" t="s">
        <v>4798</v>
      </c>
      <c r="K237" s="4" t="s">
        <v>57</v>
      </c>
      <c r="L237" s="4"/>
      <c r="M237" s="4"/>
    </row>
    <row r="238" ht="16" customHeight="1" s="4" customFormat="1">
      <c r="A238" s="4">
        <v>1554</v>
      </c>
      <c r="B238" s="4" t="s">
        <v>5499</v>
      </c>
      <c r="C238" s="4" t="s">
        <v>5519</v>
      </c>
      <c r="D238" s="4"/>
      <c r="E238" s="4" t="s">
        <v>5641</v>
      </c>
      <c r="F238" s="4" t="s">
        <v>5946</v>
      </c>
      <c r="G238" s="4" t="s">
        <v>5939</v>
      </c>
      <c r="H238" s="4" t="s">
        <v>5667</v>
      </c>
      <c r="I238" s="5">
        <v>42482</v>
      </c>
      <c r="J238" s="4" t="s">
        <v>4798</v>
      </c>
      <c r="K238" s="4" t="s">
        <v>57</v>
      </c>
      <c r="L238" s="4"/>
      <c r="M238" s="4"/>
    </row>
    <row r="239" ht="16" customHeight="1" s="4" customFormat="1">
      <c r="A239" s="4">
        <v>1555</v>
      </c>
      <c r="B239" s="4" t="s">
        <v>5499</v>
      </c>
      <c r="C239" s="4" t="s">
        <v>5519</v>
      </c>
      <c r="D239" s="4"/>
      <c r="E239" s="4" t="s">
        <v>5641</v>
      </c>
      <c r="F239" s="4" t="s">
        <v>5947</v>
      </c>
      <c r="G239" s="4" t="s">
        <v>5939</v>
      </c>
      <c r="H239" s="4" t="s">
        <v>5667</v>
      </c>
      <c r="I239" s="5">
        <v>42482</v>
      </c>
      <c r="J239" s="4" t="s">
        <v>4798</v>
      </c>
      <c r="K239" s="4" t="s">
        <v>57</v>
      </c>
      <c r="L239" s="4"/>
      <c r="M239" s="4"/>
    </row>
    <row r="240" ht="16" customHeight="1" s="4" customFormat="1">
      <c r="A240" s="4">
        <v>1556</v>
      </c>
      <c r="B240" s="4" t="s">
        <v>5499</v>
      </c>
      <c r="C240" s="4" t="s">
        <v>5519</v>
      </c>
      <c r="D240" s="4"/>
      <c r="E240" s="4" t="s">
        <v>5524</v>
      </c>
      <c r="F240" s="4" t="s">
        <v>5948</v>
      </c>
      <c r="G240" s="4" t="s">
        <v>5942</v>
      </c>
      <c r="H240" s="4" t="s">
        <v>5944</v>
      </c>
      <c r="I240" s="5">
        <v>42482</v>
      </c>
      <c r="J240" s="4" t="s">
        <v>4798</v>
      </c>
      <c r="K240" s="4" t="s">
        <v>57</v>
      </c>
      <c r="L240" s="4"/>
      <c r="M240" s="4"/>
    </row>
    <row r="241" ht="16" customHeight="1" s="4" customFormat="1">
      <c r="A241" s="4">
        <v>1557</v>
      </c>
      <c r="B241" s="4" t="s">
        <v>5499</v>
      </c>
      <c r="C241" s="4" t="s">
        <v>5714</v>
      </c>
      <c r="D241" s="4" t="s">
        <v>5574</v>
      </c>
      <c r="E241" s="4" t="s">
        <v>5575</v>
      </c>
      <c r="F241" s="4" t="s">
        <v>5949</v>
      </c>
      <c r="G241" s="4" t="s">
        <v>5680</v>
      </c>
      <c r="H241" s="4" t="s">
        <v>5928</v>
      </c>
      <c r="I241" s="5">
        <v>42475</v>
      </c>
      <c r="J241" s="4" t="s">
        <v>4798</v>
      </c>
      <c r="K241" s="4" t="s">
        <v>57</v>
      </c>
      <c r="L241" s="4"/>
      <c r="M241" s="4"/>
    </row>
    <row r="242" ht="16" customHeight="1" s="4" customFormat="1">
      <c r="A242" s="4">
        <v>1558</v>
      </c>
      <c r="B242" s="4" t="s">
        <v>5499</v>
      </c>
      <c r="C242" s="4" t="s">
        <v>5714</v>
      </c>
      <c r="D242" s="4" t="s">
        <v>5574</v>
      </c>
      <c r="E242" s="4" t="s">
        <v>5575</v>
      </c>
      <c r="F242" s="4" t="s">
        <v>5950</v>
      </c>
      <c r="G242" s="4" t="s">
        <v>5680</v>
      </c>
      <c r="H242" s="4" t="s">
        <v>5928</v>
      </c>
      <c r="I242" s="5">
        <v>42475</v>
      </c>
      <c r="J242" s="4" t="s">
        <v>4798</v>
      </c>
      <c r="K242" s="4" t="s">
        <v>57</v>
      </c>
      <c r="L242" s="4"/>
      <c r="M242" s="4"/>
    </row>
    <row r="243" ht="16" customHeight="1" s="4" customFormat="1">
      <c r="A243" s="4">
        <v>1559</v>
      </c>
      <c r="B243" s="4" t="s">
        <v>5499</v>
      </c>
      <c r="C243" s="4" t="s">
        <v>5714</v>
      </c>
      <c r="D243" s="4" t="s">
        <v>5574</v>
      </c>
      <c r="E243" s="4" t="s">
        <v>5575</v>
      </c>
      <c r="F243" s="4" t="s">
        <v>5951</v>
      </c>
      <c r="G243" s="4" t="s">
        <v>5680</v>
      </c>
      <c r="H243" s="4" t="s">
        <v>5928</v>
      </c>
      <c r="I243" s="5">
        <v>42475</v>
      </c>
      <c r="J243" s="4" t="s">
        <v>4798</v>
      </c>
      <c r="K243" s="4" t="s">
        <v>57</v>
      </c>
      <c r="L243" s="4"/>
      <c r="M243" s="4"/>
    </row>
    <row r="244" ht="16" customHeight="1" s="4" customFormat="1">
      <c r="A244" s="4">
        <v>1560</v>
      </c>
      <c r="B244" s="4" t="s">
        <v>5499</v>
      </c>
      <c r="C244" s="4" t="s">
        <v>5590</v>
      </c>
      <c r="D244" s="4"/>
      <c r="E244" s="4" t="s">
        <v>5952</v>
      </c>
      <c r="F244" s="4" t="s">
        <v>5953</v>
      </c>
      <c r="G244" s="4" t="s">
        <v>5954</v>
      </c>
      <c r="H244" s="4" t="s">
        <v>5955</v>
      </c>
      <c r="I244" s="5">
        <v>42475</v>
      </c>
      <c r="J244" s="4" t="s">
        <v>4842</v>
      </c>
      <c r="K244" s="4" t="s">
        <v>57</v>
      </c>
      <c r="L244" s="4"/>
      <c r="M244" s="4"/>
    </row>
    <row r="245" ht="16" customHeight="1" s="4" customFormat="1">
      <c r="A245" s="4">
        <v>1561</v>
      </c>
      <c r="B245" s="4" t="s">
        <v>5600</v>
      </c>
      <c r="C245" s="4" t="s">
        <v>5600</v>
      </c>
      <c r="D245" s="4"/>
      <c r="E245" s="4" t="s">
        <v>5956</v>
      </c>
      <c r="F245" s="4" t="s">
        <v>5957</v>
      </c>
      <c r="G245" s="4" t="s">
        <v>5958</v>
      </c>
      <c r="H245" s="4" t="s">
        <v>5959</v>
      </c>
      <c r="I245" s="5">
        <v>42466</v>
      </c>
      <c r="J245" s="4" t="s">
        <v>4798</v>
      </c>
      <c r="K245" s="4" t="s">
        <v>57</v>
      </c>
      <c r="L245" s="4"/>
      <c r="M245" s="4"/>
    </row>
    <row r="246" ht="16" customHeight="1" s="4" customFormat="1">
      <c r="A246" s="4">
        <v>1562</v>
      </c>
      <c r="B246" s="4" t="s">
        <v>5600</v>
      </c>
      <c r="C246" s="4" t="s">
        <v>5600</v>
      </c>
      <c r="D246" s="4"/>
      <c r="E246" s="4" t="s">
        <v>5956</v>
      </c>
      <c r="F246" s="4" t="s">
        <v>5960</v>
      </c>
      <c r="G246" s="4" t="s">
        <v>5961</v>
      </c>
      <c r="H246" s="4" t="s">
        <v>5962</v>
      </c>
      <c r="I246" s="5">
        <v>42466</v>
      </c>
      <c r="J246" s="4" t="s">
        <v>4798</v>
      </c>
      <c r="K246" s="4" t="s">
        <v>57</v>
      </c>
      <c r="L246" s="4"/>
      <c r="M246" s="4"/>
    </row>
    <row r="247" ht="16" customHeight="1" s="4" customFormat="1">
      <c r="A247" s="4">
        <v>1563</v>
      </c>
      <c r="B247" s="4" t="s">
        <v>5499</v>
      </c>
      <c r="C247" s="4" t="s">
        <v>5519</v>
      </c>
      <c r="D247" s="4"/>
      <c r="E247" s="4" t="s">
        <v>5641</v>
      </c>
      <c r="F247" s="4" t="s">
        <v>5963</v>
      </c>
      <c r="G247" s="4" t="s">
        <v>5964</v>
      </c>
      <c r="H247" s="4" t="s">
        <v>5965</v>
      </c>
      <c r="I247" s="5">
        <v>42465</v>
      </c>
      <c r="J247" s="4" t="s">
        <v>4842</v>
      </c>
      <c r="K247" s="4" t="s">
        <v>57</v>
      </c>
      <c r="L247" s="4"/>
      <c r="M247" s="4"/>
    </row>
    <row r="248" ht="16" customHeight="1" s="4" customFormat="1">
      <c r="A248" s="4">
        <v>1564</v>
      </c>
      <c r="B248" s="4" t="s">
        <v>5499</v>
      </c>
      <c r="C248" s="4" t="s">
        <v>5500</v>
      </c>
      <c r="D248" s="4" t="s">
        <v>5574</v>
      </c>
      <c r="E248" s="4" t="s">
        <v>5761</v>
      </c>
      <c r="F248" s="4" t="s">
        <v>5966</v>
      </c>
      <c r="G248" s="4" t="s">
        <v>5967</v>
      </c>
      <c r="H248" s="4" t="s">
        <v>5968</v>
      </c>
      <c r="I248" s="5">
        <v>42464</v>
      </c>
      <c r="J248" s="4" t="s">
        <v>5506</v>
      </c>
      <c r="K248" s="4" t="s">
        <v>57</v>
      </c>
      <c r="L248" s="4"/>
      <c r="M248" s="4"/>
    </row>
    <row r="249" ht="16" customHeight="1" s="4" customFormat="1">
      <c r="A249" s="4">
        <v>1565</v>
      </c>
      <c r="B249" s="4" t="s">
        <v>5499</v>
      </c>
      <c r="C249" s="4" t="s">
        <v>5519</v>
      </c>
      <c r="D249" s="4"/>
      <c r="E249" s="4" t="s">
        <v>5524</v>
      </c>
      <c r="F249" s="4" t="s">
        <v>5969</v>
      </c>
      <c r="G249" s="4" t="s">
        <v>5666</v>
      </c>
      <c r="H249" s="4" t="s">
        <v>5970</v>
      </c>
      <c r="I249" s="5">
        <v>42462</v>
      </c>
      <c r="J249" s="4" t="s">
        <v>4842</v>
      </c>
      <c r="K249" s="4" t="s">
        <v>57</v>
      </c>
      <c r="L249" s="4"/>
      <c r="M249" s="4"/>
    </row>
    <row r="250" ht="16" customHeight="1" s="4" customFormat="1">
      <c r="A250" s="4">
        <v>1566</v>
      </c>
      <c r="B250" s="4" t="s">
        <v>5499</v>
      </c>
      <c r="C250" s="4" t="s">
        <v>5519</v>
      </c>
      <c r="D250" s="4"/>
      <c r="E250" s="4" t="s">
        <v>5524</v>
      </c>
      <c r="F250" s="4" t="s">
        <v>5971</v>
      </c>
      <c r="G250" s="4" t="s">
        <v>5972</v>
      </c>
      <c r="H250" s="4" t="s">
        <v>5667</v>
      </c>
      <c r="I250" s="5">
        <v>42462</v>
      </c>
      <c r="J250" s="4" t="s">
        <v>4842</v>
      </c>
      <c r="K250" s="4" t="s">
        <v>57</v>
      </c>
      <c r="L250" s="4"/>
      <c r="M250" s="4"/>
    </row>
    <row r="251" ht="16" customHeight="1" s="4" customFormat="1">
      <c r="A251" s="4">
        <v>1567</v>
      </c>
      <c r="B251" s="4" t="s">
        <v>5499</v>
      </c>
      <c r="C251" s="4" t="s">
        <v>5573</v>
      </c>
      <c r="D251" s="4" t="s">
        <v>5574</v>
      </c>
      <c r="E251" s="4" t="s">
        <v>5575</v>
      </c>
      <c r="F251" s="4" t="s">
        <v>5973</v>
      </c>
      <c r="G251" s="4" t="s">
        <v>10</v>
      </c>
      <c r="H251" s="4" t="s">
        <v>5578</v>
      </c>
      <c r="I251" s="5">
        <v>42461</v>
      </c>
      <c r="J251" s="4" t="s">
        <v>4842</v>
      </c>
      <c r="K251" s="4" t="s">
        <v>57</v>
      </c>
      <c r="L251" s="4"/>
      <c r="M251" s="4"/>
    </row>
    <row r="252" ht="16" customHeight="1" s="4" customFormat="1">
      <c r="A252" s="4">
        <v>1568</v>
      </c>
      <c r="B252" s="4" t="s">
        <v>5499</v>
      </c>
      <c r="C252" s="4" t="s">
        <v>5573</v>
      </c>
      <c r="D252" s="4" t="s">
        <v>5574</v>
      </c>
      <c r="E252" s="4" t="s">
        <v>5575</v>
      </c>
      <c r="F252" s="4" t="s">
        <v>5974</v>
      </c>
      <c r="G252" s="4" t="s">
        <v>10</v>
      </c>
      <c r="H252" s="4" t="s">
        <v>5578</v>
      </c>
      <c r="I252" s="5">
        <v>42461</v>
      </c>
      <c r="J252" s="4" t="s">
        <v>4842</v>
      </c>
      <c r="K252" s="4" t="s">
        <v>57</v>
      </c>
      <c r="L252" s="4"/>
      <c r="M252" s="4"/>
    </row>
    <row r="253" ht="16" customHeight="1" s="4" customFormat="1">
      <c r="A253" s="4">
        <v>1569</v>
      </c>
      <c r="B253" s="4" t="s">
        <v>5499</v>
      </c>
      <c r="C253" s="4" t="s">
        <v>5573</v>
      </c>
      <c r="D253" s="4" t="s">
        <v>5574</v>
      </c>
      <c r="E253" s="4" t="s">
        <v>5575</v>
      </c>
      <c r="F253" s="4" t="s">
        <v>5975</v>
      </c>
      <c r="G253" s="4" t="s">
        <v>10</v>
      </c>
      <c r="H253" s="4" t="s">
        <v>5578</v>
      </c>
      <c r="I253" s="5">
        <v>42461</v>
      </c>
      <c r="J253" s="4" t="s">
        <v>4842</v>
      </c>
      <c r="K253" s="4" t="s">
        <v>57</v>
      </c>
      <c r="L253" s="4"/>
      <c r="M253" s="4"/>
    </row>
    <row r="254" ht="16" customHeight="1" s="4" customFormat="1">
      <c r="A254" s="4">
        <v>1570</v>
      </c>
      <c r="B254" s="4" t="s">
        <v>5499</v>
      </c>
      <c r="C254" s="4" t="s">
        <v>5573</v>
      </c>
      <c r="D254" s="4" t="s">
        <v>5574</v>
      </c>
      <c r="E254" s="4" t="s">
        <v>5575</v>
      </c>
      <c r="F254" s="4" t="s">
        <v>5976</v>
      </c>
      <c r="G254" s="4" t="s">
        <v>10</v>
      </c>
      <c r="H254" s="4" t="s">
        <v>5578</v>
      </c>
      <c r="I254" s="5">
        <v>42461</v>
      </c>
      <c r="J254" s="4" t="s">
        <v>4842</v>
      </c>
      <c r="K254" s="4" t="s">
        <v>57</v>
      </c>
      <c r="L254" s="4"/>
      <c r="M254" s="4"/>
    </row>
    <row r="255" ht="16" customHeight="1" s="4" customFormat="1">
      <c r="A255" s="4">
        <v>1571</v>
      </c>
      <c r="B255" s="4" t="s">
        <v>5499</v>
      </c>
      <c r="C255" s="4" t="s">
        <v>5573</v>
      </c>
      <c r="D255" s="4" t="s">
        <v>5574</v>
      </c>
      <c r="E255" s="4" t="s">
        <v>5575</v>
      </c>
      <c r="F255" s="4" t="s">
        <v>5977</v>
      </c>
      <c r="G255" s="4" t="s">
        <v>10</v>
      </c>
      <c r="H255" s="4" t="s">
        <v>5578</v>
      </c>
      <c r="I255" s="5">
        <v>42461</v>
      </c>
      <c r="J255" s="4" t="s">
        <v>4842</v>
      </c>
      <c r="K255" s="4" t="s">
        <v>57</v>
      </c>
      <c r="L255" s="4"/>
      <c r="M255" s="4"/>
    </row>
    <row r="256" ht="16" customHeight="1" s="4" customFormat="1">
      <c r="A256" s="4">
        <v>1572</v>
      </c>
      <c r="B256" s="4" t="s">
        <v>5499</v>
      </c>
      <c r="C256" s="4" t="s">
        <v>5573</v>
      </c>
      <c r="D256" s="4" t="s">
        <v>5574</v>
      </c>
      <c r="E256" s="4" t="s">
        <v>5575</v>
      </c>
      <c r="F256" s="4" t="s">
        <v>5978</v>
      </c>
      <c r="G256" s="4" t="s">
        <v>10</v>
      </c>
      <c r="H256" s="4" t="s">
        <v>5578</v>
      </c>
      <c r="I256" s="5">
        <v>42461</v>
      </c>
      <c r="J256" s="4" t="s">
        <v>4842</v>
      </c>
      <c r="K256" s="4" t="s">
        <v>57</v>
      </c>
      <c r="L256" s="4"/>
      <c r="M256" s="4"/>
    </row>
    <row r="257" ht="16" customHeight="1" s="4" customFormat="1">
      <c r="A257" s="4">
        <v>1573</v>
      </c>
      <c r="B257" s="4" t="s">
        <v>5499</v>
      </c>
      <c r="C257" s="4" t="s">
        <v>5573</v>
      </c>
      <c r="D257" s="4" t="s">
        <v>5574</v>
      </c>
      <c r="E257" s="4" t="s">
        <v>5575</v>
      </c>
      <c r="F257" s="4" t="s">
        <v>5979</v>
      </c>
      <c r="G257" s="4" t="s">
        <v>10</v>
      </c>
      <c r="H257" s="4" t="s">
        <v>5578</v>
      </c>
      <c r="I257" s="5">
        <v>42461</v>
      </c>
      <c r="J257" s="4" t="s">
        <v>4842</v>
      </c>
      <c r="K257" s="4" t="s">
        <v>57</v>
      </c>
      <c r="L257" s="4"/>
      <c r="M257" s="4"/>
    </row>
    <row r="258" ht="16" customHeight="1" s="4" customFormat="1">
      <c r="A258" s="4">
        <v>1574</v>
      </c>
      <c r="B258" s="4" t="s">
        <v>5499</v>
      </c>
      <c r="C258" s="4" t="s">
        <v>5573</v>
      </c>
      <c r="D258" s="4" t="s">
        <v>5574</v>
      </c>
      <c r="E258" s="4" t="s">
        <v>5575</v>
      </c>
      <c r="F258" s="4" t="s">
        <v>5980</v>
      </c>
      <c r="G258" s="4" t="s">
        <v>10</v>
      </c>
      <c r="H258" s="4" t="s">
        <v>5578</v>
      </c>
      <c r="I258" s="5">
        <v>42461</v>
      </c>
      <c r="J258" s="4" t="s">
        <v>4842</v>
      </c>
      <c r="K258" s="4" t="s">
        <v>57</v>
      </c>
      <c r="L258" s="4"/>
      <c r="M258" s="4"/>
    </row>
    <row r="259" ht="16" customHeight="1" s="4" customFormat="1">
      <c r="A259" s="4">
        <v>1575</v>
      </c>
      <c r="B259" s="4" t="s">
        <v>5499</v>
      </c>
      <c r="C259" s="4" t="s">
        <v>5573</v>
      </c>
      <c r="D259" s="4" t="s">
        <v>5574</v>
      </c>
      <c r="E259" s="4" t="s">
        <v>5575</v>
      </c>
      <c r="F259" s="4" t="s">
        <v>5981</v>
      </c>
      <c r="G259" s="4" t="s">
        <v>10</v>
      </c>
      <c r="H259" s="4" t="s">
        <v>5578</v>
      </c>
      <c r="I259" s="5">
        <v>42461</v>
      </c>
      <c r="J259" s="4" t="s">
        <v>4842</v>
      </c>
      <c r="K259" s="4" t="s">
        <v>57</v>
      </c>
      <c r="L259" s="4"/>
      <c r="M259" s="4"/>
    </row>
    <row r="260" ht="16" customHeight="1" s="4" customFormat="1">
      <c r="A260" s="4">
        <v>2084</v>
      </c>
      <c r="B260" s="4" t="s">
        <v>5499</v>
      </c>
      <c r="C260" s="4" t="s">
        <v>5519</v>
      </c>
      <c r="D260" s="4"/>
      <c r="E260" s="4" t="s">
        <v>5664</v>
      </c>
      <c r="F260" s="4" t="s">
        <v>5982</v>
      </c>
      <c r="G260" s="4" t="s">
        <v>5983</v>
      </c>
      <c r="H260" s="4" t="s">
        <v>5984</v>
      </c>
      <c r="I260" s="5">
        <v>41730</v>
      </c>
      <c r="J260" s="4" t="s">
        <v>5506</v>
      </c>
      <c r="K260" s="4" t="s">
        <v>57</v>
      </c>
      <c r="L260" s="4"/>
      <c r="M260" s="4"/>
    </row>
    <row r="261" ht="16" customHeight="1" s="4" customFormat="1">
      <c r="A261" s="4">
        <v>2085</v>
      </c>
      <c r="B261" s="4" t="s">
        <v>5694</v>
      </c>
      <c r="C261" s="4" t="s">
        <v>5695</v>
      </c>
      <c r="D261" s="4" t="s">
        <v>5985</v>
      </c>
      <c r="E261" s="4" t="s">
        <v>5986</v>
      </c>
      <c r="F261" s="4" t="s">
        <v>5987</v>
      </c>
      <c r="G261" s="4" t="s">
        <v>5675</v>
      </c>
      <c r="H261" s="4" t="s">
        <v>5988</v>
      </c>
      <c r="I261" s="5">
        <v>41726</v>
      </c>
      <c r="J261" s="4" t="s">
        <v>5506</v>
      </c>
      <c r="K261" s="4" t="s">
        <v>57</v>
      </c>
      <c r="L261" s="4"/>
      <c r="M261" s="4"/>
    </row>
    <row r="262" ht="16" customHeight="1" s="4" customFormat="1">
      <c r="A262" s="4">
        <v>2086</v>
      </c>
      <c r="B262" s="4" t="s">
        <v>5534</v>
      </c>
      <c r="C262" s="4" t="s">
        <v>5773</v>
      </c>
      <c r="D262" s="4"/>
      <c r="E262" s="4"/>
      <c r="F262" s="4" t="s">
        <v>5989</v>
      </c>
      <c r="G262" s="4" t="s">
        <v>5675</v>
      </c>
      <c r="H262" s="4" t="s">
        <v>5990</v>
      </c>
      <c r="I262" s="5">
        <v>41726</v>
      </c>
      <c r="J262" s="4" t="s">
        <v>4842</v>
      </c>
      <c r="K262" s="4" t="s">
        <v>57</v>
      </c>
      <c r="L262" s="4"/>
      <c r="M262" s="4"/>
    </row>
    <row r="263" ht="16" customHeight="1" s="4" customFormat="1">
      <c r="A263" s="4">
        <v>2087</v>
      </c>
      <c r="B263" s="4" t="s">
        <v>5534</v>
      </c>
      <c r="C263" s="4" t="s">
        <v>5773</v>
      </c>
      <c r="D263" s="4"/>
      <c r="E263" s="4"/>
      <c r="F263" s="4" t="s">
        <v>5991</v>
      </c>
      <c r="G263" s="4" t="s">
        <v>5675</v>
      </c>
      <c r="H263" s="4" t="s">
        <v>5990</v>
      </c>
      <c r="I263" s="5">
        <v>41726</v>
      </c>
      <c r="J263" s="4" t="s">
        <v>4842</v>
      </c>
      <c r="K263" s="4" t="s">
        <v>57</v>
      </c>
      <c r="L263" s="4"/>
      <c r="M263" s="4"/>
    </row>
    <row r="264" ht="16" customHeight="1" s="4" customFormat="1">
      <c r="A264" s="4">
        <v>2088</v>
      </c>
      <c r="B264" s="4" t="s">
        <v>5534</v>
      </c>
      <c r="C264" s="4" t="s">
        <v>5773</v>
      </c>
      <c r="D264" s="4"/>
      <c r="E264" s="4"/>
      <c r="F264" s="4" t="s">
        <v>5992</v>
      </c>
      <c r="G264" s="4" t="s">
        <v>5675</v>
      </c>
      <c r="H264" s="4" t="s">
        <v>5990</v>
      </c>
      <c r="I264" s="5">
        <v>41726</v>
      </c>
      <c r="J264" s="4" t="s">
        <v>4842</v>
      </c>
      <c r="K264" s="4" t="s">
        <v>57</v>
      </c>
      <c r="L264" s="4"/>
      <c r="M264" s="4"/>
    </row>
    <row r="265" ht="16" customHeight="1" s="4" customFormat="1">
      <c r="A265" s="4">
        <v>2089</v>
      </c>
      <c r="B265" s="4" t="s">
        <v>5534</v>
      </c>
      <c r="C265" s="4" t="s">
        <v>5773</v>
      </c>
      <c r="D265" s="4"/>
      <c r="E265" s="4"/>
      <c r="F265" s="4" t="s">
        <v>5993</v>
      </c>
      <c r="G265" s="4" t="s">
        <v>5675</v>
      </c>
      <c r="H265" s="4" t="s">
        <v>5990</v>
      </c>
      <c r="I265" s="5">
        <v>41726</v>
      </c>
      <c r="J265" s="4" t="s">
        <v>4842</v>
      </c>
      <c r="K265" s="4" t="s">
        <v>57</v>
      </c>
      <c r="L265" s="4"/>
      <c r="M265" s="4"/>
    </row>
    <row r="266" ht="16" customHeight="1" s="4" customFormat="1">
      <c r="A266" s="4">
        <v>2090</v>
      </c>
      <c r="B266" s="4" t="s">
        <v>5534</v>
      </c>
      <c r="C266" s="4" t="s">
        <v>5773</v>
      </c>
      <c r="D266" s="4"/>
      <c r="E266" s="4"/>
      <c r="F266" s="4" t="s">
        <v>5994</v>
      </c>
      <c r="G266" s="4" t="s">
        <v>5675</v>
      </c>
      <c r="H266" s="4" t="s">
        <v>5990</v>
      </c>
      <c r="I266" s="5">
        <v>41726</v>
      </c>
      <c r="J266" s="4" t="s">
        <v>4842</v>
      </c>
      <c r="K266" s="4" t="s">
        <v>57</v>
      </c>
      <c r="L266" s="4"/>
      <c r="M266" s="4"/>
    </row>
    <row r="267" ht="16" customHeight="1" s="4" customFormat="1">
      <c r="A267" s="4">
        <v>2091</v>
      </c>
      <c r="B267" s="4" t="s">
        <v>5534</v>
      </c>
      <c r="C267" s="4" t="s">
        <v>5773</v>
      </c>
      <c r="D267" s="4"/>
      <c r="E267" s="4"/>
      <c r="F267" s="4" t="s">
        <v>5995</v>
      </c>
      <c r="G267" s="4" t="s">
        <v>5675</v>
      </c>
      <c r="H267" s="4" t="s">
        <v>5990</v>
      </c>
      <c r="I267" s="5">
        <v>41726</v>
      </c>
      <c r="J267" s="4" t="s">
        <v>4842</v>
      </c>
      <c r="K267" s="4" t="s">
        <v>57</v>
      </c>
      <c r="L267" s="4"/>
      <c r="M267" s="4"/>
    </row>
    <row r="268" ht="16" customHeight="1" s="4" customFormat="1">
      <c r="A268" s="4">
        <v>2092</v>
      </c>
      <c r="B268" s="4" t="s">
        <v>5694</v>
      </c>
      <c r="C268" s="4" t="s">
        <v>5695</v>
      </c>
      <c r="D268" s="4" t="s">
        <v>5985</v>
      </c>
      <c r="E268" s="4" t="s">
        <v>5986</v>
      </c>
      <c r="F268" s="4" t="s">
        <v>5996</v>
      </c>
      <c r="G268" s="4" t="s">
        <v>5675</v>
      </c>
      <c r="H268" s="4" t="s">
        <v>5997</v>
      </c>
      <c r="I268" s="5">
        <v>41712</v>
      </c>
      <c r="J268" s="4" t="s">
        <v>5506</v>
      </c>
      <c r="K268" s="4" t="s">
        <v>57</v>
      </c>
      <c r="L268" s="4"/>
      <c r="M268" s="4"/>
    </row>
    <row r="269" ht="16" customHeight="1" s="4" customFormat="1">
      <c r="A269" s="4">
        <v>2093</v>
      </c>
      <c r="B269" s="4" t="s">
        <v>5534</v>
      </c>
      <c r="C269" s="4" t="s">
        <v>5631</v>
      </c>
      <c r="D269" s="4"/>
      <c r="E269" s="4"/>
      <c r="F269" s="4">
        <v>6681</v>
      </c>
      <c r="G269" s="4" t="s">
        <v>5632</v>
      </c>
      <c r="H269" s="4" t="s">
        <v>5633</v>
      </c>
      <c r="I269" s="5">
        <v>41703</v>
      </c>
      <c r="J269" s="4" t="s">
        <v>5506</v>
      </c>
      <c r="K269" s="4" t="s">
        <v>57</v>
      </c>
      <c r="L269" s="4"/>
      <c r="M269" s="4"/>
    </row>
    <row r="270" ht="16" customHeight="1" s="4" customFormat="1">
      <c r="A270" s="4">
        <v>2094</v>
      </c>
      <c r="B270" s="4" t="s">
        <v>5534</v>
      </c>
      <c r="C270" s="4" t="s">
        <v>5631</v>
      </c>
      <c r="D270" s="4"/>
      <c r="E270" s="4"/>
      <c r="F270" s="4">
        <v>11832</v>
      </c>
      <c r="G270" s="4" t="s">
        <v>5632</v>
      </c>
      <c r="H270" s="4" t="s">
        <v>5636</v>
      </c>
      <c r="I270" s="5">
        <v>41703</v>
      </c>
      <c r="J270" s="4" t="s">
        <v>5506</v>
      </c>
      <c r="K270" s="4" t="s">
        <v>57</v>
      </c>
      <c r="L270" s="4"/>
      <c r="M270" s="4"/>
    </row>
    <row r="271" ht="16" customHeight="1" s="4" customFormat="1">
      <c r="A271" s="4">
        <v>2095</v>
      </c>
      <c r="B271" s="4" t="s">
        <v>5534</v>
      </c>
      <c r="C271" s="4" t="s">
        <v>5631</v>
      </c>
      <c r="D271" s="4"/>
      <c r="E271" s="4"/>
      <c r="F271" s="4">
        <v>6687</v>
      </c>
      <c r="G271" s="4" t="s">
        <v>5632</v>
      </c>
      <c r="H271" s="4" t="s">
        <v>5635</v>
      </c>
      <c r="I271" s="5">
        <v>41703</v>
      </c>
      <c r="J271" s="4" t="s">
        <v>5506</v>
      </c>
      <c r="K271" s="4" t="s">
        <v>57</v>
      </c>
      <c r="L271" s="4"/>
      <c r="M271" s="4"/>
    </row>
    <row r="272" ht="16" customHeight="1" s="4" customFormat="1">
      <c r="A272" s="4">
        <v>2096</v>
      </c>
      <c r="B272" s="4" t="s">
        <v>5534</v>
      </c>
      <c r="C272" s="4" t="s">
        <v>5631</v>
      </c>
      <c r="D272" s="4"/>
      <c r="E272" s="4"/>
      <c r="F272" s="4">
        <v>11835</v>
      </c>
      <c r="G272" s="4" t="s">
        <v>5632</v>
      </c>
      <c r="H272" s="4" t="s">
        <v>5634</v>
      </c>
      <c r="I272" s="5">
        <v>41703</v>
      </c>
      <c r="J272" s="4" t="s">
        <v>5506</v>
      </c>
      <c r="K272" s="4" t="s">
        <v>57</v>
      </c>
      <c r="L272" s="4"/>
      <c r="M272" s="4"/>
    </row>
    <row r="273" ht="16" customHeight="1" s="4" customFormat="1">
      <c r="A273" s="4">
        <v>2097</v>
      </c>
      <c r="B273" s="4" t="s">
        <v>5534</v>
      </c>
      <c r="C273" s="4" t="s">
        <v>5631</v>
      </c>
      <c r="D273" s="4"/>
      <c r="E273" s="4"/>
      <c r="F273" s="4">
        <v>11852</v>
      </c>
      <c r="G273" s="4" t="s">
        <v>5632</v>
      </c>
      <c r="H273" s="4" t="s">
        <v>5998</v>
      </c>
      <c r="I273" s="5">
        <v>41703</v>
      </c>
      <c r="J273" s="4" t="s">
        <v>5506</v>
      </c>
      <c r="K273" s="4" t="s">
        <v>57</v>
      </c>
      <c r="L273" s="4"/>
      <c r="M273" s="4"/>
    </row>
    <row r="274" ht="16" customHeight="1" s="4" customFormat="1">
      <c r="A274" s="4">
        <v>2098</v>
      </c>
      <c r="B274" s="4" t="s">
        <v>5534</v>
      </c>
      <c r="C274" s="4" t="s">
        <v>5631</v>
      </c>
      <c r="D274" s="4"/>
      <c r="E274" s="4"/>
      <c r="F274" s="4">
        <v>11856</v>
      </c>
      <c r="G274" s="4" t="s">
        <v>5632</v>
      </c>
      <c r="H274" s="4" t="s">
        <v>5634</v>
      </c>
      <c r="I274" s="5">
        <v>41703</v>
      </c>
      <c r="J274" s="4" t="s">
        <v>5506</v>
      </c>
      <c r="K274" s="4" t="s">
        <v>57</v>
      </c>
      <c r="L274" s="4"/>
      <c r="M274" s="4"/>
    </row>
    <row r="275" ht="16" customHeight="1" s="4" customFormat="1">
      <c r="A275" s="4">
        <v>2099</v>
      </c>
      <c r="B275" s="4" t="s">
        <v>5534</v>
      </c>
      <c r="C275" s="4" t="s">
        <v>5631</v>
      </c>
      <c r="D275" s="4"/>
      <c r="E275" s="4"/>
      <c r="F275" s="4">
        <v>11863</v>
      </c>
      <c r="G275" s="4" t="s">
        <v>5632</v>
      </c>
      <c r="H275" s="4" t="s">
        <v>5636</v>
      </c>
      <c r="I275" s="5">
        <v>41703</v>
      </c>
      <c r="J275" s="4" t="s">
        <v>5506</v>
      </c>
      <c r="K275" s="4" t="s">
        <v>57</v>
      </c>
      <c r="L275" s="4"/>
      <c r="M275" s="4"/>
    </row>
    <row r="276" ht="16" customHeight="1" s="4" customFormat="1">
      <c r="A276" s="4">
        <v>2100</v>
      </c>
      <c r="B276" s="4" t="s">
        <v>5534</v>
      </c>
      <c r="C276" s="4" t="s">
        <v>5631</v>
      </c>
      <c r="D276" s="4"/>
      <c r="E276" s="4"/>
      <c r="F276" s="4">
        <v>6662</v>
      </c>
      <c r="G276" s="4" t="s">
        <v>5632</v>
      </c>
      <c r="H276" s="4" t="s">
        <v>5635</v>
      </c>
      <c r="I276" s="5">
        <v>41703</v>
      </c>
      <c r="J276" s="4" t="s">
        <v>5506</v>
      </c>
      <c r="K276" s="4" t="s">
        <v>57</v>
      </c>
      <c r="L276" s="4"/>
      <c r="M276" s="4"/>
    </row>
    <row r="277" ht="16" customHeight="1" s="4" customFormat="1">
      <c r="A277" s="4">
        <v>2101</v>
      </c>
      <c r="B277" s="4" t="s">
        <v>5534</v>
      </c>
      <c r="C277" s="4" t="s">
        <v>5631</v>
      </c>
      <c r="D277" s="4"/>
      <c r="E277" s="4"/>
      <c r="F277" s="4">
        <v>6665</v>
      </c>
      <c r="G277" s="4" t="s">
        <v>5632</v>
      </c>
      <c r="H277" s="4" t="s">
        <v>5633</v>
      </c>
      <c r="I277" s="5">
        <v>41703</v>
      </c>
      <c r="J277" s="4" t="s">
        <v>5506</v>
      </c>
      <c r="K277" s="4" t="s">
        <v>57</v>
      </c>
      <c r="L277" s="4"/>
      <c r="M277" s="4"/>
    </row>
    <row r="278" ht="16" customHeight="1" s="4" customFormat="1">
      <c r="A278" s="4">
        <v>2102</v>
      </c>
      <c r="B278" s="4" t="s">
        <v>5534</v>
      </c>
      <c r="C278" s="4" t="s">
        <v>5631</v>
      </c>
      <c r="D278" s="4"/>
      <c r="E278" s="4"/>
      <c r="F278" s="4">
        <v>6676</v>
      </c>
      <c r="G278" s="4" t="s">
        <v>5632</v>
      </c>
      <c r="H278" s="4" t="s">
        <v>5633</v>
      </c>
      <c r="I278" s="5">
        <v>41703</v>
      </c>
      <c r="J278" s="4" t="s">
        <v>5506</v>
      </c>
      <c r="K278" s="4" t="s">
        <v>57</v>
      </c>
      <c r="L278" s="4"/>
      <c r="M278" s="4"/>
    </row>
    <row r="279" ht="16" customHeight="1" s="4" customFormat="1">
      <c r="A279" s="4">
        <v>2103</v>
      </c>
      <c r="B279" s="4" t="s">
        <v>5499</v>
      </c>
      <c r="C279" s="4" t="s">
        <v>5519</v>
      </c>
      <c r="D279" s="4"/>
      <c r="E279" s="4" t="s">
        <v>5641</v>
      </c>
      <c r="F279" s="4" t="s">
        <v>5999</v>
      </c>
      <c r="G279" s="4" t="s">
        <v>6000</v>
      </c>
      <c r="H279" s="4" t="s">
        <v>5768</v>
      </c>
      <c r="I279" s="5">
        <v>41703</v>
      </c>
      <c r="J279" s="4" t="s">
        <v>4842</v>
      </c>
      <c r="K279" s="4" t="s">
        <v>57</v>
      </c>
      <c r="L279" s="4"/>
      <c r="M279" s="4"/>
    </row>
    <row r="280" ht="16" customHeight="1" s="4" customFormat="1">
      <c r="A280" s="4">
        <v>2104</v>
      </c>
      <c r="B280" s="4" t="s">
        <v>5534</v>
      </c>
      <c r="C280" s="4" t="s">
        <v>5773</v>
      </c>
      <c r="D280" s="4"/>
      <c r="E280" s="4"/>
      <c r="F280" s="4" t="s">
        <v>6001</v>
      </c>
      <c r="G280" s="4" t="s">
        <v>5791</v>
      </c>
      <c r="H280" s="4" t="s">
        <v>5853</v>
      </c>
      <c r="I280" s="5">
        <v>41696</v>
      </c>
      <c r="J280" s="4" t="s">
        <v>4842</v>
      </c>
      <c r="K280" s="4" t="s">
        <v>57</v>
      </c>
      <c r="L280" s="4"/>
      <c r="M280" s="4"/>
    </row>
    <row r="281" ht="16" customHeight="1" s="4" customFormat="1">
      <c r="A281" s="4">
        <v>2105</v>
      </c>
      <c r="B281" s="4" t="s">
        <v>5499</v>
      </c>
      <c r="C281" s="4" t="s">
        <v>5573</v>
      </c>
      <c r="D281" s="4" t="s">
        <v>5574</v>
      </c>
      <c r="E281" s="4" t="s">
        <v>5575</v>
      </c>
      <c r="F281" s="4" t="s">
        <v>6002</v>
      </c>
      <c r="G281" s="4" t="s">
        <v>5675</v>
      </c>
      <c r="H281" s="4" t="s">
        <v>5578</v>
      </c>
      <c r="I281" s="5">
        <v>41690</v>
      </c>
      <c r="J281" s="4" t="s">
        <v>4798</v>
      </c>
      <c r="K281" s="4" t="s">
        <v>57</v>
      </c>
      <c r="L281" s="4"/>
      <c r="M281" s="4"/>
    </row>
    <row r="282" ht="16" customHeight="1" s="4" customFormat="1">
      <c r="A282" s="4">
        <v>2106</v>
      </c>
      <c r="B282" s="4" t="s">
        <v>5600</v>
      </c>
      <c r="C282" s="4" t="s">
        <v>5600</v>
      </c>
      <c r="D282" s="4" t="s">
        <v>5728</v>
      </c>
      <c r="E282" s="4" t="s">
        <v>6003</v>
      </c>
      <c r="F282" s="4" t="s">
        <v>6004</v>
      </c>
      <c r="G282" s="4" t="s">
        <v>6005</v>
      </c>
      <c r="H282" s="4" t="s">
        <v>6006</v>
      </c>
      <c r="I282" s="5">
        <v>41689</v>
      </c>
      <c r="J282" s="4" t="s">
        <v>4798</v>
      </c>
      <c r="K282" s="4" t="s">
        <v>57</v>
      </c>
      <c r="L282" s="4"/>
      <c r="M282" s="4"/>
    </row>
    <row r="283" ht="16" customHeight="1" s="4" customFormat="1">
      <c r="A283" s="4">
        <v>2107</v>
      </c>
      <c r="B283" s="4" t="s">
        <v>5600</v>
      </c>
      <c r="C283" s="4" t="s">
        <v>5600</v>
      </c>
      <c r="D283" s="4" t="s">
        <v>5728</v>
      </c>
      <c r="E283" s="4" t="s">
        <v>6003</v>
      </c>
      <c r="F283" s="4" t="s">
        <v>6007</v>
      </c>
      <c r="G283" s="4" t="s">
        <v>6005</v>
      </c>
      <c r="H283" s="4" t="s">
        <v>6008</v>
      </c>
      <c r="I283" s="5">
        <v>41689</v>
      </c>
      <c r="J283" s="4" t="s">
        <v>4798</v>
      </c>
      <c r="K283" s="4" t="s">
        <v>57</v>
      </c>
      <c r="L283" s="4"/>
      <c r="M283" s="4"/>
    </row>
    <row r="284" ht="16" customHeight="1" s="4" customFormat="1">
      <c r="A284" s="4">
        <v>2108</v>
      </c>
      <c r="B284" s="4" t="s">
        <v>5600</v>
      </c>
      <c r="C284" s="4" t="s">
        <v>5600</v>
      </c>
      <c r="D284" s="4" t="s">
        <v>5728</v>
      </c>
      <c r="E284" s="4" t="s">
        <v>6003</v>
      </c>
      <c r="F284" s="4" t="s">
        <v>6009</v>
      </c>
      <c r="G284" s="4" t="s">
        <v>6005</v>
      </c>
      <c r="H284" s="4" t="s">
        <v>6006</v>
      </c>
      <c r="I284" s="5">
        <v>41689</v>
      </c>
      <c r="J284" s="4" t="s">
        <v>4798</v>
      </c>
      <c r="K284" s="4" t="s">
        <v>57</v>
      </c>
      <c r="L284" s="4"/>
      <c r="M284" s="4"/>
    </row>
    <row r="285" ht="16" customHeight="1" s="4" customFormat="1">
      <c r="A285" s="4">
        <v>2109</v>
      </c>
      <c r="B285" s="4" t="s">
        <v>5600</v>
      </c>
      <c r="C285" s="4" t="s">
        <v>5600</v>
      </c>
      <c r="D285" s="4" t="s">
        <v>5728</v>
      </c>
      <c r="E285" s="4" t="s">
        <v>6003</v>
      </c>
      <c r="F285" s="4" t="s">
        <v>6010</v>
      </c>
      <c r="G285" s="4" t="s">
        <v>6005</v>
      </c>
      <c r="H285" s="4" t="s">
        <v>6008</v>
      </c>
      <c r="I285" s="5">
        <v>41689</v>
      </c>
      <c r="J285" s="4" t="s">
        <v>4798</v>
      </c>
      <c r="K285" s="4" t="s">
        <v>57</v>
      </c>
      <c r="L285" s="4"/>
      <c r="M285" s="4"/>
    </row>
    <row r="286" ht="16" customHeight="1" s="4" customFormat="1">
      <c r="A286" s="4">
        <v>2110</v>
      </c>
      <c r="B286" s="4" t="s">
        <v>5600</v>
      </c>
      <c r="C286" s="4" t="s">
        <v>5600</v>
      </c>
      <c r="D286" s="4" t="s">
        <v>5728</v>
      </c>
      <c r="E286" s="4" t="s">
        <v>6011</v>
      </c>
      <c r="F286" s="4" t="s">
        <v>6012</v>
      </c>
      <c r="G286" s="4" t="s">
        <v>6013</v>
      </c>
      <c r="H286" s="4" t="s">
        <v>6014</v>
      </c>
      <c r="I286" s="5">
        <v>41689</v>
      </c>
      <c r="J286" s="4" t="s">
        <v>5506</v>
      </c>
      <c r="K286" s="4" t="s">
        <v>57</v>
      </c>
      <c r="L286" s="4"/>
      <c r="M286" s="4"/>
    </row>
    <row r="287" ht="16" customHeight="1" s="4" customFormat="1">
      <c r="A287" s="4">
        <v>2111</v>
      </c>
      <c r="B287" s="4" t="s">
        <v>5600</v>
      </c>
      <c r="C287" s="4" t="s">
        <v>5600</v>
      </c>
      <c r="D287" s="4" t="s">
        <v>5728</v>
      </c>
      <c r="E287" s="4" t="s">
        <v>6011</v>
      </c>
      <c r="F287" s="4" t="s">
        <v>6015</v>
      </c>
      <c r="G287" s="4" t="s">
        <v>6013</v>
      </c>
      <c r="H287" s="4" t="s">
        <v>6016</v>
      </c>
      <c r="I287" s="5">
        <v>41689</v>
      </c>
      <c r="J287" s="4" t="s">
        <v>5506</v>
      </c>
      <c r="K287" s="4" t="s">
        <v>57</v>
      </c>
      <c r="L287" s="4"/>
      <c r="M287" s="4"/>
    </row>
    <row r="288" ht="16" customHeight="1" s="4" customFormat="1">
      <c r="A288" s="4">
        <v>2112</v>
      </c>
      <c r="B288" s="4" t="s">
        <v>5534</v>
      </c>
      <c r="C288" s="4" t="s">
        <v>5773</v>
      </c>
      <c r="D288" s="4"/>
      <c r="E288" s="4"/>
      <c r="F288" s="4" t="s">
        <v>6017</v>
      </c>
      <c r="G288" s="4" t="s">
        <v>5984</v>
      </c>
      <c r="H288" s="4" t="s">
        <v>6018</v>
      </c>
      <c r="I288" s="5">
        <v>41689</v>
      </c>
      <c r="J288" s="4" t="s">
        <v>4798</v>
      </c>
      <c r="K288" s="4" t="s">
        <v>57</v>
      </c>
      <c r="L288" s="4"/>
      <c r="M288" s="4"/>
    </row>
    <row r="289" ht="16" customHeight="1" s="4" customFormat="1">
      <c r="A289" s="4">
        <v>2113</v>
      </c>
      <c r="B289" s="4" t="s">
        <v>5534</v>
      </c>
      <c r="C289" s="4" t="s">
        <v>5773</v>
      </c>
      <c r="D289" s="4"/>
      <c r="E289" s="4"/>
      <c r="F289" s="4" t="s">
        <v>6019</v>
      </c>
      <c r="G289" s="4" t="s">
        <v>5984</v>
      </c>
      <c r="H289" s="4" t="s">
        <v>6018</v>
      </c>
      <c r="I289" s="5">
        <v>41689</v>
      </c>
      <c r="J289" s="4" t="s">
        <v>4798</v>
      </c>
      <c r="K289" s="4" t="s">
        <v>57</v>
      </c>
      <c r="L289" s="4"/>
      <c r="M289" s="4"/>
    </row>
    <row r="290" ht="16" customHeight="1" s="4" customFormat="1">
      <c r="A290" s="4">
        <v>2114</v>
      </c>
      <c r="B290" s="4" t="s">
        <v>5534</v>
      </c>
      <c r="C290" s="4" t="s">
        <v>5773</v>
      </c>
      <c r="D290" s="4"/>
      <c r="E290" s="4"/>
      <c r="F290" s="4" t="s">
        <v>6020</v>
      </c>
      <c r="G290" s="4" t="s">
        <v>5984</v>
      </c>
      <c r="H290" s="4" t="s">
        <v>6018</v>
      </c>
      <c r="I290" s="5">
        <v>41689</v>
      </c>
      <c r="J290" s="4" t="s">
        <v>4798</v>
      </c>
      <c r="K290" s="4" t="s">
        <v>57</v>
      </c>
      <c r="L290" s="4"/>
      <c r="M290" s="4"/>
    </row>
    <row r="291" ht="16" customHeight="1" s="4" customFormat="1">
      <c r="A291" s="4">
        <v>2115</v>
      </c>
      <c r="B291" s="4" t="s">
        <v>5534</v>
      </c>
      <c r="C291" s="4" t="s">
        <v>5773</v>
      </c>
      <c r="D291" s="4"/>
      <c r="E291" s="4"/>
      <c r="F291" s="4" t="s">
        <v>6021</v>
      </c>
      <c r="G291" s="4" t="s">
        <v>5984</v>
      </c>
      <c r="H291" s="4" t="s">
        <v>6018</v>
      </c>
      <c r="I291" s="5">
        <v>41689</v>
      </c>
      <c r="J291" s="4" t="s">
        <v>4798</v>
      </c>
      <c r="K291" s="4" t="s">
        <v>57</v>
      </c>
      <c r="L291" s="4"/>
      <c r="M291" s="4"/>
    </row>
    <row r="292" ht="16" customHeight="1" s="4" customFormat="1">
      <c r="A292" s="4">
        <v>2116</v>
      </c>
      <c r="B292" s="4" t="s">
        <v>5534</v>
      </c>
      <c r="C292" s="4" t="s">
        <v>5773</v>
      </c>
      <c r="D292" s="4"/>
      <c r="E292" s="4"/>
      <c r="F292" s="4" t="s">
        <v>6022</v>
      </c>
      <c r="G292" s="4" t="s">
        <v>5984</v>
      </c>
      <c r="H292" s="4" t="s">
        <v>6018</v>
      </c>
      <c r="I292" s="5">
        <v>41689</v>
      </c>
      <c r="J292" s="4" t="s">
        <v>4798</v>
      </c>
      <c r="K292" s="4" t="s">
        <v>57</v>
      </c>
      <c r="L292" s="4"/>
      <c r="M292" s="4"/>
    </row>
    <row r="293" ht="16" customHeight="1" s="4" customFormat="1">
      <c r="A293" s="4">
        <v>2117</v>
      </c>
      <c r="B293" s="4" t="s">
        <v>5534</v>
      </c>
      <c r="C293" s="4" t="s">
        <v>5773</v>
      </c>
      <c r="D293" s="4"/>
      <c r="E293" s="4"/>
      <c r="F293" s="4" t="s">
        <v>6023</v>
      </c>
      <c r="G293" s="4" t="s">
        <v>5984</v>
      </c>
      <c r="H293" s="4" t="s">
        <v>6018</v>
      </c>
      <c r="I293" s="5">
        <v>41689</v>
      </c>
      <c r="J293" s="4" t="s">
        <v>4798</v>
      </c>
      <c r="K293" s="4" t="s">
        <v>57</v>
      </c>
      <c r="L293" s="4"/>
      <c r="M293" s="4"/>
    </row>
    <row r="294" ht="16" customHeight="1" s="4" customFormat="1">
      <c r="A294" s="4">
        <v>2118</v>
      </c>
      <c r="B294" s="4" t="s">
        <v>5600</v>
      </c>
      <c r="C294" s="4" t="s">
        <v>5600</v>
      </c>
      <c r="D294" s="4" t="s">
        <v>5574</v>
      </c>
      <c r="E294" s="4" t="s">
        <v>5575</v>
      </c>
      <c r="F294" s="4" t="s">
        <v>6024</v>
      </c>
      <c r="G294" s="4" t="s">
        <v>6025</v>
      </c>
      <c r="H294" s="4" t="s">
        <v>6026</v>
      </c>
      <c r="I294" s="5">
        <v>41687</v>
      </c>
      <c r="J294" s="4" t="s">
        <v>4798</v>
      </c>
      <c r="K294" s="4" t="s">
        <v>57</v>
      </c>
      <c r="L294" s="4"/>
      <c r="M294" s="4"/>
    </row>
    <row r="295" ht="16" customHeight="1" s="4" customFormat="1">
      <c r="A295" s="4">
        <v>2119</v>
      </c>
      <c r="B295" s="4" t="s">
        <v>5534</v>
      </c>
      <c r="C295" s="4" t="s">
        <v>5773</v>
      </c>
      <c r="D295" s="4"/>
      <c r="E295" s="4"/>
      <c r="F295" s="4" t="s">
        <v>6027</v>
      </c>
      <c r="G295" s="4" t="s">
        <v>6028</v>
      </c>
      <c r="H295" s="4" t="s">
        <v>6029</v>
      </c>
      <c r="I295" s="5">
        <v>41681</v>
      </c>
      <c r="J295" s="4" t="s">
        <v>5506</v>
      </c>
      <c r="K295" s="4" t="s">
        <v>57</v>
      </c>
      <c r="L295" s="4"/>
      <c r="M295" s="4"/>
    </row>
    <row r="296" ht="16" customHeight="1" s="4" customFormat="1">
      <c r="A296" s="4">
        <v>2120</v>
      </c>
      <c r="B296" s="4" t="s">
        <v>5534</v>
      </c>
      <c r="C296" s="4" t="s">
        <v>5773</v>
      </c>
      <c r="D296" s="4"/>
      <c r="E296" s="4"/>
      <c r="F296" s="4" t="s">
        <v>6030</v>
      </c>
      <c r="G296" s="4" t="s">
        <v>6031</v>
      </c>
      <c r="H296" s="4" t="s">
        <v>5511</v>
      </c>
      <c r="I296" s="5">
        <v>41681</v>
      </c>
      <c r="J296" s="4" t="s">
        <v>4842</v>
      </c>
      <c r="K296" s="4" t="s">
        <v>57</v>
      </c>
      <c r="L296" s="4"/>
      <c r="M296" s="4"/>
    </row>
    <row r="297" ht="16" customHeight="1" s="4" customFormat="1">
      <c r="A297" s="4">
        <v>2121</v>
      </c>
      <c r="B297" s="4" t="s">
        <v>5534</v>
      </c>
      <c r="C297" s="4" t="s">
        <v>5773</v>
      </c>
      <c r="D297" s="4"/>
      <c r="E297" s="4"/>
      <c r="F297" s="4" t="s">
        <v>6032</v>
      </c>
      <c r="G297" s="4" t="s">
        <v>5984</v>
      </c>
      <c r="H297" s="4" t="s">
        <v>6033</v>
      </c>
      <c r="I297" s="5">
        <v>41680</v>
      </c>
      <c r="J297" s="4" t="s">
        <v>4798</v>
      </c>
      <c r="K297" s="4" t="s">
        <v>57</v>
      </c>
      <c r="L297" s="4"/>
      <c r="M297" s="4"/>
    </row>
    <row r="298" ht="16" customHeight="1" s="4" customFormat="1">
      <c r="A298" s="4">
        <v>2122</v>
      </c>
      <c r="B298" s="4" t="s">
        <v>5499</v>
      </c>
      <c r="C298" s="4" t="s">
        <v>5573</v>
      </c>
      <c r="D298" s="4" t="s">
        <v>5574</v>
      </c>
      <c r="E298" s="4" t="s">
        <v>5575</v>
      </c>
      <c r="F298" s="4" t="s">
        <v>6034</v>
      </c>
      <c r="G298" s="4" t="s">
        <v>5587</v>
      </c>
      <c r="H298" s="4" t="s">
        <v>5588</v>
      </c>
      <c r="I298" s="5">
        <v>41657</v>
      </c>
      <c r="J298" s="4" t="s">
        <v>4798</v>
      </c>
      <c r="K298" s="4" t="s">
        <v>57</v>
      </c>
      <c r="L298" s="4"/>
      <c r="M298" s="4"/>
    </row>
    <row r="299" ht="16" customHeight="1" s="4" customFormat="1">
      <c r="A299" s="4">
        <v>2123</v>
      </c>
      <c r="B299" s="4" t="s">
        <v>5694</v>
      </c>
      <c r="C299" s="4" t="s">
        <v>5695</v>
      </c>
      <c r="D299" s="4" t="s">
        <v>5985</v>
      </c>
      <c r="E299" s="4" t="s">
        <v>5986</v>
      </c>
      <c r="F299" s="4" t="s">
        <v>6035</v>
      </c>
      <c r="G299" s="4" t="s">
        <v>5675</v>
      </c>
      <c r="H299" s="4" t="s">
        <v>5997</v>
      </c>
      <c r="I299" s="5">
        <v>41646</v>
      </c>
      <c r="J299" s="4" t="s">
        <v>5506</v>
      </c>
      <c r="K299" s="4" t="s">
        <v>57</v>
      </c>
      <c r="L299" s="4"/>
      <c r="M299" s="4"/>
    </row>
    <row r="300" ht="16" customHeight="1" s="4" customFormat="1">
      <c r="A300" s="4">
        <v>2124</v>
      </c>
      <c r="B300" s="4" t="s">
        <v>5534</v>
      </c>
      <c r="C300" s="4" t="s">
        <v>5773</v>
      </c>
      <c r="D300" s="4"/>
      <c r="E300" s="4"/>
      <c r="F300" s="4" t="s">
        <v>6036</v>
      </c>
      <c r="G300" s="4" t="s">
        <v>5675</v>
      </c>
      <c r="H300" s="4" t="s">
        <v>5853</v>
      </c>
      <c r="I300" s="5">
        <v>41645</v>
      </c>
      <c r="J300" s="4" t="s">
        <v>4842</v>
      </c>
      <c r="K300" s="4" t="s">
        <v>57</v>
      </c>
      <c r="L300" s="4"/>
      <c r="M300" s="4"/>
    </row>
    <row r="301" ht="16" customHeight="1" s="4" customFormat="1">
      <c r="A301" s="4">
        <v>2152</v>
      </c>
      <c r="B301" s="4" t="s">
        <v>5534</v>
      </c>
      <c r="C301" s="4" t="s">
        <v>5773</v>
      </c>
      <c r="D301" s="4"/>
      <c r="E301" s="4"/>
      <c r="F301" s="4" t="s">
        <v>6037</v>
      </c>
      <c r="G301" s="4" t="s">
        <v>5984</v>
      </c>
      <c r="H301" s="4" t="s">
        <v>6038</v>
      </c>
      <c r="I301" s="5">
        <v>41620</v>
      </c>
      <c r="J301" s="4" t="s">
        <v>4798</v>
      </c>
      <c r="K301" s="4" t="s">
        <v>57</v>
      </c>
      <c r="L301" s="4"/>
      <c r="M301" s="4"/>
    </row>
    <row r="302" ht="16" customHeight="1" s="4" customFormat="1">
      <c r="A302" s="4">
        <v>2125</v>
      </c>
      <c r="B302" s="4" t="s">
        <v>5534</v>
      </c>
      <c r="C302" s="4" t="s">
        <v>5631</v>
      </c>
      <c r="D302" s="4"/>
      <c r="E302" s="4"/>
      <c r="F302" s="4">
        <v>28964</v>
      </c>
      <c r="G302" s="4" t="s">
        <v>5632</v>
      </c>
      <c r="H302" s="4" t="s">
        <v>5647</v>
      </c>
      <c r="I302" s="5">
        <v>41626</v>
      </c>
      <c r="J302" s="4" t="s">
        <v>5506</v>
      </c>
      <c r="K302" s="4" t="s">
        <v>57</v>
      </c>
      <c r="L302" s="4"/>
      <c r="M302" s="4"/>
    </row>
    <row r="303" ht="16" customHeight="1" s="4" customFormat="1">
      <c r="A303" s="4">
        <v>2126</v>
      </c>
      <c r="B303" s="4" t="s">
        <v>5534</v>
      </c>
      <c r="C303" s="4" t="s">
        <v>5773</v>
      </c>
      <c r="D303" s="4"/>
      <c r="E303" s="4"/>
      <c r="F303" s="4" t="s">
        <v>6039</v>
      </c>
      <c r="G303" s="4" t="s">
        <v>6040</v>
      </c>
      <c r="H303" s="4" t="s">
        <v>6041</v>
      </c>
      <c r="I303" s="5">
        <v>41620</v>
      </c>
      <c r="J303" s="4" t="s">
        <v>5506</v>
      </c>
      <c r="K303" s="4" t="s">
        <v>57</v>
      </c>
      <c r="L303" s="4"/>
      <c r="M303" s="4"/>
    </row>
    <row r="304" ht="16" customHeight="1" s="4" customFormat="1">
      <c r="A304" s="4">
        <v>2127</v>
      </c>
      <c r="B304" s="4" t="s">
        <v>5534</v>
      </c>
      <c r="C304" s="4" t="s">
        <v>5773</v>
      </c>
      <c r="D304" s="4"/>
      <c r="E304" s="4"/>
      <c r="F304" s="4" t="s">
        <v>6042</v>
      </c>
      <c r="G304" s="4" t="s">
        <v>6043</v>
      </c>
      <c r="H304" s="4" t="s">
        <v>5768</v>
      </c>
      <c r="I304" s="5">
        <v>41620</v>
      </c>
      <c r="J304" s="4" t="s">
        <v>5506</v>
      </c>
      <c r="K304" s="4" t="s">
        <v>57</v>
      </c>
      <c r="L304" s="4"/>
      <c r="M304" s="4"/>
    </row>
    <row r="305" ht="16" customHeight="1" s="4" customFormat="1">
      <c r="A305" s="4">
        <v>2128</v>
      </c>
      <c r="B305" s="4" t="s">
        <v>5534</v>
      </c>
      <c r="C305" s="4" t="s">
        <v>5773</v>
      </c>
      <c r="D305" s="4"/>
      <c r="E305" s="4"/>
      <c r="F305" s="4" t="s">
        <v>6044</v>
      </c>
      <c r="G305" s="4" t="s">
        <v>5984</v>
      </c>
      <c r="H305" s="4" t="s">
        <v>6038</v>
      </c>
      <c r="I305" s="5">
        <v>41620</v>
      </c>
      <c r="J305" s="4" t="s">
        <v>4798</v>
      </c>
      <c r="K305" s="4" t="s">
        <v>57</v>
      </c>
      <c r="L305" s="4"/>
      <c r="M305" s="4"/>
    </row>
    <row r="306" ht="16" customHeight="1" s="4" customFormat="1">
      <c r="A306" s="4">
        <v>2129</v>
      </c>
      <c r="B306" s="4" t="s">
        <v>5534</v>
      </c>
      <c r="C306" s="4" t="s">
        <v>5773</v>
      </c>
      <c r="D306" s="4"/>
      <c r="E306" s="4"/>
      <c r="F306" s="4" t="s">
        <v>6045</v>
      </c>
      <c r="G306" s="4" t="s">
        <v>5984</v>
      </c>
      <c r="H306" s="4" t="s">
        <v>6046</v>
      </c>
      <c r="I306" s="5">
        <v>41620</v>
      </c>
      <c r="J306" s="4" t="s">
        <v>4798</v>
      </c>
      <c r="K306" s="4" t="s">
        <v>57</v>
      </c>
      <c r="L306" s="4"/>
      <c r="M306" s="4"/>
    </row>
    <row r="307" ht="16" customHeight="1" s="4" customFormat="1">
      <c r="A307" s="4">
        <v>2130</v>
      </c>
      <c r="B307" s="4" t="s">
        <v>5534</v>
      </c>
      <c r="C307" s="4" t="s">
        <v>5773</v>
      </c>
      <c r="D307" s="4"/>
      <c r="E307" s="4"/>
      <c r="F307" s="4" t="s">
        <v>6047</v>
      </c>
      <c r="G307" s="4" t="s">
        <v>5984</v>
      </c>
      <c r="H307" s="4" t="s">
        <v>6046</v>
      </c>
      <c r="I307" s="5">
        <v>41620</v>
      </c>
      <c r="J307" s="4" t="s">
        <v>4798</v>
      </c>
      <c r="K307" s="4" t="s">
        <v>57</v>
      </c>
      <c r="L307" s="4"/>
      <c r="M307" s="4"/>
    </row>
    <row r="308" ht="16" customHeight="1" s="4" customFormat="1">
      <c r="A308" s="4">
        <v>2131</v>
      </c>
      <c r="B308" s="4" t="s">
        <v>5534</v>
      </c>
      <c r="C308" s="4" t="s">
        <v>5773</v>
      </c>
      <c r="D308" s="4"/>
      <c r="E308" s="4"/>
      <c r="F308" s="4" t="s">
        <v>6048</v>
      </c>
      <c r="G308" s="4" t="s">
        <v>5984</v>
      </c>
      <c r="H308" s="4" t="s">
        <v>6046</v>
      </c>
      <c r="I308" s="5">
        <v>41620</v>
      </c>
      <c r="J308" s="4" t="s">
        <v>4798</v>
      </c>
      <c r="K308" s="4" t="s">
        <v>57</v>
      </c>
      <c r="L308" s="4"/>
      <c r="M308" s="4"/>
    </row>
    <row r="309" ht="16" customHeight="1" s="4" customFormat="1">
      <c r="A309" s="4">
        <v>2132</v>
      </c>
      <c r="B309" s="4" t="s">
        <v>5534</v>
      </c>
      <c r="C309" s="4" t="s">
        <v>5773</v>
      </c>
      <c r="D309" s="4"/>
      <c r="E309" s="4"/>
      <c r="F309" s="4" t="s">
        <v>6049</v>
      </c>
      <c r="G309" s="4" t="s">
        <v>5984</v>
      </c>
      <c r="H309" s="4" t="s">
        <v>6046</v>
      </c>
      <c r="I309" s="5">
        <v>41620</v>
      </c>
      <c r="J309" s="4" t="s">
        <v>4798</v>
      </c>
      <c r="K309" s="4" t="s">
        <v>57</v>
      </c>
      <c r="L309" s="4"/>
      <c r="M309" s="4"/>
    </row>
    <row r="310" ht="16" customHeight="1" s="4" customFormat="1">
      <c r="A310" s="4">
        <v>2133</v>
      </c>
      <c r="B310" s="4" t="s">
        <v>5534</v>
      </c>
      <c r="C310" s="4" t="s">
        <v>5773</v>
      </c>
      <c r="D310" s="4"/>
      <c r="E310" s="4"/>
      <c r="F310" s="4" t="s">
        <v>6050</v>
      </c>
      <c r="G310" s="4" t="s">
        <v>5984</v>
      </c>
      <c r="H310" s="4" t="s">
        <v>6046</v>
      </c>
      <c r="I310" s="5">
        <v>41620</v>
      </c>
      <c r="J310" s="4" t="s">
        <v>4798</v>
      </c>
      <c r="K310" s="4" t="s">
        <v>57</v>
      </c>
      <c r="L310" s="4"/>
      <c r="M310" s="4"/>
    </row>
    <row r="311" ht="16" customHeight="1" s="4" customFormat="1">
      <c r="A311" s="4">
        <v>2134</v>
      </c>
      <c r="B311" s="4" t="s">
        <v>5534</v>
      </c>
      <c r="C311" s="4" t="s">
        <v>5773</v>
      </c>
      <c r="D311" s="4"/>
      <c r="E311" s="4"/>
      <c r="F311" s="4" t="s">
        <v>6051</v>
      </c>
      <c r="G311" s="4" t="s">
        <v>5984</v>
      </c>
      <c r="H311" s="4" t="s">
        <v>6046</v>
      </c>
      <c r="I311" s="5">
        <v>41620</v>
      </c>
      <c r="J311" s="4" t="s">
        <v>4798</v>
      </c>
      <c r="K311" s="4" t="s">
        <v>57</v>
      </c>
      <c r="L311" s="4"/>
      <c r="M311" s="4"/>
    </row>
    <row r="312" ht="16" customHeight="1" s="4" customFormat="1">
      <c r="A312" s="4">
        <v>2135</v>
      </c>
      <c r="B312" s="4" t="s">
        <v>5534</v>
      </c>
      <c r="C312" s="4" t="s">
        <v>5773</v>
      </c>
      <c r="D312" s="4"/>
      <c r="E312" s="4"/>
      <c r="F312" s="4" t="s">
        <v>6052</v>
      </c>
      <c r="G312" s="4" t="s">
        <v>5984</v>
      </c>
      <c r="H312" s="4" t="s">
        <v>6046</v>
      </c>
      <c r="I312" s="5">
        <v>41620</v>
      </c>
      <c r="J312" s="4" t="s">
        <v>4798</v>
      </c>
      <c r="K312" s="4" t="s">
        <v>57</v>
      </c>
      <c r="L312" s="4"/>
      <c r="M312" s="4"/>
    </row>
    <row r="313" ht="16" customHeight="1" s="4" customFormat="1">
      <c r="A313" s="4">
        <v>2136</v>
      </c>
      <c r="B313" s="4" t="s">
        <v>5534</v>
      </c>
      <c r="C313" s="4" t="s">
        <v>5773</v>
      </c>
      <c r="D313" s="4"/>
      <c r="E313" s="4"/>
      <c r="F313" s="4" t="s">
        <v>6053</v>
      </c>
      <c r="G313" s="4" t="s">
        <v>5984</v>
      </c>
      <c r="H313" s="4" t="s">
        <v>6046</v>
      </c>
      <c r="I313" s="5">
        <v>41620</v>
      </c>
      <c r="J313" s="4" t="s">
        <v>4798</v>
      </c>
      <c r="K313" s="4" t="s">
        <v>57</v>
      </c>
      <c r="L313" s="4"/>
      <c r="M313" s="4"/>
    </row>
    <row r="314" ht="16" customHeight="1" s="4" customFormat="1">
      <c r="A314" s="4">
        <v>2137</v>
      </c>
      <c r="B314" s="4" t="s">
        <v>5534</v>
      </c>
      <c r="C314" s="4" t="s">
        <v>5773</v>
      </c>
      <c r="D314" s="4"/>
      <c r="E314" s="4"/>
      <c r="F314" s="4" t="s">
        <v>6054</v>
      </c>
      <c r="G314" s="4" t="s">
        <v>5984</v>
      </c>
      <c r="H314" s="4" t="s">
        <v>6046</v>
      </c>
      <c r="I314" s="5">
        <v>41620</v>
      </c>
      <c r="J314" s="4" t="s">
        <v>4798</v>
      </c>
      <c r="K314" s="4" t="s">
        <v>57</v>
      </c>
      <c r="L314" s="4"/>
      <c r="M314" s="4"/>
    </row>
    <row r="315" ht="16" customHeight="1" s="4" customFormat="1">
      <c r="A315" s="4">
        <v>2138</v>
      </c>
      <c r="B315" s="4" t="s">
        <v>5534</v>
      </c>
      <c r="C315" s="4" t="s">
        <v>5773</v>
      </c>
      <c r="D315" s="4"/>
      <c r="E315" s="4"/>
      <c r="F315" s="4" t="s">
        <v>6055</v>
      </c>
      <c r="G315" s="4" t="s">
        <v>5984</v>
      </c>
      <c r="H315" s="4" t="s">
        <v>6046</v>
      </c>
      <c r="I315" s="5">
        <v>41620</v>
      </c>
      <c r="J315" s="4" t="s">
        <v>4798</v>
      </c>
      <c r="K315" s="4" t="s">
        <v>57</v>
      </c>
      <c r="L315" s="4"/>
      <c r="M315" s="4"/>
    </row>
    <row r="316" ht="16" customHeight="1" s="4" customFormat="1">
      <c r="A316" s="4">
        <v>2139</v>
      </c>
      <c r="B316" s="4" t="s">
        <v>5534</v>
      </c>
      <c r="C316" s="4" t="s">
        <v>5773</v>
      </c>
      <c r="D316" s="4"/>
      <c r="E316" s="4"/>
      <c r="F316" s="4" t="s">
        <v>6056</v>
      </c>
      <c r="G316" s="4" t="s">
        <v>5984</v>
      </c>
      <c r="H316" s="4" t="s">
        <v>6046</v>
      </c>
      <c r="I316" s="5">
        <v>41620</v>
      </c>
      <c r="J316" s="4" t="s">
        <v>4798</v>
      </c>
      <c r="K316" s="4" t="s">
        <v>57</v>
      </c>
      <c r="L316" s="4"/>
      <c r="M316" s="4"/>
    </row>
    <row r="317" ht="16" customHeight="1" s="4" customFormat="1">
      <c r="A317" s="4">
        <v>2140</v>
      </c>
      <c r="B317" s="4" t="s">
        <v>5534</v>
      </c>
      <c r="C317" s="4" t="s">
        <v>5773</v>
      </c>
      <c r="D317" s="4"/>
      <c r="E317" s="4"/>
      <c r="F317" s="4" t="s">
        <v>6057</v>
      </c>
      <c r="G317" s="4" t="s">
        <v>5984</v>
      </c>
      <c r="H317" s="4" t="s">
        <v>6046</v>
      </c>
      <c r="I317" s="5">
        <v>41620</v>
      </c>
      <c r="J317" s="4" t="s">
        <v>4798</v>
      </c>
      <c r="K317" s="4" t="s">
        <v>57</v>
      </c>
      <c r="L317" s="4"/>
      <c r="M317" s="4"/>
    </row>
    <row r="318" ht="16" customHeight="1" s="4" customFormat="1">
      <c r="A318" s="4">
        <v>2141</v>
      </c>
      <c r="B318" s="4" t="s">
        <v>5534</v>
      </c>
      <c r="C318" s="4" t="s">
        <v>5773</v>
      </c>
      <c r="D318" s="4"/>
      <c r="E318" s="4"/>
      <c r="F318" s="4" t="s">
        <v>6058</v>
      </c>
      <c r="G318" s="4" t="s">
        <v>5984</v>
      </c>
      <c r="H318" s="4" t="s">
        <v>6038</v>
      </c>
      <c r="I318" s="5">
        <v>41620</v>
      </c>
      <c r="J318" s="4" t="s">
        <v>4798</v>
      </c>
      <c r="K318" s="4" t="s">
        <v>57</v>
      </c>
      <c r="L318" s="4"/>
      <c r="M318" s="4"/>
    </row>
    <row r="319" ht="16" customHeight="1" s="4" customFormat="1">
      <c r="A319" s="4">
        <v>2142</v>
      </c>
      <c r="B319" s="4" t="s">
        <v>5534</v>
      </c>
      <c r="C319" s="4" t="s">
        <v>5773</v>
      </c>
      <c r="D319" s="4"/>
      <c r="E319" s="4"/>
      <c r="F319" s="4" t="s">
        <v>6059</v>
      </c>
      <c r="G319" s="4" t="s">
        <v>5984</v>
      </c>
      <c r="H319" s="4" t="s">
        <v>6046</v>
      </c>
      <c r="I319" s="5">
        <v>41620</v>
      </c>
      <c r="J319" s="4" t="s">
        <v>4798</v>
      </c>
      <c r="K319" s="4" t="s">
        <v>57</v>
      </c>
      <c r="L319" s="4"/>
      <c r="M319" s="4"/>
    </row>
    <row r="320" ht="16" customHeight="1" s="4" customFormat="1">
      <c r="A320" s="4">
        <v>2143</v>
      </c>
      <c r="B320" s="4" t="s">
        <v>5534</v>
      </c>
      <c r="C320" s="4" t="s">
        <v>5773</v>
      </c>
      <c r="D320" s="4"/>
      <c r="E320" s="4"/>
      <c r="F320" s="4" t="s">
        <v>6060</v>
      </c>
      <c r="G320" s="4" t="s">
        <v>5984</v>
      </c>
      <c r="H320" s="4" t="s">
        <v>6046</v>
      </c>
      <c r="I320" s="5">
        <v>41620</v>
      </c>
      <c r="J320" s="4" t="s">
        <v>4798</v>
      </c>
      <c r="K320" s="4" t="s">
        <v>57</v>
      </c>
      <c r="L320" s="4"/>
      <c r="M320" s="4"/>
    </row>
    <row r="321" ht="16" customHeight="1" s="4" customFormat="1">
      <c r="A321" s="4">
        <v>2144</v>
      </c>
      <c r="B321" s="4" t="s">
        <v>5534</v>
      </c>
      <c r="C321" s="4" t="s">
        <v>5773</v>
      </c>
      <c r="D321" s="4"/>
      <c r="E321" s="4"/>
      <c r="F321" s="4" t="s">
        <v>6061</v>
      </c>
      <c r="G321" s="4" t="s">
        <v>5984</v>
      </c>
      <c r="H321" s="4" t="s">
        <v>6038</v>
      </c>
      <c r="I321" s="5">
        <v>41620</v>
      </c>
      <c r="J321" s="4" t="s">
        <v>4798</v>
      </c>
      <c r="K321" s="4" t="s">
        <v>57</v>
      </c>
      <c r="L321" s="4"/>
      <c r="M321" s="4"/>
    </row>
    <row r="322" ht="16" customHeight="1" s="4" customFormat="1">
      <c r="A322" s="4">
        <v>2145</v>
      </c>
      <c r="B322" s="4" t="s">
        <v>5534</v>
      </c>
      <c r="C322" s="4" t="s">
        <v>5773</v>
      </c>
      <c r="D322" s="4"/>
      <c r="E322" s="4"/>
      <c r="F322" s="4" t="s">
        <v>6062</v>
      </c>
      <c r="G322" s="4" t="s">
        <v>5984</v>
      </c>
      <c r="H322" s="4" t="s">
        <v>6038</v>
      </c>
      <c r="I322" s="5">
        <v>41620</v>
      </c>
      <c r="J322" s="4" t="s">
        <v>4798</v>
      </c>
      <c r="K322" s="4" t="s">
        <v>57</v>
      </c>
      <c r="L322" s="4"/>
      <c r="M322" s="4"/>
    </row>
    <row r="323" ht="16" customHeight="1" s="4" customFormat="1">
      <c r="A323" s="4">
        <v>2146</v>
      </c>
      <c r="B323" s="4" t="s">
        <v>5534</v>
      </c>
      <c r="C323" s="4" t="s">
        <v>5773</v>
      </c>
      <c r="D323" s="4"/>
      <c r="E323" s="4"/>
      <c r="F323" s="4" t="s">
        <v>6063</v>
      </c>
      <c r="G323" s="4" t="s">
        <v>5984</v>
      </c>
      <c r="H323" s="4" t="s">
        <v>6038</v>
      </c>
      <c r="I323" s="5">
        <v>41620</v>
      </c>
      <c r="J323" s="4" t="s">
        <v>4798</v>
      </c>
      <c r="K323" s="4" t="s">
        <v>57</v>
      </c>
      <c r="L323" s="4"/>
      <c r="M323" s="4"/>
    </row>
    <row r="324" ht="16" customHeight="1" s="4" customFormat="1">
      <c r="A324" s="4">
        <v>2147</v>
      </c>
      <c r="B324" s="4" t="s">
        <v>5534</v>
      </c>
      <c r="C324" s="4" t="s">
        <v>5773</v>
      </c>
      <c r="D324" s="4"/>
      <c r="E324" s="4"/>
      <c r="F324" s="4" t="s">
        <v>6064</v>
      </c>
      <c r="G324" s="4" t="s">
        <v>5984</v>
      </c>
      <c r="H324" s="4" t="s">
        <v>6046</v>
      </c>
      <c r="I324" s="5">
        <v>41620</v>
      </c>
      <c r="J324" s="4" t="s">
        <v>4798</v>
      </c>
      <c r="K324" s="4" t="s">
        <v>57</v>
      </c>
      <c r="L324" s="4"/>
      <c r="M324" s="4"/>
    </row>
    <row r="325" ht="16" customHeight="1" s="4" customFormat="1">
      <c r="A325" s="4">
        <v>2148</v>
      </c>
      <c r="B325" s="4" t="s">
        <v>5534</v>
      </c>
      <c r="C325" s="4" t="s">
        <v>5773</v>
      </c>
      <c r="D325" s="4"/>
      <c r="E325" s="4"/>
      <c r="F325" s="4" t="s">
        <v>6065</v>
      </c>
      <c r="G325" s="4" t="s">
        <v>5984</v>
      </c>
      <c r="H325" s="4" t="s">
        <v>6038</v>
      </c>
      <c r="I325" s="5">
        <v>41620</v>
      </c>
      <c r="J325" s="4" t="s">
        <v>4798</v>
      </c>
      <c r="K325" s="4" t="s">
        <v>57</v>
      </c>
      <c r="L325" s="4"/>
      <c r="M325" s="4"/>
    </row>
    <row r="326" ht="16" customHeight="1" s="4" customFormat="1">
      <c r="A326" s="4">
        <v>2149</v>
      </c>
      <c r="B326" s="4" t="s">
        <v>5534</v>
      </c>
      <c r="C326" s="4" t="s">
        <v>5773</v>
      </c>
      <c r="D326" s="4"/>
      <c r="E326" s="4"/>
      <c r="F326" s="4" t="s">
        <v>6066</v>
      </c>
      <c r="G326" s="4" t="s">
        <v>5984</v>
      </c>
      <c r="H326" s="4" t="s">
        <v>6038</v>
      </c>
      <c r="I326" s="5">
        <v>41620</v>
      </c>
      <c r="J326" s="4" t="s">
        <v>4798</v>
      </c>
      <c r="K326" s="4" t="s">
        <v>57</v>
      </c>
      <c r="L326" s="4"/>
      <c r="M326" s="4"/>
    </row>
    <row r="327" ht="16" customHeight="1" s="4" customFormat="1">
      <c r="A327" s="4">
        <v>2150</v>
      </c>
      <c r="B327" s="4" t="s">
        <v>5534</v>
      </c>
      <c r="C327" s="4" t="s">
        <v>5773</v>
      </c>
      <c r="D327" s="4"/>
      <c r="E327" s="4"/>
      <c r="F327" s="4" t="s">
        <v>6067</v>
      </c>
      <c r="G327" s="4" t="s">
        <v>5984</v>
      </c>
      <c r="H327" s="4" t="s">
        <v>6038</v>
      </c>
      <c r="I327" s="5">
        <v>41620</v>
      </c>
      <c r="J327" s="4" t="s">
        <v>4798</v>
      </c>
      <c r="K327" s="4" t="s">
        <v>57</v>
      </c>
      <c r="L327" s="4"/>
      <c r="M327" s="4"/>
    </row>
    <row r="328" ht="16" customHeight="1" s="4" customFormat="1">
      <c r="A328" s="4">
        <v>2151</v>
      </c>
      <c r="B328" s="4" t="s">
        <v>5534</v>
      </c>
      <c r="C328" s="4" t="s">
        <v>5773</v>
      </c>
      <c r="D328" s="4"/>
      <c r="E328" s="4"/>
      <c r="F328" s="4" t="s">
        <v>6068</v>
      </c>
      <c r="G328" s="4" t="s">
        <v>5984</v>
      </c>
      <c r="H328" s="4" t="s">
        <v>6038</v>
      </c>
      <c r="I328" s="5">
        <v>41620</v>
      </c>
      <c r="J328" s="4" t="s">
        <v>4798</v>
      </c>
      <c r="K328" s="4" t="s">
        <v>57</v>
      </c>
      <c r="L328" s="4"/>
      <c r="M328" s="4"/>
    </row>
    <row r="329" ht="16" customHeight="1" s="4" customFormat="1">
      <c r="A329" s="4">
        <v>2153</v>
      </c>
      <c r="B329" s="4" t="s">
        <v>5534</v>
      </c>
      <c r="C329" s="4" t="s">
        <v>5773</v>
      </c>
      <c r="D329" s="4"/>
      <c r="E329" s="4"/>
      <c r="F329" s="4" t="s">
        <v>6069</v>
      </c>
      <c r="G329" s="4" t="s">
        <v>5984</v>
      </c>
      <c r="H329" s="4" t="s">
        <v>6046</v>
      </c>
      <c r="I329" s="5">
        <v>41620</v>
      </c>
      <c r="J329" s="4" t="s">
        <v>4798</v>
      </c>
      <c r="K329" s="4" t="s">
        <v>57</v>
      </c>
      <c r="L329" s="4"/>
      <c r="M329" s="4"/>
    </row>
    <row r="330" ht="16" customHeight="1" s="4" customFormat="1">
      <c r="A330" s="4">
        <v>2154</v>
      </c>
      <c r="B330" s="4" t="s">
        <v>5534</v>
      </c>
      <c r="C330" s="4" t="s">
        <v>5773</v>
      </c>
      <c r="D330" s="4"/>
      <c r="E330" s="4"/>
      <c r="F330" s="4" t="s">
        <v>6070</v>
      </c>
      <c r="G330" s="4" t="s">
        <v>5984</v>
      </c>
      <c r="H330" s="4" t="s">
        <v>6038</v>
      </c>
      <c r="I330" s="5">
        <v>41620</v>
      </c>
      <c r="J330" s="4" t="s">
        <v>4798</v>
      </c>
      <c r="K330" s="4" t="s">
        <v>57</v>
      </c>
      <c r="L330" s="4"/>
      <c r="M330" s="4"/>
    </row>
    <row r="331" ht="16" customHeight="1" s="4" customFormat="1">
      <c r="A331" s="4">
        <v>2155</v>
      </c>
      <c r="B331" s="4" t="s">
        <v>5534</v>
      </c>
      <c r="C331" s="4" t="s">
        <v>5773</v>
      </c>
      <c r="D331" s="4"/>
      <c r="E331" s="4"/>
      <c r="F331" s="4" t="s">
        <v>6071</v>
      </c>
      <c r="G331" s="4" t="s">
        <v>5984</v>
      </c>
      <c r="H331" s="4" t="s">
        <v>6038</v>
      </c>
      <c r="I331" s="5">
        <v>41620</v>
      </c>
      <c r="J331" s="4" t="s">
        <v>4798</v>
      </c>
      <c r="K331" s="4" t="s">
        <v>57</v>
      </c>
      <c r="L331" s="4"/>
      <c r="M331" s="4"/>
    </row>
    <row r="332" ht="16" customHeight="1" s="4" customFormat="1">
      <c r="A332" s="4">
        <v>2156</v>
      </c>
      <c r="B332" s="4" t="s">
        <v>5534</v>
      </c>
      <c r="C332" s="4" t="s">
        <v>5773</v>
      </c>
      <c r="D332" s="4"/>
      <c r="E332" s="4"/>
      <c r="F332" s="4" t="s">
        <v>6072</v>
      </c>
      <c r="G332" s="4" t="s">
        <v>5984</v>
      </c>
      <c r="H332" s="4" t="s">
        <v>6046</v>
      </c>
      <c r="I332" s="5">
        <v>41620</v>
      </c>
      <c r="J332" s="4" t="s">
        <v>4798</v>
      </c>
      <c r="K332" s="4" t="s">
        <v>57</v>
      </c>
      <c r="L332" s="4"/>
      <c r="M332" s="4"/>
    </row>
    <row r="333" ht="16" customHeight="1" s="4" customFormat="1">
      <c r="A333" s="4">
        <v>2157</v>
      </c>
      <c r="B333" s="4" t="s">
        <v>5534</v>
      </c>
      <c r="C333" s="4" t="s">
        <v>5773</v>
      </c>
      <c r="D333" s="4"/>
      <c r="E333" s="4"/>
      <c r="F333" s="4" t="s">
        <v>6073</v>
      </c>
      <c r="G333" s="4" t="s">
        <v>5984</v>
      </c>
      <c r="H333" s="4" t="s">
        <v>6046</v>
      </c>
      <c r="I333" s="5">
        <v>41620</v>
      </c>
      <c r="J333" s="4" t="s">
        <v>4798</v>
      </c>
      <c r="K333" s="4" t="s">
        <v>57</v>
      </c>
      <c r="L333" s="4"/>
      <c r="M333" s="4"/>
    </row>
    <row r="334" ht="16" customHeight="1" s="4" customFormat="1">
      <c r="A334" s="4">
        <v>2158</v>
      </c>
      <c r="B334" s="4" t="s">
        <v>5534</v>
      </c>
      <c r="C334" s="4" t="s">
        <v>5773</v>
      </c>
      <c r="D334" s="4"/>
      <c r="E334" s="4"/>
      <c r="F334" s="4" t="s">
        <v>6074</v>
      </c>
      <c r="G334" s="4" t="s">
        <v>5984</v>
      </c>
      <c r="H334" s="4" t="s">
        <v>6046</v>
      </c>
      <c r="I334" s="5">
        <v>41620</v>
      </c>
      <c r="J334" s="4" t="s">
        <v>4798</v>
      </c>
      <c r="K334" s="4" t="s">
        <v>57</v>
      </c>
      <c r="L334" s="4"/>
      <c r="M334" s="4"/>
    </row>
    <row r="335" ht="16" customHeight="1" s="4" customFormat="1">
      <c r="A335" s="4">
        <v>2159</v>
      </c>
      <c r="B335" s="4" t="s">
        <v>5534</v>
      </c>
      <c r="C335" s="4" t="s">
        <v>5773</v>
      </c>
      <c r="D335" s="4"/>
      <c r="E335" s="4"/>
      <c r="F335" s="4" t="s">
        <v>6075</v>
      </c>
      <c r="G335" s="4" t="s">
        <v>5675</v>
      </c>
      <c r="H335" s="4" t="s">
        <v>5853</v>
      </c>
      <c r="I335" s="5">
        <v>41612</v>
      </c>
      <c r="J335" s="4" t="s">
        <v>4842</v>
      </c>
      <c r="K335" s="4" t="s">
        <v>57</v>
      </c>
      <c r="L335" s="4"/>
      <c r="M335" s="4"/>
    </row>
    <row r="336" ht="16" customHeight="1" s="4" customFormat="1">
      <c r="A336" s="4">
        <v>2160</v>
      </c>
      <c r="B336" s="4" t="s">
        <v>5534</v>
      </c>
      <c r="C336" s="4" t="s">
        <v>5773</v>
      </c>
      <c r="D336" s="4"/>
      <c r="E336" s="4"/>
      <c r="F336" s="4" t="s">
        <v>6076</v>
      </c>
      <c r="G336" s="4" t="s">
        <v>5675</v>
      </c>
      <c r="H336" s="4" t="s">
        <v>5853</v>
      </c>
      <c r="I336" s="5">
        <v>41612</v>
      </c>
      <c r="J336" s="4" t="s">
        <v>4842</v>
      </c>
      <c r="K336" s="4" t="s">
        <v>57</v>
      </c>
      <c r="L336" s="4"/>
      <c r="M336" s="4"/>
    </row>
    <row r="337" ht="16" customHeight="1" s="4" customFormat="1">
      <c r="A337" s="4">
        <v>2161</v>
      </c>
      <c r="B337" s="4" t="s">
        <v>5534</v>
      </c>
      <c r="C337" s="4" t="s">
        <v>5773</v>
      </c>
      <c r="D337" s="4"/>
      <c r="E337" s="4"/>
      <c r="F337" s="4" t="s">
        <v>6077</v>
      </c>
      <c r="G337" s="4" t="s">
        <v>6078</v>
      </c>
      <c r="H337" s="4" t="s">
        <v>5853</v>
      </c>
      <c r="I337" s="5">
        <v>41612</v>
      </c>
      <c r="J337" s="4" t="s">
        <v>4798</v>
      </c>
      <c r="K337" s="4" t="s">
        <v>57</v>
      </c>
      <c r="L337" s="4"/>
      <c r="M337" s="4"/>
    </row>
    <row r="338" ht="16" customHeight="1" s="4" customFormat="1">
      <c r="A338" s="4">
        <v>2162</v>
      </c>
      <c r="B338" s="4" t="s">
        <v>5499</v>
      </c>
      <c r="C338" s="4" t="s">
        <v>5519</v>
      </c>
      <c r="D338" s="4"/>
      <c r="E338" s="4" t="s">
        <v>6079</v>
      </c>
      <c r="F338" s="4" t="s">
        <v>6080</v>
      </c>
      <c r="G338" s="4" t="s">
        <v>6081</v>
      </c>
      <c r="H338" s="4" t="s">
        <v>6082</v>
      </c>
      <c r="I338" s="5">
        <v>41596</v>
      </c>
      <c r="J338" s="4" t="s">
        <v>4798</v>
      </c>
      <c r="K338" s="4" t="s">
        <v>57</v>
      </c>
      <c r="L338" s="4"/>
      <c r="M338" s="4"/>
    </row>
    <row r="339" ht="16" customHeight="1" s="4" customFormat="1">
      <c r="A339" s="4">
        <v>2163</v>
      </c>
      <c r="B339" s="4" t="s">
        <v>5499</v>
      </c>
      <c r="C339" s="4" t="s">
        <v>5519</v>
      </c>
      <c r="D339" s="4"/>
      <c r="E339" s="4" t="s">
        <v>6083</v>
      </c>
      <c r="F339" s="4" t="s">
        <v>6084</v>
      </c>
      <c r="G339" s="4" t="s">
        <v>6085</v>
      </c>
      <c r="H339" s="4" t="s">
        <v>6085</v>
      </c>
      <c r="I339" s="5">
        <v>41596</v>
      </c>
      <c r="J339" s="4" t="s">
        <v>4798</v>
      </c>
      <c r="K339" s="4" t="s">
        <v>57</v>
      </c>
      <c r="L339" s="4"/>
      <c r="M339" s="4"/>
    </row>
    <row r="340" ht="16" customHeight="1" s="4" customFormat="1">
      <c r="A340" s="4">
        <v>2164</v>
      </c>
      <c r="B340" s="4" t="s">
        <v>5499</v>
      </c>
      <c r="C340" s="4" t="s">
        <v>5519</v>
      </c>
      <c r="D340" s="4"/>
      <c r="E340" s="4" t="s">
        <v>6083</v>
      </c>
      <c r="F340" s="4" t="s">
        <v>6086</v>
      </c>
      <c r="G340" s="4" t="s">
        <v>6085</v>
      </c>
      <c r="H340" s="4" t="s">
        <v>6085</v>
      </c>
      <c r="I340" s="5">
        <v>41596</v>
      </c>
      <c r="J340" s="4" t="s">
        <v>4798</v>
      </c>
      <c r="K340" s="4" t="s">
        <v>57</v>
      </c>
      <c r="L340" s="4"/>
      <c r="M340" s="4"/>
    </row>
    <row r="341" ht="16" customHeight="1" s="4" customFormat="1">
      <c r="A341" s="4">
        <v>2165</v>
      </c>
      <c r="B341" s="4" t="s">
        <v>5534</v>
      </c>
      <c r="C341" s="4" t="s">
        <v>5631</v>
      </c>
      <c r="D341" s="4"/>
      <c r="E341" s="4"/>
      <c r="F341" s="4">
        <v>7700</v>
      </c>
      <c r="G341" s="4" t="s">
        <v>5632</v>
      </c>
      <c r="H341" s="4" t="s">
        <v>5633</v>
      </c>
      <c r="I341" s="5">
        <v>41591</v>
      </c>
      <c r="J341" s="4" t="s">
        <v>5506</v>
      </c>
      <c r="K341" s="4" t="s">
        <v>57</v>
      </c>
      <c r="L341" s="4"/>
      <c r="M341" s="4"/>
    </row>
    <row r="342" ht="16" customHeight="1" s="4" customFormat="1">
      <c r="A342" s="4">
        <v>2166</v>
      </c>
      <c r="B342" s="4" t="s">
        <v>5534</v>
      </c>
      <c r="C342" s="4" t="s">
        <v>5631</v>
      </c>
      <c r="D342" s="4"/>
      <c r="E342" s="4"/>
      <c r="F342" s="4" t="s">
        <v>6087</v>
      </c>
      <c r="G342" s="4" t="s">
        <v>5632</v>
      </c>
      <c r="H342" s="4" t="s">
        <v>5998</v>
      </c>
      <c r="I342" s="5">
        <v>41591</v>
      </c>
      <c r="J342" s="4" t="s">
        <v>5506</v>
      </c>
      <c r="K342" s="4" t="s">
        <v>57</v>
      </c>
      <c r="L342" s="4"/>
      <c r="M342" s="4"/>
    </row>
    <row r="343" ht="16" customHeight="1" s="4" customFormat="1">
      <c r="A343" s="4">
        <v>2167</v>
      </c>
      <c r="B343" s="4" t="s">
        <v>5534</v>
      </c>
      <c r="C343" s="4" t="s">
        <v>5631</v>
      </c>
      <c r="D343" s="4"/>
      <c r="E343" s="4"/>
      <c r="F343" s="4" t="s">
        <v>6088</v>
      </c>
      <c r="G343" s="4" t="s">
        <v>5632</v>
      </c>
      <c r="H343" s="4" t="s">
        <v>5634</v>
      </c>
      <c r="I343" s="5">
        <v>41591</v>
      </c>
      <c r="J343" s="4" t="s">
        <v>5506</v>
      </c>
      <c r="K343" s="4" t="s">
        <v>57</v>
      </c>
      <c r="L343" s="4"/>
      <c r="M343" s="4"/>
    </row>
    <row r="344" ht="16" customHeight="1" s="4" customFormat="1">
      <c r="A344" s="4">
        <v>2168</v>
      </c>
      <c r="B344" s="4" t="s">
        <v>5534</v>
      </c>
      <c r="C344" s="4" t="s">
        <v>5631</v>
      </c>
      <c r="D344" s="4"/>
      <c r="E344" s="4"/>
      <c r="F344" s="4">
        <v>7702</v>
      </c>
      <c r="G344" s="4" t="s">
        <v>5632</v>
      </c>
      <c r="H344" s="4" t="s">
        <v>5633</v>
      </c>
      <c r="I344" s="5">
        <v>41591</v>
      </c>
      <c r="J344" s="4" t="s">
        <v>5506</v>
      </c>
      <c r="K344" s="4" t="s">
        <v>57</v>
      </c>
      <c r="L344" s="4"/>
      <c r="M344" s="4"/>
    </row>
    <row r="345" ht="16" customHeight="1" s="4" customFormat="1">
      <c r="A345" s="4">
        <v>2169</v>
      </c>
      <c r="B345" s="4" t="s">
        <v>5534</v>
      </c>
      <c r="C345" s="4" t="s">
        <v>5631</v>
      </c>
      <c r="D345" s="4"/>
      <c r="E345" s="4"/>
      <c r="F345" s="4">
        <v>7703</v>
      </c>
      <c r="G345" s="4" t="s">
        <v>5632</v>
      </c>
      <c r="H345" s="4" t="s">
        <v>5633</v>
      </c>
      <c r="I345" s="5">
        <v>41591</v>
      </c>
      <c r="J345" s="4" t="s">
        <v>5506</v>
      </c>
      <c r="K345" s="4" t="s">
        <v>57</v>
      </c>
      <c r="L345" s="4"/>
      <c r="M345" s="4"/>
    </row>
    <row r="346" ht="16" customHeight="1" s="4" customFormat="1">
      <c r="A346" s="4">
        <v>2170</v>
      </c>
      <c r="B346" s="4" t="s">
        <v>5534</v>
      </c>
      <c r="C346" s="4" t="s">
        <v>5631</v>
      </c>
      <c r="D346" s="4"/>
      <c r="E346" s="4"/>
      <c r="F346" s="4">
        <v>7711</v>
      </c>
      <c r="G346" s="4" t="s">
        <v>5632</v>
      </c>
      <c r="H346" s="4" t="s">
        <v>5635</v>
      </c>
      <c r="I346" s="5">
        <v>41591</v>
      </c>
      <c r="J346" s="4" t="s">
        <v>5506</v>
      </c>
      <c r="K346" s="4" t="s">
        <v>57</v>
      </c>
      <c r="L346" s="4"/>
      <c r="M346" s="4"/>
    </row>
    <row r="347" ht="16" customHeight="1" s="4" customFormat="1">
      <c r="A347" s="4">
        <v>2171</v>
      </c>
      <c r="B347" s="4" t="s">
        <v>5534</v>
      </c>
      <c r="C347" s="4" t="s">
        <v>5631</v>
      </c>
      <c r="D347" s="4"/>
      <c r="E347" s="4"/>
      <c r="F347" s="4">
        <v>7684</v>
      </c>
      <c r="G347" s="4" t="s">
        <v>5632</v>
      </c>
      <c r="H347" s="4" t="s">
        <v>5635</v>
      </c>
      <c r="I347" s="5">
        <v>41591</v>
      </c>
      <c r="J347" s="4" t="s">
        <v>5506</v>
      </c>
      <c r="K347" s="4" t="s">
        <v>57</v>
      </c>
      <c r="L347" s="4"/>
      <c r="M347" s="4"/>
    </row>
    <row r="348" ht="16" customHeight="1" s="4" customFormat="1">
      <c r="A348" s="4">
        <v>2172</v>
      </c>
      <c r="B348" s="4" t="s">
        <v>5534</v>
      </c>
      <c r="C348" s="4" t="s">
        <v>5631</v>
      </c>
      <c r="D348" s="4"/>
      <c r="E348" s="4"/>
      <c r="F348" s="4" t="s">
        <v>6089</v>
      </c>
      <c r="G348" s="4" t="s">
        <v>5632</v>
      </c>
      <c r="H348" s="4" t="s">
        <v>5636</v>
      </c>
      <c r="I348" s="5">
        <v>41591</v>
      </c>
      <c r="J348" s="4" t="s">
        <v>5506</v>
      </c>
      <c r="K348" s="4" t="s">
        <v>57</v>
      </c>
      <c r="L348" s="4"/>
      <c r="M348" s="4"/>
    </row>
    <row r="349" ht="16" customHeight="1" s="4" customFormat="1">
      <c r="A349" s="4">
        <v>2173</v>
      </c>
      <c r="B349" s="4" t="s">
        <v>5534</v>
      </c>
      <c r="C349" s="4" t="s">
        <v>5631</v>
      </c>
      <c r="D349" s="4"/>
      <c r="E349" s="4"/>
      <c r="F349" s="4" t="s">
        <v>6090</v>
      </c>
      <c r="G349" s="4" t="s">
        <v>5632</v>
      </c>
      <c r="H349" s="4" t="s">
        <v>5636</v>
      </c>
      <c r="I349" s="5">
        <v>41591</v>
      </c>
      <c r="J349" s="4" t="s">
        <v>5506</v>
      </c>
      <c r="K349" s="4" t="s">
        <v>57</v>
      </c>
      <c r="L349" s="4"/>
      <c r="M349" s="4"/>
    </row>
    <row r="350" ht="16" customHeight="1" s="4" customFormat="1">
      <c r="A350" s="4">
        <v>2174</v>
      </c>
      <c r="B350" s="4" t="s">
        <v>5534</v>
      </c>
      <c r="C350" s="4" t="s">
        <v>5631</v>
      </c>
      <c r="D350" s="4"/>
      <c r="E350" s="4"/>
      <c r="F350" s="4" t="s">
        <v>6091</v>
      </c>
      <c r="G350" s="4" t="s">
        <v>5632</v>
      </c>
      <c r="H350" s="4" t="s">
        <v>5634</v>
      </c>
      <c r="I350" s="5">
        <v>41591</v>
      </c>
      <c r="J350" s="4" t="s">
        <v>5506</v>
      </c>
      <c r="K350" s="4" t="s">
        <v>57</v>
      </c>
      <c r="L350" s="4"/>
      <c r="M350" s="4"/>
    </row>
    <row r="351" ht="16" customHeight="1" s="4" customFormat="1">
      <c r="A351" s="4">
        <v>2175</v>
      </c>
      <c r="B351" s="4" t="s">
        <v>5534</v>
      </c>
      <c r="C351" s="4" t="s">
        <v>5631</v>
      </c>
      <c r="D351" s="4"/>
      <c r="E351" s="4"/>
      <c r="F351" s="4" t="s">
        <v>6092</v>
      </c>
      <c r="G351" s="4" t="s">
        <v>5632</v>
      </c>
      <c r="H351" s="4" t="s">
        <v>5635</v>
      </c>
      <c r="I351" s="5">
        <v>41591</v>
      </c>
      <c r="J351" s="4" t="s">
        <v>5506</v>
      </c>
      <c r="K351" s="4" t="s">
        <v>57</v>
      </c>
      <c r="L351" s="4"/>
      <c r="M351" s="4"/>
    </row>
    <row r="352" ht="16" customHeight="1" s="4" customFormat="1">
      <c r="A352" s="4">
        <v>2176</v>
      </c>
      <c r="B352" s="4" t="s">
        <v>5499</v>
      </c>
      <c r="C352" s="4" t="s">
        <v>5519</v>
      </c>
      <c r="D352" s="4"/>
      <c r="E352" s="4" t="s">
        <v>5641</v>
      </c>
      <c r="F352" s="4" t="s">
        <v>6093</v>
      </c>
      <c r="G352" s="4" t="s">
        <v>5983</v>
      </c>
      <c r="H352" s="4" t="s">
        <v>6041</v>
      </c>
      <c r="I352" s="5">
        <v>41562</v>
      </c>
      <c r="J352" s="4" t="s">
        <v>4842</v>
      </c>
      <c r="K352" s="4" t="s">
        <v>57</v>
      </c>
      <c r="L352" s="4"/>
      <c r="M352" s="4"/>
    </row>
    <row r="353" ht="16" customHeight="1" s="4" customFormat="1">
      <c r="A353" s="4">
        <v>2177</v>
      </c>
      <c r="B353" s="4" t="s">
        <v>5499</v>
      </c>
      <c r="C353" s="4" t="s">
        <v>5519</v>
      </c>
      <c r="D353" s="4"/>
      <c r="E353" s="4" t="s">
        <v>6094</v>
      </c>
      <c r="F353" s="4" t="s">
        <v>6095</v>
      </c>
      <c r="G353" s="4" t="s">
        <v>6096</v>
      </c>
      <c r="H353" s="4" t="s">
        <v>6096</v>
      </c>
      <c r="I353" s="5">
        <v>41562</v>
      </c>
      <c r="J353" s="4" t="s">
        <v>4798</v>
      </c>
      <c r="K353" s="4" t="s">
        <v>57</v>
      </c>
      <c r="L353" s="4"/>
      <c r="M353" s="4"/>
    </row>
    <row r="354" ht="16" customHeight="1" s="4" customFormat="1">
      <c r="A354" s="4">
        <v>2178</v>
      </c>
      <c r="B354" s="4" t="s">
        <v>5499</v>
      </c>
      <c r="C354" s="4" t="s">
        <v>5519</v>
      </c>
      <c r="D354" s="4"/>
      <c r="E354" s="4" t="s">
        <v>6094</v>
      </c>
      <c r="F354" s="4" t="s">
        <v>6097</v>
      </c>
      <c r="G354" s="4" t="s">
        <v>6096</v>
      </c>
      <c r="H354" s="4" t="s">
        <v>6096</v>
      </c>
      <c r="I354" s="5">
        <v>41562</v>
      </c>
      <c r="J354" s="4" t="s">
        <v>4798</v>
      </c>
      <c r="K354" s="4" t="s">
        <v>57</v>
      </c>
      <c r="L354" s="4"/>
      <c r="M354" s="4"/>
    </row>
    <row r="355" ht="16" customHeight="1" s="4" customFormat="1">
      <c r="A355" s="4">
        <v>2179</v>
      </c>
      <c r="B355" s="4" t="s">
        <v>5534</v>
      </c>
      <c r="C355" s="4" t="s">
        <v>5631</v>
      </c>
      <c r="D355" s="4"/>
      <c r="E355" s="4"/>
      <c r="F355" s="4">
        <v>29126</v>
      </c>
      <c r="G355" s="4" t="s">
        <v>5632</v>
      </c>
      <c r="H355" s="4" t="s">
        <v>5647</v>
      </c>
      <c r="I355" s="5">
        <v>41558</v>
      </c>
      <c r="J355" s="4" t="s">
        <v>5506</v>
      </c>
      <c r="K355" s="4" t="s">
        <v>57</v>
      </c>
      <c r="L355" s="4"/>
      <c r="M355" s="4"/>
    </row>
    <row r="356" ht="16" customHeight="1" s="4" customFormat="1">
      <c r="A356" s="4">
        <v>2180</v>
      </c>
      <c r="B356" s="4" t="s">
        <v>5499</v>
      </c>
      <c r="C356" s="4" t="s">
        <v>5590</v>
      </c>
      <c r="D356" s="4" t="s">
        <v>5574</v>
      </c>
      <c r="E356" s="4" t="s">
        <v>5575</v>
      </c>
      <c r="F356" s="4" t="s">
        <v>6098</v>
      </c>
      <c r="G356" s="4" t="s">
        <v>6099</v>
      </c>
      <c r="H356" s="4" t="s">
        <v>6100</v>
      </c>
      <c r="I356" s="5">
        <v>41557</v>
      </c>
      <c r="J356" s="4" t="s">
        <v>4842</v>
      </c>
      <c r="K356" s="4" t="s">
        <v>57</v>
      </c>
      <c r="L356" s="4"/>
      <c r="M356" s="4"/>
    </row>
    <row r="357" ht="16" customHeight="1" s="4" customFormat="1">
      <c r="A357" s="4">
        <v>2181</v>
      </c>
      <c r="B357" s="4" t="s">
        <v>5600</v>
      </c>
      <c r="C357" s="4" t="s">
        <v>5600</v>
      </c>
      <c r="D357" s="4" t="s">
        <v>5728</v>
      </c>
      <c r="E357" s="4" t="s">
        <v>6003</v>
      </c>
      <c r="F357" s="4" t="s">
        <v>6101</v>
      </c>
      <c r="G357" s="4" t="s">
        <v>5747</v>
      </c>
      <c r="H357" s="4" t="s">
        <v>6026</v>
      </c>
      <c r="I357" s="5">
        <v>41544</v>
      </c>
      <c r="J357" s="4" t="s">
        <v>4798</v>
      </c>
      <c r="K357" s="4" t="s">
        <v>57</v>
      </c>
      <c r="L357" s="4"/>
      <c r="M357" s="4"/>
    </row>
    <row r="358" ht="16" customHeight="1" s="4" customFormat="1">
      <c r="A358" s="4">
        <v>2182</v>
      </c>
      <c r="B358" s="4" t="s">
        <v>5600</v>
      </c>
      <c r="C358" s="4" t="s">
        <v>5600</v>
      </c>
      <c r="D358" s="4" t="s">
        <v>5728</v>
      </c>
      <c r="E358" s="4" t="s">
        <v>6011</v>
      </c>
      <c r="F358" s="4" t="s">
        <v>6102</v>
      </c>
      <c r="G358" s="4" t="s">
        <v>6103</v>
      </c>
      <c r="H358" s="4" t="s">
        <v>6104</v>
      </c>
      <c r="I358" s="5">
        <v>41544</v>
      </c>
      <c r="J358" s="4" t="s">
        <v>5506</v>
      </c>
      <c r="K358" s="4" t="s">
        <v>57</v>
      </c>
      <c r="L358" s="4"/>
      <c r="M358" s="4"/>
    </row>
    <row r="359" ht="16" customHeight="1" s="4" customFormat="1">
      <c r="A359" s="4">
        <v>2183</v>
      </c>
      <c r="B359" s="4" t="s">
        <v>5499</v>
      </c>
      <c r="C359" s="4" t="s">
        <v>5573</v>
      </c>
      <c r="D359" s="4" t="s">
        <v>5574</v>
      </c>
      <c r="E359" s="4" t="s">
        <v>5575</v>
      </c>
      <c r="F359" s="4" t="s">
        <v>6105</v>
      </c>
      <c r="G359" s="4" t="s">
        <v>5837</v>
      </c>
      <c r="H359" s="4" t="s">
        <v>6106</v>
      </c>
      <c r="I359" s="5">
        <v>41541</v>
      </c>
      <c r="J359" s="4" t="s">
        <v>4798</v>
      </c>
      <c r="K359" s="4" t="s">
        <v>57</v>
      </c>
      <c r="L359" s="4"/>
      <c r="M359" s="4"/>
    </row>
    <row r="360" ht="16" customHeight="1" s="4" customFormat="1">
      <c r="A360" s="4">
        <v>2184</v>
      </c>
      <c r="B360" s="4" t="s">
        <v>5534</v>
      </c>
      <c r="C360" s="4" t="s">
        <v>5773</v>
      </c>
      <c r="D360" s="4"/>
      <c r="E360" s="4"/>
      <c r="F360" s="4" t="s">
        <v>6107</v>
      </c>
      <c r="G360" s="4" t="s">
        <v>5675</v>
      </c>
      <c r="H360" s="4" t="s">
        <v>6108</v>
      </c>
      <c r="I360" s="5">
        <v>41541</v>
      </c>
      <c r="J360" s="4" t="s">
        <v>4798</v>
      </c>
      <c r="K360" s="4" t="s">
        <v>57</v>
      </c>
      <c r="L360" s="4"/>
      <c r="M360" s="4"/>
    </row>
    <row r="361" ht="16" customHeight="1" s="4" customFormat="1">
      <c r="A361" s="4">
        <v>2185</v>
      </c>
      <c r="B361" s="4" t="s">
        <v>5499</v>
      </c>
      <c r="C361" s="4" t="s">
        <v>5519</v>
      </c>
      <c r="D361" s="4"/>
      <c r="E361" s="4" t="s">
        <v>5641</v>
      </c>
      <c r="F361" s="4" t="s">
        <v>6109</v>
      </c>
      <c r="G361" s="4" t="s">
        <v>5983</v>
      </c>
      <c r="H361" s="4" t="s">
        <v>6041</v>
      </c>
      <c r="I361" s="5">
        <v>41540</v>
      </c>
      <c r="J361" s="4" t="s">
        <v>4842</v>
      </c>
      <c r="K361" s="4" t="s">
        <v>57</v>
      </c>
      <c r="L361" s="4"/>
      <c r="M361" s="4"/>
    </row>
    <row r="362" ht="16" customHeight="1" s="4" customFormat="1">
      <c r="A362" s="4">
        <v>2186</v>
      </c>
      <c r="B362" s="4" t="s">
        <v>5499</v>
      </c>
      <c r="C362" s="4" t="s">
        <v>5519</v>
      </c>
      <c r="D362" s="4"/>
      <c r="E362" s="4" t="s">
        <v>5641</v>
      </c>
      <c r="F362" s="4" t="s">
        <v>6110</v>
      </c>
      <c r="G362" s="4" t="s">
        <v>5983</v>
      </c>
      <c r="H362" s="4" t="s">
        <v>6041</v>
      </c>
      <c r="I362" s="5">
        <v>41540</v>
      </c>
      <c r="J362" s="4" t="s">
        <v>4842</v>
      </c>
      <c r="K362" s="4" t="s">
        <v>57</v>
      </c>
      <c r="L362" s="4"/>
      <c r="M362" s="4"/>
    </row>
    <row r="363" ht="16" customHeight="1" s="4" customFormat="1">
      <c r="A363" s="4">
        <v>2187</v>
      </c>
      <c r="B363" s="4" t="s">
        <v>5499</v>
      </c>
      <c r="C363" s="4" t="s">
        <v>5519</v>
      </c>
      <c r="D363" s="4"/>
      <c r="E363" s="4" t="s">
        <v>5664</v>
      </c>
      <c r="F363" s="4" t="s">
        <v>6111</v>
      </c>
      <c r="G363" s="4" t="s">
        <v>5983</v>
      </c>
      <c r="H363" s="4" t="s">
        <v>6041</v>
      </c>
      <c r="I363" s="5">
        <v>41540</v>
      </c>
      <c r="J363" s="4" t="s">
        <v>4842</v>
      </c>
      <c r="K363" s="4" t="s">
        <v>57</v>
      </c>
      <c r="L363" s="4"/>
      <c r="M363" s="4"/>
    </row>
    <row r="364" ht="16" customHeight="1" s="4" customFormat="1">
      <c r="A364" s="4">
        <v>2188</v>
      </c>
      <c r="B364" s="4" t="s">
        <v>5499</v>
      </c>
      <c r="C364" s="4" t="s">
        <v>5519</v>
      </c>
      <c r="D364" s="4"/>
      <c r="E364" s="4" t="s">
        <v>5664</v>
      </c>
      <c r="F364" s="4" t="s">
        <v>6112</v>
      </c>
      <c r="G364" s="4" t="s">
        <v>5983</v>
      </c>
      <c r="H364" s="4" t="s">
        <v>6041</v>
      </c>
      <c r="I364" s="5">
        <v>41540</v>
      </c>
      <c r="J364" s="4" t="s">
        <v>4842</v>
      </c>
      <c r="K364" s="4" t="s">
        <v>57</v>
      </c>
      <c r="L364" s="4"/>
      <c r="M364" s="4"/>
    </row>
    <row r="365" ht="16" customHeight="1" s="4" customFormat="1">
      <c r="A365" s="4">
        <v>2189</v>
      </c>
      <c r="B365" s="4" t="s">
        <v>5499</v>
      </c>
      <c r="C365" s="4" t="s">
        <v>5519</v>
      </c>
      <c r="D365" s="4"/>
      <c r="E365" s="4" t="s">
        <v>5668</v>
      </c>
      <c r="F365" s="4" t="s">
        <v>6113</v>
      </c>
      <c r="G365" s="4" t="s">
        <v>6114</v>
      </c>
      <c r="H365" s="4" t="s">
        <v>6114</v>
      </c>
      <c r="I365" s="5">
        <v>41540</v>
      </c>
      <c r="J365" s="4" t="s">
        <v>4842</v>
      </c>
      <c r="K365" s="4" t="s">
        <v>57</v>
      </c>
      <c r="L365" s="4"/>
      <c r="M365" s="4"/>
    </row>
    <row r="366" ht="16" customHeight="1" s="4" customFormat="1">
      <c r="A366" s="4">
        <v>2190</v>
      </c>
      <c r="B366" s="4" t="s">
        <v>5499</v>
      </c>
      <c r="C366" s="4" t="s">
        <v>5519</v>
      </c>
      <c r="D366" s="4"/>
      <c r="E366" s="4" t="s">
        <v>5668</v>
      </c>
      <c r="F366" s="4" t="s">
        <v>6115</v>
      </c>
      <c r="G366" s="4" t="s">
        <v>6114</v>
      </c>
      <c r="H366" s="4" t="s">
        <v>6114</v>
      </c>
      <c r="I366" s="5">
        <v>41540</v>
      </c>
      <c r="J366" s="4" t="s">
        <v>4842</v>
      </c>
      <c r="K366" s="4" t="s">
        <v>57</v>
      </c>
      <c r="L366" s="4"/>
      <c r="M366" s="4"/>
    </row>
    <row r="367" ht="16" customHeight="1" s="4" customFormat="1">
      <c r="A367" s="4">
        <v>2191</v>
      </c>
      <c r="B367" s="4" t="s">
        <v>5499</v>
      </c>
      <c r="C367" s="4" t="s">
        <v>5519</v>
      </c>
      <c r="D367" s="4"/>
      <c r="E367" s="4" t="s">
        <v>5668</v>
      </c>
      <c r="F367" s="4" t="s">
        <v>6116</v>
      </c>
      <c r="G367" s="4" t="s">
        <v>5984</v>
      </c>
      <c r="H367" s="4" t="s">
        <v>5984</v>
      </c>
      <c r="I367" s="5">
        <v>41540</v>
      </c>
      <c r="J367" s="4" t="s">
        <v>4842</v>
      </c>
      <c r="K367" s="4" t="s">
        <v>57</v>
      </c>
      <c r="L367" s="4"/>
      <c r="M367" s="4"/>
    </row>
    <row r="368" ht="16" customHeight="1" s="4" customFormat="1">
      <c r="A368" s="4">
        <v>2192</v>
      </c>
      <c r="B368" s="4" t="s">
        <v>5499</v>
      </c>
      <c r="C368" s="4" t="s">
        <v>5519</v>
      </c>
      <c r="D368" s="4"/>
      <c r="E368" s="4" t="s">
        <v>5668</v>
      </c>
      <c r="F368" s="4" t="s">
        <v>6117</v>
      </c>
      <c r="G368" s="4" t="s">
        <v>5984</v>
      </c>
      <c r="H368" s="4" t="s">
        <v>5984</v>
      </c>
      <c r="I368" s="5">
        <v>41540</v>
      </c>
      <c r="J368" s="4" t="s">
        <v>4842</v>
      </c>
      <c r="K368" s="4" t="s">
        <v>57</v>
      </c>
      <c r="L368" s="4"/>
      <c r="M368" s="4"/>
    </row>
    <row r="369" ht="16" customHeight="1" s="4" customFormat="1">
      <c r="A369" s="4">
        <v>2193</v>
      </c>
      <c r="B369" s="4" t="s">
        <v>5534</v>
      </c>
      <c r="C369" s="4" t="s">
        <v>5773</v>
      </c>
      <c r="D369" s="4"/>
      <c r="E369" s="4"/>
      <c r="F369" s="4" t="s">
        <v>6118</v>
      </c>
      <c r="G369" s="4" t="s">
        <v>6119</v>
      </c>
      <c r="H369" s="4" t="s">
        <v>6120</v>
      </c>
      <c r="I369" s="5">
        <v>41522</v>
      </c>
      <c r="J369" s="4" t="s">
        <v>5506</v>
      </c>
      <c r="K369" s="4" t="s">
        <v>57</v>
      </c>
      <c r="L369" s="4"/>
      <c r="M369" s="4"/>
    </row>
    <row r="370" ht="16" customHeight="1" s="4" customFormat="1">
      <c r="A370" s="4">
        <v>2194</v>
      </c>
      <c r="B370" s="4" t="s">
        <v>5600</v>
      </c>
      <c r="C370" s="4" t="s">
        <v>5600</v>
      </c>
      <c r="D370" s="4" t="s">
        <v>6121</v>
      </c>
      <c r="E370" s="4" t="s">
        <v>6122</v>
      </c>
      <c r="F370" s="4" t="s">
        <v>6123</v>
      </c>
      <c r="G370" s="4" t="s">
        <v>6124</v>
      </c>
      <c r="H370" s="4" t="s">
        <v>6125</v>
      </c>
      <c r="I370" s="5">
        <v>41513</v>
      </c>
      <c r="J370" s="4" t="s">
        <v>4798</v>
      </c>
      <c r="K370" s="4" t="s">
        <v>57</v>
      </c>
      <c r="L370" s="4"/>
      <c r="M370" s="4"/>
    </row>
    <row r="371" ht="16" customHeight="1" s="4" customFormat="1">
      <c r="A371" s="4">
        <v>2195</v>
      </c>
      <c r="B371" s="4" t="s">
        <v>5600</v>
      </c>
      <c r="C371" s="4" t="s">
        <v>5600</v>
      </c>
      <c r="D371" s="4" t="s">
        <v>6121</v>
      </c>
      <c r="E371" s="4" t="s">
        <v>6122</v>
      </c>
      <c r="F371" s="4" t="s">
        <v>6126</v>
      </c>
      <c r="G371" s="4" t="s">
        <v>6127</v>
      </c>
      <c r="H371" s="4" t="s">
        <v>5663</v>
      </c>
      <c r="I371" s="5">
        <v>41513</v>
      </c>
      <c r="J371" s="4" t="s">
        <v>4798</v>
      </c>
      <c r="K371" s="4" t="s">
        <v>57</v>
      </c>
      <c r="L371" s="4"/>
      <c r="M371" s="4"/>
    </row>
    <row r="372" ht="16" customHeight="1" s="4" customFormat="1">
      <c r="A372" s="4">
        <v>2196</v>
      </c>
      <c r="B372" s="4" t="s">
        <v>5600</v>
      </c>
      <c r="C372" s="4" t="s">
        <v>5600</v>
      </c>
      <c r="D372" s="4" t="s">
        <v>6121</v>
      </c>
      <c r="E372" s="4" t="s">
        <v>6128</v>
      </c>
      <c r="F372" s="4" t="s">
        <v>6129</v>
      </c>
      <c r="G372" s="4" t="s">
        <v>6130</v>
      </c>
      <c r="H372" s="4" t="s">
        <v>6131</v>
      </c>
      <c r="I372" s="5">
        <v>41513</v>
      </c>
      <c r="J372" s="4" t="s">
        <v>5506</v>
      </c>
      <c r="K372" s="4" t="s">
        <v>57</v>
      </c>
      <c r="L372" s="4"/>
      <c r="M372" s="4"/>
    </row>
    <row r="373" ht="16" customHeight="1" s="4" customFormat="1">
      <c r="A373" s="4">
        <v>2197</v>
      </c>
      <c r="B373" s="4" t="s">
        <v>5600</v>
      </c>
      <c r="C373" s="4" t="s">
        <v>5600</v>
      </c>
      <c r="D373" s="4" t="s">
        <v>6121</v>
      </c>
      <c r="E373" s="4" t="s">
        <v>6128</v>
      </c>
      <c r="F373" s="4" t="s">
        <v>6132</v>
      </c>
      <c r="G373" s="4" t="s">
        <v>6133</v>
      </c>
      <c r="H373" s="4" t="s">
        <v>6134</v>
      </c>
      <c r="I373" s="5">
        <v>41513</v>
      </c>
      <c r="J373" s="4" t="s">
        <v>5506</v>
      </c>
      <c r="K373" s="4" t="s">
        <v>57</v>
      </c>
      <c r="L373" s="4"/>
      <c r="M373" s="4"/>
    </row>
    <row r="374" ht="16" customHeight="1" s="4" customFormat="1">
      <c r="A374" s="4">
        <v>2198</v>
      </c>
      <c r="B374" s="4" t="s">
        <v>5499</v>
      </c>
      <c r="C374" s="4" t="s">
        <v>5590</v>
      </c>
      <c r="D374" s="4" t="s">
        <v>5574</v>
      </c>
      <c r="E374" s="4" t="s">
        <v>5706</v>
      </c>
      <c r="F374" s="4" t="s">
        <v>6135</v>
      </c>
      <c r="G374" s="4" t="s">
        <v>6136</v>
      </c>
      <c r="H374" s="4" t="s">
        <v>6137</v>
      </c>
      <c r="I374" s="5">
        <v>41509</v>
      </c>
      <c r="J374" s="4" t="s">
        <v>4842</v>
      </c>
      <c r="K374" s="4" t="s">
        <v>57</v>
      </c>
      <c r="L374" s="4"/>
      <c r="M374" s="4"/>
    </row>
    <row r="375" ht="16" customHeight="1" s="4" customFormat="1">
      <c r="A375" s="4">
        <v>2199</v>
      </c>
      <c r="B375" s="4" t="s">
        <v>5534</v>
      </c>
      <c r="C375" s="4" t="s">
        <v>5631</v>
      </c>
      <c r="D375" s="4"/>
      <c r="E375" s="4"/>
      <c r="F375" s="4">
        <v>8368</v>
      </c>
      <c r="G375" s="4" t="s">
        <v>5632</v>
      </c>
      <c r="H375" s="4" t="s">
        <v>5633</v>
      </c>
      <c r="I375" s="5">
        <v>41493</v>
      </c>
      <c r="J375" s="4" t="s">
        <v>5506</v>
      </c>
      <c r="K375" s="4" t="s">
        <v>57</v>
      </c>
      <c r="L375" s="4"/>
      <c r="M375" s="4"/>
    </row>
    <row r="376" ht="16" customHeight="1" s="4" customFormat="1">
      <c r="A376" s="4">
        <v>2200</v>
      </c>
      <c r="B376" s="4" t="s">
        <v>5534</v>
      </c>
      <c r="C376" s="4" t="s">
        <v>5631</v>
      </c>
      <c r="D376" s="4"/>
      <c r="E376" s="4"/>
      <c r="F376" s="4">
        <v>8379</v>
      </c>
      <c r="G376" s="4" t="s">
        <v>5632</v>
      </c>
      <c r="H376" s="4" t="s">
        <v>5635</v>
      </c>
      <c r="I376" s="5">
        <v>41493</v>
      </c>
      <c r="J376" s="4" t="s">
        <v>5506</v>
      </c>
      <c r="K376" s="4" t="s">
        <v>57</v>
      </c>
      <c r="L376" s="4"/>
      <c r="M376" s="4"/>
    </row>
    <row r="377" ht="16" customHeight="1" s="4" customFormat="1">
      <c r="A377" s="4">
        <v>2201</v>
      </c>
      <c r="B377" s="4" t="s">
        <v>5534</v>
      </c>
      <c r="C377" s="4" t="s">
        <v>5631</v>
      </c>
      <c r="D377" s="4"/>
      <c r="E377" s="4"/>
      <c r="F377" s="4">
        <v>8370</v>
      </c>
      <c r="G377" s="4" t="s">
        <v>5632</v>
      </c>
      <c r="H377" s="4" t="s">
        <v>5633</v>
      </c>
      <c r="I377" s="5">
        <v>41493</v>
      </c>
      <c r="J377" s="4" t="s">
        <v>5506</v>
      </c>
      <c r="K377" s="4" t="s">
        <v>57</v>
      </c>
      <c r="L377" s="4"/>
      <c r="M377" s="4"/>
    </row>
    <row r="378" ht="16" customHeight="1" s="4" customFormat="1">
      <c r="A378" s="4">
        <v>2202</v>
      </c>
      <c r="B378" s="4" t="s">
        <v>5534</v>
      </c>
      <c r="C378" s="4" t="s">
        <v>5631</v>
      </c>
      <c r="D378" s="4"/>
      <c r="E378" s="4"/>
      <c r="F378" s="4">
        <v>8371</v>
      </c>
      <c r="G378" s="4" t="s">
        <v>5632</v>
      </c>
      <c r="H378" s="4" t="s">
        <v>5633</v>
      </c>
      <c r="I378" s="5">
        <v>41493</v>
      </c>
      <c r="J378" s="4" t="s">
        <v>5506</v>
      </c>
      <c r="K378" s="4" t="s">
        <v>57</v>
      </c>
      <c r="L378" s="4"/>
      <c r="M378" s="4"/>
    </row>
    <row r="379" ht="16" customHeight="1" s="4" customFormat="1">
      <c r="A379" s="4">
        <v>2203</v>
      </c>
      <c r="B379" s="4" t="s">
        <v>5534</v>
      </c>
      <c r="C379" s="4" t="s">
        <v>5631</v>
      </c>
      <c r="D379" s="4"/>
      <c r="E379" s="4"/>
      <c r="F379" s="4">
        <v>8352</v>
      </c>
      <c r="G379" s="4" t="s">
        <v>5632</v>
      </c>
      <c r="H379" s="4" t="s">
        <v>5635</v>
      </c>
      <c r="I379" s="5">
        <v>41493</v>
      </c>
      <c r="J379" s="4" t="s">
        <v>5506</v>
      </c>
      <c r="K379" s="4" t="s">
        <v>57</v>
      </c>
      <c r="L379" s="4"/>
      <c r="M379" s="4"/>
    </row>
    <row r="380" ht="16" customHeight="1" s="4" customFormat="1">
      <c r="A380" s="4">
        <v>2204</v>
      </c>
      <c r="B380" s="4" t="s">
        <v>5534</v>
      </c>
      <c r="C380" s="4" t="s">
        <v>5631</v>
      </c>
      <c r="D380" s="4"/>
      <c r="E380" s="4"/>
      <c r="F380" s="4" t="s">
        <v>6138</v>
      </c>
      <c r="G380" s="4" t="s">
        <v>5632</v>
      </c>
      <c r="H380" s="4" t="s">
        <v>5633</v>
      </c>
      <c r="I380" s="5">
        <v>41493</v>
      </c>
      <c r="J380" s="4" t="s">
        <v>5506</v>
      </c>
      <c r="K380" s="4" t="s">
        <v>57</v>
      </c>
      <c r="L380" s="4"/>
      <c r="M380" s="4"/>
    </row>
    <row r="381" ht="16" customHeight="1" s="4" customFormat="1">
      <c r="A381" s="4">
        <v>2205</v>
      </c>
      <c r="B381" s="4" t="s">
        <v>5534</v>
      </c>
      <c r="C381" s="4" t="s">
        <v>5631</v>
      </c>
      <c r="D381" s="4"/>
      <c r="E381" s="4"/>
      <c r="F381" s="4" t="s">
        <v>6139</v>
      </c>
      <c r="G381" s="4" t="s">
        <v>5632</v>
      </c>
      <c r="H381" s="4" t="s">
        <v>5633</v>
      </c>
      <c r="I381" s="5">
        <v>41493</v>
      </c>
      <c r="J381" s="4" t="s">
        <v>5506</v>
      </c>
      <c r="K381" s="4" t="s">
        <v>57</v>
      </c>
      <c r="L381" s="4"/>
      <c r="M381" s="4"/>
    </row>
    <row r="382" ht="16" customHeight="1" s="4" customFormat="1">
      <c r="A382" s="4">
        <v>2206</v>
      </c>
      <c r="B382" s="4" t="s">
        <v>5528</v>
      </c>
      <c r="C382" s="4" t="s">
        <v>6140</v>
      </c>
      <c r="D382" s="4" t="s">
        <v>5574</v>
      </c>
      <c r="E382" s="4" t="s">
        <v>5575</v>
      </c>
      <c r="F382" s="4" t="s">
        <v>6141</v>
      </c>
      <c r="G382" s="4" t="s">
        <v>6142</v>
      </c>
      <c r="H382" s="4" t="s">
        <v>6143</v>
      </c>
      <c r="I382" s="5">
        <v>41493</v>
      </c>
      <c r="J382" s="4" t="s">
        <v>4798</v>
      </c>
      <c r="K382" s="4" t="s">
        <v>57</v>
      </c>
      <c r="L382" s="4"/>
      <c r="M382" s="4"/>
    </row>
    <row r="383" ht="16" customHeight="1" s="4" customFormat="1">
      <c r="A383" s="4">
        <v>2207</v>
      </c>
      <c r="B383" s="4" t="s">
        <v>5499</v>
      </c>
      <c r="C383" s="4" t="s">
        <v>5519</v>
      </c>
      <c r="D383" s="4"/>
      <c r="E383" s="4" t="s">
        <v>6144</v>
      </c>
      <c r="F383" s="4" t="s">
        <v>6145</v>
      </c>
      <c r="G383" s="4" t="s">
        <v>5984</v>
      </c>
      <c r="H383" s="4" t="s">
        <v>5984</v>
      </c>
      <c r="I383" s="5">
        <v>41485</v>
      </c>
      <c r="J383" s="4" t="s">
        <v>4798</v>
      </c>
      <c r="K383" s="4" t="s">
        <v>57</v>
      </c>
      <c r="L383" s="4"/>
      <c r="M383" s="4"/>
    </row>
    <row r="384" ht="16" customHeight="1" s="4" customFormat="1">
      <c r="A384" s="4">
        <v>2208</v>
      </c>
      <c r="B384" s="4" t="s">
        <v>5534</v>
      </c>
      <c r="C384" s="4" t="s">
        <v>5631</v>
      </c>
      <c r="D384" s="4"/>
      <c r="E384" s="4"/>
      <c r="F384" s="4">
        <v>8444</v>
      </c>
      <c r="G384" s="4" t="s">
        <v>5632</v>
      </c>
      <c r="H384" s="4" t="s">
        <v>5635</v>
      </c>
      <c r="I384" s="5">
        <v>41480</v>
      </c>
      <c r="J384" s="4" t="s">
        <v>5506</v>
      </c>
      <c r="K384" s="4" t="s">
        <v>57</v>
      </c>
      <c r="L384" s="4"/>
      <c r="M384" s="4"/>
    </row>
    <row r="385" ht="16" customHeight="1" s="4" customFormat="1">
      <c r="A385" s="4">
        <v>2209</v>
      </c>
      <c r="B385" s="4" t="s">
        <v>5534</v>
      </c>
      <c r="C385" s="4" t="s">
        <v>5631</v>
      </c>
      <c r="D385" s="4"/>
      <c r="E385" s="4"/>
      <c r="F385" s="4">
        <v>8460</v>
      </c>
      <c r="G385" s="4" t="s">
        <v>5632</v>
      </c>
      <c r="H385" s="4" t="s">
        <v>5633</v>
      </c>
      <c r="I385" s="5">
        <v>41480</v>
      </c>
      <c r="J385" s="4" t="s">
        <v>5506</v>
      </c>
      <c r="K385" s="4" t="s">
        <v>57</v>
      </c>
      <c r="L385" s="4"/>
      <c r="M385" s="4"/>
    </row>
    <row r="386" ht="16" customHeight="1" s="4" customFormat="1">
      <c r="A386" s="4">
        <v>2210</v>
      </c>
      <c r="B386" s="4" t="s">
        <v>5534</v>
      </c>
      <c r="C386" s="4" t="s">
        <v>5631</v>
      </c>
      <c r="D386" s="4"/>
      <c r="E386" s="4"/>
      <c r="F386" s="4">
        <v>8462</v>
      </c>
      <c r="G386" s="4" t="s">
        <v>5632</v>
      </c>
      <c r="H386" s="4" t="s">
        <v>5633</v>
      </c>
      <c r="I386" s="5">
        <v>41480</v>
      </c>
      <c r="J386" s="4" t="s">
        <v>5506</v>
      </c>
      <c r="K386" s="4" t="s">
        <v>57</v>
      </c>
      <c r="L386" s="4"/>
      <c r="M386" s="4"/>
    </row>
    <row r="387" ht="16" customHeight="1" s="4" customFormat="1">
      <c r="A387" s="4">
        <v>2211</v>
      </c>
      <c r="B387" s="4" t="s">
        <v>5534</v>
      </c>
      <c r="C387" s="4" t="s">
        <v>5631</v>
      </c>
      <c r="D387" s="4"/>
      <c r="E387" s="4"/>
      <c r="F387" s="4">
        <v>8463</v>
      </c>
      <c r="G387" s="4" t="s">
        <v>5632</v>
      </c>
      <c r="H387" s="4" t="s">
        <v>5633</v>
      </c>
      <c r="I387" s="5">
        <v>41480</v>
      </c>
      <c r="J387" s="4" t="s">
        <v>5506</v>
      </c>
      <c r="K387" s="4" t="s">
        <v>57</v>
      </c>
      <c r="L387" s="4"/>
      <c r="M387" s="4"/>
    </row>
    <row r="388" ht="16" customHeight="1" s="4" customFormat="1">
      <c r="A388" s="4">
        <v>2212</v>
      </c>
      <c r="B388" s="4" t="s">
        <v>5534</v>
      </c>
      <c r="C388" s="4" t="s">
        <v>5631</v>
      </c>
      <c r="D388" s="4"/>
      <c r="E388" s="4"/>
      <c r="F388" s="4">
        <v>8471</v>
      </c>
      <c r="G388" s="4" t="s">
        <v>5632</v>
      </c>
      <c r="H388" s="4" t="s">
        <v>5635</v>
      </c>
      <c r="I388" s="5">
        <v>41480</v>
      </c>
      <c r="J388" s="4" t="s">
        <v>5506</v>
      </c>
      <c r="K388" s="4" t="s">
        <v>57</v>
      </c>
      <c r="L388" s="4"/>
      <c r="M388" s="4"/>
    </row>
    <row r="389" ht="16" customHeight="1" s="4" customFormat="1">
      <c r="A389" s="4">
        <v>2213</v>
      </c>
      <c r="B389" s="4" t="s">
        <v>5499</v>
      </c>
      <c r="C389" s="4" t="s">
        <v>5519</v>
      </c>
      <c r="D389" s="4"/>
      <c r="E389" s="4" t="s">
        <v>6146</v>
      </c>
      <c r="F389" s="4" t="s">
        <v>6147</v>
      </c>
      <c r="G389" s="4" t="s">
        <v>6124</v>
      </c>
      <c r="H389" s="4" t="s">
        <v>6148</v>
      </c>
      <c r="I389" s="5">
        <v>41451</v>
      </c>
      <c r="J389" s="4" t="s">
        <v>4798</v>
      </c>
      <c r="K389" s="4" t="s">
        <v>57</v>
      </c>
      <c r="L389" s="4"/>
      <c r="M389" s="4"/>
    </row>
    <row r="390" ht="16" customHeight="1" s="4" customFormat="1">
      <c r="A390" s="4">
        <v>2214</v>
      </c>
      <c r="B390" s="4" t="s">
        <v>5499</v>
      </c>
      <c r="C390" s="4" t="s">
        <v>5519</v>
      </c>
      <c r="D390" s="4"/>
      <c r="E390" s="4" t="s">
        <v>6146</v>
      </c>
      <c r="F390" s="4" t="s">
        <v>6149</v>
      </c>
      <c r="G390" s="4" t="s">
        <v>6124</v>
      </c>
      <c r="H390" s="4" t="s">
        <v>6148</v>
      </c>
      <c r="I390" s="5">
        <v>41451</v>
      </c>
      <c r="J390" s="4" t="s">
        <v>4798</v>
      </c>
      <c r="K390" s="4" t="s">
        <v>57</v>
      </c>
      <c r="L390" s="4"/>
      <c r="M390" s="4"/>
    </row>
    <row r="391" ht="16" customHeight="1" s="4" customFormat="1">
      <c r="A391" s="4">
        <v>2215</v>
      </c>
      <c r="B391" s="4" t="s">
        <v>5499</v>
      </c>
      <c r="C391" s="4" t="s">
        <v>5519</v>
      </c>
      <c r="D391" s="4"/>
      <c r="E391" s="4" t="s">
        <v>5641</v>
      </c>
      <c r="F391" s="4" t="s">
        <v>6150</v>
      </c>
      <c r="G391" s="4" t="s">
        <v>6124</v>
      </c>
      <c r="H391" s="4" t="s">
        <v>6148</v>
      </c>
      <c r="I391" s="5">
        <v>41451</v>
      </c>
      <c r="J391" s="4" t="s">
        <v>4798</v>
      </c>
      <c r="K391" s="4" t="s">
        <v>57</v>
      </c>
      <c r="L391" s="4"/>
      <c r="M391" s="4"/>
    </row>
    <row r="392" ht="16" customHeight="1" s="4" customFormat="1">
      <c r="A392" s="4">
        <v>2216</v>
      </c>
      <c r="B392" s="4" t="s">
        <v>5499</v>
      </c>
      <c r="C392" s="4" t="s">
        <v>5519</v>
      </c>
      <c r="D392" s="4"/>
      <c r="E392" s="4" t="s">
        <v>5641</v>
      </c>
      <c r="F392" s="4" t="s">
        <v>6151</v>
      </c>
      <c r="G392" s="4" t="s">
        <v>6124</v>
      </c>
      <c r="H392" s="4" t="s">
        <v>6148</v>
      </c>
      <c r="I392" s="5">
        <v>41451</v>
      </c>
      <c r="J392" s="4" t="s">
        <v>4798</v>
      </c>
      <c r="K392" s="4" t="s">
        <v>57</v>
      </c>
      <c r="L392" s="4"/>
      <c r="M392" s="4"/>
    </row>
    <row r="393" ht="16" customHeight="1" s="4" customFormat="1">
      <c r="A393" s="4">
        <v>2217</v>
      </c>
      <c r="B393" s="4" t="s">
        <v>5534</v>
      </c>
      <c r="C393" s="4" t="s">
        <v>5631</v>
      </c>
      <c r="D393" s="4"/>
      <c r="E393" s="4"/>
      <c r="F393" s="4">
        <v>8588</v>
      </c>
      <c r="G393" s="4" t="s">
        <v>5632</v>
      </c>
      <c r="H393" s="4" t="s">
        <v>5633</v>
      </c>
      <c r="I393" s="5">
        <v>41449</v>
      </c>
      <c r="J393" s="4" t="s">
        <v>5506</v>
      </c>
      <c r="K393" s="4" t="s">
        <v>57</v>
      </c>
      <c r="L393" s="4"/>
      <c r="M393" s="4"/>
    </row>
    <row r="394" ht="16" customHeight="1" s="4" customFormat="1">
      <c r="A394" s="4">
        <v>2218</v>
      </c>
      <c r="B394" s="4" t="s">
        <v>5534</v>
      </c>
      <c r="C394" s="4" t="s">
        <v>5631</v>
      </c>
      <c r="D394" s="4"/>
      <c r="E394" s="4"/>
      <c r="F394" s="4">
        <v>8590</v>
      </c>
      <c r="G394" s="4" t="s">
        <v>5632</v>
      </c>
      <c r="H394" s="4" t="s">
        <v>5633</v>
      </c>
      <c r="I394" s="5">
        <v>41449</v>
      </c>
      <c r="J394" s="4" t="s">
        <v>5506</v>
      </c>
      <c r="K394" s="4" t="s">
        <v>57</v>
      </c>
      <c r="L394" s="4"/>
      <c r="M394" s="4"/>
    </row>
    <row r="395" ht="16" customHeight="1" s="4" customFormat="1">
      <c r="A395" s="4">
        <v>2219</v>
      </c>
      <c r="B395" s="4" t="s">
        <v>5534</v>
      </c>
      <c r="C395" s="4" t="s">
        <v>5631</v>
      </c>
      <c r="D395" s="4"/>
      <c r="E395" s="4"/>
      <c r="F395" s="4">
        <v>8591</v>
      </c>
      <c r="G395" s="4" t="s">
        <v>5632</v>
      </c>
      <c r="H395" s="4" t="s">
        <v>5633</v>
      </c>
      <c r="I395" s="5">
        <v>41449</v>
      </c>
      <c r="J395" s="4" t="s">
        <v>5506</v>
      </c>
      <c r="K395" s="4" t="s">
        <v>57</v>
      </c>
      <c r="L395" s="4"/>
      <c r="M395" s="4"/>
    </row>
    <row r="396" ht="16" customHeight="1" s="4" customFormat="1">
      <c r="A396" s="4">
        <v>2220</v>
      </c>
      <c r="B396" s="4" t="s">
        <v>5534</v>
      </c>
      <c r="C396" s="4" t="s">
        <v>5631</v>
      </c>
      <c r="D396" s="4"/>
      <c r="E396" s="4"/>
      <c r="F396" s="4">
        <v>8599</v>
      </c>
      <c r="G396" s="4" t="s">
        <v>5632</v>
      </c>
      <c r="H396" s="4" t="s">
        <v>5635</v>
      </c>
      <c r="I396" s="5">
        <v>41449</v>
      </c>
      <c r="J396" s="4" t="s">
        <v>5506</v>
      </c>
      <c r="K396" s="4" t="s">
        <v>57</v>
      </c>
      <c r="L396" s="4"/>
      <c r="M396" s="4"/>
    </row>
    <row r="397" ht="16" customHeight="1" s="4" customFormat="1">
      <c r="A397" s="4">
        <v>2221</v>
      </c>
      <c r="B397" s="4" t="s">
        <v>5534</v>
      </c>
      <c r="C397" s="4" t="s">
        <v>5631</v>
      </c>
      <c r="D397" s="4"/>
      <c r="E397" s="4"/>
      <c r="F397" s="4">
        <v>8572</v>
      </c>
      <c r="G397" s="4" t="s">
        <v>5632</v>
      </c>
      <c r="H397" s="4" t="s">
        <v>5635</v>
      </c>
      <c r="I397" s="5">
        <v>41449</v>
      </c>
      <c r="J397" s="4" t="s">
        <v>5506</v>
      </c>
      <c r="K397" s="4" t="s">
        <v>57</v>
      </c>
      <c r="L397" s="4"/>
      <c r="M397" s="4"/>
    </row>
    <row r="398" ht="16" customHeight="1" s="4" customFormat="1">
      <c r="A398" s="4">
        <v>2222</v>
      </c>
      <c r="B398" s="4" t="s">
        <v>5499</v>
      </c>
      <c r="C398" s="4" t="s">
        <v>6152</v>
      </c>
      <c r="D398" s="4" t="s">
        <v>5574</v>
      </c>
      <c r="E398" s="4" t="s">
        <v>5575</v>
      </c>
      <c r="F398" s="4" t="s">
        <v>6153</v>
      </c>
      <c r="G398" s="4" t="s">
        <v>6154</v>
      </c>
      <c r="H398" s="4" t="s">
        <v>6155</v>
      </c>
      <c r="I398" s="5">
        <v>41442</v>
      </c>
      <c r="J398" s="4" t="s">
        <v>4798</v>
      </c>
      <c r="K398" s="4" t="s">
        <v>57</v>
      </c>
      <c r="L398" s="4"/>
      <c r="M398" s="4"/>
    </row>
    <row r="399" ht="16" customHeight="1" s="4" customFormat="1">
      <c r="A399" s="4">
        <v>2223</v>
      </c>
      <c r="B399" s="4" t="s">
        <v>5534</v>
      </c>
      <c r="C399" s="4" t="s">
        <v>5631</v>
      </c>
      <c r="D399" s="4"/>
      <c r="E399" s="4"/>
      <c r="F399" s="4" t="s">
        <v>6156</v>
      </c>
      <c r="G399" s="4" t="s">
        <v>5632</v>
      </c>
      <c r="H399" s="4" t="s">
        <v>5636</v>
      </c>
      <c r="I399" s="5">
        <v>41423</v>
      </c>
      <c r="J399" s="4" t="s">
        <v>5506</v>
      </c>
      <c r="K399" s="4" t="s">
        <v>57</v>
      </c>
      <c r="L399" s="4"/>
      <c r="M399" s="4"/>
    </row>
    <row r="400" ht="16" customHeight="1" s="4" customFormat="1">
      <c r="A400" s="4">
        <v>2224</v>
      </c>
      <c r="B400" s="4" t="s">
        <v>5534</v>
      </c>
      <c r="C400" s="4" t="s">
        <v>5631</v>
      </c>
      <c r="D400" s="4"/>
      <c r="E400" s="4"/>
      <c r="F400" s="4" t="s">
        <v>6157</v>
      </c>
      <c r="G400" s="4" t="s">
        <v>5632</v>
      </c>
      <c r="H400" s="4" t="s">
        <v>5636</v>
      </c>
      <c r="I400" s="5">
        <v>41423</v>
      </c>
      <c r="J400" s="4" t="s">
        <v>5506</v>
      </c>
      <c r="K400" s="4" t="s">
        <v>57</v>
      </c>
      <c r="L400" s="4"/>
      <c r="M400" s="4"/>
    </row>
    <row r="401" ht="16" customHeight="1" s="4" customFormat="1">
      <c r="A401" s="4">
        <v>2225</v>
      </c>
      <c r="B401" s="4" t="s">
        <v>5534</v>
      </c>
      <c r="C401" s="4" t="s">
        <v>5631</v>
      </c>
      <c r="D401" s="4"/>
      <c r="E401" s="4"/>
      <c r="F401" s="4" t="s">
        <v>6158</v>
      </c>
      <c r="G401" s="4" t="s">
        <v>5632</v>
      </c>
      <c r="H401" s="4" t="s">
        <v>5634</v>
      </c>
      <c r="I401" s="5">
        <v>41423</v>
      </c>
      <c r="J401" s="4" t="s">
        <v>5506</v>
      </c>
      <c r="K401" s="4" t="s">
        <v>57</v>
      </c>
      <c r="L401" s="4"/>
      <c r="M401" s="4"/>
    </row>
    <row r="402" ht="16" customHeight="1" s="4" customFormat="1">
      <c r="A402" s="4">
        <v>2226</v>
      </c>
      <c r="B402" s="4" t="s">
        <v>5534</v>
      </c>
      <c r="C402" s="4" t="s">
        <v>5631</v>
      </c>
      <c r="D402" s="4"/>
      <c r="E402" s="4"/>
      <c r="F402" s="4" t="s">
        <v>6159</v>
      </c>
      <c r="G402" s="4" t="s">
        <v>5632</v>
      </c>
      <c r="H402" s="4" t="s">
        <v>5998</v>
      </c>
      <c r="I402" s="5">
        <v>41423</v>
      </c>
      <c r="J402" s="4" t="s">
        <v>5506</v>
      </c>
      <c r="K402" s="4" t="s">
        <v>57</v>
      </c>
      <c r="L402" s="4"/>
      <c r="M402" s="4"/>
    </row>
    <row r="403" ht="16" customHeight="1" s="4" customFormat="1">
      <c r="A403" s="4">
        <v>2227</v>
      </c>
      <c r="B403" s="4" t="s">
        <v>5534</v>
      </c>
      <c r="C403" s="4" t="s">
        <v>5631</v>
      </c>
      <c r="D403" s="4"/>
      <c r="E403" s="4"/>
      <c r="F403" s="4" t="s">
        <v>6160</v>
      </c>
      <c r="G403" s="4" t="s">
        <v>5632</v>
      </c>
      <c r="H403" s="4" t="s">
        <v>5634</v>
      </c>
      <c r="I403" s="5">
        <v>41423</v>
      </c>
      <c r="J403" s="4" t="s">
        <v>5506</v>
      </c>
      <c r="K403" s="4" t="s">
        <v>57</v>
      </c>
      <c r="L403" s="4"/>
      <c r="M403" s="4"/>
    </row>
    <row r="404" ht="16" customHeight="1" s="4" customFormat="1">
      <c r="A404" s="4">
        <v>2228</v>
      </c>
      <c r="B404" s="4" t="s">
        <v>6161</v>
      </c>
      <c r="C404" s="4" t="s">
        <v>6162</v>
      </c>
      <c r="D404" s="4" t="s">
        <v>5728</v>
      </c>
      <c r="E404" s="4" t="s">
        <v>5729</v>
      </c>
      <c r="F404" s="4" t="s">
        <v>6163</v>
      </c>
      <c r="G404" s="4" t="s">
        <v>5984</v>
      </c>
      <c r="H404" s="4" t="s">
        <v>6164</v>
      </c>
      <c r="I404" s="5">
        <v>41411</v>
      </c>
      <c r="J404" s="4" t="s">
        <v>4842</v>
      </c>
      <c r="K404" s="4" t="s">
        <v>57</v>
      </c>
      <c r="L404" s="4"/>
      <c r="M404" s="4"/>
    </row>
    <row r="405" ht="16" customHeight="1" s="4" customFormat="1">
      <c r="A405" s="4">
        <v>2229</v>
      </c>
      <c r="B405" s="4" t="s">
        <v>5534</v>
      </c>
      <c r="C405" s="4" t="s">
        <v>5631</v>
      </c>
      <c r="D405" s="4"/>
      <c r="E405" s="4"/>
      <c r="F405" s="4" t="s">
        <v>6165</v>
      </c>
      <c r="G405" s="4" t="s">
        <v>5632</v>
      </c>
      <c r="H405" s="4" t="s">
        <v>5636</v>
      </c>
      <c r="I405" s="5">
        <v>41402</v>
      </c>
      <c r="J405" s="4" t="s">
        <v>5506</v>
      </c>
      <c r="K405" s="4" t="s">
        <v>57</v>
      </c>
      <c r="L405" s="4"/>
      <c r="M405" s="4"/>
    </row>
    <row r="406" ht="16" customHeight="1" s="4" customFormat="1">
      <c r="A406" s="4">
        <v>2230</v>
      </c>
      <c r="B406" s="4" t="s">
        <v>5534</v>
      </c>
      <c r="C406" s="4" t="s">
        <v>5631</v>
      </c>
      <c r="D406" s="4"/>
      <c r="E406" s="4"/>
      <c r="F406" s="4" t="s">
        <v>6166</v>
      </c>
      <c r="G406" s="4" t="s">
        <v>5632</v>
      </c>
      <c r="H406" s="4" t="s">
        <v>5636</v>
      </c>
      <c r="I406" s="5">
        <v>41402</v>
      </c>
      <c r="J406" s="4" t="s">
        <v>5506</v>
      </c>
      <c r="K406" s="4" t="s">
        <v>57</v>
      </c>
      <c r="L406" s="4"/>
      <c r="M406" s="4"/>
    </row>
    <row r="407" ht="16" customHeight="1" s="4" customFormat="1">
      <c r="A407" s="4">
        <v>2231</v>
      </c>
      <c r="B407" s="4" t="s">
        <v>5534</v>
      </c>
      <c r="C407" s="4" t="s">
        <v>5631</v>
      </c>
      <c r="D407" s="4"/>
      <c r="E407" s="4"/>
      <c r="F407" s="4" t="s">
        <v>6167</v>
      </c>
      <c r="G407" s="4" t="s">
        <v>5632</v>
      </c>
      <c r="H407" s="4" t="s">
        <v>5634</v>
      </c>
      <c r="I407" s="5">
        <v>41402</v>
      </c>
      <c r="J407" s="4" t="s">
        <v>5506</v>
      </c>
      <c r="K407" s="4" t="s">
        <v>57</v>
      </c>
      <c r="L407" s="4"/>
      <c r="M407" s="4"/>
    </row>
    <row r="408" ht="16" customHeight="1" s="4" customFormat="1">
      <c r="A408" s="4">
        <v>2232</v>
      </c>
      <c r="B408" s="4" t="s">
        <v>5534</v>
      </c>
      <c r="C408" s="4" t="s">
        <v>5631</v>
      </c>
      <c r="D408" s="4"/>
      <c r="E408" s="4"/>
      <c r="F408" s="4" t="s">
        <v>6168</v>
      </c>
      <c r="G408" s="4" t="s">
        <v>5632</v>
      </c>
      <c r="H408" s="4" t="s">
        <v>5998</v>
      </c>
      <c r="I408" s="5">
        <v>41402</v>
      </c>
      <c r="J408" s="4" t="s">
        <v>5506</v>
      </c>
      <c r="K408" s="4" t="s">
        <v>57</v>
      </c>
      <c r="L408" s="4"/>
      <c r="M408" s="4"/>
    </row>
    <row r="409" ht="16" customHeight="1" s="4" customFormat="1">
      <c r="A409" s="4">
        <v>2233</v>
      </c>
      <c r="B409" s="4" t="s">
        <v>5534</v>
      </c>
      <c r="C409" s="4" t="s">
        <v>5631</v>
      </c>
      <c r="D409" s="4"/>
      <c r="E409" s="4"/>
      <c r="F409" s="4" t="s">
        <v>6169</v>
      </c>
      <c r="G409" s="4" t="s">
        <v>5632</v>
      </c>
      <c r="H409" s="4" t="s">
        <v>5634</v>
      </c>
      <c r="I409" s="5">
        <v>41402</v>
      </c>
      <c r="J409" s="4" t="s">
        <v>5506</v>
      </c>
      <c r="K409" s="4" t="s">
        <v>57</v>
      </c>
      <c r="L409" s="4"/>
      <c r="M409" s="4"/>
    </row>
    <row r="410" ht="16" customHeight="1" s="4" customFormat="1">
      <c r="A410" s="4">
        <v>2234</v>
      </c>
      <c r="B410" s="4" t="s">
        <v>5499</v>
      </c>
      <c r="C410" s="4" t="s">
        <v>5519</v>
      </c>
      <c r="D410" s="4"/>
      <c r="E410" s="4" t="s">
        <v>5676</v>
      </c>
      <c r="F410" s="4" t="s">
        <v>6170</v>
      </c>
      <c r="G410" s="4" t="s">
        <v>6124</v>
      </c>
      <c r="H410" s="4" t="s">
        <v>6148</v>
      </c>
      <c r="I410" s="5">
        <v>41400</v>
      </c>
      <c r="J410" s="4" t="s">
        <v>4798</v>
      </c>
      <c r="K410" s="4" t="s">
        <v>57</v>
      </c>
      <c r="L410" s="4"/>
      <c r="M410" s="4"/>
    </row>
    <row r="411" ht="16" customHeight="1" s="4" customFormat="1">
      <c r="A411" s="4">
        <v>2235</v>
      </c>
      <c r="B411" s="4" t="s">
        <v>5499</v>
      </c>
      <c r="C411" s="4" t="s">
        <v>5519</v>
      </c>
      <c r="D411" s="4"/>
      <c r="E411" s="4" t="s">
        <v>5580</v>
      </c>
      <c r="F411" s="4" t="s">
        <v>6171</v>
      </c>
      <c r="G411" s="4" t="s">
        <v>6124</v>
      </c>
      <c r="H411" s="4" t="s">
        <v>6148</v>
      </c>
      <c r="I411" s="5">
        <v>41400</v>
      </c>
      <c r="J411" s="4" t="s">
        <v>4798</v>
      </c>
      <c r="K411" s="4" t="s">
        <v>57</v>
      </c>
      <c r="L411" s="4"/>
      <c r="M411" s="4"/>
    </row>
    <row r="412" ht="16" customHeight="1" s="4" customFormat="1">
      <c r="A412" s="4">
        <v>2236</v>
      </c>
      <c r="B412" s="4" t="s">
        <v>6161</v>
      </c>
      <c r="C412" s="4" t="s">
        <v>6162</v>
      </c>
      <c r="D412" s="4" t="s">
        <v>5728</v>
      </c>
      <c r="E412" s="4" t="s">
        <v>5729</v>
      </c>
      <c r="F412" s="4" t="s">
        <v>6172</v>
      </c>
      <c r="G412" s="4" t="s">
        <v>5984</v>
      </c>
      <c r="H412" s="4" t="s">
        <v>6173</v>
      </c>
      <c r="I412" s="5">
        <v>41390</v>
      </c>
      <c r="J412" s="4" t="s">
        <v>4842</v>
      </c>
      <c r="K412" s="4" t="s">
        <v>57</v>
      </c>
      <c r="L412" s="4"/>
      <c r="M412" s="4"/>
    </row>
    <row r="413" ht="16" customHeight="1" s="4" customFormat="1">
      <c r="A413" s="4">
        <v>2237</v>
      </c>
      <c r="B413" s="4" t="s">
        <v>5499</v>
      </c>
      <c r="C413" s="4" t="s">
        <v>5519</v>
      </c>
      <c r="D413" s="4"/>
      <c r="E413" s="4" t="s">
        <v>5676</v>
      </c>
      <c r="F413" s="4" t="s">
        <v>6174</v>
      </c>
      <c r="G413" s="4" t="s">
        <v>6124</v>
      </c>
      <c r="H413" s="4" t="s">
        <v>6175</v>
      </c>
      <c r="I413" s="5">
        <v>41381</v>
      </c>
      <c r="J413" s="4" t="s">
        <v>4798</v>
      </c>
      <c r="K413" s="4" t="s">
        <v>57</v>
      </c>
      <c r="L413" s="4"/>
      <c r="M413" s="4"/>
    </row>
    <row r="414" ht="16" customHeight="1" s="4" customFormat="1">
      <c r="A414" s="4">
        <v>2238</v>
      </c>
      <c r="B414" s="4" t="s">
        <v>5499</v>
      </c>
      <c r="C414" s="4" t="s">
        <v>5519</v>
      </c>
      <c r="D414" s="4"/>
      <c r="E414" s="4" t="s">
        <v>5580</v>
      </c>
      <c r="F414" s="4" t="s">
        <v>6176</v>
      </c>
      <c r="G414" s="4" t="s">
        <v>6124</v>
      </c>
      <c r="H414" s="4" t="s">
        <v>6175</v>
      </c>
      <c r="I414" s="5">
        <v>41381</v>
      </c>
      <c r="J414" s="4" t="s">
        <v>4798</v>
      </c>
      <c r="K414" s="4" t="s">
        <v>57</v>
      </c>
      <c r="L414" s="4"/>
      <c r="M414" s="4"/>
    </row>
    <row r="415" ht="16" customHeight="1" s="4" customFormat="1">
      <c r="A415" s="4">
        <v>2239</v>
      </c>
      <c r="B415" s="4" t="s">
        <v>5499</v>
      </c>
      <c r="C415" s="4" t="s">
        <v>5519</v>
      </c>
      <c r="D415" s="4"/>
      <c r="E415" s="4" t="s">
        <v>5648</v>
      </c>
      <c r="F415" s="4" t="s">
        <v>6177</v>
      </c>
      <c r="G415" s="4" t="s">
        <v>6178</v>
      </c>
      <c r="H415" s="4" t="s">
        <v>6179</v>
      </c>
      <c r="I415" s="5">
        <v>41376</v>
      </c>
      <c r="J415" s="4" t="s">
        <v>4842</v>
      </c>
      <c r="K415" s="4" t="s">
        <v>57</v>
      </c>
      <c r="L415" s="4"/>
      <c r="M415" s="4"/>
    </row>
    <row r="416" ht="16" customHeight="1" s="4" customFormat="1">
      <c r="A416" s="4">
        <v>2240</v>
      </c>
      <c r="B416" s="4" t="s">
        <v>5499</v>
      </c>
      <c r="C416" s="4" t="s">
        <v>5519</v>
      </c>
      <c r="D416" s="4"/>
      <c r="E416" s="4" t="s">
        <v>5641</v>
      </c>
      <c r="F416" s="4" t="s">
        <v>6180</v>
      </c>
      <c r="G416" s="4" t="s">
        <v>6178</v>
      </c>
      <c r="H416" s="4" t="s">
        <v>6179</v>
      </c>
      <c r="I416" s="5">
        <v>41376</v>
      </c>
      <c r="J416" s="4" t="s">
        <v>4842</v>
      </c>
      <c r="K416" s="4" t="s">
        <v>57</v>
      </c>
      <c r="L416" s="4"/>
      <c r="M416" s="4"/>
    </row>
    <row r="417" ht="16" customHeight="1" s="4" customFormat="1">
      <c r="A417" s="4">
        <v>2241</v>
      </c>
      <c r="B417" s="4" t="s">
        <v>5499</v>
      </c>
      <c r="C417" s="4" t="s">
        <v>5519</v>
      </c>
      <c r="D417" s="4"/>
      <c r="E417" s="4"/>
      <c r="F417" s="4" t="s">
        <v>6181</v>
      </c>
      <c r="G417" s="4" t="s">
        <v>5984</v>
      </c>
      <c r="H417" s="4" t="s">
        <v>5984</v>
      </c>
      <c r="I417" s="5">
        <v>41376</v>
      </c>
      <c r="J417" s="4" t="s">
        <v>4798</v>
      </c>
      <c r="K417" s="4" t="s">
        <v>57</v>
      </c>
      <c r="L417" s="4"/>
      <c r="M417" s="4"/>
    </row>
    <row r="418" ht="16" customHeight="1" s="4" customFormat="1">
      <c r="A418" s="4">
        <v>2242</v>
      </c>
      <c r="B418" s="4" t="s">
        <v>5534</v>
      </c>
      <c r="C418" s="4" t="s">
        <v>5631</v>
      </c>
      <c r="D418" s="4"/>
      <c r="E418" s="4"/>
      <c r="F418" s="4" t="s">
        <v>6182</v>
      </c>
      <c r="G418" s="4" t="s">
        <v>6183</v>
      </c>
      <c r="H418" s="4" t="s">
        <v>6184</v>
      </c>
      <c r="I418" s="5">
        <v>41375</v>
      </c>
      <c r="J418" s="4" t="s">
        <v>5506</v>
      </c>
      <c r="K418" s="4" t="s">
        <v>57</v>
      </c>
      <c r="L418" s="4"/>
      <c r="M418" s="4"/>
    </row>
    <row r="419" ht="16" customHeight="1" s="4" customFormat="1">
      <c r="A419" s="4">
        <v>2243</v>
      </c>
      <c r="B419" s="4" t="s">
        <v>5534</v>
      </c>
      <c r="C419" s="4" t="s">
        <v>5631</v>
      </c>
      <c r="D419" s="4"/>
      <c r="E419" s="4"/>
      <c r="F419" s="4" t="s">
        <v>6185</v>
      </c>
      <c r="G419" s="4" t="s">
        <v>6183</v>
      </c>
      <c r="H419" s="4" t="s">
        <v>6184</v>
      </c>
      <c r="I419" s="5">
        <v>41375</v>
      </c>
      <c r="J419" s="4" t="s">
        <v>5506</v>
      </c>
      <c r="K419" s="4" t="s">
        <v>57</v>
      </c>
      <c r="L419" s="4"/>
      <c r="M419" s="4"/>
    </row>
    <row r="420" ht="16" customHeight="1" s="4" customFormat="1">
      <c r="A420" s="4">
        <v>1577</v>
      </c>
      <c r="B420" s="4" t="s">
        <v>5694</v>
      </c>
      <c r="C420" s="4" t="s">
        <v>5695</v>
      </c>
      <c r="D420" s="4"/>
      <c r="E420" s="4" t="s">
        <v>5696</v>
      </c>
      <c r="F420" s="4" t="s">
        <v>6186</v>
      </c>
      <c r="G420" s="4" t="s">
        <v>5746</v>
      </c>
      <c r="H420" s="4" t="s">
        <v>5747</v>
      </c>
      <c r="I420" s="5">
        <v>42460</v>
      </c>
      <c r="J420" s="4" t="s">
        <v>5506</v>
      </c>
      <c r="K420" s="4" t="s">
        <v>57</v>
      </c>
      <c r="L420" s="4"/>
      <c r="M420" s="4"/>
    </row>
    <row r="421" ht="16" customHeight="1" s="4" customFormat="1">
      <c r="A421" s="4">
        <v>1578</v>
      </c>
      <c r="B421" s="4" t="s">
        <v>5694</v>
      </c>
      <c r="C421" s="4" t="s">
        <v>5695</v>
      </c>
      <c r="D421" s="4"/>
      <c r="E421" s="4" t="s">
        <v>5696</v>
      </c>
      <c r="F421" s="4" t="s">
        <v>6187</v>
      </c>
      <c r="G421" s="4" t="s">
        <v>5698</v>
      </c>
      <c r="H421" s="4" t="s">
        <v>5858</v>
      </c>
      <c r="I421" s="5">
        <v>42459</v>
      </c>
      <c r="J421" s="4" t="s">
        <v>5506</v>
      </c>
      <c r="K421" s="4" t="s">
        <v>57</v>
      </c>
      <c r="L421" s="4"/>
      <c r="M421" s="4"/>
    </row>
    <row r="422" ht="16" customHeight="1" s="4" customFormat="1">
      <c r="A422" s="4">
        <v>1579</v>
      </c>
      <c r="B422" s="4" t="s">
        <v>5499</v>
      </c>
      <c r="C422" s="4" t="s">
        <v>5519</v>
      </c>
      <c r="D422" s="4"/>
      <c r="E422" s="4" t="s">
        <v>6188</v>
      </c>
      <c r="F422" s="4" t="s">
        <v>6189</v>
      </c>
      <c r="G422" s="4" t="s">
        <v>6190</v>
      </c>
      <c r="H422" s="4" t="s">
        <v>6190</v>
      </c>
      <c r="I422" s="5">
        <v>42459</v>
      </c>
      <c r="J422" s="4" t="s">
        <v>4798</v>
      </c>
      <c r="K422" s="4" t="s">
        <v>57</v>
      </c>
      <c r="L422" s="4"/>
      <c r="M422" s="4"/>
    </row>
    <row r="423" ht="16" customHeight="1" s="4" customFormat="1">
      <c r="A423" s="4">
        <v>1580</v>
      </c>
      <c r="B423" s="4" t="s">
        <v>5499</v>
      </c>
      <c r="C423" s="4" t="s">
        <v>5702</v>
      </c>
      <c r="D423" s="4" t="s">
        <v>6191</v>
      </c>
      <c r="E423" s="4" t="s">
        <v>6192</v>
      </c>
      <c r="F423" s="4" t="s">
        <v>6193</v>
      </c>
      <c r="G423" s="4" t="s">
        <v>5704</v>
      </c>
      <c r="H423" s="4" t="s">
        <v>6194</v>
      </c>
      <c r="I423" s="5">
        <v>42458</v>
      </c>
      <c r="J423" s="4" t="s">
        <v>4798</v>
      </c>
      <c r="K423" s="4" t="s">
        <v>57</v>
      </c>
      <c r="L423" s="4"/>
      <c r="M423" s="4"/>
    </row>
    <row r="424" ht="16" customHeight="1" s="4" customFormat="1">
      <c r="A424" s="4">
        <v>1581</v>
      </c>
      <c r="B424" s="4" t="s">
        <v>5499</v>
      </c>
      <c r="C424" s="4" t="s">
        <v>5702</v>
      </c>
      <c r="D424" s="4" t="s">
        <v>5574</v>
      </c>
      <c r="E424" s="4" t="s">
        <v>5575</v>
      </c>
      <c r="F424" s="4" t="s">
        <v>6195</v>
      </c>
      <c r="G424" s="4" t="s">
        <v>5704</v>
      </c>
      <c r="H424" s="4" t="s">
        <v>6196</v>
      </c>
      <c r="I424" s="5">
        <v>42458</v>
      </c>
      <c r="J424" s="4" t="s">
        <v>4798</v>
      </c>
      <c r="K424" s="4" t="s">
        <v>57</v>
      </c>
      <c r="L424" s="4"/>
      <c r="M424" s="4"/>
    </row>
    <row r="425" ht="16" customHeight="1" s="4" customFormat="1">
      <c r="A425" s="4">
        <v>1582</v>
      </c>
      <c r="B425" s="4" t="s">
        <v>5499</v>
      </c>
      <c r="C425" s="4" t="s">
        <v>5590</v>
      </c>
      <c r="D425" s="4" t="s">
        <v>5574</v>
      </c>
      <c r="E425" s="4" t="s">
        <v>5575</v>
      </c>
      <c r="F425" s="4" t="s">
        <v>6197</v>
      </c>
      <c r="G425" s="4" t="s">
        <v>5657</v>
      </c>
      <c r="H425" s="4" t="s">
        <v>6198</v>
      </c>
      <c r="I425" s="5">
        <v>42452</v>
      </c>
      <c r="J425" s="4" t="s">
        <v>4798</v>
      </c>
      <c r="K425" s="4" t="s">
        <v>57</v>
      </c>
      <c r="L425" s="4"/>
      <c r="M425" s="4"/>
    </row>
    <row r="426" ht="16" customHeight="1" s="4" customFormat="1">
      <c r="A426" s="4">
        <v>1583</v>
      </c>
      <c r="B426" s="4" t="s">
        <v>5499</v>
      </c>
      <c r="C426" s="4" t="s">
        <v>5590</v>
      </c>
      <c r="D426" s="4" t="s">
        <v>5574</v>
      </c>
      <c r="E426" s="4" t="s">
        <v>5575</v>
      </c>
      <c r="F426" s="4" t="s">
        <v>6199</v>
      </c>
      <c r="G426" s="4" t="s">
        <v>5716</v>
      </c>
      <c r="H426" s="4" t="s">
        <v>5823</v>
      </c>
      <c r="I426" s="5">
        <v>42452</v>
      </c>
      <c r="J426" s="4" t="s">
        <v>4798</v>
      </c>
      <c r="K426" s="4" t="s">
        <v>57</v>
      </c>
      <c r="L426" s="4"/>
      <c r="M426" s="4"/>
    </row>
    <row r="427" ht="16" customHeight="1" s="4" customFormat="1">
      <c r="A427" s="4">
        <v>1584</v>
      </c>
      <c r="B427" s="4" t="s">
        <v>5499</v>
      </c>
      <c r="C427" s="4" t="s">
        <v>5590</v>
      </c>
      <c r="D427" s="4" t="s">
        <v>5574</v>
      </c>
      <c r="E427" s="4" t="s">
        <v>5575</v>
      </c>
      <c r="F427" s="4" t="s">
        <v>6200</v>
      </c>
      <c r="G427" s="4" t="s">
        <v>5716</v>
      </c>
      <c r="H427" s="4" t="s">
        <v>5823</v>
      </c>
      <c r="I427" s="5">
        <v>42452</v>
      </c>
      <c r="J427" s="4" t="s">
        <v>4798</v>
      </c>
      <c r="K427" s="4" t="s">
        <v>57</v>
      </c>
      <c r="L427" s="4"/>
      <c r="M427" s="4"/>
    </row>
    <row r="428" ht="16" customHeight="1" s="4" customFormat="1">
      <c r="A428" s="4">
        <v>1585</v>
      </c>
      <c r="B428" s="4" t="s">
        <v>5499</v>
      </c>
      <c r="C428" s="4" t="s">
        <v>5573</v>
      </c>
      <c r="D428" s="4" t="s">
        <v>5574</v>
      </c>
      <c r="E428" s="4" t="s">
        <v>5575</v>
      </c>
      <c r="F428" s="4" t="s">
        <v>6201</v>
      </c>
      <c r="G428" s="4" t="s">
        <v>10</v>
      </c>
      <c r="H428" s="4" t="s">
        <v>6202</v>
      </c>
      <c r="I428" s="5">
        <v>42451</v>
      </c>
      <c r="J428" s="4" t="s">
        <v>4842</v>
      </c>
      <c r="K428" s="4" t="s">
        <v>57</v>
      </c>
      <c r="L428" s="4"/>
      <c r="M428" s="4"/>
    </row>
    <row r="429" ht="16" customHeight="1" s="4" customFormat="1">
      <c r="A429" s="4">
        <v>1586</v>
      </c>
      <c r="B429" s="4" t="s">
        <v>5694</v>
      </c>
      <c r="C429" s="4" t="s">
        <v>5695</v>
      </c>
      <c r="D429" s="4"/>
      <c r="E429" s="4" t="s">
        <v>5696</v>
      </c>
      <c r="F429" s="4" t="s">
        <v>6203</v>
      </c>
      <c r="G429" s="4" t="s">
        <v>6204</v>
      </c>
      <c r="H429" s="4" t="s">
        <v>6205</v>
      </c>
      <c r="I429" s="5">
        <v>42446</v>
      </c>
      <c r="J429" s="4" t="s">
        <v>5506</v>
      </c>
      <c r="K429" s="4" t="s">
        <v>57</v>
      </c>
      <c r="L429" s="4"/>
      <c r="M429" s="4"/>
    </row>
    <row r="430" ht="16" customHeight="1" s="4" customFormat="1">
      <c r="A430" s="4">
        <v>1587</v>
      </c>
      <c r="B430" s="4" t="s">
        <v>5499</v>
      </c>
      <c r="C430" s="4" t="s">
        <v>5590</v>
      </c>
      <c r="D430" s="4" t="s">
        <v>5574</v>
      </c>
      <c r="E430" s="4" t="s">
        <v>5575</v>
      </c>
      <c r="F430" s="4" t="s">
        <v>6206</v>
      </c>
      <c r="G430" s="4" t="s">
        <v>5716</v>
      </c>
      <c r="H430" s="4" t="s">
        <v>6207</v>
      </c>
      <c r="I430" s="5">
        <v>42440</v>
      </c>
      <c r="J430" s="4" t="s">
        <v>4798</v>
      </c>
      <c r="K430" s="4" t="s">
        <v>57</v>
      </c>
      <c r="L430" s="4"/>
      <c r="M430" s="4"/>
    </row>
    <row r="431" ht="16" customHeight="1" s="4" customFormat="1">
      <c r="A431" s="4">
        <v>1588</v>
      </c>
      <c r="B431" s="4" t="s">
        <v>5499</v>
      </c>
      <c r="C431" s="4" t="s">
        <v>5590</v>
      </c>
      <c r="D431" s="4" t="s">
        <v>5574</v>
      </c>
      <c r="E431" s="4" t="s">
        <v>5575</v>
      </c>
      <c r="F431" s="4" t="s">
        <v>6208</v>
      </c>
      <c r="G431" s="4" t="s">
        <v>5716</v>
      </c>
      <c r="H431" s="4" t="s">
        <v>5823</v>
      </c>
      <c r="I431" s="5">
        <v>42440</v>
      </c>
      <c r="J431" s="4" t="s">
        <v>4798</v>
      </c>
      <c r="K431" s="4" t="s">
        <v>57</v>
      </c>
      <c r="L431" s="4"/>
      <c r="M431" s="4"/>
    </row>
    <row r="432" ht="16" customHeight="1" s="4" customFormat="1">
      <c r="A432" s="4">
        <v>1589</v>
      </c>
      <c r="B432" s="4" t="s">
        <v>5499</v>
      </c>
      <c r="C432" s="4" t="s">
        <v>5590</v>
      </c>
      <c r="D432" s="4" t="s">
        <v>5574</v>
      </c>
      <c r="E432" s="4" t="s">
        <v>5575</v>
      </c>
      <c r="F432" s="4" t="s">
        <v>6209</v>
      </c>
      <c r="G432" s="4" t="s">
        <v>5843</v>
      </c>
      <c r="H432" s="4" t="s">
        <v>5823</v>
      </c>
      <c r="I432" s="5">
        <v>42440</v>
      </c>
      <c r="J432" s="4" t="s">
        <v>4798</v>
      </c>
      <c r="K432" s="4" t="s">
        <v>57</v>
      </c>
      <c r="L432" s="4"/>
      <c r="M432" s="4"/>
    </row>
    <row r="433" ht="16" customHeight="1" s="4" customFormat="1">
      <c r="A433" s="4">
        <v>1590</v>
      </c>
      <c r="B433" s="4" t="s">
        <v>5499</v>
      </c>
      <c r="C433" s="4" t="s">
        <v>5590</v>
      </c>
      <c r="D433" s="4" t="s">
        <v>5574</v>
      </c>
      <c r="E433" s="4" t="s">
        <v>5575</v>
      </c>
      <c r="F433" s="4" t="s">
        <v>6210</v>
      </c>
      <c r="G433" s="4" t="s">
        <v>5716</v>
      </c>
      <c r="H433" s="4" t="s">
        <v>6211</v>
      </c>
      <c r="I433" s="5">
        <v>42440</v>
      </c>
      <c r="J433" s="4" t="s">
        <v>4798</v>
      </c>
      <c r="K433" s="4" t="s">
        <v>57</v>
      </c>
      <c r="L433" s="4"/>
      <c r="M433" s="4"/>
    </row>
    <row r="434" ht="16" customHeight="1" s="4" customFormat="1">
      <c r="A434" s="4">
        <v>1591</v>
      </c>
      <c r="B434" s="4" t="s">
        <v>5499</v>
      </c>
      <c r="C434" s="4" t="s">
        <v>5590</v>
      </c>
      <c r="D434" s="4" t="s">
        <v>5574</v>
      </c>
      <c r="E434" s="4" t="s">
        <v>5575</v>
      </c>
      <c r="F434" s="4" t="s">
        <v>6212</v>
      </c>
      <c r="G434" s="4" t="s">
        <v>5843</v>
      </c>
      <c r="H434" s="4" t="s">
        <v>5823</v>
      </c>
      <c r="I434" s="5">
        <v>42440</v>
      </c>
      <c r="J434" s="4" t="s">
        <v>4798</v>
      </c>
      <c r="K434" s="4" t="s">
        <v>57</v>
      </c>
      <c r="L434" s="4"/>
      <c r="M434" s="4"/>
    </row>
    <row r="435" ht="16" customHeight="1" s="4" customFormat="1">
      <c r="A435" s="4">
        <v>1592</v>
      </c>
      <c r="B435" s="4" t="s">
        <v>5499</v>
      </c>
      <c r="C435" s="4" t="s">
        <v>5590</v>
      </c>
      <c r="D435" s="4" t="s">
        <v>5574</v>
      </c>
      <c r="E435" s="4" t="s">
        <v>5575</v>
      </c>
      <c r="F435" s="4" t="s">
        <v>6213</v>
      </c>
      <c r="G435" s="4" t="s">
        <v>5716</v>
      </c>
      <c r="H435" s="4" t="s">
        <v>5823</v>
      </c>
      <c r="I435" s="5">
        <v>42440</v>
      </c>
      <c r="J435" s="4" t="s">
        <v>4798</v>
      </c>
      <c r="K435" s="4" t="s">
        <v>57</v>
      </c>
      <c r="L435" s="4"/>
      <c r="M435" s="4"/>
    </row>
    <row r="436" ht="16" customHeight="1" s="4" customFormat="1">
      <c r="A436" s="4">
        <v>1593</v>
      </c>
      <c r="B436" s="4" t="s">
        <v>5499</v>
      </c>
      <c r="C436" s="4" t="s">
        <v>5590</v>
      </c>
      <c r="D436" s="4" t="s">
        <v>5574</v>
      </c>
      <c r="E436" s="4" t="s">
        <v>5575</v>
      </c>
      <c r="F436" s="4" t="s">
        <v>6214</v>
      </c>
      <c r="G436" s="4" t="s">
        <v>5716</v>
      </c>
      <c r="H436" s="4" t="s">
        <v>5823</v>
      </c>
      <c r="I436" s="5">
        <v>42440</v>
      </c>
      <c r="J436" s="4" t="s">
        <v>4798</v>
      </c>
      <c r="K436" s="4" t="s">
        <v>57</v>
      </c>
      <c r="L436" s="4"/>
      <c r="M436" s="4"/>
    </row>
    <row r="437" ht="16" customHeight="1" s="4" customFormat="1">
      <c r="A437" s="4">
        <v>1594</v>
      </c>
      <c r="B437" s="4" t="s">
        <v>5499</v>
      </c>
      <c r="C437" s="4" t="s">
        <v>5590</v>
      </c>
      <c r="D437" s="4" t="s">
        <v>5574</v>
      </c>
      <c r="E437" s="4" t="s">
        <v>5575</v>
      </c>
      <c r="F437" s="4" t="s">
        <v>6215</v>
      </c>
      <c r="G437" s="4" t="s">
        <v>5843</v>
      </c>
      <c r="H437" s="4" t="s">
        <v>5823</v>
      </c>
      <c r="I437" s="5">
        <v>42440</v>
      </c>
      <c r="J437" s="4" t="s">
        <v>4798</v>
      </c>
      <c r="K437" s="4" t="s">
        <v>57</v>
      </c>
      <c r="L437" s="4"/>
      <c r="M437" s="4"/>
    </row>
    <row r="438" ht="16" customHeight="1" s="4" customFormat="1">
      <c r="A438" s="4">
        <v>1595</v>
      </c>
      <c r="B438" s="4" t="s">
        <v>5499</v>
      </c>
      <c r="C438" s="4" t="s">
        <v>5590</v>
      </c>
      <c r="D438" s="4" t="s">
        <v>5574</v>
      </c>
      <c r="E438" s="4" t="s">
        <v>5575</v>
      </c>
      <c r="F438" s="4" t="s">
        <v>6216</v>
      </c>
      <c r="G438" s="4" t="s">
        <v>5843</v>
      </c>
      <c r="H438" s="4" t="s">
        <v>5823</v>
      </c>
      <c r="I438" s="5">
        <v>42440</v>
      </c>
      <c r="J438" s="4" t="s">
        <v>4798</v>
      </c>
      <c r="K438" s="4" t="s">
        <v>57</v>
      </c>
      <c r="L438" s="4"/>
      <c r="M438" s="4"/>
    </row>
    <row r="439" ht="16" customHeight="1" s="4" customFormat="1">
      <c r="A439" s="4">
        <v>1596</v>
      </c>
      <c r="B439" s="4" t="s">
        <v>5499</v>
      </c>
      <c r="C439" s="4" t="s">
        <v>5590</v>
      </c>
      <c r="D439" s="4" t="s">
        <v>5574</v>
      </c>
      <c r="E439" s="4" t="s">
        <v>5575</v>
      </c>
      <c r="F439" s="4" t="s">
        <v>6217</v>
      </c>
      <c r="G439" s="4" t="s">
        <v>5716</v>
      </c>
      <c r="H439" s="4" t="s">
        <v>5823</v>
      </c>
      <c r="I439" s="5">
        <v>42440</v>
      </c>
      <c r="J439" s="4" t="s">
        <v>4798</v>
      </c>
      <c r="K439" s="4" t="s">
        <v>57</v>
      </c>
      <c r="L439" s="4"/>
      <c r="M439" s="4"/>
    </row>
    <row r="440" ht="16" customHeight="1" s="4" customFormat="1">
      <c r="A440" s="4">
        <v>1597</v>
      </c>
      <c r="B440" s="4" t="s">
        <v>5499</v>
      </c>
      <c r="C440" s="4" t="s">
        <v>5590</v>
      </c>
      <c r="D440" s="4" t="s">
        <v>5574</v>
      </c>
      <c r="E440" s="4" t="s">
        <v>5575</v>
      </c>
      <c r="F440" s="4" t="s">
        <v>6218</v>
      </c>
      <c r="G440" s="4" t="s">
        <v>5843</v>
      </c>
      <c r="H440" s="4" t="s">
        <v>5823</v>
      </c>
      <c r="I440" s="5">
        <v>42440</v>
      </c>
      <c r="J440" s="4" t="s">
        <v>4798</v>
      </c>
      <c r="K440" s="4" t="s">
        <v>57</v>
      </c>
      <c r="L440" s="4"/>
      <c r="M440" s="4"/>
    </row>
    <row r="441" ht="16" customHeight="1" s="4" customFormat="1">
      <c r="A441" s="4">
        <v>1598</v>
      </c>
      <c r="B441" s="4" t="s">
        <v>5499</v>
      </c>
      <c r="C441" s="4" t="s">
        <v>5590</v>
      </c>
      <c r="D441" s="4" t="s">
        <v>5574</v>
      </c>
      <c r="E441" s="4" t="s">
        <v>5575</v>
      </c>
      <c r="F441" s="4" t="s">
        <v>6219</v>
      </c>
      <c r="G441" s="4" t="s">
        <v>5716</v>
      </c>
      <c r="H441" s="4" t="s">
        <v>5823</v>
      </c>
      <c r="I441" s="5">
        <v>42440</v>
      </c>
      <c r="J441" s="4" t="s">
        <v>4798</v>
      </c>
      <c r="K441" s="4" t="s">
        <v>57</v>
      </c>
      <c r="L441" s="4"/>
      <c r="M441" s="4"/>
    </row>
    <row r="442" ht="16" customHeight="1" s="4" customFormat="1">
      <c r="A442" s="4">
        <v>1599</v>
      </c>
      <c r="B442" s="4" t="s">
        <v>5499</v>
      </c>
      <c r="C442" s="4" t="s">
        <v>5590</v>
      </c>
      <c r="D442" s="4" t="s">
        <v>5574</v>
      </c>
      <c r="E442" s="4" t="s">
        <v>5575</v>
      </c>
      <c r="F442" s="4" t="s">
        <v>6220</v>
      </c>
      <c r="G442" s="4" t="s">
        <v>5716</v>
      </c>
      <c r="H442" s="4" t="s">
        <v>5823</v>
      </c>
      <c r="I442" s="5">
        <v>42440</v>
      </c>
      <c r="J442" s="4" t="s">
        <v>4798</v>
      </c>
      <c r="K442" s="4" t="s">
        <v>57</v>
      </c>
      <c r="L442" s="4"/>
      <c r="M442" s="4"/>
    </row>
    <row r="443" ht="16" customHeight="1" s="4" customFormat="1">
      <c r="A443" s="4">
        <v>1600</v>
      </c>
      <c r="B443" s="4" t="s">
        <v>5499</v>
      </c>
      <c r="C443" s="4" t="s">
        <v>5590</v>
      </c>
      <c r="D443" s="4" t="s">
        <v>5574</v>
      </c>
      <c r="E443" s="4" t="s">
        <v>5575</v>
      </c>
      <c r="F443" s="4" t="s">
        <v>6221</v>
      </c>
      <c r="G443" s="4" t="s">
        <v>5843</v>
      </c>
      <c r="H443" s="4" t="s">
        <v>5823</v>
      </c>
      <c r="I443" s="5">
        <v>42440</v>
      </c>
      <c r="J443" s="4" t="s">
        <v>4798</v>
      </c>
      <c r="K443" s="4" t="s">
        <v>57</v>
      </c>
      <c r="L443" s="4"/>
      <c r="M443" s="4"/>
    </row>
    <row r="444" ht="16" customHeight="1" s="4" customFormat="1">
      <c r="A444" s="4">
        <v>1601</v>
      </c>
      <c r="B444" s="4" t="s">
        <v>5499</v>
      </c>
      <c r="C444" s="4" t="s">
        <v>5702</v>
      </c>
      <c r="D444" s="4" t="s">
        <v>5728</v>
      </c>
      <c r="E444" s="4" t="s">
        <v>6222</v>
      </c>
      <c r="F444" s="4" t="s">
        <v>6223</v>
      </c>
      <c r="G444" s="4" t="s">
        <v>5704</v>
      </c>
      <c r="H444" s="4" t="s">
        <v>6224</v>
      </c>
      <c r="I444" s="5">
        <v>42439</v>
      </c>
      <c r="J444" s="4" t="s">
        <v>4842</v>
      </c>
      <c r="K444" s="4" t="s">
        <v>57</v>
      </c>
      <c r="L444" s="4"/>
      <c r="M444" s="4"/>
    </row>
    <row r="445" ht="16" customHeight="1" s="4" customFormat="1">
      <c r="A445" s="4">
        <v>1602</v>
      </c>
      <c r="B445" s="4" t="s">
        <v>5499</v>
      </c>
      <c r="C445" s="4" t="s">
        <v>5714</v>
      </c>
      <c r="D445" s="4" t="s">
        <v>5574</v>
      </c>
      <c r="E445" s="4" t="s">
        <v>5575</v>
      </c>
      <c r="F445" s="4" t="s">
        <v>6225</v>
      </c>
      <c r="G445" s="4" t="s">
        <v>5716</v>
      </c>
      <c r="H445" s="4" t="s">
        <v>6226</v>
      </c>
      <c r="I445" s="5">
        <v>42439</v>
      </c>
      <c r="J445" s="4" t="s">
        <v>4842</v>
      </c>
      <c r="K445" s="4" t="s">
        <v>57</v>
      </c>
      <c r="L445" s="4"/>
      <c r="M445" s="4"/>
    </row>
    <row r="446" ht="16" customHeight="1" s="4" customFormat="1">
      <c r="A446" s="4">
        <v>1603</v>
      </c>
      <c r="B446" s="4" t="s">
        <v>5499</v>
      </c>
      <c r="C446" s="4" t="s">
        <v>5714</v>
      </c>
      <c r="D446" s="4" t="s">
        <v>5574</v>
      </c>
      <c r="E446" s="4" t="s">
        <v>5575</v>
      </c>
      <c r="F446" s="4" t="s">
        <v>6227</v>
      </c>
      <c r="G446" s="4" t="s">
        <v>5716</v>
      </c>
      <c r="H446" s="4" t="s">
        <v>6226</v>
      </c>
      <c r="I446" s="5">
        <v>42439</v>
      </c>
      <c r="J446" s="4" t="s">
        <v>4842</v>
      </c>
      <c r="K446" s="4" t="s">
        <v>57</v>
      </c>
      <c r="L446" s="4"/>
      <c r="M446" s="4"/>
    </row>
    <row r="447" ht="16" customHeight="1" s="4" customFormat="1">
      <c r="A447" s="4">
        <v>1604</v>
      </c>
      <c r="B447" s="4" t="s">
        <v>5499</v>
      </c>
      <c r="C447" s="4" t="s">
        <v>5714</v>
      </c>
      <c r="D447" s="4" t="s">
        <v>5574</v>
      </c>
      <c r="E447" s="4" t="s">
        <v>5575</v>
      </c>
      <c r="F447" s="4" t="s">
        <v>6228</v>
      </c>
      <c r="G447" s="4" t="s">
        <v>5716</v>
      </c>
      <c r="H447" s="4" t="s">
        <v>6229</v>
      </c>
      <c r="I447" s="5">
        <v>42439</v>
      </c>
      <c r="J447" s="4" t="s">
        <v>4842</v>
      </c>
      <c r="K447" s="4" t="s">
        <v>57</v>
      </c>
      <c r="L447" s="4"/>
      <c r="M447" s="4"/>
    </row>
    <row r="448" ht="16" customHeight="1" s="4" customFormat="1">
      <c r="A448" s="4">
        <v>1605</v>
      </c>
      <c r="B448" s="4" t="s">
        <v>5499</v>
      </c>
      <c r="C448" s="4" t="s">
        <v>5714</v>
      </c>
      <c r="D448" s="4" t="s">
        <v>5574</v>
      </c>
      <c r="E448" s="4" t="s">
        <v>5575</v>
      </c>
      <c r="F448" s="4" t="s">
        <v>6230</v>
      </c>
      <c r="G448" s="4" t="s">
        <v>5716</v>
      </c>
      <c r="H448" s="4" t="s">
        <v>6231</v>
      </c>
      <c r="I448" s="5">
        <v>42439</v>
      </c>
      <c r="J448" s="4" t="s">
        <v>4842</v>
      </c>
      <c r="K448" s="4" t="s">
        <v>57</v>
      </c>
      <c r="L448" s="4"/>
      <c r="M448" s="4"/>
    </row>
    <row r="449" ht="16" customHeight="1" s="4" customFormat="1">
      <c r="A449" s="4">
        <v>1606</v>
      </c>
      <c r="B449" s="4" t="s">
        <v>5499</v>
      </c>
      <c r="C449" s="4" t="s">
        <v>5714</v>
      </c>
      <c r="D449" s="4" t="s">
        <v>5574</v>
      </c>
      <c r="E449" s="4" t="s">
        <v>5575</v>
      </c>
      <c r="F449" s="4" t="s">
        <v>6232</v>
      </c>
      <c r="G449" s="4" t="s">
        <v>5716</v>
      </c>
      <c r="H449" s="4" t="s">
        <v>6226</v>
      </c>
      <c r="I449" s="5">
        <v>42439</v>
      </c>
      <c r="J449" s="4" t="s">
        <v>4842</v>
      </c>
      <c r="K449" s="4" t="s">
        <v>57</v>
      </c>
      <c r="L449" s="4"/>
      <c r="M449" s="4"/>
    </row>
    <row r="450" ht="16" customHeight="1" s="4" customFormat="1">
      <c r="A450" s="4">
        <v>1607</v>
      </c>
      <c r="B450" s="4" t="s">
        <v>5499</v>
      </c>
      <c r="C450" s="4" t="s">
        <v>5714</v>
      </c>
      <c r="D450" s="4" t="s">
        <v>5574</v>
      </c>
      <c r="E450" s="4" t="s">
        <v>5575</v>
      </c>
      <c r="F450" s="4" t="s">
        <v>6233</v>
      </c>
      <c r="G450" s="4" t="s">
        <v>5716</v>
      </c>
      <c r="H450" s="4" t="s">
        <v>6229</v>
      </c>
      <c r="I450" s="5">
        <v>42439</v>
      </c>
      <c r="J450" s="4" t="s">
        <v>4842</v>
      </c>
      <c r="K450" s="4" t="s">
        <v>57</v>
      </c>
      <c r="L450" s="4"/>
      <c r="M450" s="4"/>
    </row>
    <row r="451" ht="16" customHeight="1" s="4" customFormat="1">
      <c r="A451" s="4">
        <v>1608</v>
      </c>
      <c r="B451" s="4" t="s">
        <v>5499</v>
      </c>
      <c r="C451" s="4" t="s">
        <v>5714</v>
      </c>
      <c r="D451" s="4" t="s">
        <v>5574</v>
      </c>
      <c r="E451" s="4" t="s">
        <v>5575</v>
      </c>
      <c r="F451" s="4" t="s">
        <v>6234</v>
      </c>
      <c r="G451" s="4" t="s">
        <v>5716</v>
      </c>
      <c r="H451" s="4" t="s">
        <v>6231</v>
      </c>
      <c r="I451" s="5">
        <v>42439</v>
      </c>
      <c r="J451" s="4" t="s">
        <v>4842</v>
      </c>
      <c r="K451" s="4" t="s">
        <v>57</v>
      </c>
      <c r="L451" s="4"/>
      <c r="M451" s="4"/>
    </row>
    <row r="452" ht="16" customHeight="1" s="4" customFormat="1">
      <c r="A452" s="4">
        <v>1609</v>
      </c>
      <c r="B452" s="4" t="s">
        <v>5499</v>
      </c>
      <c r="C452" s="4" t="s">
        <v>5714</v>
      </c>
      <c r="D452" s="4" t="s">
        <v>5574</v>
      </c>
      <c r="E452" s="4" t="s">
        <v>5575</v>
      </c>
      <c r="F452" s="4" t="s">
        <v>6235</v>
      </c>
      <c r="G452" s="4" t="s">
        <v>5716</v>
      </c>
      <c r="H452" s="4" t="s">
        <v>6226</v>
      </c>
      <c r="I452" s="5">
        <v>42439</v>
      </c>
      <c r="J452" s="4" t="s">
        <v>4842</v>
      </c>
      <c r="K452" s="4" t="s">
        <v>57</v>
      </c>
      <c r="L452" s="4"/>
      <c r="M452" s="4"/>
    </row>
    <row r="453" ht="16" customHeight="1" s="4" customFormat="1">
      <c r="A453" s="4">
        <v>1610</v>
      </c>
      <c r="B453" s="4" t="s">
        <v>5499</v>
      </c>
      <c r="C453" s="4" t="s">
        <v>5714</v>
      </c>
      <c r="D453" s="4" t="s">
        <v>5574</v>
      </c>
      <c r="E453" s="4" t="s">
        <v>5575</v>
      </c>
      <c r="F453" s="4" t="s">
        <v>6236</v>
      </c>
      <c r="G453" s="4" t="s">
        <v>5716</v>
      </c>
      <c r="H453" s="4" t="s">
        <v>6229</v>
      </c>
      <c r="I453" s="5">
        <v>42439</v>
      </c>
      <c r="J453" s="4" t="s">
        <v>4842</v>
      </c>
      <c r="K453" s="4" t="s">
        <v>57</v>
      </c>
      <c r="L453" s="4"/>
      <c r="M453" s="4"/>
    </row>
    <row r="454" ht="16" customHeight="1" s="4" customFormat="1">
      <c r="A454" s="4">
        <v>1611</v>
      </c>
      <c r="B454" s="4" t="s">
        <v>5499</v>
      </c>
      <c r="C454" s="4" t="s">
        <v>5714</v>
      </c>
      <c r="D454" s="4" t="s">
        <v>5574</v>
      </c>
      <c r="E454" s="4" t="s">
        <v>5575</v>
      </c>
      <c r="F454" s="4" t="s">
        <v>6237</v>
      </c>
      <c r="G454" s="4" t="s">
        <v>5716</v>
      </c>
      <c r="H454" s="4" t="s">
        <v>6231</v>
      </c>
      <c r="I454" s="5">
        <v>42439</v>
      </c>
      <c r="J454" s="4" t="s">
        <v>4842</v>
      </c>
      <c r="K454" s="4" t="s">
        <v>57</v>
      </c>
      <c r="L454" s="4"/>
      <c r="M454" s="4"/>
    </row>
    <row r="455" ht="16" customHeight="1" s="4" customFormat="1">
      <c r="A455" s="4">
        <v>1612</v>
      </c>
      <c r="B455" s="4" t="s">
        <v>5499</v>
      </c>
      <c r="C455" s="4" t="s">
        <v>5714</v>
      </c>
      <c r="D455" s="4" t="s">
        <v>5574</v>
      </c>
      <c r="E455" s="4" t="s">
        <v>5575</v>
      </c>
      <c r="F455" s="4" t="s">
        <v>6238</v>
      </c>
      <c r="G455" s="4" t="s">
        <v>5843</v>
      </c>
      <c r="H455" s="4" t="s">
        <v>6231</v>
      </c>
      <c r="I455" s="5">
        <v>42439</v>
      </c>
      <c r="J455" s="4" t="s">
        <v>4842</v>
      </c>
      <c r="K455" s="4" t="s">
        <v>57</v>
      </c>
      <c r="L455" s="4"/>
      <c r="M455" s="4"/>
    </row>
    <row r="456" ht="16" customHeight="1" s="4" customFormat="1">
      <c r="A456" s="4">
        <v>1613</v>
      </c>
      <c r="B456" s="4" t="s">
        <v>5499</v>
      </c>
      <c r="C456" s="4" t="s">
        <v>5714</v>
      </c>
      <c r="D456" s="4" t="s">
        <v>5574</v>
      </c>
      <c r="E456" s="4" t="s">
        <v>5575</v>
      </c>
      <c r="F456" s="4" t="s">
        <v>6239</v>
      </c>
      <c r="G456" s="4" t="s">
        <v>5716</v>
      </c>
      <c r="H456" s="4" t="s">
        <v>6231</v>
      </c>
      <c r="I456" s="5">
        <v>42439</v>
      </c>
      <c r="J456" s="4" t="s">
        <v>4842</v>
      </c>
      <c r="K456" s="4" t="s">
        <v>57</v>
      </c>
      <c r="L456" s="4"/>
      <c r="M456" s="4"/>
    </row>
    <row r="457" ht="16" customHeight="1" s="4" customFormat="1">
      <c r="A457" s="4">
        <v>1614</v>
      </c>
      <c r="B457" s="4" t="s">
        <v>5499</v>
      </c>
      <c r="C457" s="4" t="s">
        <v>5714</v>
      </c>
      <c r="D457" s="4" t="s">
        <v>5574</v>
      </c>
      <c r="E457" s="4" t="s">
        <v>5575</v>
      </c>
      <c r="F457" s="4" t="s">
        <v>6240</v>
      </c>
      <c r="G457" s="4" t="s">
        <v>5843</v>
      </c>
      <c r="H457" s="4" t="s">
        <v>6231</v>
      </c>
      <c r="I457" s="5">
        <v>42439</v>
      </c>
      <c r="J457" s="4" t="s">
        <v>4842</v>
      </c>
      <c r="K457" s="4" t="s">
        <v>57</v>
      </c>
      <c r="L457" s="4"/>
      <c r="M457" s="4"/>
    </row>
    <row r="458" ht="16" customHeight="1" s="4" customFormat="1">
      <c r="A458" s="4">
        <v>1615</v>
      </c>
      <c r="B458" s="4" t="s">
        <v>5499</v>
      </c>
      <c r="C458" s="4" t="s">
        <v>5714</v>
      </c>
      <c r="D458" s="4" t="s">
        <v>5574</v>
      </c>
      <c r="E458" s="4" t="s">
        <v>5575</v>
      </c>
      <c r="F458" s="4" t="s">
        <v>6241</v>
      </c>
      <c r="G458" s="4" t="s">
        <v>5716</v>
      </c>
      <c r="H458" s="4" t="s">
        <v>6231</v>
      </c>
      <c r="I458" s="5">
        <v>42439</v>
      </c>
      <c r="J458" s="4" t="s">
        <v>4842</v>
      </c>
      <c r="K458" s="4" t="s">
        <v>57</v>
      </c>
      <c r="L458" s="4"/>
      <c r="M458" s="4"/>
    </row>
    <row r="459" ht="16" customHeight="1" s="4" customFormat="1">
      <c r="A459" s="4">
        <v>1616</v>
      </c>
      <c r="B459" s="4" t="s">
        <v>5499</v>
      </c>
      <c r="C459" s="4" t="s">
        <v>5714</v>
      </c>
      <c r="D459" s="4" t="s">
        <v>5574</v>
      </c>
      <c r="E459" s="4" t="s">
        <v>5575</v>
      </c>
      <c r="F459" s="4" t="s">
        <v>6242</v>
      </c>
      <c r="G459" s="4" t="s">
        <v>5843</v>
      </c>
      <c r="H459" s="4" t="s">
        <v>6231</v>
      </c>
      <c r="I459" s="5">
        <v>42439</v>
      </c>
      <c r="J459" s="4" t="s">
        <v>4842</v>
      </c>
      <c r="K459" s="4" t="s">
        <v>57</v>
      </c>
      <c r="L459" s="4"/>
      <c r="M459" s="4"/>
    </row>
    <row r="460" ht="16" customHeight="1" s="4" customFormat="1">
      <c r="A460" s="4">
        <v>1617</v>
      </c>
      <c r="B460" s="4" t="s">
        <v>5499</v>
      </c>
      <c r="C460" s="4" t="s">
        <v>5714</v>
      </c>
      <c r="D460" s="4" t="s">
        <v>5574</v>
      </c>
      <c r="E460" s="4" t="s">
        <v>5575</v>
      </c>
      <c r="F460" s="4" t="s">
        <v>6243</v>
      </c>
      <c r="G460" s="4" t="s">
        <v>5716</v>
      </c>
      <c r="H460" s="4" t="s">
        <v>6231</v>
      </c>
      <c r="I460" s="5">
        <v>42439</v>
      </c>
      <c r="J460" s="4" t="s">
        <v>4842</v>
      </c>
      <c r="K460" s="4" t="s">
        <v>57</v>
      </c>
      <c r="L460" s="4"/>
      <c r="M460" s="4"/>
    </row>
    <row r="461" ht="16" customHeight="1" s="4" customFormat="1">
      <c r="A461" s="4">
        <v>1618</v>
      </c>
      <c r="B461" s="4" t="s">
        <v>5499</v>
      </c>
      <c r="C461" s="4" t="s">
        <v>5714</v>
      </c>
      <c r="D461" s="4" t="s">
        <v>5574</v>
      </c>
      <c r="E461" s="4" t="s">
        <v>5575</v>
      </c>
      <c r="F461" s="4" t="s">
        <v>6244</v>
      </c>
      <c r="G461" s="4" t="s">
        <v>5843</v>
      </c>
      <c r="H461" s="4" t="s">
        <v>6231</v>
      </c>
      <c r="I461" s="5">
        <v>42439</v>
      </c>
      <c r="J461" s="4" t="s">
        <v>4842</v>
      </c>
      <c r="K461" s="4" t="s">
        <v>57</v>
      </c>
      <c r="L461" s="4"/>
      <c r="M461" s="4"/>
    </row>
    <row r="462" ht="16" customHeight="1" s="4" customFormat="1">
      <c r="A462" s="4">
        <v>1619</v>
      </c>
      <c r="B462" s="4" t="s">
        <v>5499</v>
      </c>
      <c r="C462" s="4" t="s">
        <v>5714</v>
      </c>
      <c r="D462" s="4" t="s">
        <v>5574</v>
      </c>
      <c r="E462" s="4" t="s">
        <v>5575</v>
      </c>
      <c r="F462" s="4" t="s">
        <v>6245</v>
      </c>
      <c r="G462" s="4" t="s">
        <v>5716</v>
      </c>
      <c r="H462" s="4" t="s">
        <v>6231</v>
      </c>
      <c r="I462" s="5">
        <v>42439</v>
      </c>
      <c r="J462" s="4" t="s">
        <v>4842</v>
      </c>
      <c r="K462" s="4" t="s">
        <v>57</v>
      </c>
      <c r="L462" s="4"/>
      <c r="M462" s="4"/>
    </row>
    <row r="463" ht="16" customHeight="1" s="4" customFormat="1">
      <c r="A463" s="4">
        <v>1620</v>
      </c>
      <c r="B463" s="4" t="s">
        <v>5499</v>
      </c>
      <c r="C463" s="4" t="s">
        <v>5714</v>
      </c>
      <c r="D463" s="4" t="s">
        <v>5574</v>
      </c>
      <c r="E463" s="4" t="s">
        <v>5575</v>
      </c>
      <c r="F463" s="4" t="s">
        <v>6246</v>
      </c>
      <c r="G463" s="4" t="s">
        <v>5843</v>
      </c>
      <c r="H463" s="4" t="s">
        <v>6231</v>
      </c>
      <c r="I463" s="5">
        <v>42439</v>
      </c>
      <c r="J463" s="4" t="s">
        <v>4842</v>
      </c>
      <c r="K463" s="4" t="s">
        <v>57</v>
      </c>
      <c r="L463" s="4"/>
      <c r="M463" s="4"/>
    </row>
    <row r="464" ht="16" customHeight="1" s="4" customFormat="1">
      <c r="A464" s="4">
        <v>1621</v>
      </c>
      <c r="B464" s="4" t="s">
        <v>5499</v>
      </c>
      <c r="C464" s="4" t="s">
        <v>5714</v>
      </c>
      <c r="D464" s="4" t="s">
        <v>5574</v>
      </c>
      <c r="E464" s="4" t="s">
        <v>5575</v>
      </c>
      <c r="F464" s="4" t="s">
        <v>6247</v>
      </c>
      <c r="G464" s="4" t="s">
        <v>5716</v>
      </c>
      <c r="H464" s="4" t="s">
        <v>6231</v>
      </c>
      <c r="I464" s="5">
        <v>42439</v>
      </c>
      <c r="J464" s="4" t="s">
        <v>4842</v>
      </c>
      <c r="K464" s="4" t="s">
        <v>57</v>
      </c>
      <c r="L464" s="4"/>
      <c r="M464" s="4"/>
    </row>
    <row r="465" ht="16" customHeight="1" s="4" customFormat="1">
      <c r="A465" s="4">
        <v>1622</v>
      </c>
      <c r="B465" s="4" t="s">
        <v>5499</v>
      </c>
      <c r="C465" s="4" t="s">
        <v>5714</v>
      </c>
      <c r="D465" s="4" t="s">
        <v>5574</v>
      </c>
      <c r="E465" s="4" t="s">
        <v>5575</v>
      </c>
      <c r="F465" s="4" t="s">
        <v>6248</v>
      </c>
      <c r="G465" s="4" t="s">
        <v>5843</v>
      </c>
      <c r="H465" s="4" t="s">
        <v>6231</v>
      </c>
      <c r="I465" s="5">
        <v>42439</v>
      </c>
      <c r="J465" s="4" t="s">
        <v>4842</v>
      </c>
      <c r="K465" s="4" t="s">
        <v>57</v>
      </c>
      <c r="L465" s="4"/>
      <c r="M465" s="4"/>
    </row>
    <row r="466" ht="16" customHeight="1" s="4" customFormat="1">
      <c r="A466" s="4">
        <v>1623</v>
      </c>
      <c r="B466" s="4" t="s">
        <v>5499</v>
      </c>
      <c r="C466" s="4" t="s">
        <v>5714</v>
      </c>
      <c r="D466" s="4" t="s">
        <v>5574</v>
      </c>
      <c r="E466" s="4" t="s">
        <v>5575</v>
      </c>
      <c r="F466" s="4" t="s">
        <v>6249</v>
      </c>
      <c r="G466" s="4" t="s">
        <v>5716</v>
      </c>
      <c r="H466" s="4" t="s">
        <v>6231</v>
      </c>
      <c r="I466" s="5">
        <v>42439</v>
      </c>
      <c r="J466" s="4" t="s">
        <v>4842</v>
      </c>
      <c r="K466" s="4" t="s">
        <v>57</v>
      </c>
      <c r="L466" s="4"/>
      <c r="M466" s="4"/>
    </row>
    <row r="467" ht="16" customHeight="1" s="4" customFormat="1">
      <c r="A467" s="4">
        <v>1624</v>
      </c>
      <c r="B467" s="4" t="s">
        <v>5499</v>
      </c>
      <c r="C467" s="4" t="s">
        <v>5714</v>
      </c>
      <c r="D467" s="4" t="s">
        <v>5574</v>
      </c>
      <c r="E467" s="4" t="s">
        <v>5575</v>
      </c>
      <c r="F467" s="4" t="s">
        <v>6250</v>
      </c>
      <c r="G467" s="4" t="s">
        <v>5716</v>
      </c>
      <c r="H467" s="4" t="s">
        <v>6226</v>
      </c>
      <c r="I467" s="5">
        <v>42439</v>
      </c>
      <c r="J467" s="4" t="s">
        <v>4842</v>
      </c>
      <c r="K467" s="4" t="s">
        <v>57</v>
      </c>
      <c r="L467" s="4"/>
      <c r="M467" s="4"/>
    </row>
    <row r="468" ht="16" customHeight="1" s="4" customFormat="1">
      <c r="A468" s="4">
        <v>1625</v>
      </c>
      <c r="B468" s="4" t="s">
        <v>5499</v>
      </c>
      <c r="C468" s="4" t="s">
        <v>5714</v>
      </c>
      <c r="D468" s="4" t="s">
        <v>5574</v>
      </c>
      <c r="E468" s="4" t="s">
        <v>5575</v>
      </c>
      <c r="F468" s="4" t="s">
        <v>6251</v>
      </c>
      <c r="G468" s="4" t="s">
        <v>5716</v>
      </c>
      <c r="H468" s="4" t="s">
        <v>6229</v>
      </c>
      <c r="I468" s="5">
        <v>42439</v>
      </c>
      <c r="J468" s="4" t="s">
        <v>4842</v>
      </c>
      <c r="K468" s="4" t="s">
        <v>57</v>
      </c>
      <c r="L468" s="4"/>
      <c r="M468" s="4"/>
    </row>
    <row r="469" ht="16" customHeight="1" s="4" customFormat="1">
      <c r="A469" s="4">
        <v>1626</v>
      </c>
      <c r="B469" s="4" t="s">
        <v>5499</v>
      </c>
      <c r="C469" s="4" t="s">
        <v>5714</v>
      </c>
      <c r="D469" s="4" t="s">
        <v>5574</v>
      </c>
      <c r="E469" s="4" t="s">
        <v>5575</v>
      </c>
      <c r="F469" s="4" t="s">
        <v>6252</v>
      </c>
      <c r="G469" s="4" t="s">
        <v>5716</v>
      </c>
      <c r="H469" s="4" t="s">
        <v>6231</v>
      </c>
      <c r="I469" s="5">
        <v>42439</v>
      </c>
      <c r="J469" s="4" t="s">
        <v>4842</v>
      </c>
      <c r="K469" s="4" t="s">
        <v>57</v>
      </c>
      <c r="L469" s="4"/>
      <c r="M469" s="4"/>
    </row>
    <row r="470" ht="16" customHeight="1" s="4" customFormat="1">
      <c r="A470" s="4">
        <v>1627</v>
      </c>
      <c r="B470" s="4" t="s">
        <v>5499</v>
      </c>
      <c r="C470" s="4" t="s">
        <v>5714</v>
      </c>
      <c r="D470" s="4" t="s">
        <v>5574</v>
      </c>
      <c r="E470" s="4" t="s">
        <v>5575</v>
      </c>
      <c r="F470" s="4" t="s">
        <v>6253</v>
      </c>
      <c r="G470" s="4" t="s">
        <v>5716</v>
      </c>
      <c r="H470" s="4" t="s">
        <v>6226</v>
      </c>
      <c r="I470" s="5">
        <v>42439</v>
      </c>
      <c r="J470" s="4" t="s">
        <v>4842</v>
      </c>
      <c r="K470" s="4" t="s">
        <v>57</v>
      </c>
      <c r="L470" s="4"/>
      <c r="M470" s="4"/>
    </row>
    <row r="471" ht="16" customHeight="1" s="4" customFormat="1">
      <c r="A471" s="4">
        <v>1628</v>
      </c>
      <c r="B471" s="4" t="s">
        <v>5499</v>
      </c>
      <c r="C471" s="4" t="s">
        <v>5714</v>
      </c>
      <c r="D471" s="4" t="s">
        <v>5574</v>
      </c>
      <c r="E471" s="4" t="s">
        <v>5575</v>
      </c>
      <c r="F471" s="4" t="s">
        <v>6254</v>
      </c>
      <c r="G471" s="4" t="s">
        <v>5716</v>
      </c>
      <c r="H471" s="4" t="s">
        <v>6229</v>
      </c>
      <c r="I471" s="5">
        <v>42439</v>
      </c>
      <c r="J471" s="4" t="s">
        <v>4842</v>
      </c>
      <c r="K471" s="4" t="s">
        <v>57</v>
      </c>
      <c r="L471" s="4"/>
      <c r="M471" s="4"/>
    </row>
    <row r="472" ht="16" customHeight="1" s="4" customFormat="1">
      <c r="A472" s="4">
        <v>1629</v>
      </c>
      <c r="B472" s="4" t="s">
        <v>5499</v>
      </c>
      <c r="C472" s="4" t="s">
        <v>5714</v>
      </c>
      <c r="D472" s="4" t="s">
        <v>5574</v>
      </c>
      <c r="E472" s="4" t="s">
        <v>5575</v>
      </c>
      <c r="F472" s="4" t="s">
        <v>6255</v>
      </c>
      <c r="G472" s="4" t="s">
        <v>5716</v>
      </c>
      <c r="H472" s="4" t="s">
        <v>6231</v>
      </c>
      <c r="I472" s="5">
        <v>42439</v>
      </c>
      <c r="J472" s="4" t="s">
        <v>4842</v>
      </c>
      <c r="K472" s="4" t="s">
        <v>57</v>
      </c>
      <c r="L472" s="4"/>
      <c r="M472" s="4"/>
    </row>
    <row r="473" ht="16" customHeight="1" s="4" customFormat="1">
      <c r="A473" s="4">
        <v>1630</v>
      </c>
      <c r="B473" s="4" t="s">
        <v>5499</v>
      </c>
      <c r="C473" s="4" t="s">
        <v>5714</v>
      </c>
      <c r="D473" s="4" t="s">
        <v>5574</v>
      </c>
      <c r="E473" s="4" t="s">
        <v>5575</v>
      </c>
      <c r="F473" s="4" t="s">
        <v>6256</v>
      </c>
      <c r="G473" s="4" t="s">
        <v>5716</v>
      </c>
      <c r="H473" s="4" t="s">
        <v>6226</v>
      </c>
      <c r="I473" s="5">
        <v>42439</v>
      </c>
      <c r="J473" s="4" t="s">
        <v>4842</v>
      </c>
      <c r="K473" s="4" t="s">
        <v>57</v>
      </c>
      <c r="L473" s="4"/>
      <c r="M473" s="4"/>
    </row>
    <row r="474" ht="16" customHeight="1" s="4" customFormat="1">
      <c r="A474" s="4">
        <v>1631</v>
      </c>
      <c r="B474" s="4" t="s">
        <v>5499</v>
      </c>
      <c r="C474" s="4" t="s">
        <v>5714</v>
      </c>
      <c r="D474" s="4" t="s">
        <v>5574</v>
      </c>
      <c r="E474" s="4" t="s">
        <v>5575</v>
      </c>
      <c r="F474" s="4" t="s">
        <v>6257</v>
      </c>
      <c r="G474" s="4" t="s">
        <v>5716</v>
      </c>
      <c r="H474" s="4" t="s">
        <v>6229</v>
      </c>
      <c r="I474" s="5">
        <v>42439</v>
      </c>
      <c r="J474" s="4" t="s">
        <v>4842</v>
      </c>
      <c r="K474" s="4" t="s">
        <v>57</v>
      </c>
      <c r="L474" s="4"/>
      <c r="M474" s="4"/>
    </row>
    <row r="475" ht="16" customHeight="1" s="4" customFormat="1">
      <c r="A475" s="4">
        <v>1632</v>
      </c>
      <c r="B475" s="4" t="s">
        <v>5499</v>
      </c>
      <c r="C475" s="4" t="s">
        <v>5714</v>
      </c>
      <c r="D475" s="4" t="s">
        <v>5574</v>
      </c>
      <c r="E475" s="4" t="s">
        <v>5575</v>
      </c>
      <c r="F475" s="4" t="s">
        <v>6258</v>
      </c>
      <c r="G475" s="4" t="s">
        <v>5716</v>
      </c>
      <c r="H475" s="4" t="s">
        <v>6231</v>
      </c>
      <c r="I475" s="5">
        <v>42439</v>
      </c>
      <c r="J475" s="4" t="s">
        <v>4842</v>
      </c>
      <c r="K475" s="4" t="s">
        <v>57</v>
      </c>
      <c r="L475" s="4"/>
      <c r="M475" s="4"/>
    </row>
    <row r="476" ht="16" customHeight="1" s="4" customFormat="1">
      <c r="A476" s="4">
        <v>1633</v>
      </c>
      <c r="B476" s="4" t="s">
        <v>5499</v>
      </c>
      <c r="C476" s="4" t="s">
        <v>5714</v>
      </c>
      <c r="D476" s="4" t="s">
        <v>5574</v>
      </c>
      <c r="E476" s="4" t="s">
        <v>5575</v>
      </c>
      <c r="F476" s="4" t="s">
        <v>6259</v>
      </c>
      <c r="G476" s="4" t="s">
        <v>5843</v>
      </c>
      <c r="H476" s="4" t="s">
        <v>6231</v>
      </c>
      <c r="I476" s="5">
        <v>42439</v>
      </c>
      <c r="J476" s="4" t="s">
        <v>4842</v>
      </c>
      <c r="K476" s="4" t="s">
        <v>57</v>
      </c>
      <c r="L476" s="4"/>
      <c r="M476" s="4"/>
    </row>
    <row r="477" ht="16" customHeight="1" s="4" customFormat="1">
      <c r="A477" s="4">
        <v>1634</v>
      </c>
      <c r="B477" s="4" t="s">
        <v>5499</v>
      </c>
      <c r="C477" s="4" t="s">
        <v>5714</v>
      </c>
      <c r="D477" s="4" t="s">
        <v>5574</v>
      </c>
      <c r="E477" s="4" t="s">
        <v>5575</v>
      </c>
      <c r="F477" s="4" t="s">
        <v>6260</v>
      </c>
      <c r="G477" s="4" t="s">
        <v>5716</v>
      </c>
      <c r="H477" s="4" t="s">
        <v>6231</v>
      </c>
      <c r="I477" s="5">
        <v>42439</v>
      </c>
      <c r="J477" s="4" t="s">
        <v>4842</v>
      </c>
      <c r="K477" s="4" t="s">
        <v>57</v>
      </c>
      <c r="L477" s="4"/>
      <c r="M477" s="4"/>
    </row>
    <row r="478" ht="16" customHeight="1" s="4" customFormat="1">
      <c r="A478" s="4">
        <v>1635</v>
      </c>
      <c r="B478" s="4" t="s">
        <v>5499</v>
      </c>
      <c r="C478" s="4" t="s">
        <v>5714</v>
      </c>
      <c r="D478" s="4" t="s">
        <v>5574</v>
      </c>
      <c r="E478" s="4" t="s">
        <v>5575</v>
      </c>
      <c r="F478" s="4" t="s">
        <v>6261</v>
      </c>
      <c r="G478" s="4" t="s">
        <v>5843</v>
      </c>
      <c r="H478" s="4" t="s">
        <v>6231</v>
      </c>
      <c r="I478" s="5">
        <v>42439</v>
      </c>
      <c r="J478" s="4" t="s">
        <v>4842</v>
      </c>
      <c r="K478" s="4" t="s">
        <v>57</v>
      </c>
      <c r="L478" s="4"/>
      <c r="M478" s="4"/>
    </row>
    <row r="479" ht="16" customHeight="1" s="4" customFormat="1">
      <c r="A479" s="4">
        <v>1636</v>
      </c>
      <c r="B479" s="4" t="s">
        <v>5499</v>
      </c>
      <c r="C479" s="4" t="s">
        <v>5714</v>
      </c>
      <c r="D479" s="4" t="s">
        <v>5574</v>
      </c>
      <c r="E479" s="4" t="s">
        <v>5575</v>
      </c>
      <c r="F479" s="4" t="s">
        <v>6262</v>
      </c>
      <c r="G479" s="4" t="s">
        <v>5716</v>
      </c>
      <c r="H479" s="4" t="s">
        <v>6231</v>
      </c>
      <c r="I479" s="5">
        <v>42439</v>
      </c>
      <c r="J479" s="4" t="s">
        <v>4842</v>
      </c>
      <c r="K479" s="4" t="s">
        <v>57</v>
      </c>
      <c r="L479" s="4"/>
      <c r="M479" s="4"/>
    </row>
    <row r="480" ht="16" customHeight="1" s="4" customFormat="1">
      <c r="A480" s="4">
        <v>1637</v>
      </c>
      <c r="B480" s="4" t="s">
        <v>5499</v>
      </c>
      <c r="C480" s="4" t="s">
        <v>5714</v>
      </c>
      <c r="D480" s="4" t="s">
        <v>5574</v>
      </c>
      <c r="E480" s="4" t="s">
        <v>5575</v>
      </c>
      <c r="F480" s="4" t="s">
        <v>6263</v>
      </c>
      <c r="G480" s="4" t="s">
        <v>5843</v>
      </c>
      <c r="H480" s="4" t="s">
        <v>6231</v>
      </c>
      <c r="I480" s="5">
        <v>42439</v>
      </c>
      <c r="J480" s="4" t="s">
        <v>4842</v>
      </c>
      <c r="K480" s="4" t="s">
        <v>57</v>
      </c>
      <c r="L480" s="4"/>
      <c r="M480" s="4"/>
    </row>
    <row r="481" ht="16" customHeight="1" s="4" customFormat="1">
      <c r="A481" s="4">
        <v>1638</v>
      </c>
      <c r="B481" s="4" t="s">
        <v>5499</v>
      </c>
      <c r="C481" s="4" t="s">
        <v>5714</v>
      </c>
      <c r="D481" s="4" t="s">
        <v>5574</v>
      </c>
      <c r="E481" s="4" t="s">
        <v>5575</v>
      </c>
      <c r="F481" s="4" t="s">
        <v>6264</v>
      </c>
      <c r="G481" s="4" t="s">
        <v>5716</v>
      </c>
      <c r="H481" s="4" t="s">
        <v>6231</v>
      </c>
      <c r="I481" s="5">
        <v>42439</v>
      </c>
      <c r="J481" s="4" t="s">
        <v>4842</v>
      </c>
      <c r="K481" s="4" t="s">
        <v>57</v>
      </c>
      <c r="L481" s="4"/>
      <c r="M481" s="4"/>
    </row>
    <row r="482" ht="16" customHeight="1" s="4" customFormat="1">
      <c r="A482" s="4">
        <v>1639</v>
      </c>
      <c r="B482" s="4" t="s">
        <v>5499</v>
      </c>
      <c r="C482" s="4" t="s">
        <v>5714</v>
      </c>
      <c r="D482" s="4" t="s">
        <v>5574</v>
      </c>
      <c r="E482" s="4" t="s">
        <v>5575</v>
      </c>
      <c r="F482" s="4" t="s">
        <v>6265</v>
      </c>
      <c r="G482" s="4" t="s">
        <v>5843</v>
      </c>
      <c r="H482" s="4" t="s">
        <v>6231</v>
      </c>
      <c r="I482" s="5">
        <v>42439</v>
      </c>
      <c r="J482" s="4" t="s">
        <v>4842</v>
      </c>
      <c r="K482" s="4" t="s">
        <v>57</v>
      </c>
      <c r="L482" s="4"/>
      <c r="M482" s="4"/>
    </row>
    <row r="483" ht="16" customHeight="1" s="4" customFormat="1">
      <c r="A483" s="4">
        <v>1640</v>
      </c>
      <c r="B483" s="4" t="s">
        <v>5499</v>
      </c>
      <c r="C483" s="4" t="s">
        <v>5714</v>
      </c>
      <c r="D483" s="4" t="s">
        <v>5574</v>
      </c>
      <c r="E483" s="4" t="s">
        <v>5575</v>
      </c>
      <c r="F483" s="4" t="s">
        <v>6266</v>
      </c>
      <c r="G483" s="4" t="s">
        <v>5716</v>
      </c>
      <c r="H483" s="4" t="s">
        <v>6231</v>
      </c>
      <c r="I483" s="5">
        <v>42439</v>
      </c>
      <c r="J483" s="4" t="s">
        <v>4842</v>
      </c>
      <c r="K483" s="4" t="s">
        <v>57</v>
      </c>
      <c r="L483" s="4"/>
      <c r="M483" s="4"/>
    </row>
    <row r="484" ht="16" customHeight="1" s="4" customFormat="1">
      <c r="A484" s="4">
        <v>1641</v>
      </c>
      <c r="B484" s="4" t="s">
        <v>5499</v>
      </c>
      <c r="C484" s="4" t="s">
        <v>5714</v>
      </c>
      <c r="D484" s="4" t="s">
        <v>5574</v>
      </c>
      <c r="E484" s="4" t="s">
        <v>5575</v>
      </c>
      <c r="F484" s="4" t="s">
        <v>6267</v>
      </c>
      <c r="G484" s="4" t="s">
        <v>5843</v>
      </c>
      <c r="H484" s="4" t="s">
        <v>6231</v>
      </c>
      <c r="I484" s="5">
        <v>42439</v>
      </c>
      <c r="J484" s="4" t="s">
        <v>4842</v>
      </c>
      <c r="K484" s="4" t="s">
        <v>57</v>
      </c>
      <c r="L484" s="4"/>
      <c r="M484" s="4"/>
    </row>
    <row r="485" ht="16" customHeight="1" s="4" customFormat="1">
      <c r="A485" s="4">
        <v>1642</v>
      </c>
      <c r="B485" s="4" t="s">
        <v>5499</v>
      </c>
      <c r="C485" s="4" t="s">
        <v>5714</v>
      </c>
      <c r="D485" s="4" t="s">
        <v>5574</v>
      </c>
      <c r="E485" s="4" t="s">
        <v>5575</v>
      </c>
      <c r="F485" s="4" t="s">
        <v>6268</v>
      </c>
      <c r="G485" s="4" t="s">
        <v>5716</v>
      </c>
      <c r="H485" s="4" t="s">
        <v>6231</v>
      </c>
      <c r="I485" s="5">
        <v>42439</v>
      </c>
      <c r="J485" s="4" t="s">
        <v>4842</v>
      </c>
      <c r="K485" s="4" t="s">
        <v>57</v>
      </c>
      <c r="L485" s="4"/>
      <c r="M485" s="4"/>
    </row>
    <row r="486" ht="16" customHeight="1" s="4" customFormat="1">
      <c r="A486" s="4">
        <v>1643</v>
      </c>
      <c r="B486" s="4" t="s">
        <v>5499</v>
      </c>
      <c r="C486" s="4" t="s">
        <v>5714</v>
      </c>
      <c r="D486" s="4" t="s">
        <v>5574</v>
      </c>
      <c r="E486" s="4" t="s">
        <v>5575</v>
      </c>
      <c r="F486" s="4" t="s">
        <v>6269</v>
      </c>
      <c r="G486" s="4" t="s">
        <v>5843</v>
      </c>
      <c r="H486" s="4" t="s">
        <v>6231</v>
      </c>
      <c r="I486" s="5">
        <v>42439</v>
      </c>
      <c r="J486" s="4" t="s">
        <v>4842</v>
      </c>
      <c r="K486" s="4" t="s">
        <v>57</v>
      </c>
      <c r="L486" s="4"/>
      <c r="M486" s="4"/>
    </row>
    <row r="487" ht="16" customHeight="1" s="4" customFormat="1">
      <c r="A487" s="4">
        <v>1644</v>
      </c>
      <c r="B487" s="4" t="s">
        <v>5499</v>
      </c>
      <c r="C487" s="4" t="s">
        <v>5714</v>
      </c>
      <c r="D487" s="4" t="s">
        <v>5574</v>
      </c>
      <c r="E487" s="4" t="s">
        <v>5575</v>
      </c>
      <c r="F487" s="4" t="s">
        <v>6270</v>
      </c>
      <c r="G487" s="4" t="s">
        <v>5716</v>
      </c>
      <c r="H487" s="4" t="s">
        <v>6231</v>
      </c>
      <c r="I487" s="5">
        <v>42439</v>
      </c>
      <c r="J487" s="4" t="s">
        <v>4842</v>
      </c>
      <c r="K487" s="4" t="s">
        <v>57</v>
      </c>
      <c r="L487" s="4"/>
      <c r="M487" s="4"/>
    </row>
    <row r="488" ht="16" customHeight="1" s="4" customFormat="1">
      <c r="A488" s="4">
        <v>1645</v>
      </c>
      <c r="B488" s="4" t="s">
        <v>5534</v>
      </c>
      <c r="C488" s="4" t="s">
        <v>5773</v>
      </c>
      <c r="D488" s="4"/>
      <c r="E488" s="4"/>
      <c r="F488" s="4" t="s">
        <v>6271</v>
      </c>
      <c r="G488" s="4" t="s">
        <v>6272</v>
      </c>
      <c r="H488" s="4" t="s">
        <v>6273</v>
      </c>
      <c r="I488" s="5">
        <v>42438</v>
      </c>
      <c r="J488" s="4" t="s">
        <v>5506</v>
      </c>
      <c r="K488" s="4" t="s">
        <v>57</v>
      </c>
      <c r="L488" s="4"/>
      <c r="M488" s="4"/>
    </row>
    <row r="489" ht="16" customHeight="1" s="4" customFormat="1">
      <c r="A489" s="4">
        <v>1646</v>
      </c>
      <c r="B489" s="4" t="s">
        <v>5499</v>
      </c>
      <c r="C489" s="4" t="s">
        <v>5519</v>
      </c>
      <c r="D489" s="4"/>
      <c r="E489" s="4" t="s">
        <v>5524</v>
      </c>
      <c r="F489" s="4" t="s">
        <v>6274</v>
      </c>
      <c r="G489" s="4" t="s">
        <v>10</v>
      </c>
      <c r="H489" s="4" t="s">
        <v>5753</v>
      </c>
      <c r="I489" s="5">
        <v>42433</v>
      </c>
      <c r="J489" s="4" t="s">
        <v>4798</v>
      </c>
      <c r="K489" s="4" t="s">
        <v>57</v>
      </c>
      <c r="L489" s="4"/>
      <c r="M489" s="4"/>
    </row>
    <row r="490" ht="16" customHeight="1" s="4" customFormat="1">
      <c r="A490" s="4">
        <v>1647</v>
      </c>
      <c r="B490" s="4" t="s">
        <v>5499</v>
      </c>
      <c r="C490" s="4" t="s">
        <v>5519</v>
      </c>
      <c r="D490" s="4"/>
      <c r="E490" s="4" t="s">
        <v>6275</v>
      </c>
      <c r="F490" s="4" t="s">
        <v>6276</v>
      </c>
      <c r="G490" s="4" t="s">
        <v>10</v>
      </c>
      <c r="H490" s="4" t="s">
        <v>10</v>
      </c>
      <c r="I490" s="5">
        <v>42433</v>
      </c>
      <c r="J490" s="4" t="s">
        <v>4798</v>
      </c>
      <c r="K490" s="4" t="s">
        <v>57</v>
      </c>
      <c r="L490" s="4"/>
      <c r="M490" s="4"/>
    </row>
    <row r="491" ht="16" customHeight="1" s="4" customFormat="1">
      <c r="A491" s="4">
        <v>1648</v>
      </c>
      <c r="B491" s="4" t="s">
        <v>5499</v>
      </c>
      <c r="C491" s="4" t="s">
        <v>5590</v>
      </c>
      <c r="D491" s="4" t="s">
        <v>5574</v>
      </c>
      <c r="E491" s="4" t="s">
        <v>5575</v>
      </c>
      <c r="F491" s="4" t="s">
        <v>6277</v>
      </c>
      <c r="G491" s="4" t="s">
        <v>6278</v>
      </c>
      <c r="H491" s="4" t="s">
        <v>6279</v>
      </c>
      <c r="I491" s="5">
        <v>42430</v>
      </c>
      <c r="J491" s="4" t="s">
        <v>4842</v>
      </c>
      <c r="K491" s="4" t="s">
        <v>57</v>
      </c>
      <c r="L491" s="4"/>
      <c r="M491" s="4"/>
    </row>
    <row r="492" ht="16" customHeight="1" s="4" customFormat="1">
      <c r="A492" s="4">
        <v>1649</v>
      </c>
      <c r="B492" s="4" t="s">
        <v>5499</v>
      </c>
      <c r="C492" s="4" t="s">
        <v>5590</v>
      </c>
      <c r="D492" s="4" t="s">
        <v>5574</v>
      </c>
      <c r="E492" s="4" t="s">
        <v>5575</v>
      </c>
      <c r="F492" s="4" t="s">
        <v>6280</v>
      </c>
      <c r="G492" s="4" t="s">
        <v>6278</v>
      </c>
      <c r="H492" s="4" t="s">
        <v>6281</v>
      </c>
      <c r="I492" s="5">
        <v>42430</v>
      </c>
      <c r="J492" s="4" t="s">
        <v>4842</v>
      </c>
      <c r="K492" s="4" t="s">
        <v>57</v>
      </c>
      <c r="L492" s="4"/>
      <c r="M492" s="4"/>
    </row>
    <row r="493" ht="16" customHeight="1" s="4" customFormat="1">
      <c r="A493" s="4">
        <v>1650</v>
      </c>
      <c r="B493" s="4" t="s">
        <v>5499</v>
      </c>
      <c r="C493" s="4" t="s">
        <v>5590</v>
      </c>
      <c r="D493" s="4" t="s">
        <v>5574</v>
      </c>
      <c r="E493" s="4" t="s">
        <v>5575</v>
      </c>
      <c r="F493" s="4" t="s">
        <v>6282</v>
      </c>
      <c r="G493" s="4" t="s">
        <v>6278</v>
      </c>
      <c r="H493" s="4" t="s">
        <v>6281</v>
      </c>
      <c r="I493" s="5">
        <v>42430</v>
      </c>
      <c r="J493" s="4" t="s">
        <v>4842</v>
      </c>
      <c r="K493" s="4" t="s">
        <v>57</v>
      </c>
      <c r="L493" s="4"/>
      <c r="M493" s="4"/>
    </row>
    <row r="494" ht="16" customHeight="1" s="4" customFormat="1">
      <c r="A494" s="4">
        <v>1651</v>
      </c>
      <c r="B494" s="4" t="s">
        <v>5499</v>
      </c>
      <c r="C494" s="4" t="s">
        <v>5590</v>
      </c>
      <c r="D494" s="4" t="s">
        <v>5574</v>
      </c>
      <c r="E494" s="4" t="s">
        <v>5575</v>
      </c>
      <c r="F494" s="4" t="s">
        <v>6283</v>
      </c>
      <c r="G494" s="4" t="s">
        <v>6278</v>
      </c>
      <c r="H494" s="4" t="s">
        <v>6281</v>
      </c>
      <c r="I494" s="5">
        <v>42430</v>
      </c>
      <c r="J494" s="4" t="s">
        <v>4842</v>
      </c>
      <c r="K494" s="4" t="s">
        <v>57</v>
      </c>
      <c r="L494" s="4"/>
      <c r="M494" s="4"/>
    </row>
    <row r="495" ht="16" customHeight="1" s="4" customFormat="1">
      <c r="A495" s="4">
        <v>1652</v>
      </c>
      <c r="B495" s="4" t="s">
        <v>5499</v>
      </c>
      <c r="C495" s="4" t="s">
        <v>6152</v>
      </c>
      <c r="D495" s="4" t="s">
        <v>5574</v>
      </c>
      <c r="E495" s="4" t="s">
        <v>5706</v>
      </c>
      <c r="F495" s="4" t="s">
        <v>6284</v>
      </c>
      <c r="G495" s="4" t="s">
        <v>6285</v>
      </c>
      <c r="H495" s="4" t="s">
        <v>6286</v>
      </c>
      <c r="I495" s="5">
        <v>42426</v>
      </c>
      <c r="J495" s="4" t="s">
        <v>4842</v>
      </c>
      <c r="K495" s="4" t="s">
        <v>57</v>
      </c>
      <c r="L495" s="4"/>
      <c r="M495" s="4"/>
    </row>
    <row r="496" ht="16" customHeight="1" s="4" customFormat="1">
      <c r="A496" s="4">
        <v>1653</v>
      </c>
      <c r="B496" s="4" t="s">
        <v>5499</v>
      </c>
      <c r="C496" s="4" t="s">
        <v>6152</v>
      </c>
      <c r="D496" s="4"/>
      <c r="E496" s="4"/>
      <c r="F496" s="4" t="s">
        <v>6287</v>
      </c>
      <c r="G496" s="4" t="s">
        <v>6288</v>
      </c>
      <c r="H496" s="4" t="s">
        <v>6289</v>
      </c>
      <c r="I496" s="5">
        <v>42426</v>
      </c>
      <c r="J496" s="4" t="s">
        <v>6290</v>
      </c>
      <c r="K496" s="4" t="s">
        <v>57</v>
      </c>
      <c r="L496" s="4"/>
      <c r="M496" s="4"/>
    </row>
    <row r="497" ht="16" customHeight="1" s="4" customFormat="1">
      <c r="A497" s="4">
        <v>1654</v>
      </c>
      <c r="B497" s="4" t="s">
        <v>5499</v>
      </c>
      <c r="C497" s="4" t="s">
        <v>5519</v>
      </c>
      <c r="D497" s="4"/>
      <c r="E497" s="4" t="s">
        <v>5613</v>
      </c>
      <c r="F497" s="4" t="s">
        <v>6291</v>
      </c>
      <c r="G497" s="4" t="s">
        <v>5689</v>
      </c>
      <c r="H497" s="4" t="s">
        <v>5689</v>
      </c>
      <c r="I497" s="5">
        <v>42418</v>
      </c>
      <c r="J497" s="4" t="s">
        <v>4842</v>
      </c>
      <c r="K497" s="4" t="s">
        <v>57</v>
      </c>
      <c r="L497" s="4"/>
      <c r="M497" s="4"/>
    </row>
    <row r="498" ht="16" customHeight="1" s="4" customFormat="1">
      <c r="A498" s="4">
        <v>1655</v>
      </c>
      <c r="B498" s="4" t="s">
        <v>5499</v>
      </c>
      <c r="C498" s="4" t="s">
        <v>5519</v>
      </c>
      <c r="D498" s="4"/>
      <c r="E498" s="4" t="s">
        <v>5613</v>
      </c>
      <c r="F498" s="4" t="s">
        <v>6292</v>
      </c>
      <c r="G498" s="4" t="s">
        <v>5689</v>
      </c>
      <c r="H498" s="4" t="s">
        <v>5689</v>
      </c>
      <c r="I498" s="5">
        <v>42418</v>
      </c>
      <c r="J498" s="4" t="s">
        <v>4842</v>
      </c>
      <c r="K498" s="4" t="s">
        <v>57</v>
      </c>
      <c r="L498" s="4"/>
      <c r="M498" s="4"/>
    </row>
    <row r="499" ht="16" customHeight="1" s="4" customFormat="1">
      <c r="A499" s="4">
        <v>1656</v>
      </c>
      <c r="B499" s="4" t="s">
        <v>5694</v>
      </c>
      <c r="C499" s="4" t="s">
        <v>5695</v>
      </c>
      <c r="D499" s="4"/>
      <c r="E499" s="4" t="s">
        <v>5696</v>
      </c>
      <c r="F499" s="4" t="s">
        <v>6293</v>
      </c>
      <c r="G499" s="4" t="s">
        <v>5712</v>
      </c>
      <c r="H499" s="4" t="s">
        <v>5856</v>
      </c>
      <c r="I499" s="5">
        <v>42412</v>
      </c>
      <c r="J499" s="4" t="s">
        <v>5506</v>
      </c>
      <c r="K499" s="4" t="s">
        <v>57</v>
      </c>
      <c r="L499" s="4"/>
      <c r="M499" s="4"/>
    </row>
    <row r="500" ht="16" customHeight="1" s="4" customFormat="1">
      <c r="A500" s="4">
        <v>1657</v>
      </c>
      <c r="B500" s="4" t="s">
        <v>5694</v>
      </c>
      <c r="C500" s="4" t="s">
        <v>5695</v>
      </c>
      <c r="D500" s="4"/>
      <c r="E500" s="4" t="s">
        <v>5696</v>
      </c>
      <c r="F500" s="4" t="s">
        <v>6294</v>
      </c>
      <c r="G500" s="4" t="s">
        <v>5712</v>
      </c>
      <c r="H500" s="4" t="s">
        <v>6295</v>
      </c>
      <c r="I500" s="5">
        <v>42410</v>
      </c>
      <c r="J500" s="4" t="s">
        <v>5506</v>
      </c>
      <c r="K500" s="4" t="s">
        <v>57</v>
      </c>
      <c r="L500" s="4"/>
      <c r="M500" s="4"/>
    </row>
    <row r="501" ht="16" customHeight="1" s="4" customFormat="1">
      <c r="A501" s="4">
        <v>1658</v>
      </c>
      <c r="B501" s="4" t="s">
        <v>5499</v>
      </c>
      <c r="C501" s="4" t="s">
        <v>5519</v>
      </c>
      <c r="D501" s="4"/>
      <c r="E501" s="4" t="s">
        <v>6079</v>
      </c>
      <c r="F501" s="4" t="s">
        <v>6296</v>
      </c>
      <c r="G501" s="4" t="s">
        <v>6297</v>
      </c>
      <c r="H501" s="4" t="s">
        <v>5611</v>
      </c>
      <c r="I501" s="5">
        <v>42410</v>
      </c>
      <c r="J501" s="4" t="s">
        <v>4798</v>
      </c>
      <c r="K501" s="4" t="s">
        <v>57</v>
      </c>
      <c r="L501" s="4"/>
      <c r="M501" s="4"/>
    </row>
    <row r="502" ht="16" customHeight="1" s="4" customFormat="1">
      <c r="A502" s="4">
        <v>1659</v>
      </c>
      <c r="B502" s="4" t="s">
        <v>5499</v>
      </c>
      <c r="C502" s="4" t="s">
        <v>5519</v>
      </c>
      <c r="D502" s="4"/>
      <c r="E502" s="4" t="s">
        <v>5524</v>
      </c>
      <c r="F502" s="4" t="s">
        <v>6298</v>
      </c>
      <c r="G502" s="4" t="s">
        <v>6297</v>
      </c>
      <c r="H502" s="4" t="s">
        <v>5611</v>
      </c>
      <c r="I502" s="5">
        <v>42410</v>
      </c>
      <c r="J502" s="4" t="s">
        <v>4798</v>
      </c>
      <c r="K502" s="4" t="s">
        <v>57</v>
      </c>
      <c r="L502" s="4"/>
      <c r="M502" s="4"/>
    </row>
    <row r="503" ht="16" customHeight="1" s="4" customFormat="1">
      <c r="A503" s="4">
        <v>1660</v>
      </c>
      <c r="B503" s="4" t="s">
        <v>5499</v>
      </c>
      <c r="C503" s="4" t="s">
        <v>5519</v>
      </c>
      <c r="D503" s="4"/>
      <c r="E503" s="4" t="s">
        <v>5520</v>
      </c>
      <c r="F503" s="4" t="s">
        <v>6299</v>
      </c>
      <c r="G503" s="4" t="s">
        <v>6297</v>
      </c>
      <c r="H503" s="4" t="s">
        <v>5611</v>
      </c>
      <c r="I503" s="5">
        <v>42410</v>
      </c>
      <c r="J503" s="4" t="s">
        <v>4798</v>
      </c>
      <c r="K503" s="4" t="s">
        <v>57</v>
      </c>
      <c r="L503" s="4"/>
      <c r="M503" s="4"/>
    </row>
    <row r="504" ht="16" customHeight="1" s="4" customFormat="1">
      <c r="A504" s="4">
        <v>1661</v>
      </c>
      <c r="B504" s="4" t="s">
        <v>5534</v>
      </c>
      <c r="C504" s="4" t="s">
        <v>6300</v>
      </c>
      <c r="D504" s="4"/>
      <c r="E504" s="4" t="s">
        <v>6301</v>
      </c>
      <c r="F504" s="4" t="s">
        <v>6302</v>
      </c>
      <c r="G504" s="4" t="s">
        <v>6303</v>
      </c>
      <c r="H504" s="4" t="s">
        <v>6304</v>
      </c>
      <c r="I504" s="5">
        <v>42408</v>
      </c>
      <c r="J504" s="4" t="s">
        <v>4798</v>
      </c>
      <c r="K504" s="4" t="s">
        <v>57</v>
      </c>
      <c r="L504" s="4"/>
      <c r="M504" s="4"/>
    </row>
    <row r="505" ht="16" customHeight="1" s="4" customFormat="1">
      <c r="A505" s="4">
        <v>1662</v>
      </c>
      <c r="B505" s="4" t="s">
        <v>5534</v>
      </c>
      <c r="C505" s="4" t="s">
        <v>6300</v>
      </c>
      <c r="D505" s="4"/>
      <c r="E505" s="4"/>
      <c r="F505" s="4" t="s">
        <v>6305</v>
      </c>
      <c r="G505" s="4" t="s">
        <v>6303</v>
      </c>
      <c r="H505" s="4" t="s">
        <v>6306</v>
      </c>
      <c r="I505" s="5">
        <v>42408</v>
      </c>
      <c r="J505" s="4" t="s">
        <v>5506</v>
      </c>
      <c r="K505" s="4" t="s">
        <v>57</v>
      </c>
      <c r="L505" s="4"/>
      <c r="M505" s="4"/>
    </row>
    <row r="506" ht="16" customHeight="1" s="4" customFormat="1">
      <c r="A506" s="4">
        <v>1663</v>
      </c>
      <c r="B506" s="4" t="s">
        <v>5499</v>
      </c>
      <c r="C506" s="4" t="s">
        <v>5509</v>
      </c>
      <c r="D506" s="4"/>
      <c r="E506" s="4"/>
      <c r="F506" s="4" t="s">
        <v>6307</v>
      </c>
      <c r="G506" s="4" t="s">
        <v>6303</v>
      </c>
      <c r="H506" s="4" t="s">
        <v>6308</v>
      </c>
      <c r="I506" s="5">
        <v>42408</v>
      </c>
      <c r="J506" s="4" t="s">
        <v>4798</v>
      </c>
      <c r="K506" s="4" t="s">
        <v>57</v>
      </c>
      <c r="L506" s="4"/>
      <c r="M506" s="4"/>
    </row>
    <row r="507" ht="16" customHeight="1" s="4" customFormat="1">
      <c r="A507" s="4">
        <v>1664</v>
      </c>
      <c r="B507" s="4" t="s">
        <v>5528</v>
      </c>
      <c r="C507" s="4" t="s">
        <v>5529</v>
      </c>
      <c r="D507" s="4"/>
      <c r="E507" s="4" t="s">
        <v>6309</v>
      </c>
      <c r="F507" s="4" t="s">
        <v>6310</v>
      </c>
      <c r="G507" s="4" t="s">
        <v>6311</v>
      </c>
      <c r="H507" s="4" t="s">
        <v>6312</v>
      </c>
      <c r="I507" s="5">
        <v>42406</v>
      </c>
      <c r="J507" s="4" t="s">
        <v>4798</v>
      </c>
      <c r="K507" s="4" t="s">
        <v>57</v>
      </c>
      <c r="L507" s="4"/>
      <c r="M507" s="4"/>
    </row>
    <row r="508" ht="16" customHeight="1" s="4" customFormat="1">
      <c r="A508" s="4">
        <v>1665</v>
      </c>
      <c r="B508" s="4" t="s">
        <v>5528</v>
      </c>
      <c r="C508" s="4" t="s">
        <v>5529</v>
      </c>
      <c r="D508" s="4"/>
      <c r="E508" s="4" t="s">
        <v>6309</v>
      </c>
      <c r="F508" s="4" t="s">
        <v>6313</v>
      </c>
      <c r="G508" s="4" t="s">
        <v>4850</v>
      </c>
      <c r="H508" s="4" t="s">
        <v>6314</v>
      </c>
      <c r="I508" s="5">
        <v>42406</v>
      </c>
      <c r="J508" s="4" t="s">
        <v>4798</v>
      </c>
      <c r="K508" s="4" t="s">
        <v>57</v>
      </c>
      <c r="L508" s="4"/>
      <c r="M508" s="4"/>
    </row>
    <row r="509" ht="16" customHeight="1" s="4" customFormat="1">
      <c r="A509" s="4">
        <v>1666</v>
      </c>
      <c r="B509" s="4" t="s">
        <v>5499</v>
      </c>
      <c r="C509" s="4" t="s">
        <v>5519</v>
      </c>
      <c r="D509" s="4"/>
      <c r="E509" s="4" t="s">
        <v>6079</v>
      </c>
      <c r="F509" s="4" t="s">
        <v>6315</v>
      </c>
      <c r="G509" s="4" t="s">
        <v>6316</v>
      </c>
      <c r="H509" s="4" t="s">
        <v>6317</v>
      </c>
      <c r="I509" s="5">
        <v>42404</v>
      </c>
      <c r="J509" s="4" t="s">
        <v>4798</v>
      </c>
      <c r="K509" s="4" t="s">
        <v>57</v>
      </c>
      <c r="L509" s="4"/>
      <c r="M509" s="4"/>
    </row>
    <row r="510" ht="16" customHeight="1" s="4" customFormat="1">
      <c r="A510" s="4">
        <v>1667</v>
      </c>
      <c r="B510" s="4" t="s">
        <v>5499</v>
      </c>
      <c r="C510" s="4" t="s">
        <v>5519</v>
      </c>
      <c r="D510" s="4"/>
      <c r="E510" s="4" t="s">
        <v>5524</v>
      </c>
      <c r="F510" s="4" t="s">
        <v>6318</v>
      </c>
      <c r="G510" s="4" t="s">
        <v>6316</v>
      </c>
      <c r="H510" s="4" t="s">
        <v>6317</v>
      </c>
      <c r="I510" s="5">
        <v>42404</v>
      </c>
      <c r="J510" s="4" t="s">
        <v>4798</v>
      </c>
      <c r="K510" s="4" t="s">
        <v>57</v>
      </c>
      <c r="L510" s="4"/>
      <c r="M510" s="4"/>
    </row>
    <row r="511" ht="16" customHeight="1" s="4" customFormat="1">
      <c r="A511" s="4">
        <v>1668</v>
      </c>
      <c r="B511" s="4" t="s">
        <v>5499</v>
      </c>
      <c r="C511" s="4" t="s">
        <v>5519</v>
      </c>
      <c r="D511" s="4"/>
      <c r="E511" s="4" t="s">
        <v>5520</v>
      </c>
      <c r="F511" s="4" t="s">
        <v>6319</v>
      </c>
      <c r="G511" s="4" t="s">
        <v>6316</v>
      </c>
      <c r="H511" s="4" t="s">
        <v>6317</v>
      </c>
      <c r="I511" s="5">
        <v>42404</v>
      </c>
      <c r="J511" s="4" t="s">
        <v>4798</v>
      </c>
      <c r="K511" s="4" t="s">
        <v>57</v>
      </c>
      <c r="L511" s="4"/>
      <c r="M511" s="4"/>
    </row>
    <row r="512" ht="16" customHeight="1" s="4" customFormat="1">
      <c r="A512" s="4">
        <v>1669</v>
      </c>
      <c r="B512" s="4" t="s">
        <v>5600</v>
      </c>
      <c r="C512" s="4" t="s">
        <v>5600</v>
      </c>
      <c r="D512" s="4" t="s">
        <v>5728</v>
      </c>
      <c r="E512" s="4" t="s">
        <v>6003</v>
      </c>
      <c r="F512" s="4" t="s">
        <v>6320</v>
      </c>
      <c r="G512" s="4" t="s">
        <v>6321</v>
      </c>
      <c r="H512" s="4" t="s">
        <v>6322</v>
      </c>
      <c r="I512" s="5">
        <v>42398</v>
      </c>
      <c r="J512" s="4" t="s">
        <v>4798</v>
      </c>
      <c r="K512" s="4" t="s">
        <v>57</v>
      </c>
      <c r="L512" s="4"/>
      <c r="M512" s="4"/>
    </row>
    <row r="513" ht="16" customHeight="1" s="4" customFormat="1">
      <c r="A513" s="4">
        <v>1670</v>
      </c>
      <c r="B513" s="4" t="s">
        <v>5600</v>
      </c>
      <c r="C513" s="4" t="s">
        <v>5600</v>
      </c>
      <c r="D513" s="4"/>
      <c r="E513" s="4"/>
      <c r="F513" s="4" t="s">
        <v>6323</v>
      </c>
      <c r="G513" s="4" t="s">
        <v>6321</v>
      </c>
      <c r="H513" s="4" t="s">
        <v>6322</v>
      </c>
      <c r="I513" s="5">
        <v>42398</v>
      </c>
      <c r="J513" s="4" t="s">
        <v>4798</v>
      </c>
      <c r="K513" s="4" t="s">
        <v>57</v>
      </c>
      <c r="L513" s="4"/>
      <c r="M513" s="4"/>
    </row>
    <row r="514" ht="16" customHeight="1" s="4" customFormat="1">
      <c r="A514" s="4">
        <v>1671</v>
      </c>
      <c r="B514" s="4" t="s">
        <v>5499</v>
      </c>
      <c r="C514" s="4" t="s">
        <v>5519</v>
      </c>
      <c r="D514" s="4"/>
      <c r="E514" s="4" t="s">
        <v>5676</v>
      </c>
      <c r="F514" s="4" t="s">
        <v>6324</v>
      </c>
      <c r="G514" s="4" t="s">
        <v>10</v>
      </c>
      <c r="H514" s="4" t="s">
        <v>5753</v>
      </c>
      <c r="I514" s="5">
        <v>42391</v>
      </c>
      <c r="J514" s="4" t="s">
        <v>4798</v>
      </c>
      <c r="K514" s="4" t="s">
        <v>57</v>
      </c>
      <c r="L514" s="4"/>
      <c r="M514" s="4"/>
    </row>
    <row r="515" ht="16" customHeight="1" s="4" customFormat="1">
      <c r="A515" s="4">
        <v>1672</v>
      </c>
      <c r="B515" s="4" t="s">
        <v>5499</v>
      </c>
      <c r="C515" s="4" t="s">
        <v>5519</v>
      </c>
      <c r="D515" s="4"/>
      <c r="E515" s="4" t="s">
        <v>5524</v>
      </c>
      <c r="F515" s="4" t="s">
        <v>6325</v>
      </c>
      <c r="G515" s="4" t="s">
        <v>10</v>
      </c>
      <c r="H515" s="4" t="s">
        <v>5753</v>
      </c>
      <c r="I515" s="5">
        <v>42391</v>
      </c>
      <c r="J515" s="4" t="s">
        <v>4798</v>
      </c>
      <c r="K515" s="4" t="s">
        <v>57</v>
      </c>
      <c r="L515" s="4"/>
      <c r="M515" s="4"/>
    </row>
    <row r="516" ht="16" customHeight="1" s="4" customFormat="1">
      <c r="A516" s="4">
        <v>1673</v>
      </c>
      <c r="B516" s="4" t="s">
        <v>5694</v>
      </c>
      <c r="C516" s="4" t="s">
        <v>5695</v>
      </c>
      <c r="D516" s="4"/>
      <c r="E516" s="4" t="s">
        <v>5696</v>
      </c>
      <c r="F516" s="4" t="s">
        <v>6326</v>
      </c>
      <c r="G516" s="4" t="s">
        <v>5712</v>
      </c>
      <c r="H516" s="4" t="s">
        <v>6295</v>
      </c>
      <c r="I516" s="5">
        <v>42382</v>
      </c>
      <c r="J516" s="4" t="s">
        <v>5506</v>
      </c>
      <c r="K516" s="4" t="s">
        <v>57</v>
      </c>
      <c r="L516" s="4"/>
      <c r="M516" s="4"/>
    </row>
    <row r="517" ht="16" customHeight="1" s="4" customFormat="1">
      <c r="A517" s="4">
        <v>1674</v>
      </c>
      <c r="B517" s="4" t="s">
        <v>5694</v>
      </c>
      <c r="C517" s="4" t="s">
        <v>5695</v>
      </c>
      <c r="D517" s="4"/>
      <c r="E517" s="4" t="s">
        <v>5696</v>
      </c>
      <c r="F517" s="4" t="s">
        <v>6327</v>
      </c>
      <c r="G517" s="4" t="s">
        <v>5712</v>
      </c>
      <c r="H517" s="4" t="s">
        <v>6295</v>
      </c>
      <c r="I517" s="5">
        <v>42382</v>
      </c>
      <c r="J517" s="4" t="s">
        <v>5506</v>
      </c>
      <c r="K517" s="4" t="s">
        <v>57</v>
      </c>
      <c r="L517" s="4"/>
      <c r="M517" s="4"/>
    </row>
    <row r="518" ht="16" customHeight="1" s="4" customFormat="1">
      <c r="A518" s="4">
        <v>1675</v>
      </c>
      <c r="B518" s="4" t="s">
        <v>5499</v>
      </c>
      <c r="C518" s="4" t="s">
        <v>5519</v>
      </c>
      <c r="D518" s="4"/>
      <c r="E518" s="4" t="s">
        <v>5580</v>
      </c>
      <c r="F518" s="4" t="s">
        <v>6328</v>
      </c>
      <c r="G518" s="4" t="s">
        <v>5984</v>
      </c>
      <c r="H518" s="4" t="s">
        <v>6329</v>
      </c>
      <c r="I518" s="5">
        <v>42382</v>
      </c>
      <c r="J518" s="4" t="s">
        <v>4798</v>
      </c>
      <c r="K518" s="4" t="s">
        <v>57</v>
      </c>
      <c r="L518" s="4"/>
      <c r="M518" s="4"/>
    </row>
    <row r="519" ht="16" customHeight="1" s="4" customFormat="1">
      <c r="A519" s="4">
        <v>1676</v>
      </c>
      <c r="B519" s="4" t="s">
        <v>5499</v>
      </c>
      <c r="C519" s="4" t="s">
        <v>5519</v>
      </c>
      <c r="D519" s="4"/>
      <c r="E519" s="4" t="s">
        <v>6330</v>
      </c>
      <c r="F519" s="4" t="s">
        <v>6331</v>
      </c>
      <c r="G519" s="4" t="s">
        <v>6332</v>
      </c>
      <c r="H519" s="4" t="s">
        <v>6332</v>
      </c>
      <c r="I519" s="5">
        <v>42382</v>
      </c>
      <c r="J519" s="4" t="s">
        <v>4798</v>
      </c>
      <c r="K519" s="4" t="s">
        <v>57</v>
      </c>
      <c r="L519" s="4"/>
      <c r="M519" s="4"/>
    </row>
    <row r="520" ht="16" customHeight="1" s="4" customFormat="1">
      <c r="A520" s="4">
        <v>1677</v>
      </c>
      <c r="B520" s="4" t="s">
        <v>5499</v>
      </c>
      <c r="C520" s="4" t="s">
        <v>5519</v>
      </c>
      <c r="D520" s="4"/>
      <c r="E520" s="4" t="s">
        <v>6330</v>
      </c>
      <c r="F520" s="4" t="s">
        <v>6333</v>
      </c>
      <c r="G520" s="4" t="s">
        <v>6332</v>
      </c>
      <c r="H520" s="4" t="s">
        <v>6332</v>
      </c>
      <c r="I520" s="5">
        <v>42382</v>
      </c>
      <c r="J520" s="4" t="s">
        <v>4798</v>
      </c>
      <c r="K520" s="4" t="s">
        <v>57</v>
      </c>
      <c r="L520" s="4"/>
      <c r="M520" s="4"/>
    </row>
    <row r="521" ht="16" customHeight="1" s="4" customFormat="1">
      <c r="A521" s="4">
        <v>1678</v>
      </c>
      <c r="B521" s="4" t="s">
        <v>5499</v>
      </c>
      <c r="C521" s="4" t="s">
        <v>5519</v>
      </c>
      <c r="D521" s="4"/>
      <c r="E521" s="4" t="s">
        <v>6330</v>
      </c>
      <c r="F521" s="4" t="s">
        <v>6334</v>
      </c>
      <c r="G521" s="4" t="s">
        <v>5984</v>
      </c>
      <c r="H521" s="4" t="s">
        <v>5984</v>
      </c>
      <c r="I521" s="5">
        <v>42382</v>
      </c>
      <c r="J521" s="4" t="s">
        <v>4798</v>
      </c>
      <c r="K521" s="4" t="s">
        <v>57</v>
      </c>
      <c r="L521" s="4"/>
      <c r="M521" s="4"/>
    </row>
    <row r="522" ht="16" customHeight="1" s="4" customFormat="1">
      <c r="A522" s="4">
        <v>1679</v>
      </c>
      <c r="B522" s="4" t="s">
        <v>5499</v>
      </c>
      <c r="C522" s="4" t="s">
        <v>5519</v>
      </c>
      <c r="D522" s="4"/>
      <c r="E522" s="4" t="s">
        <v>6079</v>
      </c>
      <c r="F522" s="4" t="s">
        <v>6335</v>
      </c>
      <c r="G522" s="4" t="s">
        <v>6336</v>
      </c>
      <c r="H522" s="4" t="s">
        <v>6337</v>
      </c>
      <c r="I522" s="5">
        <v>42380</v>
      </c>
      <c r="J522" s="4" t="s">
        <v>4798</v>
      </c>
      <c r="K522" s="4" t="s">
        <v>57</v>
      </c>
      <c r="L522" s="4"/>
      <c r="M522" s="4"/>
    </row>
    <row r="523" ht="16" customHeight="1" s="4" customFormat="1">
      <c r="A523" s="4">
        <v>1680</v>
      </c>
      <c r="B523" s="4" t="s">
        <v>5499</v>
      </c>
      <c r="C523" s="4" t="s">
        <v>5590</v>
      </c>
      <c r="D523" s="4" t="s">
        <v>5574</v>
      </c>
      <c r="E523" s="4" t="s">
        <v>5575</v>
      </c>
      <c r="F523" s="4" t="s">
        <v>6338</v>
      </c>
      <c r="G523" s="4" t="s">
        <v>6339</v>
      </c>
      <c r="H523" s="4" t="s">
        <v>6340</v>
      </c>
      <c r="I523" s="5">
        <v>42380</v>
      </c>
      <c r="J523" s="4" t="s">
        <v>4842</v>
      </c>
      <c r="K523" s="4" t="s">
        <v>57</v>
      </c>
      <c r="L523" s="4"/>
      <c r="M523" s="4"/>
    </row>
    <row r="524" ht="16" customHeight="1" s="4" customFormat="1">
      <c r="A524" s="4">
        <v>1681</v>
      </c>
      <c r="B524" s="4" t="s">
        <v>5499</v>
      </c>
      <c r="C524" s="4" t="s">
        <v>5590</v>
      </c>
      <c r="D524" s="4" t="s">
        <v>5574</v>
      </c>
      <c r="E524" s="4" t="s">
        <v>5575</v>
      </c>
      <c r="F524" s="4" t="s">
        <v>6341</v>
      </c>
      <c r="G524" s="4" t="s">
        <v>6339</v>
      </c>
      <c r="H524" s="4" t="s">
        <v>6340</v>
      </c>
      <c r="I524" s="5">
        <v>42380</v>
      </c>
      <c r="J524" s="4" t="s">
        <v>4842</v>
      </c>
      <c r="K524" s="4" t="s">
        <v>57</v>
      </c>
      <c r="L524" s="4"/>
      <c r="M524" s="4"/>
    </row>
    <row r="525" ht="16" customHeight="1" s="4" customFormat="1">
      <c r="A525" s="4">
        <v>1682</v>
      </c>
      <c r="B525" s="4" t="s">
        <v>5499</v>
      </c>
      <c r="C525" s="4" t="s">
        <v>5590</v>
      </c>
      <c r="D525" s="4"/>
      <c r="E525" s="4" t="s">
        <v>5952</v>
      </c>
      <c r="F525" s="4" t="s">
        <v>6342</v>
      </c>
      <c r="G525" s="4" t="s">
        <v>6339</v>
      </c>
      <c r="H525" s="4" t="s">
        <v>6340</v>
      </c>
      <c r="I525" s="5">
        <v>42380</v>
      </c>
      <c r="J525" s="4" t="s">
        <v>4842</v>
      </c>
      <c r="K525" s="4" t="s">
        <v>57</v>
      </c>
      <c r="L525" s="4"/>
      <c r="M525" s="4"/>
    </row>
    <row r="526" ht="16" customHeight="1" s="4" customFormat="1">
      <c r="A526" s="4">
        <v>1683</v>
      </c>
      <c r="B526" s="4" t="s">
        <v>5499</v>
      </c>
      <c r="C526" s="4" t="s">
        <v>5590</v>
      </c>
      <c r="D526" s="4" t="s">
        <v>5574</v>
      </c>
      <c r="E526" s="4" t="s">
        <v>5575</v>
      </c>
      <c r="F526" s="4" t="s">
        <v>6343</v>
      </c>
      <c r="G526" s="4" t="s">
        <v>6344</v>
      </c>
      <c r="H526" s="4" t="s">
        <v>6345</v>
      </c>
      <c r="I526" s="5">
        <v>42376</v>
      </c>
      <c r="J526" s="4" t="s">
        <v>4842</v>
      </c>
      <c r="K526" s="4" t="s">
        <v>57</v>
      </c>
      <c r="L526" s="4"/>
      <c r="M526" s="4"/>
    </row>
    <row r="527" ht="16" customHeight="1" s="4" customFormat="1">
      <c r="A527" s="4">
        <v>1684</v>
      </c>
      <c r="B527" s="4" t="s">
        <v>5534</v>
      </c>
      <c r="C527" s="4" t="s">
        <v>5773</v>
      </c>
      <c r="D527" s="4"/>
      <c r="E527" s="4"/>
      <c r="F527" s="4" t="s">
        <v>6346</v>
      </c>
      <c r="G527" s="4" t="s">
        <v>6347</v>
      </c>
      <c r="H527" s="4" t="s">
        <v>6348</v>
      </c>
      <c r="I527" s="5">
        <v>42355</v>
      </c>
      <c r="J527" s="4" t="s">
        <v>5506</v>
      </c>
      <c r="K527" s="4" t="s">
        <v>57</v>
      </c>
      <c r="L527" s="4"/>
      <c r="M527" s="4"/>
    </row>
    <row r="528" ht="16" customHeight="1" s="4" customFormat="1">
      <c r="A528" s="4">
        <v>1685</v>
      </c>
      <c r="B528" s="4" t="s">
        <v>5499</v>
      </c>
      <c r="C528" s="4" t="s">
        <v>5519</v>
      </c>
      <c r="D528" s="4"/>
      <c r="E528" s="4" t="s">
        <v>5648</v>
      </c>
      <c r="F528" s="4" t="s">
        <v>6349</v>
      </c>
      <c r="G528" s="4" t="s">
        <v>6350</v>
      </c>
      <c r="H528" s="4" t="s">
        <v>5984</v>
      </c>
      <c r="I528" s="5">
        <v>42355</v>
      </c>
      <c r="J528" s="4" t="s">
        <v>4842</v>
      </c>
      <c r="K528" s="4" t="s">
        <v>57</v>
      </c>
      <c r="L528" s="4"/>
      <c r="M528" s="4"/>
    </row>
    <row r="529" ht="16" customHeight="1" s="4" customFormat="1">
      <c r="A529" s="4">
        <v>1686</v>
      </c>
      <c r="B529" s="4" t="s">
        <v>5499</v>
      </c>
      <c r="C529" s="4" t="s">
        <v>5573</v>
      </c>
      <c r="D529" s="4" t="s">
        <v>5574</v>
      </c>
      <c r="E529" s="4" t="s">
        <v>5575</v>
      </c>
      <c r="F529" s="4" t="s">
        <v>6351</v>
      </c>
      <c r="G529" s="4" t="s">
        <v>4850</v>
      </c>
      <c r="H529" s="4" t="s">
        <v>5588</v>
      </c>
      <c r="I529" s="5">
        <v>42341</v>
      </c>
      <c r="J529" s="4" t="s">
        <v>4798</v>
      </c>
      <c r="K529" s="4" t="s">
        <v>57</v>
      </c>
      <c r="L529" s="4"/>
      <c r="M529" s="4"/>
    </row>
    <row r="530" ht="16" customHeight="1" s="4" customFormat="1">
      <c r="A530" s="4">
        <v>1687</v>
      </c>
      <c r="B530" s="4" t="s">
        <v>5499</v>
      </c>
      <c r="C530" s="4" t="s">
        <v>5573</v>
      </c>
      <c r="D530" s="4" t="s">
        <v>5574</v>
      </c>
      <c r="E530" s="4" t="s">
        <v>5575</v>
      </c>
      <c r="F530" s="4" t="s">
        <v>6352</v>
      </c>
      <c r="G530" s="4" t="s">
        <v>4850</v>
      </c>
      <c r="H530" s="4" t="s">
        <v>5588</v>
      </c>
      <c r="I530" s="5">
        <v>42341</v>
      </c>
      <c r="J530" s="4" t="s">
        <v>4798</v>
      </c>
      <c r="K530" s="4" t="s">
        <v>57</v>
      </c>
      <c r="L530" s="4"/>
      <c r="M530" s="4"/>
    </row>
    <row r="531" ht="16" customHeight="1" s="4" customFormat="1">
      <c r="A531" s="4">
        <v>1688</v>
      </c>
      <c r="B531" s="4" t="s">
        <v>5534</v>
      </c>
      <c r="C531" s="4" t="s">
        <v>5773</v>
      </c>
      <c r="D531" s="4"/>
      <c r="E531" s="4"/>
      <c r="F531" s="4" t="s">
        <v>6353</v>
      </c>
      <c r="G531" s="4" t="s">
        <v>5791</v>
      </c>
      <c r="H531" s="4" t="s">
        <v>5853</v>
      </c>
      <c r="I531" s="5">
        <v>42341</v>
      </c>
      <c r="J531" s="4" t="s">
        <v>4798</v>
      </c>
      <c r="K531" s="4" t="s">
        <v>57</v>
      </c>
      <c r="L531" s="4"/>
      <c r="M531" s="4"/>
    </row>
    <row r="532" ht="16" customHeight="1" s="4" customFormat="1">
      <c r="A532" s="4">
        <v>1689</v>
      </c>
      <c r="B532" s="4" t="s">
        <v>5499</v>
      </c>
      <c r="C532" s="4" t="s">
        <v>5500</v>
      </c>
      <c r="D532" s="4" t="s">
        <v>5574</v>
      </c>
      <c r="E532" s="4" t="s">
        <v>5761</v>
      </c>
      <c r="F532" s="4" t="s">
        <v>6354</v>
      </c>
      <c r="G532" s="4" t="s">
        <v>5967</v>
      </c>
      <c r="H532" s="4" t="s">
        <v>5968</v>
      </c>
      <c r="I532" s="5">
        <v>42331</v>
      </c>
      <c r="J532" s="4" t="s">
        <v>5506</v>
      </c>
      <c r="K532" s="4" t="s">
        <v>57</v>
      </c>
      <c r="L532" s="4"/>
      <c r="M532" s="4"/>
    </row>
    <row r="533" ht="16" customHeight="1" s="4" customFormat="1">
      <c r="A533" s="4">
        <v>1690</v>
      </c>
      <c r="B533" s="4" t="s">
        <v>5600</v>
      </c>
      <c r="C533" s="4" t="s">
        <v>5600</v>
      </c>
      <c r="D533" s="4" t="s">
        <v>5728</v>
      </c>
      <c r="E533" s="4" t="s">
        <v>6355</v>
      </c>
      <c r="F533" s="4" t="s">
        <v>6356</v>
      </c>
      <c r="G533" s="4" t="s">
        <v>5749</v>
      </c>
      <c r="H533" s="4" t="s">
        <v>6357</v>
      </c>
      <c r="I533" s="5">
        <v>42328</v>
      </c>
      <c r="J533" s="4" t="s">
        <v>4842</v>
      </c>
      <c r="K533" s="4" t="s">
        <v>57</v>
      </c>
      <c r="L533" s="4"/>
      <c r="M533" s="4"/>
    </row>
    <row r="534" ht="16" customHeight="1" s="4" customFormat="1">
      <c r="A534" s="4">
        <v>1691</v>
      </c>
      <c r="B534" s="4" t="s">
        <v>5499</v>
      </c>
      <c r="C534" s="4" t="s">
        <v>5590</v>
      </c>
      <c r="D534" s="4" t="s">
        <v>5514</v>
      </c>
      <c r="E534" s="4" t="s">
        <v>5515</v>
      </c>
      <c r="F534" s="4" t="s">
        <v>6358</v>
      </c>
      <c r="G534" s="4" t="s">
        <v>6359</v>
      </c>
      <c r="H534" s="4" t="s">
        <v>6360</v>
      </c>
      <c r="I534" s="5">
        <v>42328</v>
      </c>
      <c r="J534" s="4" t="s">
        <v>4798</v>
      </c>
      <c r="K534" s="4" t="s">
        <v>57</v>
      </c>
      <c r="L534" s="4"/>
      <c r="M534" s="4"/>
    </row>
    <row r="535" ht="16" customHeight="1" s="4" customFormat="1">
      <c r="A535" s="4">
        <v>1692</v>
      </c>
      <c r="B535" s="4" t="s">
        <v>5499</v>
      </c>
      <c r="C535" s="4" t="s">
        <v>5590</v>
      </c>
      <c r="D535" s="4" t="s">
        <v>5514</v>
      </c>
      <c r="E535" s="4" t="s">
        <v>5515</v>
      </c>
      <c r="F535" s="4" t="s">
        <v>6361</v>
      </c>
      <c r="G535" s="4" t="s">
        <v>6359</v>
      </c>
      <c r="H535" s="4" t="s">
        <v>6360</v>
      </c>
      <c r="I535" s="5">
        <v>42328</v>
      </c>
      <c r="J535" s="4" t="s">
        <v>4798</v>
      </c>
      <c r="K535" s="4" t="s">
        <v>57</v>
      </c>
      <c r="L535" s="4"/>
      <c r="M535" s="4"/>
    </row>
    <row r="536" ht="16" customHeight="1" s="4" customFormat="1">
      <c r="A536" s="4">
        <v>1693</v>
      </c>
      <c r="B536" s="4" t="s">
        <v>5499</v>
      </c>
      <c r="C536" s="4" t="s">
        <v>5590</v>
      </c>
      <c r="D536" s="4" t="s">
        <v>5514</v>
      </c>
      <c r="E536" s="4" t="s">
        <v>5515</v>
      </c>
      <c r="F536" s="4" t="s">
        <v>6362</v>
      </c>
      <c r="G536" s="4" t="s">
        <v>5680</v>
      </c>
      <c r="H536" s="4" t="s">
        <v>6363</v>
      </c>
      <c r="I536" s="5">
        <v>42328</v>
      </c>
      <c r="J536" s="4" t="s">
        <v>4798</v>
      </c>
      <c r="K536" s="4" t="s">
        <v>57</v>
      </c>
      <c r="L536" s="4"/>
      <c r="M536" s="4"/>
    </row>
    <row r="537" ht="16" customHeight="1" s="4" customFormat="1">
      <c r="A537" s="4">
        <v>1694</v>
      </c>
      <c r="B537" s="4" t="s">
        <v>5499</v>
      </c>
      <c r="C537" s="4" t="s">
        <v>5590</v>
      </c>
      <c r="D537" s="4" t="s">
        <v>5514</v>
      </c>
      <c r="E537" s="4" t="s">
        <v>5515</v>
      </c>
      <c r="F537" s="4" t="s">
        <v>6364</v>
      </c>
      <c r="G537" s="4" t="s">
        <v>5680</v>
      </c>
      <c r="H537" s="4" t="s">
        <v>6363</v>
      </c>
      <c r="I537" s="5">
        <v>42328</v>
      </c>
      <c r="J537" s="4" t="s">
        <v>4798</v>
      </c>
      <c r="K537" s="4" t="s">
        <v>57</v>
      </c>
      <c r="L537" s="4"/>
      <c r="M537" s="4"/>
    </row>
    <row r="538" ht="16" customHeight="1" s="4" customFormat="1">
      <c r="A538" s="4">
        <v>1695</v>
      </c>
      <c r="B538" s="4" t="s">
        <v>5534</v>
      </c>
      <c r="C538" s="4" t="s">
        <v>5773</v>
      </c>
      <c r="D538" s="4"/>
      <c r="E538" s="4"/>
      <c r="F538" s="4" t="s">
        <v>6365</v>
      </c>
      <c r="G538" s="4" t="s">
        <v>5675</v>
      </c>
      <c r="H538" s="4" t="s">
        <v>6366</v>
      </c>
      <c r="I538" s="5">
        <v>42324</v>
      </c>
      <c r="J538" s="4" t="s">
        <v>4798</v>
      </c>
      <c r="K538" s="4" t="s">
        <v>57</v>
      </c>
      <c r="L538" s="4"/>
      <c r="M538" s="4"/>
    </row>
    <row r="539" ht="16" customHeight="1" s="4" customFormat="1">
      <c r="A539" s="4">
        <v>1696</v>
      </c>
      <c r="B539" s="4" t="s">
        <v>5534</v>
      </c>
      <c r="C539" s="4" t="s">
        <v>5773</v>
      </c>
      <c r="D539" s="4"/>
      <c r="E539" s="4"/>
      <c r="F539" s="4" t="s">
        <v>6367</v>
      </c>
      <c r="G539" s="4" t="s">
        <v>5675</v>
      </c>
      <c r="H539" s="4" t="s">
        <v>5853</v>
      </c>
      <c r="I539" s="5">
        <v>42314</v>
      </c>
      <c r="J539" s="4" t="s">
        <v>4798</v>
      </c>
      <c r="K539" s="4" t="s">
        <v>57</v>
      </c>
      <c r="L539" s="4"/>
      <c r="M539" s="4"/>
    </row>
    <row r="540" ht="16" customHeight="1" s="4" customFormat="1">
      <c r="A540" s="4">
        <v>1697</v>
      </c>
      <c r="B540" s="4" t="s">
        <v>5499</v>
      </c>
      <c r="C540" s="4" t="s">
        <v>5500</v>
      </c>
      <c r="D540" s="4" t="s">
        <v>5728</v>
      </c>
      <c r="E540" s="4" t="s">
        <v>5729</v>
      </c>
      <c r="F540" s="4" t="s">
        <v>6368</v>
      </c>
      <c r="G540" s="4" t="s">
        <v>6369</v>
      </c>
      <c r="H540" s="4" t="s">
        <v>5768</v>
      </c>
      <c r="I540" s="5">
        <v>42306</v>
      </c>
      <c r="J540" s="4" t="s">
        <v>4798</v>
      </c>
      <c r="K540" s="4" t="s">
        <v>57</v>
      </c>
      <c r="L540" s="4"/>
      <c r="M540" s="4"/>
    </row>
    <row r="541" ht="16" customHeight="1" s="4" customFormat="1">
      <c r="A541" s="4">
        <v>1698</v>
      </c>
      <c r="B541" s="4" t="s">
        <v>5499</v>
      </c>
      <c r="C541" s="4" t="s">
        <v>5500</v>
      </c>
      <c r="D541" s="4" t="s">
        <v>5728</v>
      </c>
      <c r="E541" s="4" t="s">
        <v>5729</v>
      </c>
      <c r="F541" s="4" t="s">
        <v>6370</v>
      </c>
      <c r="G541" s="4" t="s">
        <v>5734</v>
      </c>
      <c r="H541" s="4" t="s">
        <v>5735</v>
      </c>
      <c r="I541" s="5">
        <v>42306</v>
      </c>
      <c r="J541" s="4" t="s">
        <v>5506</v>
      </c>
      <c r="K541" s="4" t="s">
        <v>57</v>
      </c>
      <c r="L541" s="4"/>
      <c r="M541" s="4"/>
    </row>
    <row r="542" ht="16" customHeight="1" s="4" customFormat="1">
      <c r="A542" s="4">
        <v>1699</v>
      </c>
      <c r="B542" s="4" t="s">
        <v>5499</v>
      </c>
      <c r="C542" s="4" t="s">
        <v>6371</v>
      </c>
      <c r="D542" s="4" t="s">
        <v>5574</v>
      </c>
      <c r="E542" s="4" t="s">
        <v>5769</v>
      </c>
      <c r="F542" s="4" t="s">
        <v>6372</v>
      </c>
      <c r="G542" s="4" t="s">
        <v>6373</v>
      </c>
      <c r="H542" s="4" t="s">
        <v>6374</v>
      </c>
      <c r="I542" s="5">
        <v>42297</v>
      </c>
      <c r="J542" s="4" t="s">
        <v>4798</v>
      </c>
      <c r="K542" s="4" t="s">
        <v>57</v>
      </c>
      <c r="L542" s="4"/>
      <c r="M542" s="4"/>
    </row>
    <row r="543" ht="16" customHeight="1" s="4" customFormat="1">
      <c r="A543" s="4">
        <v>1700</v>
      </c>
      <c r="B543" s="4" t="s">
        <v>5499</v>
      </c>
      <c r="C543" s="4" t="s">
        <v>5519</v>
      </c>
      <c r="D543" s="4"/>
      <c r="E543" s="4" t="s">
        <v>5641</v>
      </c>
      <c r="F543" s="4" t="s">
        <v>6375</v>
      </c>
      <c r="G543" s="4" t="s">
        <v>6376</v>
      </c>
      <c r="H543" s="4" t="s">
        <v>5663</v>
      </c>
      <c r="I543" s="5">
        <v>42283</v>
      </c>
      <c r="J543" s="4" t="s">
        <v>4798</v>
      </c>
      <c r="K543" s="4" t="s">
        <v>57</v>
      </c>
      <c r="L543" s="4"/>
      <c r="M543" s="4"/>
    </row>
    <row r="544" ht="16" customHeight="1" s="4" customFormat="1">
      <c r="A544" s="4">
        <v>1701</v>
      </c>
      <c r="B544" s="4" t="s">
        <v>5499</v>
      </c>
      <c r="C544" s="4" t="s">
        <v>5519</v>
      </c>
      <c r="D544" s="4"/>
      <c r="E544" s="4" t="s">
        <v>5584</v>
      </c>
      <c r="F544" s="4" t="s">
        <v>6377</v>
      </c>
      <c r="G544" s="4" t="s">
        <v>6376</v>
      </c>
      <c r="H544" s="4" t="s">
        <v>5663</v>
      </c>
      <c r="I544" s="5">
        <v>42283</v>
      </c>
      <c r="J544" s="4" t="s">
        <v>4798</v>
      </c>
      <c r="K544" s="4" t="s">
        <v>57</v>
      </c>
      <c r="L544" s="4"/>
      <c r="M544" s="4"/>
    </row>
    <row r="545" ht="16" customHeight="1" s="4" customFormat="1">
      <c r="A545" s="4">
        <v>1702</v>
      </c>
      <c r="B545" s="4" t="s">
        <v>5499</v>
      </c>
      <c r="C545" s="4" t="s">
        <v>5519</v>
      </c>
      <c r="D545" s="4"/>
      <c r="E545" s="4" t="s">
        <v>5641</v>
      </c>
      <c r="F545" s="4" t="s">
        <v>6378</v>
      </c>
      <c r="G545" s="4" t="s">
        <v>6379</v>
      </c>
      <c r="H545" s="4" t="s">
        <v>6380</v>
      </c>
      <c r="I545" s="5">
        <v>42283</v>
      </c>
      <c r="J545" s="4" t="s">
        <v>4798</v>
      </c>
      <c r="K545" s="4" t="s">
        <v>57</v>
      </c>
      <c r="L545" s="4"/>
      <c r="M545" s="4"/>
    </row>
    <row r="546" ht="16" customHeight="1" s="4" customFormat="1">
      <c r="A546" s="4">
        <v>1703</v>
      </c>
      <c r="B546" s="4" t="s">
        <v>5499</v>
      </c>
      <c r="C546" s="4" t="s">
        <v>5519</v>
      </c>
      <c r="D546" s="4"/>
      <c r="E546" s="4" t="s">
        <v>5584</v>
      </c>
      <c r="F546" s="4" t="s">
        <v>6381</v>
      </c>
      <c r="G546" s="4" t="s">
        <v>6379</v>
      </c>
      <c r="H546" s="4" t="s">
        <v>6380</v>
      </c>
      <c r="I546" s="5">
        <v>42283</v>
      </c>
      <c r="J546" s="4" t="s">
        <v>4798</v>
      </c>
      <c r="K546" s="4" t="s">
        <v>57</v>
      </c>
      <c r="L546" s="4"/>
      <c r="M546" s="4"/>
    </row>
    <row r="547" ht="16" customHeight="1" s="4" customFormat="1">
      <c r="A547" s="4">
        <v>1704</v>
      </c>
      <c r="B547" s="4" t="s">
        <v>5499</v>
      </c>
      <c r="C547" s="4" t="s">
        <v>5519</v>
      </c>
      <c r="D547" s="4"/>
      <c r="E547" s="4" t="s">
        <v>6382</v>
      </c>
      <c r="F547" s="4" t="s">
        <v>6383</v>
      </c>
      <c r="G547" s="4" t="s">
        <v>6384</v>
      </c>
      <c r="H547" s="4" t="s">
        <v>6384</v>
      </c>
      <c r="I547" s="5">
        <v>42275</v>
      </c>
      <c r="J547" s="4" t="s">
        <v>4798</v>
      </c>
      <c r="K547" s="4" t="s">
        <v>57</v>
      </c>
      <c r="L547" s="4"/>
      <c r="M547" s="4"/>
    </row>
    <row r="548" ht="16" customHeight="1" s="4" customFormat="1">
      <c r="A548" s="4">
        <v>1705</v>
      </c>
      <c r="B548" s="4" t="s">
        <v>5499</v>
      </c>
      <c r="C548" s="4" t="s">
        <v>5519</v>
      </c>
      <c r="D548" s="4"/>
      <c r="E548" s="4" t="s">
        <v>6382</v>
      </c>
      <c r="F548" s="4" t="s">
        <v>6385</v>
      </c>
      <c r="G548" s="4" t="s">
        <v>6384</v>
      </c>
      <c r="H548" s="4" t="s">
        <v>6384</v>
      </c>
      <c r="I548" s="5">
        <v>42275</v>
      </c>
      <c r="J548" s="4" t="s">
        <v>4798</v>
      </c>
      <c r="K548" s="4" t="s">
        <v>57</v>
      </c>
      <c r="L548" s="4"/>
      <c r="M548" s="4"/>
    </row>
    <row r="549" ht="16" customHeight="1" s="4" customFormat="1">
      <c r="A549" s="4">
        <v>1706</v>
      </c>
      <c r="B549" s="4" t="s">
        <v>5534</v>
      </c>
      <c r="C549" s="4" t="s">
        <v>5773</v>
      </c>
      <c r="D549" s="4"/>
      <c r="E549" s="4"/>
      <c r="F549" s="4" t="s">
        <v>6386</v>
      </c>
      <c r="G549" s="4" t="s">
        <v>10</v>
      </c>
      <c r="H549" s="4" t="s">
        <v>5853</v>
      </c>
      <c r="I549" s="5">
        <v>42275</v>
      </c>
      <c r="J549" s="4" t="s">
        <v>4842</v>
      </c>
      <c r="K549" s="4" t="s">
        <v>57</v>
      </c>
      <c r="L549" s="4"/>
      <c r="M549" s="4"/>
    </row>
    <row r="550" ht="16" customHeight="1" s="4" customFormat="1">
      <c r="A550" s="4">
        <v>1707</v>
      </c>
      <c r="B550" s="4" t="s">
        <v>5534</v>
      </c>
      <c r="C550" s="4" t="s">
        <v>5773</v>
      </c>
      <c r="D550" s="4"/>
      <c r="E550" s="4"/>
      <c r="F550" s="4" t="s">
        <v>6387</v>
      </c>
      <c r="G550" s="4" t="s">
        <v>5791</v>
      </c>
      <c r="H550" s="4" t="s">
        <v>5853</v>
      </c>
      <c r="I550" s="5">
        <v>42272</v>
      </c>
      <c r="J550" s="4" t="s">
        <v>4842</v>
      </c>
      <c r="K550" s="4" t="s">
        <v>57</v>
      </c>
      <c r="L550" s="4"/>
      <c r="M550" s="4"/>
    </row>
    <row r="551" ht="16" customHeight="1" s="4" customFormat="1">
      <c r="A551" s="4">
        <v>1708</v>
      </c>
      <c r="B551" s="4" t="s">
        <v>5534</v>
      </c>
      <c r="C551" s="4" t="s">
        <v>5773</v>
      </c>
      <c r="D551" s="4"/>
      <c r="E551" s="4"/>
      <c r="F551" s="4" t="s">
        <v>6388</v>
      </c>
      <c r="G551" s="4" t="s">
        <v>10</v>
      </c>
      <c r="H551" s="4" t="s">
        <v>5853</v>
      </c>
      <c r="I551" s="5">
        <v>42269</v>
      </c>
      <c r="J551" s="4" t="s">
        <v>4842</v>
      </c>
      <c r="K551" s="4" t="s">
        <v>57</v>
      </c>
      <c r="L551" s="4"/>
      <c r="M551" s="4"/>
    </row>
    <row r="552" ht="16" customHeight="1" s="4" customFormat="1">
      <c r="A552" s="4">
        <v>1709</v>
      </c>
      <c r="B552" s="4" t="s">
        <v>5499</v>
      </c>
      <c r="C552" s="4" t="s">
        <v>5573</v>
      </c>
      <c r="D552" s="4" t="s">
        <v>5574</v>
      </c>
      <c r="E552" s="4" t="s">
        <v>5575</v>
      </c>
      <c r="F552" s="4" t="s">
        <v>6389</v>
      </c>
      <c r="G552" s="4" t="s">
        <v>5837</v>
      </c>
      <c r="H552" s="4" t="s">
        <v>5860</v>
      </c>
      <c r="I552" s="5">
        <v>42262</v>
      </c>
      <c r="J552" s="4" t="s">
        <v>4842</v>
      </c>
      <c r="K552" s="4" t="s">
        <v>57</v>
      </c>
      <c r="L552" s="4"/>
      <c r="M552" s="4"/>
    </row>
    <row r="553" ht="16" customHeight="1" s="4" customFormat="1">
      <c r="A553" s="4">
        <v>1710</v>
      </c>
      <c r="B553" s="4" t="s">
        <v>5534</v>
      </c>
      <c r="C553" s="4" t="s">
        <v>5773</v>
      </c>
      <c r="D553" s="4"/>
      <c r="E553" s="4"/>
      <c r="F553" s="4" t="s">
        <v>6390</v>
      </c>
      <c r="G553" s="4" t="s">
        <v>5984</v>
      </c>
      <c r="H553" s="4" t="s">
        <v>6018</v>
      </c>
      <c r="I553" s="5">
        <v>42262</v>
      </c>
      <c r="J553" s="4" t="s">
        <v>4798</v>
      </c>
      <c r="K553" s="4" t="s">
        <v>57</v>
      </c>
      <c r="L553" s="4"/>
      <c r="M553" s="4"/>
    </row>
    <row r="554" ht="16" customHeight="1" s="4" customFormat="1">
      <c r="A554" s="4">
        <v>1711</v>
      </c>
      <c r="B554" s="4" t="s">
        <v>5499</v>
      </c>
      <c r="C554" s="4" t="s">
        <v>5500</v>
      </c>
      <c r="D554" s="4" t="s">
        <v>6391</v>
      </c>
      <c r="E554" s="4" t="s">
        <v>6392</v>
      </c>
      <c r="F554" s="4" t="s">
        <v>6393</v>
      </c>
      <c r="G554" s="4" t="s">
        <v>6394</v>
      </c>
      <c r="H554" s="4" t="s">
        <v>6395</v>
      </c>
      <c r="I554" s="5">
        <v>42262</v>
      </c>
      <c r="J554" s="4" t="s">
        <v>4798</v>
      </c>
      <c r="K554" s="4" t="s">
        <v>57</v>
      </c>
      <c r="L554" s="4"/>
      <c r="M554" s="4"/>
    </row>
    <row r="555" ht="16" customHeight="1" s="4" customFormat="1">
      <c r="A555" s="4">
        <v>1712</v>
      </c>
      <c r="B555" s="4" t="s">
        <v>5534</v>
      </c>
      <c r="C555" s="4" t="s">
        <v>5773</v>
      </c>
      <c r="D555" s="4"/>
      <c r="E555" s="4"/>
      <c r="F555" s="4" t="s">
        <v>6396</v>
      </c>
      <c r="G555" s="4" t="s">
        <v>6397</v>
      </c>
      <c r="H555" s="4" t="s">
        <v>6398</v>
      </c>
      <c r="I555" s="5">
        <v>42258</v>
      </c>
      <c r="J555" s="4" t="s">
        <v>5506</v>
      </c>
      <c r="K555" s="4" t="s">
        <v>57</v>
      </c>
      <c r="L555" s="4"/>
      <c r="M555" s="4"/>
    </row>
    <row r="556" ht="16" customHeight="1" s="4" customFormat="1">
      <c r="A556" s="4">
        <v>1713</v>
      </c>
      <c r="B556" s="4" t="s">
        <v>6161</v>
      </c>
      <c r="C556" s="4" t="s">
        <v>6162</v>
      </c>
      <c r="D556" s="4" t="s">
        <v>5728</v>
      </c>
      <c r="E556" s="4" t="s">
        <v>5729</v>
      </c>
      <c r="F556" s="4" t="s">
        <v>6399</v>
      </c>
      <c r="G556" s="4" t="s">
        <v>6400</v>
      </c>
      <c r="H556" s="4" t="s">
        <v>6005</v>
      </c>
      <c r="I556" s="5">
        <v>42257</v>
      </c>
      <c r="J556" s="4" t="s">
        <v>4842</v>
      </c>
      <c r="K556" s="4" t="s">
        <v>57</v>
      </c>
      <c r="L556" s="4"/>
      <c r="M556" s="4"/>
    </row>
    <row r="557" ht="16" customHeight="1" s="4" customFormat="1">
      <c r="A557" s="4">
        <v>1714</v>
      </c>
      <c r="B557" s="4" t="s">
        <v>6161</v>
      </c>
      <c r="C557" s="4" t="s">
        <v>6162</v>
      </c>
      <c r="D557" s="4" t="s">
        <v>5728</v>
      </c>
      <c r="E557" s="4" t="s">
        <v>5729</v>
      </c>
      <c r="F557" s="4" t="s">
        <v>6401</v>
      </c>
      <c r="G557" s="4" t="s">
        <v>6402</v>
      </c>
      <c r="H557" s="4" t="s">
        <v>6403</v>
      </c>
      <c r="I557" s="5">
        <v>42257</v>
      </c>
      <c r="J557" s="4" t="s">
        <v>4798</v>
      </c>
      <c r="K557" s="4" t="s">
        <v>57</v>
      </c>
      <c r="L557" s="4"/>
      <c r="M557" s="4"/>
    </row>
    <row r="558" ht="16" customHeight="1" s="4" customFormat="1">
      <c r="A558" s="4">
        <v>1715</v>
      </c>
      <c r="B558" s="4" t="s">
        <v>6161</v>
      </c>
      <c r="C558" s="4" t="s">
        <v>6162</v>
      </c>
      <c r="D558" s="4" t="s">
        <v>5728</v>
      </c>
      <c r="E558" s="4" t="s">
        <v>5729</v>
      </c>
      <c r="F558" s="4" t="s">
        <v>6404</v>
      </c>
      <c r="G558" s="4" t="s">
        <v>6405</v>
      </c>
      <c r="H558" s="4" t="s">
        <v>6403</v>
      </c>
      <c r="I558" s="5">
        <v>42257</v>
      </c>
      <c r="J558" s="4" t="s">
        <v>4842</v>
      </c>
      <c r="K558" s="4" t="s">
        <v>57</v>
      </c>
      <c r="L558" s="4"/>
      <c r="M558" s="4"/>
    </row>
    <row r="559" ht="16" customHeight="1" s="4" customFormat="1">
      <c r="A559" s="4">
        <v>1716</v>
      </c>
      <c r="B559" s="4" t="s">
        <v>5499</v>
      </c>
      <c r="C559" s="4" t="s">
        <v>5519</v>
      </c>
      <c r="D559" s="4"/>
      <c r="E559" s="4" t="s">
        <v>6382</v>
      </c>
      <c r="F559" s="4" t="s">
        <v>6406</v>
      </c>
      <c r="G559" s="4" t="s">
        <v>6407</v>
      </c>
      <c r="H559" s="4" t="s">
        <v>6407</v>
      </c>
      <c r="I559" s="5">
        <v>42256</v>
      </c>
      <c r="J559" s="4" t="s">
        <v>4798</v>
      </c>
      <c r="K559" s="4" t="s">
        <v>57</v>
      </c>
      <c r="L559" s="4"/>
      <c r="M559" s="4"/>
    </row>
    <row r="560" ht="16" customHeight="1" s="4" customFormat="1">
      <c r="A560" s="4">
        <v>1717</v>
      </c>
      <c r="B560" s="4" t="s">
        <v>5499</v>
      </c>
      <c r="C560" s="4" t="s">
        <v>5519</v>
      </c>
      <c r="D560" s="4"/>
      <c r="E560" s="4" t="s">
        <v>6382</v>
      </c>
      <c r="F560" s="4" t="s">
        <v>6408</v>
      </c>
      <c r="G560" s="4" t="s">
        <v>6407</v>
      </c>
      <c r="H560" s="4" t="s">
        <v>6407</v>
      </c>
      <c r="I560" s="5">
        <v>42256</v>
      </c>
      <c r="J560" s="4" t="s">
        <v>4798</v>
      </c>
      <c r="K560" s="4" t="s">
        <v>57</v>
      </c>
      <c r="L560" s="4"/>
      <c r="M560" s="4"/>
    </row>
    <row r="561" ht="16" customHeight="1" s="4" customFormat="1">
      <c r="A561" s="4">
        <v>1718</v>
      </c>
      <c r="B561" s="4" t="s">
        <v>5499</v>
      </c>
      <c r="C561" s="4" t="s">
        <v>5500</v>
      </c>
      <c r="D561" s="4"/>
      <c r="E561" s="4"/>
      <c r="F561" s="4" t="s">
        <v>6409</v>
      </c>
      <c r="G561" s="4" t="s">
        <v>6000</v>
      </c>
      <c r="H561" s="4" t="s">
        <v>5604</v>
      </c>
      <c r="I561" s="5">
        <v>42254</v>
      </c>
      <c r="J561" s="4" t="s">
        <v>4842</v>
      </c>
      <c r="K561" s="4" t="s">
        <v>57</v>
      </c>
      <c r="L561" s="4"/>
      <c r="M561" s="4"/>
    </row>
    <row r="562" ht="16" customHeight="1" s="4" customFormat="1">
      <c r="A562" s="4">
        <v>1719</v>
      </c>
      <c r="B562" s="4" t="s">
        <v>5499</v>
      </c>
      <c r="C562" s="4" t="s">
        <v>5500</v>
      </c>
      <c r="D562" s="4"/>
      <c r="E562" s="4"/>
      <c r="F562" s="4" t="s">
        <v>6410</v>
      </c>
      <c r="G562" s="4" t="s">
        <v>5983</v>
      </c>
      <c r="H562" s="4" t="s">
        <v>6041</v>
      </c>
      <c r="I562" s="5">
        <v>42254</v>
      </c>
      <c r="J562" s="4" t="s">
        <v>4842</v>
      </c>
      <c r="K562" s="4" t="s">
        <v>57</v>
      </c>
      <c r="L562" s="4"/>
      <c r="M562" s="4"/>
    </row>
    <row r="563" ht="16" customHeight="1" s="4" customFormat="1">
      <c r="A563" s="4">
        <v>1720</v>
      </c>
      <c r="B563" s="4" t="s">
        <v>5499</v>
      </c>
      <c r="C563" s="4" t="s">
        <v>5500</v>
      </c>
      <c r="D563" s="4"/>
      <c r="E563" s="4"/>
      <c r="F563" s="4" t="s">
        <v>6411</v>
      </c>
      <c r="G563" s="4" t="s">
        <v>5984</v>
      </c>
      <c r="H563" s="4" t="s">
        <v>6412</v>
      </c>
      <c r="I563" s="5">
        <v>42254</v>
      </c>
      <c r="J563" s="4" t="s">
        <v>4842</v>
      </c>
      <c r="K563" s="4" t="s">
        <v>57</v>
      </c>
      <c r="L563" s="4"/>
      <c r="M563" s="4"/>
    </row>
    <row r="564" ht="16" customHeight="1" s="4" customFormat="1">
      <c r="A564" s="4">
        <v>1721</v>
      </c>
      <c r="B564" s="4" t="s">
        <v>5499</v>
      </c>
      <c r="C564" s="4" t="s">
        <v>5500</v>
      </c>
      <c r="D564" s="4"/>
      <c r="E564" s="4"/>
      <c r="F564" s="4" t="s">
        <v>6413</v>
      </c>
      <c r="G564" s="4" t="s">
        <v>5984</v>
      </c>
      <c r="H564" s="4" t="s">
        <v>6414</v>
      </c>
      <c r="I564" s="5">
        <v>42254</v>
      </c>
      <c r="J564" s="4" t="s">
        <v>4842</v>
      </c>
      <c r="K564" s="4" t="s">
        <v>57</v>
      </c>
      <c r="L564" s="4"/>
      <c r="M564" s="4"/>
    </row>
    <row r="565" ht="16" customHeight="1" s="4" customFormat="1">
      <c r="A565" s="4">
        <v>1722</v>
      </c>
      <c r="B565" s="4" t="s">
        <v>5499</v>
      </c>
      <c r="C565" s="4" t="s">
        <v>5519</v>
      </c>
      <c r="D565" s="4"/>
      <c r="E565" s="4" t="s">
        <v>5664</v>
      </c>
      <c r="F565" s="4" t="s">
        <v>6415</v>
      </c>
      <c r="G565" s="4" t="s">
        <v>6416</v>
      </c>
      <c r="H565" s="4" t="s">
        <v>5604</v>
      </c>
      <c r="I565" s="5">
        <v>42251</v>
      </c>
      <c r="J565" s="4" t="s">
        <v>5506</v>
      </c>
      <c r="K565" s="4" t="s">
        <v>57</v>
      </c>
      <c r="L565" s="4"/>
      <c r="M565" s="4"/>
    </row>
    <row r="566" ht="16" customHeight="1" s="4" customFormat="1">
      <c r="A566" s="4">
        <v>1723</v>
      </c>
      <c r="B566" s="4" t="s">
        <v>5499</v>
      </c>
      <c r="C566" s="4" t="s">
        <v>5500</v>
      </c>
      <c r="D566" s="4" t="s">
        <v>5514</v>
      </c>
      <c r="E566" s="4" t="s">
        <v>6417</v>
      </c>
      <c r="F566" s="4" t="s">
        <v>6418</v>
      </c>
      <c r="G566" s="4" t="s">
        <v>6419</v>
      </c>
      <c r="H566" s="4" t="s">
        <v>6420</v>
      </c>
      <c r="I566" s="5">
        <v>42247</v>
      </c>
      <c r="J566" s="4" t="s">
        <v>4798</v>
      </c>
      <c r="K566" s="4" t="s">
        <v>57</v>
      </c>
      <c r="L566" s="4"/>
      <c r="M566" s="4"/>
    </row>
    <row r="567" ht="16" customHeight="1" s="4" customFormat="1">
      <c r="A567" s="4">
        <v>1724</v>
      </c>
      <c r="B567" s="4" t="s">
        <v>5499</v>
      </c>
      <c r="C567" s="4" t="s">
        <v>5702</v>
      </c>
      <c r="D567" s="4" t="s">
        <v>5574</v>
      </c>
      <c r="E567" s="4" t="s">
        <v>5575</v>
      </c>
      <c r="F567" s="4" t="s">
        <v>6421</v>
      </c>
      <c r="G567" s="4" t="s">
        <v>6422</v>
      </c>
      <c r="H567" s="4" t="s">
        <v>6423</v>
      </c>
      <c r="I567" s="5">
        <v>42244</v>
      </c>
      <c r="J567" s="4" t="s">
        <v>4798</v>
      </c>
      <c r="K567" s="4" t="s">
        <v>57</v>
      </c>
      <c r="L567" s="4"/>
      <c r="M567" s="4"/>
    </row>
    <row r="568" ht="16" customHeight="1" s="4" customFormat="1">
      <c r="A568" s="4">
        <v>1725</v>
      </c>
      <c r="B568" s="4" t="s">
        <v>5499</v>
      </c>
      <c r="C568" s="4" t="s">
        <v>5702</v>
      </c>
      <c r="D568" s="4" t="s">
        <v>5574</v>
      </c>
      <c r="E568" s="4" t="s">
        <v>5575</v>
      </c>
      <c r="F568" s="4" t="s">
        <v>6424</v>
      </c>
      <c r="G568" s="4" t="s">
        <v>6422</v>
      </c>
      <c r="H568" s="4" t="s">
        <v>6425</v>
      </c>
      <c r="I568" s="5">
        <v>42244</v>
      </c>
      <c r="J568" s="4" t="s">
        <v>4798</v>
      </c>
      <c r="K568" s="4" t="s">
        <v>57</v>
      </c>
      <c r="L568" s="4"/>
      <c r="M568" s="4"/>
    </row>
    <row r="569" ht="16" customHeight="1" s="4" customFormat="1">
      <c r="A569" s="4">
        <v>1726</v>
      </c>
      <c r="B569" s="4" t="s">
        <v>5499</v>
      </c>
      <c r="C569" s="4" t="s">
        <v>5500</v>
      </c>
      <c r="D569" s="4"/>
      <c r="E569" s="4"/>
      <c r="F569" s="4" t="s">
        <v>6426</v>
      </c>
      <c r="G569" s="4" t="s">
        <v>5983</v>
      </c>
      <c r="H569" s="4" t="s">
        <v>5604</v>
      </c>
      <c r="I569" s="5">
        <v>42244</v>
      </c>
      <c r="J569" s="4" t="s">
        <v>4842</v>
      </c>
      <c r="K569" s="4" t="s">
        <v>57</v>
      </c>
      <c r="L569" s="4"/>
      <c r="M569" s="4"/>
    </row>
    <row r="570" ht="16" customHeight="1" s="4" customFormat="1">
      <c r="A570" s="4">
        <v>1727</v>
      </c>
      <c r="B570" s="4" t="s">
        <v>5499</v>
      </c>
      <c r="C570" s="4" t="s">
        <v>5519</v>
      </c>
      <c r="D570" s="4"/>
      <c r="E570" s="4" t="s">
        <v>5668</v>
      </c>
      <c r="F570" s="4" t="s">
        <v>6427</v>
      </c>
      <c r="G570" s="4" t="s">
        <v>6428</v>
      </c>
      <c r="H570" s="4" t="s">
        <v>6429</v>
      </c>
      <c r="I570" s="5">
        <v>42237</v>
      </c>
      <c r="J570" s="4" t="s">
        <v>5506</v>
      </c>
      <c r="K570" s="4" t="s">
        <v>57</v>
      </c>
      <c r="L570" s="4"/>
      <c r="M570" s="4"/>
    </row>
    <row r="571" ht="16" customHeight="1" s="4" customFormat="1">
      <c r="A571" s="4">
        <v>1728</v>
      </c>
      <c r="B571" s="4" t="s">
        <v>5499</v>
      </c>
      <c r="C571" s="4" t="s">
        <v>6152</v>
      </c>
      <c r="D571" s="4" t="s">
        <v>5728</v>
      </c>
      <c r="E571" s="4" t="s">
        <v>6355</v>
      </c>
      <c r="F571" s="4" t="s">
        <v>6430</v>
      </c>
      <c r="G571" s="4" t="s">
        <v>6431</v>
      </c>
      <c r="H571" s="4" t="s">
        <v>6432</v>
      </c>
      <c r="I571" s="5">
        <v>42235</v>
      </c>
      <c r="J571" s="4" t="s">
        <v>5506</v>
      </c>
      <c r="K571" s="4" t="s">
        <v>57</v>
      </c>
      <c r="L571" s="4"/>
      <c r="M571" s="4"/>
    </row>
    <row r="572" ht="16" customHeight="1" s="4" customFormat="1">
      <c r="A572" s="4">
        <v>1729</v>
      </c>
      <c r="B572" s="4" t="s">
        <v>5499</v>
      </c>
      <c r="C572" s="4" t="s">
        <v>6152</v>
      </c>
      <c r="D572" s="4"/>
      <c r="E572" s="4"/>
      <c r="F572" s="4" t="s">
        <v>6433</v>
      </c>
      <c r="G572" s="4" t="s">
        <v>5791</v>
      </c>
      <c r="H572" s="4" t="s">
        <v>6434</v>
      </c>
      <c r="I572" s="5">
        <v>42235</v>
      </c>
      <c r="J572" s="4" t="s">
        <v>4798</v>
      </c>
      <c r="K572" s="4" t="s">
        <v>57</v>
      </c>
      <c r="L572" s="4"/>
      <c r="M572" s="4"/>
    </row>
    <row r="573" ht="16" customHeight="1" s="4" customFormat="1">
      <c r="A573" s="4">
        <v>1730</v>
      </c>
      <c r="B573" s="4" t="s">
        <v>5499</v>
      </c>
      <c r="C573" s="4" t="s">
        <v>5590</v>
      </c>
      <c r="D573" s="4" t="s">
        <v>5574</v>
      </c>
      <c r="E573" s="4" t="s">
        <v>5575</v>
      </c>
      <c r="F573" s="4" t="s">
        <v>6435</v>
      </c>
      <c r="G573" s="4" t="s">
        <v>6359</v>
      </c>
      <c r="H573" s="4" t="s">
        <v>6229</v>
      </c>
      <c r="I573" s="5">
        <v>42234</v>
      </c>
      <c r="J573" s="4" t="s">
        <v>4798</v>
      </c>
      <c r="K573" s="4" t="s">
        <v>57</v>
      </c>
      <c r="L573" s="4"/>
      <c r="M573" s="4"/>
    </row>
    <row r="574" ht="16" customHeight="1" s="4" customFormat="1">
      <c r="A574" s="4">
        <v>1731</v>
      </c>
      <c r="B574" s="4" t="s">
        <v>5499</v>
      </c>
      <c r="C574" s="4" t="s">
        <v>5590</v>
      </c>
      <c r="D574" s="4" t="s">
        <v>5574</v>
      </c>
      <c r="E574" s="4" t="s">
        <v>5575</v>
      </c>
      <c r="F574" s="4" t="s">
        <v>6436</v>
      </c>
      <c r="G574" s="4" t="s">
        <v>6359</v>
      </c>
      <c r="H574" s="4" t="s">
        <v>6229</v>
      </c>
      <c r="I574" s="5">
        <v>42234</v>
      </c>
      <c r="J574" s="4" t="s">
        <v>4798</v>
      </c>
      <c r="K574" s="4" t="s">
        <v>57</v>
      </c>
      <c r="L574" s="4"/>
      <c r="M574" s="4"/>
    </row>
    <row r="575" ht="16" customHeight="1" s="4" customFormat="1">
      <c r="A575" s="4">
        <v>1732</v>
      </c>
      <c r="B575" s="4" t="s">
        <v>5499</v>
      </c>
      <c r="C575" s="4" t="s">
        <v>5590</v>
      </c>
      <c r="D575" s="4" t="s">
        <v>5574</v>
      </c>
      <c r="E575" s="4" t="s">
        <v>5575</v>
      </c>
      <c r="F575" s="4" t="s">
        <v>6437</v>
      </c>
      <c r="G575" s="4" t="s">
        <v>6359</v>
      </c>
      <c r="H575" s="4" t="s">
        <v>6229</v>
      </c>
      <c r="I575" s="5">
        <v>42234</v>
      </c>
      <c r="J575" s="4" t="s">
        <v>4798</v>
      </c>
      <c r="K575" s="4" t="s">
        <v>57</v>
      </c>
      <c r="L575" s="4"/>
      <c r="M575" s="4"/>
    </row>
    <row r="576" ht="16" customHeight="1" s="4" customFormat="1">
      <c r="A576" s="4">
        <v>1733</v>
      </c>
      <c r="B576" s="4" t="s">
        <v>5499</v>
      </c>
      <c r="C576" s="4" t="s">
        <v>5590</v>
      </c>
      <c r="D576" s="4" t="s">
        <v>5574</v>
      </c>
      <c r="E576" s="4" t="s">
        <v>5575</v>
      </c>
      <c r="F576" s="4" t="s">
        <v>6438</v>
      </c>
      <c r="G576" s="4" t="s">
        <v>6359</v>
      </c>
      <c r="H576" s="4" t="s">
        <v>6229</v>
      </c>
      <c r="I576" s="5">
        <v>42234</v>
      </c>
      <c r="J576" s="4" t="s">
        <v>4798</v>
      </c>
      <c r="K576" s="4" t="s">
        <v>57</v>
      </c>
      <c r="L576" s="4"/>
      <c r="M576" s="4"/>
    </row>
    <row r="577" ht="16" customHeight="1" s="4" customFormat="1">
      <c r="A577" s="4">
        <v>1734</v>
      </c>
      <c r="B577" s="4" t="s">
        <v>5499</v>
      </c>
      <c r="C577" s="4" t="s">
        <v>5590</v>
      </c>
      <c r="D577" s="4" t="s">
        <v>5574</v>
      </c>
      <c r="E577" s="4" t="s">
        <v>5575</v>
      </c>
      <c r="F577" s="4" t="s">
        <v>6439</v>
      </c>
      <c r="G577" s="4" t="s">
        <v>5680</v>
      </c>
      <c r="H577" s="4" t="s">
        <v>6207</v>
      </c>
      <c r="I577" s="5">
        <v>42234</v>
      </c>
      <c r="J577" s="4" t="s">
        <v>4798</v>
      </c>
      <c r="K577" s="4" t="s">
        <v>57</v>
      </c>
      <c r="L577" s="4"/>
      <c r="M577" s="4"/>
    </row>
    <row r="578" ht="16" customHeight="1" s="4" customFormat="1">
      <c r="A578" s="4">
        <v>1735</v>
      </c>
      <c r="B578" s="4" t="s">
        <v>5499</v>
      </c>
      <c r="C578" s="4" t="s">
        <v>5519</v>
      </c>
      <c r="D578" s="4"/>
      <c r="E578" s="4" t="s">
        <v>5584</v>
      </c>
      <c r="F578" s="4" t="s">
        <v>6440</v>
      </c>
      <c r="G578" s="4" t="s">
        <v>6441</v>
      </c>
      <c r="H578" s="4" t="s">
        <v>6442</v>
      </c>
      <c r="I578" s="5">
        <v>42229</v>
      </c>
      <c r="J578" s="4" t="s">
        <v>4798</v>
      </c>
      <c r="K578" s="4" t="s">
        <v>57</v>
      </c>
      <c r="L578" s="4"/>
      <c r="M578" s="4"/>
    </row>
    <row r="579" ht="16" customHeight="1" s="4" customFormat="1">
      <c r="A579" s="4">
        <v>1736</v>
      </c>
      <c r="B579" s="4" t="s">
        <v>5534</v>
      </c>
      <c r="C579" s="4" t="s">
        <v>5773</v>
      </c>
      <c r="D579" s="4"/>
      <c r="E579" s="4"/>
      <c r="F579" s="4" t="s">
        <v>6443</v>
      </c>
      <c r="G579" s="4" t="s">
        <v>6444</v>
      </c>
      <c r="H579" s="4" t="s">
        <v>6445</v>
      </c>
      <c r="I579" s="5">
        <v>42228</v>
      </c>
      <c r="J579" s="4" t="s">
        <v>5506</v>
      </c>
      <c r="K579" s="4" t="s">
        <v>57</v>
      </c>
      <c r="L579" s="4"/>
      <c r="M579" s="4"/>
    </row>
    <row r="580" ht="16" customHeight="1" s="4" customFormat="1">
      <c r="A580" s="4">
        <v>1737</v>
      </c>
      <c r="B580" s="4" t="s">
        <v>5534</v>
      </c>
      <c r="C580" s="4" t="s">
        <v>5773</v>
      </c>
      <c r="D580" s="4"/>
      <c r="E580" s="4"/>
      <c r="F580" s="4" t="s">
        <v>6446</v>
      </c>
      <c r="G580" s="4" t="s">
        <v>10</v>
      </c>
      <c r="H580" s="4" t="s">
        <v>6447</v>
      </c>
      <c r="I580" s="5">
        <v>42222</v>
      </c>
      <c r="J580" s="4" t="s">
        <v>4842</v>
      </c>
      <c r="K580" s="4" t="s">
        <v>57</v>
      </c>
      <c r="L580" s="4"/>
      <c r="M580" s="4"/>
    </row>
    <row r="581" ht="16" customHeight="1" s="4" customFormat="1">
      <c r="A581" s="4">
        <v>1738</v>
      </c>
      <c r="B581" s="4" t="s">
        <v>5499</v>
      </c>
      <c r="C581" s="4" t="s">
        <v>5590</v>
      </c>
      <c r="D581" s="4" t="s">
        <v>5574</v>
      </c>
      <c r="E581" s="4" t="s">
        <v>5575</v>
      </c>
      <c r="F581" s="4" t="s">
        <v>6448</v>
      </c>
      <c r="G581" s="4" t="s">
        <v>4850</v>
      </c>
      <c r="H581" s="4" t="s">
        <v>6449</v>
      </c>
      <c r="I581" s="5">
        <v>42222</v>
      </c>
      <c r="J581" s="4" t="s">
        <v>4842</v>
      </c>
      <c r="K581" s="4" t="s">
        <v>57</v>
      </c>
      <c r="L581" s="4"/>
      <c r="M581" s="4"/>
    </row>
    <row r="582" ht="16" customHeight="1" s="4" customFormat="1">
      <c r="A582" s="4">
        <v>1739</v>
      </c>
      <c r="B582" s="4" t="s">
        <v>5600</v>
      </c>
      <c r="C582" s="4" t="s">
        <v>5600</v>
      </c>
      <c r="D582" s="4" t="s">
        <v>6450</v>
      </c>
      <c r="E582" s="4" t="s">
        <v>6451</v>
      </c>
      <c r="F582" s="4" t="s">
        <v>6452</v>
      </c>
      <c r="G582" s="4" t="s">
        <v>6453</v>
      </c>
      <c r="H582" s="4" t="s">
        <v>5634</v>
      </c>
      <c r="I582" s="5">
        <v>42220</v>
      </c>
      <c r="J582" s="4" t="s">
        <v>4798</v>
      </c>
      <c r="K582" s="4" t="s">
        <v>57</v>
      </c>
      <c r="L582" s="4"/>
      <c r="M582" s="4"/>
    </row>
    <row r="583" ht="16" customHeight="1" s="4" customFormat="1">
      <c r="A583" s="4">
        <v>1740</v>
      </c>
      <c r="B583" s="4" t="s">
        <v>5600</v>
      </c>
      <c r="C583" s="4" t="s">
        <v>5600</v>
      </c>
      <c r="D583" s="4" t="s">
        <v>6450</v>
      </c>
      <c r="E583" s="4" t="s">
        <v>6451</v>
      </c>
      <c r="F583" s="4" t="s">
        <v>6454</v>
      </c>
      <c r="G583" s="4" t="s">
        <v>6453</v>
      </c>
      <c r="H583" s="4" t="s">
        <v>5634</v>
      </c>
      <c r="I583" s="5">
        <v>42220</v>
      </c>
      <c r="J583" s="4" t="s">
        <v>4798</v>
      </c>
      <c r="K583" s="4" t="s">
        <v>57</v>
      </c>
      <c r="L583" s="4"/>
      <c r="M583" s="4"/>
    </row>
    <row r="584" ht="16" customHeight="1" s="4" customFormat="1">
      <c r="A584" s="4">
        <v>1741</v>
      </c>
      <c r="B584" s="4" t="s">
        <v>5600</v>
      </c>
      <c r="C584" s="4" t="s">
        <v>5600</v>
      </c>
      <c r="D584" s="4" t="s">
        <v>6455</v>
      </c>
      <c r="E584" s="4" t="s">
        <v>6192</v>
      </c>
      <c r="F584" s="4" t="s">
        <v>6456</v>
      </c>
      <c r="G584" s="4" t="s">
        <v>6078</v>
      </c>
      <c r="H584" s="4" t="s">
        <v>6457</v>
      </c>
      <c r="I584" s="5">
        <v>42215</v>
      </c>
      <c r="J584" s="4" t="s">
        <v>4798</v>
      </c>
      <c r="K584" s="4" t="s">
        <v>57</v>
      </c>
      <c r="L584" s="4"/>
      <c r="M584" s="4"/>
    </row>
    <row r="585" ht="16" customHeight="1" s="4" customFormat="1">
      <c r="A585" s="4">
        <v>1742</v>
      </c>
      <c r="B585" s="4" t="s">
        <v>5534</v>
      </c>
      <c r="C585" s="4" t="s">
        <v>5631</v>
      </c>
      <c r="D585" s="4"/>
      <c r="E585" s="4"/>
      <c r="F585" s="4" t="s">
        <v>6458</v>
      </c>
      <c r="G585" s="4" t="s">
        <v>6459</v>
      </c>
      <c r="H585" s="4" t="s">
        <v>5998</v>
      </c>
      <c r="I585" s="5">
        <v>42215</v>
      </c>
      <c r="J585" s="4" t="s">
        <v>4842</v>
      </c>
      <c r="K585" s="4" t="s">
        <v>57</v>
      </c>
      <c r="L585" s="4"/>
      <c r="M585" s="4"/>
    </row>
    <row r="586" ht="16" customHeight="1" s="4" customFormat="1">
      <c r="A586" s="4">
        <v>1743</v>
      </c>
      <c r="B586" s="4" t="s">
        <v>5499</v>
      </c>
      <c r="C586" s="4" t="s">
        <v>5590</v>
      </c>
      <c r="D586" s="4" t="s">
        <v>5574</v>
      </c>
      <c r="E586" s="4" t="s">
        <v>5575</v>
      </c>
      <c r="F586" s="4" t="s">
        <v>6460</v>
      </c>
      <c r="G586" s="4" t="s">
        <v>6461</v>
      </c>
      <c r="H586" s="4" t="s">
        <v>6462</v>
      </c>
      <c r="I586" s="5">
        <v>42214</v>
      </c>
      <c r="J586" s="4" t="s">
        <v>4842</v>
      </c>
      <c r="K586" s="4" t="s">
        <v>57</v>
      </c>
      <c r="L586" s="4"/>
      <c r="M586" s="4"/>
    </row>
    <row r="587" ht="16" customHeight="1" s="4" customFormat="1">
      <c r="A587" s="4">
        <v>1744</v>
      </c>
      <c r="B587" s="4" t="s">
        <v>5534</v>
      </c>
      <c r="C587" s="4" t="s">
        <v>5773</v>
      </c>
      <c r="D587" s="4"/>
      <c r="E587" s="4"/>
      <c r="F587" s="4" t="s">
        <v>6463</v>
      </c>
      <c r="G587" s="4" t="s">
        <v>5984</v>
      </c>
      <c r="H587" s="4" t="s">
        <v>6018</v>
      </c>
      <c r="I587" s="5">
        <v>42213</v>
      </c>
      <c r="J587" s="4" t="s">
        <v>4798</v>
      </c>
      <c r="K587" s="4" t="s">
        <v>57</v>
      </c>
      <c r="L587" s="4"/>
      <c r="M587" s="4"/>
    </row>
    <row r="588" ht="16" customHeight="1" s="4" customFormat="1">
      <c r="A588" s="4">
        <v>1745</v>
      </c>
      <c r="B588" s="4" t="s">
        <v>5534</v>
      </c>
      <c r="C588" s="4" t="s">
        <v>5773</v>
      </c>
      <c r="D588" s="4"/>
      <c r="E588" s="4"/>
      <c r="F588" s="4" t="s">
        <v>6464</v>
      </c>
      <c r="G588" s="4" t="s">
        <v>5984</v>
      </c>
      <c r="H588" s="4" t="s">
        <v>6018</v>
      </c>
      <c r="I588" s="5">
        <v>42213</v>
      </c>
      <c r="J588" s="4" t="s">
        <v>4798</v>
      </c>
      <c r="K588" s="4" t="s">
        <v>57</v>
      </c>
      <c r="L588" s="4"/>
      <c r="M588" s="4"/>
    </row>
    <row r="589" ht="16" customHeight="1" s="4" customFormat="1">
      <c r="A589" s="4">
        <v>1746</v>
      </c>
      <c r="B589" s="4" t="s">
        <v>5534</v>
      </c>
      <c r="C589" s="4" t="s">
        <v>5773</v>
      </c>
      <c r="D589" s="4"/>
      <c r="E589" s="4"/>
      <c r="F589" s="4" t="s">
        <v>6465</v>
      </c>
      <c r="G589" s="4" t="s">
        <v>5984</v>
      </c>
      <c r="H589" s="4" t="s">
        <v>6018</v>
      </c>
      <c r="I589" s="5">
        <v>42213</v>
      </c>
      <c r="J589" s="4" t="s">
        <v>4798</v>
      </c>
      <c r="K589" s="4" t="s">
        <v>57</v>
      </c>
      <c r="L589" s="4"/>
      <c r="M589" s="4"/>
    </row>
    <row r="590" ht="16" customHeight="1" s="4" customFormat="1">
      <c r="A590" s="4">
        <v>1747</v>
      </c>
      <c r="B590" s="4" t="s">
        <v>5534</v>
      </c>
      <c r="C590" s="4" t="s">
        <v>5773</v>
      </c>
      <c r="D590" s="4"/>
      <c r="E590" s="4"/>
      <c r="F590" s="4" t="s">
        <v>6466</v>
      </c>
      <c r="G590" s="4" t="s">
        <v>5984</v>
      </c>
      <c r="H590" s="4" t="s">
        <v>6018</v>
      </c>
      <c r="I590" s="5">
        <v>42213</v>
      </c>
      <c r="J590" s="4" t="s">
        <v>4798</v>
      </c>
      <c r="K590" s="4" t="s">
        <v>57</v>
      </c>
      <c r="L590" s="4"/>
      <c r="M590" s="4"/>
    </row>
    <row r="591" ht="16" customHeight="1" s="4" customFormat="1">
      <c r="A591" s="4">
        <v>1748</v>
      </c>
      <c r="B591" s="4" t="s">
        <v>5534</v>
      </c>
      <c r="C591" s="4" t="s">
        <v>5773</v>
      </c>
      <c r="D591" s="4"/>
      <c r="E591" s="4"/>
      <c r="F591" s="4" t="s">
        <v>6467</v>
      </c>
      <c r="G591" s="4" t="s">
        <v>5984</v>
      </c>
      <c r="H591" s="4" t="s">
        <v>6018</v>
      </c>
      <c r="I591" s="5">
        <v>42213</v>
      </c>
      <c r="J591" s="4" t="s">
        <v>4798</v>
      </c>
      <c r="K591" s="4" t="s">
        <v>57</v>
      </c>
      <c r="L591" s="4"/>
      <c r="M591" s="4"/>
    </row>
    <row r="592" ht="16" customHeight="1" s="4" customFormat="1">
      <c r="A592" s="4">
        <v>1749</v>
      </c>
      <c r="B592" s="4" t="s">
        <v>5534</v>
      </c>
      <c r="C592" s="4" t="s">
        <v>5773</v>
      </c>
      <c r="D592" s="4"/>
      <c r="E592" s="4"/>
      <c r="F592" s="4" t="s">
        <v>6468</v>
      </c>
      <c r="G592" s="4" t="s">
        <v>6469</v>
      </c>
      <c r="H592" s="4" t="s">
        <v>6470</v>
      </c>
      <c r="I592" s="5">
        <v>42209</v>
      </c>
      <c r="J592" s="4" t="s">
        <v>5506</v>
      </c>
      <c r="K592" s="4" t="s">
        <v>57</v>
      </c>
      <c r="L592" s="4"/>
      <c r="M592" s="4"/>
    </row>
    <row r="593" ht="16" customHeight="1" s="4" customFormat="1">
      <c r="A593" s="4">
        <v>1750</v>
      </c>
      <c r="B593" s="4" t="s">
        <v>5499</v>
      </c>
      <c r="C593" s="4" t="s">
        <v>5590</v>
      </c>
      <c r="D593" s="4" t="s">
        <v>5574</v>
      </c>
      <c r="E593" s="4" t="s">
        <v>5575</v>
      </c>
      <c r="F593" s="4" t="s">
        <v>6471</v>
      </c>
      <c r="G593" s="4" t="s">
        <v>6359</v>
      </c>
      <c r="H593" s="4" t="s">
        <v>6472</v>
      </c>
      <c r="I593" s="5">
        <v>42208</v>
      </c>
      <c r="J593" s="4" t="s">
        <v>4798</v>
      </c>
      <c r="K593" s="4" t="s">
        <v>57</v>
      </c>
      <c r="L593" s="4"/>
      <c r="M593" s="4"/>
    </row>
    <row r="594" ht="16" customHeight="1" s="4" customFormat="1">
      <c r="A594" s="4">
        <v>1751</v>
      </c>
      <c r="B594" s="4" t="s">
        <v>5499</v>
      </c>
      <c r="C594" s="4" t="s">
        <v>5590</v>
      </c>
      <c r="D594" s="4" t="s">
        <v>5574</v>
      </c>
      <c r="E594" s="4" t="s">
        <v>5575</v>
      </c>
      <c r="F594" s="4" t="s">
        <v>6473</v>
      </c>
      <c r="G594" s="4" t="s">
        <v>6461</v>
      </c>
      <c r="H594" s="4" t="s">
        <v>6462</v>
      </c>
      <c r="I594" s="5">
        <v>42208</v>
      </c>
      <c r="J594" s="4" t="s">
        <v>4798</v>
      </c>
      <c r="K594" s="4" t="s">
        <v>57</v>
      </c>
      <c r="L594" s="4"/>
      <c r="M594" s="4"/>
    </row>
    <row r="595" ht="16" customHeight="1" s="4" customFormat="1">
      <c r="A595" s="4">
        <v>1752</v>
      </c>
      <c r="B595" s="4" t="s">
        <v>5499</v>
      </c>
      <c r="C595" s="4" t="s">
        <v>5590</v>
      </c>
      <c r="D595" s="4" t="s">
        <v>5574</v>
      </c>
      <c r="E595" s="4" t="s">
        <v>5575</v>
      </c>
      <c r="F595" s="4" t="s">
        <v>6474</v>
      </c>
      <c r="G595" s="4" t="s">
        <v>5680</v>
      </c>
      <c r="H595" s="4" t="s">
        <v>6475</v>
      </c>
      <c r="I595" s="5">
        <v>42208</v>
      </c>
      <c r="J595" s="4" t="s">
        <v>4798</v>
      </c>
      <c r="K595" s="4" t="s">
        <v>57</v>
      </c>
      <c r="L595" s="4"/>
      <c r="M595" s="4"/>
    </row>
    <row r="596" ht="16" customHeight="1" s="4" customFormat="1">
      <c r="A596" s="4">
        <v>1753</v>
      </c>
      <c r="B596" s="4" t="s">
        <v>5534</v>
      </c>
      <c r="C596" s="4" t="s">
        <v>5773</v>
      </c>
      <c r="D596" s="4"/>
      <c r="E596" s="4"/>
      <c r="F596" s="4" t="s">
        <v>6476</v>
      </c>
      <c r="G596" s="4" t="s">
        <v>5817</v>
      </c>
      <c r="H596" s="4" t="s">
        <v>5667</v>
      </c>
      <c r="I596" s="5">
        <v>42201</v>
      </c>
      <c r="J596" s="4" t="s">
        <v>4798</v>
      </c>
      <c r="K596" s="4" t="s">
        <v>57</v>
      </c>
      <c r="L596" s="4"/>
      <c r="M596" s="4"/>
    </row>
    <row r="597" ht="16" customHeight="1" s="4" customFormat="1">
      <c r="A597" s="4">
        <v>1754</v>
      </c>
      <c r="B597" s="4" t="s">
        <v>5499</v>
      </c>
      <c r="C597" s="4" t="s">
        <v>5590</v>
      </c>
      <c r="D597" s="4" t="s">
        <v>5574</v>
      </c>
      <c r="E597" s="4" t="s">
        <v>5575</v>
      </c>
      <c r="F597" s="4" t="s">
        <v>6477</v>
      </c>
      <c r="G597" s="4" t="s">
        <v>6478</v>
      </c>
      <c r="H597" s="4" t="s">
        <v>6231</v>
      </c>
      <c r="I597" s="5">
        <v>42200</v>
      </c>
      <c r="J597" s="4" t="s">
        <v>4842</v>
      </c>
      <c r="K597" s="4" t="s">
        <v>57</v>
      </c>
      <c r="L597" s="4"/>
      <c r="M597" s="4"/>
    </row>
    <row r="598" ht="16" customHeight="1" s="4" customFormat="1">
      <c r="A598" s="4">
        <v>1755</v>
      </c>
      <c r="B598" s="4" t="s">
        <v>5499</v>
      </c>
      <c r="C598" s="4" t="s">
        <v>5590</v>
      </c>
      <c r="D598" s="4" t="s">
        <v>5574</v>
      </c>
      <c r="E598" s="4" t="s">
        <v>5575</v>
      </c>
      <c r="F598" s="4" t="s">
        <v>6479</v>
      </c>
      <c r="G598" s="4" t="s">
        <v>6480</v>
      </c>
      <c r="H598" s="4" t="s">
        <v>6345</v>
      </c>
      <c r="I598" s="5">
        <v>42199</v>
      </c>
      <c r="J598" s="4" t="s">
        <v>4842</v>
      </c>
      <c r="K598" s="4" t="s">
        <v>57</v>
      </c>
      <c r="L598" s="4"/>
      <c r="M598" s="4"/>
    </row>
    <row r="599" ht="16" customHeight="1" s="4" customFormat="1">
      <c r="A599" s="4">
        <v>1756</v>
      </c>
      <c r="B599" s="4" t="s">
        <v>5600</v>
      </c>
      <c r="C599" s="4" t="s">
        <v>5600</v>
      </c>
      <c r="D599" s="4" t="s">
        <v>5514</v>
      </c>
      <c r="E599" s="4" t="s">
        <v>5515</v>
      </c>
      <c r="F599" s="4" t="s">
        <v>6481</v>
      </c>
      <c r="G599" s="4" t="s">
        <v>5632</v>
      </c>
      <c r="H599" s="4" t="s">
        <v>6482</v>
      </c>
      <c r="I599" s="5">
        <v>42199</v>
      </c>
      <c r="J599" s="4" t="s">
        <v>4798</v>
      </c>
      <c r="K599" s="4" t="s">
        <v>57</v>
      </c>
      <c r="L599" s="4"/>
      <c r="M599" s="4"/>
    </row>
    <row r="600" ht="16" customHeight="1" s="4" customFormat="1">
      <c r="A600" s="4">
        <v>1757</v>
      </c>
      <c r="B600" s="4" t="s">
        <v>5499</v>
      </c>
      <c r="C600" s="4" t="s">
        <v>5702</v>
      </c>
      <c r="D600" s="4" t="s">
        <v>5574</v>
      </c>
      <c r="E600" s="4" t="s">
        <v>5575</v>
      </c>
      <c r="F600" s="4" t="s">
        <v>6483</v>
      </c>
      <c r="G600" s="4" t="s">
        <v>6484</v>
      </c>
      <c r="H600" s="4" t="s">
        <v>6485</v>
      </c>
      <c r="I600" s="5">
        <v>42191</v>
      </c>
      <c r="J600" s="4" t="s">
        <v>4798</v>
      </c>
      <c r="K600" s="4" t="s">
        <v>57</v>
      </c>
      <c r="L600" s="4"/>
      <c r="M600" s="4"/>
    </row>
    <row r="601" ht="16" customHeight="1" s="4" customFormat="1">
      <c r="A601" s="4">
        <v>1758</v>
      </c>
      <c r="B601" s="4" t="s">
        <v>5499</v>
      </c>
      <c r="C601" s="4" t="s">
        <v>5702</v>
      </c>
      <c r="D601" s="4" t="s">
        <v>5574</v>
      </c>
      <c r="E601" s="4" t="s">
        <v>5575</v>
      </c>
      <c r="F601" s="4" t="s">
        <v>6486</v>
      </c>
      <c r="G601" s="4" t="s">
        <v>6484</v>
      </c>
      <c r="H601" s="4" t="s">
        <v>6487</v>
      </c>
      <c r="I601" s="5">
        <v>42191</v>
      </c>
      <c r="J601" s="4" t="s">
        <v>4798</v>
      </c>
      <c r="K601" s="4" t="s">
        <v>57</v>
      </c>
      <c r="L601" s="4"/>
      <c r="M601" s="4"/>
    </row>
    <row r="602" ht="16" customHeight="1" s="4" customFormat="1">
      <c r="A602" s="4">
        <v>1759</v>
      </c>
      <c r="B602" s="4" t="s">
        <v>5499</v>
      </c>
      <c r="C602" s="4" t="s">
        <v>5500</v>
      </c>
      <c r="D602" s="4" t="s">
        <v>6391</v>
      </c>
      <c r="E602" s="4" t="s">
        <v>6392</v>
      </c>
      <c r="F602" s="4" t="s">
        <v>6488</v>
      </c>
      <c r="G602" s="4" t="s">
        <v>6489</v>
      </c>
      <c r="H602" s="4" t="s">
        <v>6490</v>
      </c>
      <c r="I602" s="5">
        <v>42188</v>
      </c>
      <c r="J602" s="4" t="s">
        <v>4798</v>
      </c>
      <c r="K602" s="4" t="s">
        <v>57</v>
      </c>
      <c r="L602" s="4"/>
      <c r="M602" s="4"/>
    </row>
    <row r="603" ht="16" customHeight="1" s="4" customFormat="1">
      <c r="A603" s="4">
        <v>1760</v>
      </c>
      <c r="B603" s="4" t="s">
        <v>5499</v>
      </c>
      <c r="C603" s="4" t="s">
        <v>5702</v>
      </c>
      <c r="D603" s="4" t="s">
        <v>5574</v>
      </c>
      <c r="E603" s="4" t="s">
        <v>5575</v>
      </c>
      <c r="F603" s="4" t="s">
        <v>6491</v>
      </c>
      <c r="G603" s="4" t="s">
        <v>6492</v>
      </c>
      <c r="H603" s="4" t="s">
        <v>6493</v>
      </c>
      <c r="I603" s="5">
        <v>42186</v>
      </c>
      <c r="J603" s="4" t="s">
        <v>4798</v>
      </c>
      <c r="K603" s="4" t="s">
        <v>57</v>
      </c>
      <c r="L603" s="4"/>
      <c r="M603" s="4"/>
    </row>
    <row r="604" ht="16" customHeight="1" s="4" customFormat="1">
      <c r="A604" s="4">
        <v>1761</v>
      </c>
      <c r="B604" s="4" t="s">
        <v>5499</v>
      </c>
      <c r="C604" s="4" t="s">
        <v>5702</v>
      </c>
      <c r="D604" s="4" t="s">
        <v>5574</v>
      </c>
      <c r="E604" s="4" t="s">
        <v>5575</v>
      </c>
      <c r="F604" s="4" t="s">
        <v>6494</v>
      </c>
      <c r="G604" s="4" t="s">
        <v>6492</v>
      </c>
      <c r="H604" s="4" t="s">
        <v>6495</v>
      </c>
      <c r="I604" s="5">
        <v>42186</v>
      </c>
      <c r="J604" s="4" t="s">
        <v>4798</v>
      </c>
      <c r="K604" s="4" t="s">
        <v>57</v>
      </c>
      <c r="L604" s="4"/>
      <c r="M604" s="4"/>
    </row>
    <row r="605" ht="16" customHeight="1" s="4" customFormat="1">
      <c r="A605" s="4">
        <v>1762</v>
      </c>
      <c r="B605" s="4" t="s">
        <v>5534</v>
      </c>
      <c r="C605" s="4" t="s">
        <v>5773</v>
      </c>
      <c r="D605" s="4"/>
      <c r="E605" s="4"/>
      <c r="F605" s="4" t="s">
        <v>6496</v>
      </c>
      <c r="G605" s="4" t="s">
        <v>10</v>
      </c>
      <c r="H605" s="4" t="s">
        <v>6497</v>
      </c>
      <c r="I605" s="5">
        <v>42173</v>
      </c>
      <c r="J605" s="4" t="s">
        <v>4798</v>
      </c>
      <c r="K605" s="4" t="s">
        <v>57</v>
      </c>
      <c r="L605" s="4"/>
      <c r="M605" s="4"/>
    </row>
    <row r="606" ht="16" customHeight="1" s="4" customFormat="1">
      <c r="A606" s="4">
        <v>1763</v>
      </c>
      <c r="B606" s="4" t="s">
        <v>5499</v>
      </c>
      <c r="C606" s="4" t="s">
        <v>5519</v>
      </c>
      <c r="D606" s="4"/>
      <c r="E606" s="4" t="s">
        <v>5645</v>
      </c>
      <c r="F606" s="4" t="s">
        <v>6498</v>
      </c>
      <c r="G606" s="4" t="s">
        <v>6499</v>
      </c>
      <c r="H606" s="4" t="s">
        <v>6500</v>
      </c>
      <c r="I606" s="5">
        <v>42172</v>
      </c>
      <c r="J606" s="4" t="s">
        <v>4798</v>
      </c>
      <c r="K606" s="4" t="s">
        <v>57</v>
      </c>
      <c r="L606" s="4"/>
      <c r="M606" s="4"/>
    </row>
    <row r="607" ht="16" customHeight="1" s="4" customFormat="1">
      <c r="A607" s="4">
        <v>1764</v>
      </c>
      <c r="B607" s="4" t="s">
        <v>5499</v>
      </c>
      <c r="C607" s="4" t="s">
        <v>5519</v>
      </c>
      <c r="D607" s="4"/>
      <c r="E607" s="4" t="s">
        <v>6501</v>
      </c>
      <c r="F607" s="4" t="s">
        <v>6502</v>
      </c>
      <c r="G607" s="4" t="s">
        <v>6503</v>
      </c>
      <c r="H607" s="4" t="s">
        <v>6503</v>
      </c>
      <c r="I607" s="5">
        <v>42172</v>
      </c>
      <c r="J607" s="4" t="s">
        <v>4798</v>
      </c>
      <c r="K607" s="4" t="s">
        <v>57</v>
      </c>
      <c r="L607" s="4"/>
      <c r="M607" s="4"/>
    </row>
    <row r="608" ht="16" customHeight="1" s="4" customFormat="1">
      <c r="A608" s="4">
        <v>1765</v>
      </c>
      <c r="B608" s="4" t="s">
        <v>5534</v>
      </c>
      <c r="C608" s="4" t="s">
        <v>5773</v>
      </c>
      <c r="D608" s="4"/>
      <c r="E608" s="4"/>
      <c r="F608" s="4" t="s">
        <v>6504</v>
      </c>
      <c r="G608" s="4" t="s">
        <v>6444</v>
      </c>
      <c r="H608" s="4" t="s">
        <v>6445</v>
      </c>
      <c r="I608" s="5">
        <v>42153</v>
      </c>
      <c r="J608" s="4" t="s">
        <v>5506</v>
      </c>
      <c r="K608" s="4" t="s">
        <v>57</v>
      </c>
      <c r="L608" s="4"/>
      <c r="M608" s="4"/>
    </row>
    <row r="609" ht="16" customHeight="1" s="4" customFormat="1">
      <c r="A609" s="4">
        <v>1766</v>
      </c>
      <c r="B609" s="4" t="s">
        <v>5600</v>
      </c>
      <c r="C609" s="4" t="s">
        <v>5600</v>
      </c>
      <c r="D609" s="4" t="s">
        <v>5728</v>
      </c>
      <c r="E609" s="4" t="s">
        <v>6222</v>
      </c>
      <c r="F609" s="4" t="s">
        <v>6505</v>
      </c>
      <c r="G609" s="4" t="s">
        <v>6506</v>
      </c>
      <c r="H609" s="4" t="s">
        <v>6507</v>
      </c>
      <c r="I609" s="5">
        <v>42121</v>
      </c>
      <c r="J609" s="4" t="s">
        <v>4798</v>
      </c>
      <c r="K609" s="4" t="s">
        <v>57</v>
      </c>
      <c r="L609" s="4"/>
      <c r="M609" s="4"/>
    </row>
    <row r="610" ht="16" customHeight="1" s="4" customFormat="1">
      <c r="A610" s="4">
        <v>1851</v>
      </c>
      <c r="B610" s="4" t="s">
        <v>5534</v>
      </c>
      <c r="C610" s="4" t="s">
        <v>5631</v>
      </c>
      <c r="D610" s="4"/>
      <c r="E610" s="4"/>
      <c r="F610" s="4" t="s">
        <v>6508</v>
      </c>
      <c r="G610" s="4" t="s">
        <v>5632</v>
      </c>
      <c r="H610" s="4" t="s">
        <v>6509</v>
      </c>
      <c r="I610" s="5">
        <v>41981</v>
      </c>
      <c r="J610" s="4" t="s">
        <v>5506</v>
      </c>
      <c r="K610" s="4" t="s">
        <v>57</v>
      </c>
      <c r="L610" s="4"/>
      <c r="M610" s="4"/>
    </row>
    <row r="611" ht="16" customHeight="1" s="4" customFormat="1">
      <c r="A611" s="4">
        <v>2244</v>
      </c>
      <c r="B611" s="4" t="s">
        <v>5534</v>
      </c>
      <c r="C611" s="4" t="s">
        <v>5631</v>
      </c>
      <c r="D611" s="4"/>
      <c r="E611" s="4"/>
      <c r="F611" s="4" t="s">
        <v>6510</v>
      </c>
      <c r="G611" s="4" t="s">
        <v>5632</v>
      </c>
      <c r="H611" s="4" t="s">
        <v>5636</v>
      </c>
      <c r="I611" s="5">
        <v>41375</v>
      </c>
      <c r="J611" s="4" t="s">
        <v>5506</v>
      </c>
      <c r="K611" s="4" t="s">
        <v>57</v>
      </c>
      <c r="L611" s="4"/>
      <c r="M611" s="4"/>
    </row>
    <row r="612" ht="16" customHeight="1" s="4" customFormat="1">
      <c r="A612" s="4">
        <v>2245</v>
      </c>
      <c r="B612" s="4" t="s">
        <v>5534</v>
      </c>
      <c r="C612" s="4" t="s">
        <v>5631</v>
      </c>
      <c r="D612" s="4"/>
      <c r="E612" s="4"/>
      <c r="F612" s="4" t="s">
        <v>6511</v>
      </c>
      <c r="G612" s="4" t="s">
        <v>5632</v>
      </c>
      <c r="H612" s="4" t="s">
        <v>5636</v>
      </c>
      <c r="I612" s="5">
        <v>41375</v>
      </c>
      <c r="J612" s="4" t="s">
        <v>5506</v>
      </c>
      <c r="K612" s="4" t="s">
        <v>57</v>
      </c>
      <c r="L612" s="4"/>
      <c r="M612" s="4"/>
    </row>
    <row r="613" ht="16" customHeight="1" s="4" customFormat="1">
      <c r="A613" s="4">
        <v>2246</v>
      </c>
      <c r="B613" s="4" t="s">
        <v>5534</v>
      </c>
      <c r="C613" s="4" t="s">
        <v>5631</v>
      </c>
      <c r="D613" s="4"/>
      <c r="E613" s="4"/>
      <c r="F613" s="4" t="s">
        <v>6512</v>
      </c>
      <c r="G613" s="4" t="s">
        <v>5632</v>
      </c>
      <c r="H613" s="4" t="s">
        <v>5634</v>
      </c>
      <c r="I613" s="5">
        <v>41375</v>
      </c>
      <c r="J613" s="4" t="s">
        <v>5506</v>
      </c>
      <c r="K613" s="4" t="s">
        <v>57</v>
      </c>
      <c r="L613" s="4"/>
      <c r="M613" s="4"/>
    </row>
    <row r="614" ht="16" customHeight="1" s="4" customFormat="1">
      <c r="A614" s="4">
        <v>2247</v>
      </c>
      <c r="B614" s="4" t="s">
        <v>5534</v>
      </c>
      <c r="C614" s="4" t="s">
        <v>5631</v>
      </c>
      <c r="D614" s="4"/>
      <c r="E614" s="4"/>
      <c r="F614" s="4" t="s">
        <v>6513</v>
      </c>
      <c r="G614" s="4" t="s">
        <v>5632</v>
      </c>
      <c r="H614" s="4" t="s">
        <v>5998</v>
      </c>
      <c r="I614" s="5">
        <v>41375</v>
      </c>
      <c r="J614" s="4" t="s">
        <v>5506</v>
      </c>
      <c r="K614" s="4" t="s">
        <v>57</v>
      </c>
      <c r="L614" s="4"/>
      <c r="M614" s="4"/>
    </row>
    <row r="615" ht="16" customHeight="1" s="4" customFormat="1">
      <c r="A615" s="4">
        <v>2248</v>
      </c>
      <c r="B615" s="4" t="s">
        <v>5534</v>
      </c>
      <c r="C615" s="4" t="s">
        <v>5631</v>
      </c>
      <c r="D615" s="4"/>
      <c r="E615" s="4"/>
      <c r="F615" s="4" t="s">
        <v>6514</v>
      </c>
      <c r="G615" s="4" t="s">
        <v>5632</v>
      </c>
      <c r="H615" s="4" t="s">
        <v>5634</v>
      </c>
      <c r="I615" s="5">
        <v>41375</v>
      </c>
      <c r="J615" s="4" t="s">
        <v>5506</v>
      </c>
      <c r="K615" s="4" t="s">
        <v>57</v>
      </c>
      <c r="L615" s="4"/>
      <c r="M615" s="4"/>
    </row>
    <row r="616" ht="16" customHeight="1" s="4" customFormat="1">
      <c r="A616" s="4">
        <v>2249</v>
      </c>
      <c r="B616" s="4" t="s">
        <v>5534</v>
      </c>
      <c r="C616" s="4" t="s">
        <v>5631</v>
      </c>
      <c r="D616" s="4"/>
      <c r="E616" s="4"/>
      <c r="F616" s="4" t="s">
        <v>6515</v>
      </c>
      <c r="G616" s="4" t="s">
        <v>5632</v>
      </c>
      <c r="H616" s="4" t="s">
        <v>5998</v>
      </c>
      <c r="I616" s="5">
        <v>41374</v>
      </c>
      <c r="J616" s="4" t="s">
        <v>5506</v>
      </c>
      <c r="K616" s="4" t="s">
        <v>57</v>
      </c>
      <c r="L616" s="4"/>
      <c r="M616" s="4"/>
    </row>
    <row r="617" ht="16" customHeight="1" s="4" customFormat="1">
      <c r="A617" s="4">
        <v>2250</v>
      </c>
      <c r="B617" s="4" t="s">
        <v>5499</v>
      </c>
      <c r="C617" s="4" t="s">
        <v>5573</v>
      </c>
      <c r="D617" s="4" t="s">
        <v>5574</v>
      </c>
      <c r="E617" s="4" t="s">
        <v>5575</v>
      </c>
      <c r="F617" s="4" t="s">
        <v>6516</v>
      </c>
      <c r="G617" s="4" t="s">
        <v>5984</v>
      </c>
      <c r="H617" s="4" t="s">
        <v>6517</v>
      </c>
      <c r="I617" s="5">
        <v>41372</v>
      </c>
      <c r="J617" s="4" t="s">
        <v>4842</v>
      </c>
      <c r="K617" s="4" t="s">
        <v>57</v>
      </c>
      <c r="L617" s="4"/>
      <c r="M617" s="4"/>
    </row>
    <row r="618" ht="16" customHeight="1" s="4" customFormat="1">
      <c r="A618" s="4">
        <v>2251</v>
      </c>
      <c r="B618" s="4" t="s">
        <v>5499</v>
      </c>
      <c r="C618" s="4" t="s">
        <v>5519</v>
      </c>
      <c r="D618" s="4"/>
      <c r="E618" s="4" t="s">
        <v>6079</v>
      </c>
      <c r="F618" s="4" t="s">
        <v>6518</v>
      </c>
      <c r="G618" s="4" t="s">
        <v>5984</v>
      </c>
      <c r="H618" s="4" t="s">
        <v>6519</v>
      </c>
      <c r="I618" s="5">
        <v>41359</v>
      </c>
      <c r="J618" s="4" t="s">
        <v>4798</v>
      </c>
      <c r="K618" s="4" t="s">
        <v>57</v>
      </c>
      <c r="L618" s="4"/>
      <c r="M618" s="4"/>
    </row>
    <row r="619" ht="16" customHeight="1" s="4" customFormat="1">
      <c r="A619" s="4">
        <v>2252</v>
      </c>
      <c r="B619" s="4" t="s">
        <v>5499</v>
      </c>
      <c r="C619" s="4" t="s">
        <v>5519</v>
      </c>
      <c r="D619" s="4"/>
      <c r="E619" s="4" t="s">
        <v>6083</v>
      </c>
      <c r="F619" s="4" t="s">
        <v>6520</v>
      </c>
      <c r="G619" s="4" t="s">
        <v>6114</v>
      </c>
      <c r="H619" s="4" t="s">
        <v>6114</v>
      </c>
      <c r="I619" s="5">
        <v>41359</v>
      </c>
      <c r="J619" s="4" t="s">
        <v>4798</v>
      </c>
      <c r="K619" s="4" t="s">
        <v>57</v>
      </c>
      <c r="L619" s="4"/>
      <c r="M619" s="4"/>
    </row>
    <row r="620" ht="16" customHeight="1" s="4" customFormat="1">
      <c r="A620" s="4">
        <v>2253</v>
      </c>
      <c r="B620" s="4" t="s">
        <v>5499</v>
      </c>
      <c r="C620" s="4" t="s">
        <v>5519</v>
      </c>
      <c r="D620" s="4"/>
      <c r="E620" s="4" t="s">
        <v>6083</v>
      </c>
      <c r="F620" s="4" t="s">
        <v>6521</v>
      </c>
      <c r="G620" s="4" t="s">
        <v>5984</v>
      </c>
      <c r="H620" s="4" t="s">
        <v>5984</v>
      </c>
      <c r="I620" s="5">
        <v>41359</v>
      </c>
      <c r="J620" s="4" t="s">
        <v>4798</v>
      </c>
      <c r="K620" s="4" t="s">
        <v>57</v>
      </c>
      <c r="L620" s="4"/>
      <c r="M620" s="4"/>
    </row>
    <row r="621" ht="16" customHeight="1" s="4" customFormat="1">
      <c r="A621" s="4">
        <v>2254</v>
      </c>
      <c r="B621" s="4" t="s">
        <v>5499</v>
      </c>
      <c r="C621" s="4" t="s">
        <v>5519</v>
      </c>
      <c r="D621" s="4"/>
      <c r="E621" s="4" t="s">
        <v>6083</v>
      </c>
      <c r="F621" s="4" t="s">
        <v>6522</v>
      </c>
      <c r="G621" s="4" t="s">
        <v>6114</v>
      </c>
      <c r="H621" s="4" t="s">
        <v>6114</v>
      </c>
      <c r="I621" s="5">
        <v>41359</v>
      </c>
      <c r="J621" s="4" t="s">
        <v>4798</v>
      </c>
      <c r="K621" s="4" t="s">
        <v>57</v>
      </c>
      <c r="L621" s="4"/>
      <c r="M621" s="4"/>
    </row>
    <row r="622" ht="16" customHeight="1" s="4" customFormat="1">
      <c r="A622" s="4">
        <v>2255</v>
      </c>
      <c r="B622" s="4" t="s">
        <v>5534</v>
      </c>
      <c r="C622" s="4" t="s">
        <v>5631</v>
      </c>
      <c r="D622" s="4"/>
      <c r="E622" s="4"/>
      <c r="F622" s="4" t="s">
        <v>6523</v>
      </c>
      <c r="G622" s="4" t="s">
        <v>6183</v>
      </c>
      <c r="H622" s="4" t="s">
        <v>6184</v>
      </c>
      <c r="I622" s="5">
        <v>41353</v>
      </c>
      <c r="J622" s="4" t="s">
        <v>5506</v>
      </c>
      <c r="K622" s="4" t="s">
        <v>57</v>
      </c>
      <c r="L622" s="4"/>
      <c r="M622" s="4"/>
    </row>
    <row r="623" ht="16" customHeight="1" s="4" customFormat="1">
      <c r="A623" s="4">
        <v>2256</v>
      </c>
      <c r="B623" s="4" t="s">
        <v>5534</v>
      </c>
      <c r="C623" s="4" t="s">
        <v>5773</v>
      </c>
      <c r="D623" s="4"/>
      <c r="E623" s="4"/>
      <c r="F623" s="4" t="s">
        <v>6524</v>
      </c>
      <c r="G623" s="4" t="s">
        <v>5778</v>
      </c>
      <c r="H623" s="4" t="s">
        <v>5984</v>
      </c>
      <c r="I623" s="5">
        <v>41351</v>
      </c>
      <c r="J623" s="4" t="s">
        <v>4798</v>
      </c>
      <c r="K623" s="4" t="s">
        <v>57</v>
      </c>
      <c r="L623" s="4"/>
      <c r="M623" s="4"/>
    </row>
    <row r="624" ht="16" customHeight="1" s="4" customFormat="1">
      <c r="A624" s="4">
        <v>2257</v>
      </c>
      <c r="B624" s="4" t="s">
        <v>5534</v>
      </c>
      <c r="C624" s="4" t="s">
        <v>5631</v>
      </c>
      <c r="D624" s="4"/>
      <c r="E624" s="4"/>
      <c r="F624" s="4" t="s">
        <v>6525</v>
      </c>
      <c r="G624" s="4" t="s">
        <v>5632</v>
      </c>
      <c r="H624" s="4" t="s">
        <v>5998</v>
      </c>
      <c r="I624" s="5">
        <v>41347</v>
      </c>
      <c r="J624" s="4" t="s">
        <v>5506</v>
      </c>
      <c r="K624" s="4" t="s">
        <v>57</v>
      </c>
      <c r="L624" s="4"/>
      <c r="M624" s="4"/>
    </row>
    <row r="625" ht="16" customHeight="1" s="4" customFormat="1">
      <c r="A625" s="4">
        <v>2258</v>
      </c>
      <c r="B625" s="4" t="s">
        <v>5534</v>
      </c>
      <c r="C625" s="4" t="s">
        <v>5631</v>
      </c>
      <c r="D625" s="4"/>
      <c r="E625" s="4"/>
      <c r="F625" s="4" t="s">
        <v>6526</v>
      </c>
      <c r="G625" s="4" t="s">
        <v>5632</v>
      </c>
      <c r="H625" s="4" t="s">
        <v>5634</v>
      </c>
      <c r="I625" s="5">
        <v>41347</v>
      </c>
      <c r="J625" s="4" t="s">
        <v>5506</v>
      </c>
      <c r="K625" s="4" t="s">
        <v>57</v>
      </c>
      <c r="L625" s="4"/>
      <c r="M625" s="4"/>
    </row>
    <row r="626" ht="16" customHeight="1" s="4" customFormat="1">
      <c r="A626" s="4">
        <v>2259</v>
      </c>
      <c r="B626" s="4" t="s">
        <v>5534</v>
      </c>
      <c r="C626" s="4" t="s">
        <v>5631</v>
      </c>
      <c r="D626" s="4"/>
      <c r="E626" s="4"/>
      <c r="F626" s="4" t="s">
        <v>6527</v>
      </c>
      <c r="G626" s="4" t="s">
        <v>5632</v>
      </c>
      <c r="H626" s="4" t="s">
        <v>5636</v>
      </c>
      <c r="I626" s="5">
        <v>41347</v>
      </c>
      <c r="J626" s="4" t="s">
        <v>5506</v>
      </c>
      <c r="K626" s="4" t="s">
        <v>57</v>
      </c>
      <c r="L626" s="4"/>
      <c r="M626" s="4"/>
    </row>
    <row r="627" ht="16" customHeight="1" s="4" customFormat="1">
      <c r="A627" s="4">
        <v>2260</v>
      </c>
      <c r="B627" s="4" t="s">
        <v>5534</v>
      </c>
      <c r="C627" s="4" t="s">
        <v>5631</v>
      </c>
      <c r="D627" s="4"/>
      <c r="E627" s="4"/>
      <c r="F627" s="4" t="s">
        <v>6528</v>
      </c>
      <c r="G627" s="4" t="s">
        <v>5632</v>
      </c>
      <c r="H627" s="4" t="s">
        <v>5636</v>
      </c>
      <c r="I627" s="5">
        <v>41347</v>
      </c>
      <c r="J627" s="4" t="s">
        <v>5506</v>
      </c>
      <c r="K627" s="4" t="s">
        <v>57</v>
      </c>
      <c r="L627" s="4"/>
      <c r="M627" s="4"/>
    </row>
    <row r="628" ht="16" customHeight="1" s="4" customFormat="1">
      <c r="A628" s="4">
        <v>2261</v>
      </c>
      <c r="B628" s="4" t="s">
        <v>5534</v>
      </c>
      <c r="C628" s="4" t="s">
        <v>5631</v>
      </c>
      <c r="D628" s="4"/>
      <c r="E628" s="4"/>
      <c r="F628" s="4" t="s">
        <v>6529</v>
      </c>
      <c r="G628" s="4" t="s">
        <v>5632</v>
      </c>
      <c r="H628" s="4" t="s">
        <v>5634</v>
      </c>
      <c r="I628" s="5">
        <v>41347</v>
      </c>
      <c r="J628" s="4" t="s">
        <v>5506</v>
      </c>
      <c r="K628" s="4" t="s">
        <v>57</v>
      </c>
      <c r="L628" s="4"/>
      <c r="M628" s="4"/>
    </row>
    <row r="629" ht="16" customHeight="1" s="4" customFormat="1">
      <c r="A629" s="4">
        <v>2262</v>
      </c>
      <c r="B629" s="4" t="s">
        <v>5499</v>
      </c>
      <c r="C629" s="4" t="s">
        <v>5519</v>
      </c>
      <c r="D629" s="4"/>
      <c r="E629" s="4" t="s">
        <v>6079</v>
      </c>
      <c r="F629" s="4" t="s">
        <v>6530</v>
      </c>
      <c r="G629" s="4" t="s">
        <v>6531</v>
      </c>
      <c r="H629" s="4" t="s">
        <v>5511</v>
      </c>
      <c r="I629" s="5">
        <v>41344</v>
      </c>
      <c r="J629" s="4" t="s">
        <v>4798</v>
      </c>
      <c r="K629" s="4" t="s">
        <v>57</v>
      </c>
      <c r="L629" s="4"/>
      <c r="M629" s="4"/>
    </row>
    <row r="630" ht="16" customHeight="1" s="4" customFormat="1">
      <c r="A630" s="4">
        <v>2263</v>
      </c>
      <c r="B630" s="4" t="s">
        <v>5499</v>
      </c>
      <c r="C630" s="4" t="s">
        <v>5519</v>
      </c>
      <c r="D630" s="4"/>
      <c r="E630" s="4" t="s">
        <v>5580</v>
      </c>
      <c r="F630" s="4" t="s">
        <v>6532</v>
      </c>
      <c r="G630" s="4" t="s">
        <v>6531</v>
      </c>
      <c r="H630" s="4" t="s">
        <v>5511</v>
      </c>
      <c r="I630" s="5">
        <v>41344</v>
      </c>
      <c r="J630" s="4" t="s">
        <v>4798</v>
      </c>
      <c r="K630" s="4" t="s">
        <v>57</v>
      </c>
      <c r="L630" s="4"/>
      <c r="M630" s="4"/>
    </row>
    <row r="631" ht="16" customHeight="1" s="4" customFormat="1">
      <c r="A631" s="4">
        <v>2264</v>
      </c>
      <c r="B631" s="4" t="s">
        <v>6161</v>
      </c>
      <c r="C631" s="4" t="s">
        <v>6162</v>
      </c>
      <c r="D631" s="4" t="s">
        <v>5728</v>
      </c>
      <c r="E631" s="4" t="s">
        <v>5729</v>
      </c>
      <c r="F631" s="4" t="s">
        <v>6533</v>
      </c>
      <c r="G631" s="4" t="s">
        <v>5984</v>
      </c>
      <c r="H631" s="4" t="s">
        <v>6414</v>
      </c>
      <c r="I631" s="5">
        <v>41341</v>
      </c>
      <c r="J631" s="4" t="s">
        <v>4842</v>
      </c>
      <c r="K631" s="4" t="s">
        <v>57</v>
      </c>
      <c r="L631" s="4"/>
      <c r="M631" s="4"/>
    </row>
    <row r="632" ht="16" customHeight="1" s="4" customFormat="1">
      <c r="A632" s="4">
        <v>2265</v>
      </c>
      <c r="B632" s="4" t="s">
        <v>6161</v>
      </c>
      <c r="C632" s="4" t="s">
        <v>6162</v>
      </c>
      <c r="D632" s="4" t="s">
        <v>5728</v>
      </c>
      <c r="E632" s="4" t="s">
        <v>5729</v>
      </c>
      <c r="F632" s="4" t="s">
        <v>6534</v>
      </c>
      <c r="G632" s="4" t="s">
        <v>6535</v>
      </c>
      <c r="H632" s="4" t="s">
        <v>6005</v>
      </c>
      <c r="I632" s="5">
        <v>41341</v>
      </c>
      <c r="J632" s="4" t="s">
        <v>4798</v>
      </c>
      <c r="K632" s="4" t="s">
        <v>57</v>
      </c>
      <c r="L632" s="4"/>
      <c r="M632" s="4"/>
    </row>
    <row r="633" ht="16" customHeight="1" s="4" customFormat="1">
      <c r="A633" s="4">
        <v>2266</v>
      </c>
      <c r="B633" s="4" t="s">
        <v>5534</v>
      </c>
      <c r="C633" s="4" t="s">
        <v>5631</v>
      </c>
      <c r="D633" s="4"/>
      <c r="E633" s="4"/>
      <c r="F633" s="4" t="s">
        <v>6536</v>
      </c>
      <c r="G633" s="4" t="s">
        <v>5632</v>
      </c>
      <c r="H633" s="4" t="s">
        <v>5998</v>
      </c>
      <c r="I633" s="5">
        <v>41339</v>
      </c>
      <c r="J633" s="4" t="s">
        <v>5506</v>
      </c>
      <c r="K633" s="4" t="s">
        <v>57</v>
      </c>
      <c r="L633" s="4"/>
      <c r="M633" s="4"/>
    </row>
    <row r="634" ht="16" customHeight="1" s="4" customFormat="1">
      <c r="A634" s="4">
        <v>2267</v>
      </c>
      <c r="B634" s="4" t="s">
        <v>5534</v>
      </c>
      <c r="C634" s="4" t="s">
        <v>5631</v>
      </c>
      <c r="D634" s="4"/>
      <c r="E634" s="4"/>
      <c r="F634" s="4" t="s">
        <v>6537</v>
      </c>
      <c r="G634" s="4" t="s">
        <v>5632</v>
      </c>
      <c r="H634" s="4" t="s">
        <v>5634</v>
      </c>
      <c r="I634" s="5">
        <v>41339</v>
      </c>
      <c r="J634" s="4" t="s">
        <v>5506</v>
      </c>
      <c r="K634" s="4" t="s">
        <v>57</v>
      </c>
      <c r="L634" s="4"/>
      <c r="M634" s="4"/>
    </row>
    <row r="635" ht="16" customHeight="1" s="4" customFormat="1">
      <c r="A635" s="4">
        <v>2268</v>
      </c>
      <c r="B635" s="4" t="s">
        <v>5534</v>
      </c>
      <c r="C635" s="4" t="s">
        <v>5631</v>
      </c>
      <c r="D635" s="4"/>
      <c r="E635" s="4"/>
      <c r="F635" s="4" t="s">
        <v>6538</v>
      </c>
      <c r="G635" s="4" t="s">
        <v>6183</v>
      </c>
      <c r="H635" s="4" t="s">
        <v>6184</v>
      </c>
      <c r="I635" s="5">
        <v>41334</v>
      </c>
      <c r="J635" s="4" t="s">
        <v>5506</v>
      </c>
      <c r="K635" s="4" t="s">
        <v>57</v>
      </c>
      <c r="L635" s="4"/>
      <c r="M635" s="4"/>
    </row>
    <row r="636" ht="16" customHeight="1" s="4" customFormat="1">
      <c r="A636" s="4">
        <v>2269</v>
      </c>
      <c r="B636" s="4" t="s">
        <v>5499</v>
      </c>
      <c r="C636" s="4" t="s">
        <v>5519</v>
      </c>
      <c r="D636" s="4"/>
      <c r="E636" s="4" t="s">
        <v>5641</v>
      </c>
      <c r="F636" s="4" t="s">
        <v>6539</v>
      </c>
      <c r="G636" s="4" t="s">
        <v>6540</v>
      </c>
      <c r="H636" s="4" t="s">
        <v>6541</v>
      </c>
      <c r="I636" s="5">
        <v>41332</v>
      </c>
      <c r="J636" s="4" t="s">
        <v>4798</v>
      </c>
      <c r="K636" s="4" t="s">
        <v>57</v>
      </c>
      <c r="L636" s="4"/>
      <c r="M636" s="4"/>
    </row>
    <row r="637" ht="16" customHeight="1" s="4" customFormat="1">
      <c r="A637" s="4">
        <v>2270</v>
      </c>
      <c r="B637" s="4" t="s">
        <v>5499</v>
      </c>
      <c r="C637" s="4" t="s">
        <v>5519</v>
      </c>
      <c r="D637" s="4"/>
      <c r="E637" s="4" t="s">
        <v>6094</v>
      </c>
      <c r="F637" s="4" t="s">
        <v>6542</v>
      </c>
      <c r="G637" s="4" t="s">
        <v>5984</v>
      </c>
      <c r="H637" s="4" t="s">
        <v>5984</v>
      </c>
      <c r="I637" s="5">
        <v>41332</v>
      </c>
      <c r="J637" s="4" t="s">
        <v>4798</v>
      </c>
      <c r="K637" s="4" t="s">
        <v>57</v>
      </c>
      <c r="L637" s="4"/>
      <c r="M637" s="4"/>
    </row>
    <row r="638" ht="16" customHeight="1" s="4" customFormat="1">
      <c r="A638" s="4">
        <v>2271</v>
      </c>
      <c r="B638" s="4" t="s">
        <v>5499</v>
      </c>
      <c r="C638" s="4" t="s">
        <v>5519</v>
      </c>
      <c r="D638" s="4"/>
      <c r="E638" s="4" t="s">
        <v>6094</v>
      </c>
      <c r="F638" s="4" t="s">
        <v>6543</v>
      </c>
      <c r="G638" s="4" t="s">
        <v>6114</v>
      </c>
      <c r="H638" s="4" t="s">
        <v>6114</v>
      </c>
      <c r="I638" s="5">
        <v>41332</v>
      </c>
      <c r="J638" s="4" t="s">
        <v>4798</v>
      </c>
      <c r="K638" s="4" t="s">
        <v>57</v>
      </c>
      <c r="L638" s="4"/>
      <c r="M638" s="4"/>
    </row>
    <row r="639" ht="16" customHeight="1" s="4" customFormat="1">
      <c r="A639" s="4">
        <v>2272</v>
      </c>
      <c r="B639" s="4" t="s">
        <v>5499</v>
      </c>
      <c r="C639" s="4" t="s">
        <v>5519</v>
      </c>
      <c r="D639" s="4"/>
      <c r="E639" s="4" t="s">
        <v>6094</v>
      </c>
      <c r="F639" s="4" t="s">
        <v>6544</v>
      </c>
      <c r="G639" s="4" t="s">
        <v>5984</v>
      </c>
      <c r="H639" s="4" t="s">
        <v>5984</v>
      </c>
      <c r="I639" s="5">
        <v>41332</v>
      </c>
      <c r="J639" s="4" t="s">
        <v>4798</v>
      </c>
      <c r="K639" s="4" t="s">
        <v>57</v>
      </c>
      <c r="L639" s="4"/>
      <c r="M639" s="4"/>
    </row>
    <row r="640" ht="16" customHeight="1" s="4" customFormat="1">
      <c r="A640" s="4">
        <v>2273</v>
      </c>
      <c r="B640" s="4" t="s">
        <v>5534</v>
      </c>
      <c r="C640" s="4" t="s">
        <v>5631</v>
      </c>
      <c r="D640" s="4"/>
      <c r="E640" s="4"/>
      <c r="F640" s="4" t="s">
        <v>6545</v>
      </c>
      <c r="G640" s="4" t="s">
        <v>5632</v>
      </c>
      <c r="H640" s="4" t="s">
        <v>5636</v>
      </c>
      <c r="I640" s="5">
        <v>41325</v>
      </c>
      <c r="J640" s="4" t="s">
        <v>5506</v>
      </c>
      <c r="K640" s="4" t="s">
        <v>57</v>
      </c>
      <c r="L640" s="4"/>
      <c r="M640" s="4"/>
    </row>
    <row r="641" ht="16" customHeight="1" s="4" customFormat="1">
      <c r="A641" s="4">
        <v>2274</v>
      </c>
      <c r="B641" s="4" t="s">
        <v>5534</v>
      </c>
      <c r="C641" s="4" t="s">
        <v>5631</v>
      </c>
      <c r="D641" s="4"/>
      <c r="E641" s="4"/>
      <c r="F641" s="4" t="s">
        <v>6546</v>
      </c>
      <c r="G641" s="4" t="s">
        <v>5632</v>
      </c>
      <c r="H641" s="4" t="s">
        <v>5636</v>
      </c>
      <c r="I641" s="5">
        <v>41325</v>
      </c>
      <c r="J641" s="4" t="s">
        <v>5506</v>
      </c>
      <c r="K641" s="4" t="s">
        <v>57</v>
      </c>
      <c r="L641" s="4"/>
      <c r="M641" s="4"/>
    </row>
    <row r="642" ht="16" customHeight="1" s="4" customFormat="1">
      <c r="A642" s="4">
        <v>2275</v>
      </c>
      <c r="B642" s="4" t="s">
        <v>5534</v>
      </c>
      <c r="C642" s="4" t="s">
        <v>5631</v>
      </c>
      <c r="D642" s="4"/>
      <c r="E642" s="4"/>
      <c r="F642" s="4" t="s">
        <v>6547</v>
      </c>
      <c r="G642" s="4" t="s">
        <v>5632</v>
      </c>
      <c r="H642" s="4" t="s">
        <v>5634</v>
      </c>
      <c r="I642" s="5">
        <v>41325</v>
      </c>
      <c r="J642" s="4" t="s">
        <v>5506</v>
      </c>
      <c r="K642" s="4" t="s">
        <v>57</v>
      </c>
      <c r="L642" s="4"/>
      <c r="M642" s="4"/>
    </row>
    <row r="643" ht="16" customHeight="1" s="4" customFormat="1">
      <c r="A643" s="4">
        <v>2276</v>
      </c>
      <c r="B643" s="4" t="s">
        <v>5534</v>
      </c>
      <c r="C643" s="4" t="s">
        <v>5631</v>
      </c>
      <c r="D643" s="4"/>
      <c r="E643" s="4"/>
      <c r="F643" s="4" t="s">
        <v>6548</v>
      </c>
      <c r="G643" s="4" t="s">
        <v>5632</v>
      </c>
      <c r="H643" s="4" t="s">
        <v>5634</v>
      </c>
      <c r="I643" s="5">
        <v>41324</v>
      </c>
      <c r="J643" s="4" t="s">
        <v>5506</v>
      </c>
      <c r="K643" s="4" t="s">
        <v>57</v>
      </c>
      <c r="L643" s="4"/>
      <c r="M643" s="4"/>
    </row>
    <row r="644" ht="16" customHeight="1" s="4" customFormat="1">
      <c r="A644" s="4">
        <v>2277</v>
      </c>
      <c r="B644" s="4" t="s">
        <v>5534</v>
      </c>
      <c r="C644" s="4" t="s">
        <v>5631</v>
      </c>
      <c r="D644" s="4"/>
      <c r="E644" s="4"/>
      <c r="F644" s="4" t="s">
        <v>6549</v>
      </c>
      <c r="G644" s="4" t="s">
        <v>5632</v>
      </c>
      <c r="H644" s="4" t="s">
        <v>5998</v>
      </c>
      <c r="I644" s="5">
        <v>41324</v>
      </c>
      <c r="J644" s="4" t="s">
        <v>5506</v>
      </c>
      <c r="K644" s="4" t="s">
        <v>57</v>
      </c>
      <c r="L644" s="4"/>
      <c r="M644" s="4"/>
    </row>
    <row r="645" ht="16" customHeight="1" s="4" customFormat="1">
      <c r="A645" s="4">
        <v>2298</v>
      </c>
      <c r="B645" s="4" t="s">
        <v>5499</v>
      </c>
      <c r="C645" s="4" t="s">
        <v>5519</v>
      </c>
      <c r="D645" s="4"/>
      <c r="E645" s="4" t="s">
        <v>5676</v>
      </c>
      <c r="F645" s="4" t="s">
        <v>6550</v>
      </c>
      <c r="G645" s="4" t="s">
        <v>6551</v>
      </c>
      <c r="H645" s="4" t="s">
        <v>5984</v>
      </c>
      <c r="I645" s="5">
        <v>41281</v>
      </c>
      <c r="J645" s="4" t="s">
        <v>4798</v>
      </c>
      <c r="K645" s="4" t="s">
        <v>57</v>
      </c>
      <c r="L645" s="4"/>
      <c r="M645" s="4"/>
    </row>
    <row r="646" ht="16" customHeight="1" s="4" customFormat="1">
      <c r="A646" s="4">
        <v>2278</v>
      </c>
      <c r="B646" s="4" t="s">
        <v>5534</v>
      </c>
      <c r="C646" s="4" t="s">
        <v>5631</v>
      </c>
      <c r="D646" s="4"/>
      <c r="E646" s="4"/>
      <c r="F646" s="4" t="s">
        <v>6552</v>
      </c>
      <c r="G646" s="4" t="s">
        <v>6183</v>
      </c>
      <c r="H646" s="4" t="s">
        <v>6184</v>
      </c>
      <c r="I646" s="5">
        <v>41323</v>
      </c>
      <c r="J646" s="4" t="s">
        <v>5506</v>
      </c>
      <c r="K646" s="4" t="s">
        <v>57</v>
      </c>
      <c r="L646" s="4"/>
      <c r="M646" s="4"/>
    </row>
    <row r="647" ht="16" customHeight="1" s="4" customFormat="1">
      <c r="A647" s="4">
        <v>2279</v>
      </c>
      <c r="B647" s="4" t="s">
        <v>5499</v>
      </c>
      <c r="C647" s="4" t="s">
        <v>5519</v>
      </c>
      <c r="D647" s="4"/>
      <c r="E647" s="4" t="s">
        <v>5580</v>
      </c>
      <c r="F647" s="4" t="s">
        <v>6553</v>
      </c>
      <c r="G647" s="4" t="s">
        <v>6554</v>
      </c>
      <c r="H647" s="4" t="s">
        <v>6555</v>
      </c>
      <c r="I647" s="5">
        <v>41323</v>
      </c>
      <c r="J647" s="4" t="s">
        <v>4798</v>
      </c>
      <c r="K647" s="4" t="s">
        <v>57</v>
      </c>
      <c r="L647" s="4"/>
      <c r="M647" s="4"/>
    </row>
    <row r="648" ht="16" customHeight="1" s="4" customFormat="1">
      <c r="A648" s="4">
        <v>2280</v>
      </c>
      <c r="B648" s="4" t="s">
        <v>5499</v>
      </c>
      <c r="C648" s="4" t="s">
        <v>5519</v>
      </c>
      <c r="D648" s="4"/>
      <c r="E648" s="4" t="s">
        <v>5641</v>
      </c>
      <c r="F648" s="4" t="s">
        <v>6556</v>
      </c>
      <c r="G648" s="4" t="s">
        <v>6557</v>
      </c>
      <c r="H648" s="4" t="s">
        <v>5984</v>
      </c>
      <c r="I648" s="5">
        <v>41319</v>
      </c>
      <c r="J648" s="4" t="s">
        <v>4798</v>
      </c>
      <c r="K648" s="4" t="s">
        <v>57</v>
      </c>
      <c r="L648" s="4"/>
      <c r="M648" s="4"/>
    </row>
    <row r="649" ht="16" customHeight="1" s="4" customFormat="1">
      <c r="A649" s="4">
        <v>2281</v>
      </c>
      <c r="B649" s="4" t="s">
        <v>5499</v>
      </c>
      <c r="C649" s="4" t="s">
        <v>5519</v>
      </c>
      <c r="D649" s="4"/>
      <c r="E649" s="4" t="s">
        <v>5641</v>
      </c>
      <c r="F649" s="4" t="s">
        <v>6558</v>
      </c>
      <c r="G649" s="4" t="s">
        <v>6000</v>
      </c>
      <c r="H649" s="4" t="s">
        <v>5984</v>
      </c>
      <c r="I649" s="5">
        <v>41319</v>
      </c>
      <c r="J649" s="4" t="s">
        <v>4798</v>
      </c>
      <c r="K649" s="4" t="s">
        <v>57</v>
      </c>
      <c r="L649" s="4"/>
      <c r="M649" s="4"/>
    </row>
    <row r="650" ht="16" customHeight="1" s="4" customFormat="1">
      <c r="A650" s="4">
        <v>2282</v>
      </c>
      <c r="B650" s="4" t="s">
        <v>5499</v>
      </c>
      <c r="C650" s="4" t="s">
        <v>5519</v>
      </c>
      <c r="D650" s="4"/>
      <c r="E650" s="4" t="s">
        <v>5580</v>
      </c>
      <c r="F650" s="4" t="s">
        <v>6559</v>
      </c>
      <c r="G650" s="4" t="s">
        <v>6000</v>
      </c>
      <c r="H650" s="4" t="s">
        <v>5984</v>
      </c>
      <c r="I650" s="5">
        <v>41319</v>
      </c>
      <c r="J650" s="4" t="s">
        <v>4798</v>
      </c>
      <c r="K650" s="4" t="s">
        <v>57</v>
      </c>
      <c r="L650" s="4"/>
      <c r="M650" s="4"/>
    </row>
    <row r="651" ht="16" customHeight="1" s="4" customFormat="1">
      <c r="A651" s="4">
        <v>2283</v>
      </c>
      <c r="B651" s="4" t="s">
        <v>5499</v>
      </c>
      <c r="C651" s="4" t="s">
        <v>5519</v>
      </c>
      <c r="D651" s="4"/>
      <c r="E651" s="4" t="s">
        <v>5580</v>
      </c>
      <c r="F651" s="4" t="s">
        <v>6560</v>
      </c>
      <c r="G651" s="4" t="s">
        <v>6000</v>
      </c>
      <c r="H651" s="4" t="s">
        <v>5984</v>
      </c>
      <c r="I651" s="5">
        <v>41319</v>
      </c>
      <c r="J651" s="4" t="s">
        <v>4798</v>
      </c>
      <c r="K651" s="4" t="s">
        <v>57</v>
      </c>
      <c r="L651" s="4"/>
      <c r="M651" s="4"/>
    </row>
    <row r="652" ht="16" customHeight="1" s="4" customFormat="1">
      <c r="A652" s="4">
        <v>2284</v>
      </c>
      <c r="B652" s="4" t="s">
        <v>5499</v>
      </c>
      <c r="C652" s="4" t="s">
        <v>5519</v>
      </c>
      <c r="D652" s="4"/>
      <c r="E652" s="4" t="s">
        <v>6146</v>
      </c>
      <c r="F652" s="4" t="s">
        <v>6561</v>
      </c>
      <c r="G652" s="4" t="s">
        <v>6557</v>
      </c>
      <c r="H652" s="4" t="s">
        <v>5984</v>
      </c>
      <c r="I652" s="5">
        <v>41319</v>
      </c>
      <c r="J652" s="4" t="s">
        <v>4798</v>
      </c>
      <c r="K652" s="4" t="s">
        <v>57</v>
      </c>
      <c r="L652" s="4"/>
      <c r="M652" s="4"/>
    </row>
    <row r="653" ht="16" customHeight="1" s="4" customFormat="1">
      <c r="A653" s="4">
        <v>2285</v>
      </c>
      <c r="B653" s="4" t="s">
        <v>5499</v>
      </c>
      <c r="C653" s="4" t="s">
        <v>5519</v>
      </c>
      <c r="D653" s="4"/>
      <c r="E653" s="4" t="s">
        <v>6146</v>
      </c>
      <c r="F653" s="4" t="s">
        <v>6562</v>
      </c>
      <c r="G653" s="4" t="s">
        <v>6000</v>
      </c>
      <c r="H653" s="4" t="s">
        <v>5984</v>
      </c>
      <c r="I653" s="5">
        <v>41319</v>
      </c>
      <c r="J653" s="4" t="s">
        <v>4798</v>
      </c>
      <c r="K653" s="4" t="s">
        <v>57</v>
      </c>
      <c r="L653" s="4"/>
      <c r="M653" s="4"/>
    </row>
    <row r="654" ht="16" customHeight="1" s="4" customFormat="1">
      <c r="A654" s="4">
        <v>2286</v>
      </c>
      <c r="B654" s="4" t="s">
        <v>5499</v>
      </c>
      <c r="C654" s="4" t="s">
        <v>5519</v>
      </c>
      <c r="D654" s="4"/>
      <c r="E654" s="4" t="s">
        <v>5676</v>
      </c>
      <c r="F654" s="4" t="s">
        <v>6563</v>
      </c>
      <c r="G654" s="4" t="s">
        <v>6000</v>
      </c>
      <c r="H654" s="4" t="s">
        <v>5984</v>
      </c>
      <c r="I654" s="5">
        <v>41319</v>
      </c>
      <c r="J654" s="4" t="s">
        <v>4798</v>
      </c>
      <c r="K654" s="4" t="s">
        <v>57</v>
      </c>
      <c r="L654" s="4"/>
      <c r="M654" s="4"/>
    </row>
    <row r="655" ht="16" customHeight="1" s="4" customFormat="1">
      <c r="A655" s="4">
        <v>2287</v>
      </c>
      <c r="B655" s="4" t="s">
        <v>5499</v>
      </c>
      <c r="C655" s="4" t="s">
        <v>5519</v>
      </c>
      <c r="D655" s="4"/>
      <c r="E655" s="4" t="s">
        <v>5676</v>
      </c>
      <c r="F655" s="4" t="s">
        <v>6564</v>
      </c>
      <c r="G655" s="4" t="s">
        <v>6000</v>
      </c>
      <c r="H655" s="4" t="s">
        <v>5984</v>
      </c>
      <c r="I655" s="5">
        <v>41319</v>
      </c>
      <c r="J655" s="4" t="s">
        <v>4798</v>
      </c>
      <c r="K655" s="4" t="s">
        <v>57</v>
      </c>
      <c r="L655" s="4"/>
      <c r="M655" s="4"/>
    </row>
    <row r="656" ht="16" customHeight="1" s="4" customFormat="1">
      <c r="A656" s="4">
        <v>2288</v>
      </c>
      <c r="B656" s="4" t="s">
        <v>5534</v>
      </c>
      <c r="C656" s="4" t="s">
        <v>5773</v>
      </c>
      <c r="D656" s="4"/>
      <c r="E656" s="4"/>
      <c r="F656" s="4" t="s">
        <v>6565</v>
      </c>
      <c r="G656" s="4" t="s">
        <v>6566</v>
      </c>
      <c r="H656" s="4" t="s">
        <v>6041</v>
      </c>
      <c r="I656" s="5">
        <v>41306</v>
      </c>
      <c r="J656" s="4" t="s">
        <v>5506</v>
      </c>
      <c r="K656" s="4" t="s">
        <v>57</v>
      </c>
      <c r="L656" s="4"/>
      <c r="M656" s="4"/>
    </row>
    <row r="657" ht="16" customHeight="1" s="4" customFormat="1">
      <c r="A657" s="4">
        <v>2289</v>
      </c>
      <c r="B657" s="4" t="s">
        <v>5534</v>
      </c>
      <c r="C657" s="4" t="s">
        <v>5631</v>
      </c>
      <c r="D657" s="4"/>
      <c r="E657" s="4"/>
      <c r="F657" s="4" t="s">
        <v>6567</v>
      </c>
      <c r="G657" s="4" t="s">
        <v>5632</v>
      </c>
      <c r="H657" s="4" t="s">
        <v>5634</v>
      </c>
      <c r="I657" s="5">
        <v>41296</v>
      </c>
      <c r="J657" s="4" t="s">
        <v>5506</v>
      </c>
      <c r="K657" s="4" t="s">
        <v>57</v>
      </c>
      <c r="L657" s="4"/>
      <c r="M657" s="4"/>
    </row>
    <row r="658" ht="16" customHeight="1" s="4" customFormat="1">
      <c r="A658" s="4">
        <v>2290</v>
      </c>
      <c r="B658" s="4" t="s">
        <v>5534</v>
      </c>
      <c r="C658" s="4" t="s">
        <v>5631</v>
      </c>
      <c r="D658" s="4"/>
      <c r="E658" s="4"/>
      <c r="F658" s="4" t="s">
        <v>6568</v>
      </c>
      <c r="G658" s="4" t="s">
        <v>5632</v>
      </c>
      <c r="H658" s="4" t="s">
        <v>5998</v>
      </c>
      <c r="I658" s="5">
        <v>41296</v>
      </c>
      <c r="J658" s="4" t="s">
        <v>5506</v>
      </c>
      <c r="K658" s="4" t="s">
        <v>57</v>
      </c>
      <c r="L658" s="4"/>
      <c r="M658" s="4"/>
    </row>
    <row r="659" ht="16" customHeight="1" s="4" customFormat="1">
      <c r="A659" s="4">
        <v>2291</v>
      </c>
      <c r="B659" s="4" t="s">
        <v>5534</v>
      </c>
      <c r="C659" s="4" t="s">
        <v>5631</v>
      </c>
      <c r="D659" s="4"/>
      <c r="E659" s="4"/>
      <c r="F659" s="4" t="s">
        <v>6569</v>
      </c>
      <c r="G659" s="4" t="s">
        <v>6183</v>
      </c>
      <c r="H659" s="4" t="s">
        <v>6184</v>
      </c>
      <c r="I659" s="5">
        <v>41290</v>
      </c>
      <c r="J659" s="4" t="s">
        <v>5506</v>
      </c>
      <c r="K659" s="4" t="s">
        <v>57</v>
      </c>
      <c r="L659" s="4"/>
      <c r="M659" s="4"/>
    </row>
    <row r="660" ht="16" customHeight="1" s="4" customFormat="1">
      <c r="A660" s="4">
        <v>2292</v>
      </c>
      <c r="B660" s="4" t="s">
        <v>5499</v>
      </c>
      <c r="C660" s="4" t="s">
        <v>5519</v>
      </c>
      <c r="D660" s="4"/>
      <c r="E660" s="4" t="s">
        <v>6570</v>
      </c>
      <c r="F660" s="4" t="s">
        <v>6571</v>
      </c>
      <c r="G660" s="4" t="s">
        <v>6572</v>
      </c>
      <c r="H660" s="4" t="s">
        <v>6572</v>
      </c>
      <c r="I660" s="5">
        <v>41289</v>
      </c>
      <c r="J660" s="4" t="s">
        <v>4798</v>
      </c>
      <c r="K660" s="4" t="s">
        <v>57</v>
      </c>
      <c r="L660" s="4"/>
      <c r="M660" s="4"/>
    </row>
    <row r="661" ht="16" customHeight="1" s="4" customFormat="1">
      <c r="A661" s="4">
        <v>2293</v>
      </c>
      <c r="B661" s="4" t="s">
        <v>5499</v>
      </c>
      <c r="C661" s="4" t="s">
        <v>5519</v>
      </c>
      <c r="D661" s="4"/>
      <c r="E661" s="4" t="s">
        <v>6570</v>
      </c>
      <c r="F661" s="4" t="s">
        <v>6573</v>
      </c>
      <c r="G661" s="4" t="s">
        <v>6572</v>
      </c>
      <c r="H661" s="4" t="s">
        <v>6572</v>
      </c>
      <c r="I661" s="5">
        <v>41289</v>
      </c>
      <c r="J661" s="4" t="s">
        <v>4798</v>
      </c>
      <c r="K661" s="4" t="s">
        <v>57</v>
      </c>
      <c r="L661" s="4"/>
      <c r="M661" s="4"/>
    </row>
    <row r="662" ht="16" customHeight="1" s="4" customFormat="1">
      <c r="A662" s="4">
        <v>2294</v>
      </c>
      <c r="B662" s="4" t="s">
        <v>5499</v>
      </c>
      <c r="C662" s="4" t="s">
        <v>5519</v>
      </c>
      <c r="D662" s="4"/>
      <c r="E662" s="4" t="s">
        <v>6574</v>
      </c>
      <c r="F662" s="4" t="s">
        <v>6575</v>
      </c>
      <c r="G662" s="4" t="s">
        <v>5984</v>
      </c>
      <c r="H662" s="4" t="s">
        <v>5984</v>
      </c>
      <c r="I662" s="5">
        <v>41285</v>
      </c>
      <c r="J662" s="4" t="s">
        <v>4798</v>
      </c>
      <c r="K662" s="4" t="s">
        <v>57</v>
      </c>
      <c r="L662" s="4"/>
      <c r="M662" s="4"/>
    </row>
    <row r="663" ht="16" customHeight="1" s="4" customFormat="1">
      <c r="A663" s="4">
        <v>2295</v>
      </c>
      <c r="B663" s="4" t="s">
        <v>5499</v>
      </c>
      <c r="C663" s="4" t="s">
        <v>5519</v>
      </c>
      <c r="D663" s="4"/>
      <c r="E663" s="4" t="s">
        <v>6574</v>
      </c>
      <c r="F663" s="4" t="s">
        <v>6576</v>
      </c>
      <c r="G663" s="4" t="s">
        <v>5984</v>
      </c>
      <c r="H663" s="4" t="s">
        <v>5984</v>
      </c>
      <c r="I663" s="5">
        <v>41285</v>
      </c>
      <c r="J663" s="4" t="s">
        <v>4798</v>
      </c>
      <c r="K663" s="4" t="s">
        <v>57</v>
      </c>
      <c r="L663" s="4"/>
      <c r="M663" s="4"/>
    </row>
    <row r="664" ht="16" customHeight="1" s="4" customFormat="1">
      <c r="A664" s="4">
        <v>2296</v>
      </c>
      <c r="B664" s="4" t="s">
        <v>5499</v>
      </c>
      <c r="C664" s="4" t="s">
        <v>5519</v>
      </c>
      <c r="D664" s="4"/>
      <c r="E664" s="4" t="s">
        <v>5580</v>
      </c>
      <c r="F664" s="4" t="s">
        <v>6577</v>
      </c>
      <c r="G664" s="4" t="s">
        <v>6551</v>
      </c>
      <c r="H664" s="4" t="s">
        <v>5984</v>
      </c>
      <c r="I664" s="5">
        <v>41281</v>
      </c>
      <c r="J664" s="4" t="s">
        <v>4798</v>
      </c>
      <c r="K664" s="4" t="s">
        <v>57</v>
      </c>
      <c r="L664" s="4"/>
      <c r="M664" s="4"/>
    </row>
    <row r="665" ht="16" customHeight="1" s="4" customFormat="1">
      <c r="A665" s="4">
        <v>2297</v>
      </c>
      <c r="B665" s="4" t="s">
        <v>5499</v>
      </c>
      <c r="C665" s="4" t="s">
        <v>5519</v>
      </c>
      <c r="D665" s="4"/>
      <c r="E665" s="4" t="s">
        <v>5580</v>
      </c>
      <c r="F665" s="4" t="s">
        <v>6578</v>
      </c>
      <c r="G665" s="4" t="s">
        <v>6579</v>
      </c>
      <c r="H665" s="4" t="s">
        <v>5984</v>
      </c>
      <c r="I665" s="5">
        <v>41281</v>
      </c>
      <c r="J665" s="4" t="s">
        <v>4798</v>
      </c>
      <c r="K665" s="4" t="s">
        <v>57</v>
      </c>
      <c r="L665" s="4"/>
      <c r="M665" s="4"/>
    </row>
    <row r="666" ht="16" customHeight="1" s="4" customFormat="1">
      <c r="A666" s="4">
        <v>2299</v>
      </c>
      <c r="B666" s="4" t="s">
        <v>5499</v>
      </c>
      <c r="C666" s="4" t="s">
        <v>5519</v>
      </c>
      <c r="D666" s="4"/>
      <c r="E666" s="4" t="s">
        <v>5676</v>
      </c>
      <c r="F666" s="4" t="s">
        <v>6580</v>
      </c>
      <c r="G666" s="4" t="s">
        <v>6579</v>
      </c>
      <c r="H666" s="4" t="s">
        <v>5984</v>
      </c>
      <c r="I666" s="5">
        <v>41281</v>
      </c>
      <c r="J666" s="4" t="s">
        <v>4798</v>
      </c>
      <c r="K666" s="4" t="s">
        <v>57</v>
      </c>
      <c r="L666" s="4"/>
      <c r="M666" s="4"/>
    </row>
    <row r="667" ht="16" customHeight="1" s="4" customFormat="1">
      <c r="A667" s="4">
        <v>2300</v>
      </c>
      <c r="B667" s="4" t="s">
        <v>5534</v>
      </c>
      <c r="C667" s="4" t="s">
        <v>5631</v>
      </c>
      <c r="D667" s="4"/>
      <c r="E667" s="4"/>
      <c r="F667" s="4" t="s">
        <v>6581</v>
      </c>
      <c r="G667" s="4" t="s">
        <v>6183</v>
      </c>
      <c r="H667" s="4" t="s">
        <v>6184</v>
      </c>
      <c r="I667" s="5">
        <v>41276</v>
      </c>
      <c r="J667" s="4" t="s">
        <v>5506</v>
      </c>
      <c r="K667" s="4" t="s">
        <v>57</v>
      </c>
      <c r="L667" s="4"/>
      <c r="M667" s="4"/>
    </row>
    <row r="668" ht="16" customHeight="1" s="4" customFormat="1">
      <c r="A668" s="4">
        <v>2301</v>
      </c>
      <c r="B668" s="4" t="s">
        <v>5534</v>
      </c>
      <c r="C668" s="4" t="s">
        <v>5631</v>
      </c>
      <c r="D668" s="4"/>
      <c r="E668" s="4"/>
      <c r="F668" s="4" t="s">
        <v>6582</v>
      </c>
      <c r="G668" s="4" t="s">
        <v>5632</v>
      </c>
      <c r="H668" s="4" t="s">
        <v>5634</v>
      </c>
      <c r="I668" s="5">
        <v>41257</v>
      </c>
      <c r="J668" s="4" t="s">
        <v>5506</v>
      </c>
      <c r="K668" s="4" t="s">
        <v>57</v>
      </c>
      <c r="L668" s="4"/>
      <c r="M668" s="4"/>
    </row>
    <row r="669" ht="16" customHeight="1" s="4" customFormat="1">
      <c r="A669" s="4">
        <v>2302</v>
      </c>
      <c r="B669" s="4" t="s">
        <v>5534</v>
      </c>
      <c r="C669" s="4" t="s">
        <v>5631</v>
      </c>
      <c r="D669" s="4"/>
      <c r="E669" s="4"/>
      <c r="F669" s="4" t="s">
        <v>6583</v>
      </c>
      <c r="G669" s="4" t="s">
        <v>5632</v>
      </c>
      <c r="H669" s="4" t="s">
        <v>5998</v>
      </c>
      <c r="I669" s="5">
        <v>41257</v>
      </c>
      <c r="J669" s="4" t="s">
        <v>5506</v>
      </c>
      <c r="K669" s="4" t="s">
        <v>57</v>
      </c>
      <c r="L669" s="4"/>
      <c r="M669" s="4"/>
    </row>
    <row r="670" ht="16" customHeight="1" s="4" customFormat="1">
      <c r="A670" s="4">
        <v>2303</v>
      </c>
      <c r="B670" s="4" t="s">
        <v>5499</v>
      </c>
      <c r="C670" s="4" t="s">
        <v>5519</v>
      </c>
      <c r="D670" s="4"/>
      <c r="E670" s="4" t="s">
        <v>6146</v>
      </c>
      <c r="F670" s="4" t="s">
        <v>6584</v>
      </c>
      <c r="G670" s="4" t="s">
        <v>6579</v>
      </c>
      <c r="H670" s="4" t="s">
        <v>5984</v>
      </c>
      <c r="I670" s="5">
        <v>41257</v>
      </c>
      <c r="J670" s="4" t="s">
        <v>4798</v>
      </c>
      <c r="K670" s="4" t="s">
        <v>57</v>
      </c>
      <c r="L670" s="4"/>
      <c r="M670" s="4"/>
    </row>
    <row r="671" ht="16" customHeight="1" s="4" customFormat="1">
      <c r="A671" s="4">
        <v>2304</v>
      </c>
      <c r="B671" s="4" t="s">
        <v>5499</v>
      </c>
      <c r="C671" s="4" t="s">
        <v>5519</v>
      </c>
      <c r="D671" s="4"/>
      <c r="E671" s="4" t="s">
        <v>6146</v>
      </c>
      <c r="F671" s="4" t="s">
        <v>6585</v>
      </c>
      <c r="G671" s="4" t="s">
        <v>6551</v>
      </c>
      <c r="H671" s="4" t="s">
        <v>5984</v>
      </c>
      <c r="I671" s="5">
        <v>41257</v>
      </c>
      <c r="J671" s="4" t="s">
        <v>4798</v>
      </c>
      <c r="K671" s="4" t="s">
        <v>57</v>
      </c>
      <c r="L671" s="4"/>
      <c r="M671" s="4"/>
    </row>
    <row r="672" ht="16" customHeight="1" s="4" customFormat="1">
      <c r="A672" s="4">
        <v>2305</v>
      </c>
      <c r="B672" s="4" t="s">
        <v>5499</v>
      </c>
      <c r="C672" s="4" t="s">
        <v>5519</v>
      </c>
      <c r="D672" s="4"/>
      <c r="E672" s="4" t="s">
        <v>5641</v>
      </c>
      <c r="F672" s="4" t="s">
        <v>6586</v>
      </c>
      <c r="G672" s="4" t="s">
        <v>6551</v>
      </c>
      <c r="H672" s="4" t="s">
        <v>5984</v>
      </c>
      <c r="I672" s="5">
        <v>41257</v>
      </c>
      <c r="J672" s="4" t="s">
        <v>4798</v>
      </c>
      <c r="K672" s="4" t="s">
        <v>57</v>
      </c>
      <c r="L672" s="4"/>
      <c r="M672" s="4"/>
    </row>
    <row r="673" ht="16" customHeight="1" s="4" customFormat="1">
      <c r="A673" s="4">
        <v>2306</v>
      </c>
      <c r="B673" s="4" t="s">
        <v>5499</v>
      </c>
      <c r="C673" s="4" t="s">
        <v>5519</v>
      </c>
      <c r="D673" s="4"/>
      <c r="E673" s="4" t="s">
        <v>5641</v>
      </c>
      <c r="F673" s="4" t="s">
        <v>6587</v>
      </c>
      <c r="G673" s="4" t="s">
        <v>6579</v>
      </c>
      <c r="H673" s="4" t="s">
        <v>5984</v>
      </c>
      <c r="I673" s="5">
        <v>41257</v>
      </c>
      <c r="J673" s="4" t="s">
        <v>4798</v>
      </c>
      <c r="K673" s="4" t="s">
        <v>57</v>
      </c>
      <c r="L673" s="4"/>
      <c r="M673" s="4"/>
    </row>
    <row r="674" ht="16" customHeight="1" s="4" customFormat="1">
      <c r="A674" s="4">
        <v>2307</v>
      </c>
      <c r="B674" s="4" t="s">
        <v>5499</v>
      </c>
      <c r="C674" s="4" t="s">
        <v>5519</v>
      </c>
      <c r="D674" s="4"/>
      <c r="E674" s="4" t="s">
        <v>6588</v>
      </c>
      <c r="F674" s="4" t="s">
        <v>6589</v>
      </c>
      <c r="G674" s="4" t="s">
        <v>5984</v>
      </c>
      <c r="H674" s="4" t="s">
        <v>5984</v>
      </c>
      <c r="I674" s="5">
        <v>41249</v>
      </c>
      <c r="J674" s="4" t="s">
        <v>4798</v>
      </c>
      <c r="K674" s="4" t="s">
        <v>57</v>
      </c>
      <c r="L674" s="4"/>
      <c r="M674" s="4"/>
    </row>
    <row r="675" ht="16" customHeight="1" s="4" customFormat="1">
      <c r="A675" s="4">
        <v>2308</v>
      </c>
      <c r="B675" s="4" t="s">
        <v>5499</v>
      </c>
      <c r="C675" s="4" t="s">
        <v>5519</v>
      </c>
      <c r="D675" s="4"/>
      <c r="E675" s="4" t="s">
        <v>6588</v>
      </c>
      <c r="F675" s="4" t="s">
        <v>6590</v>
      </c>
      <c r="G675" s="4" t="s">
        <v>5984</v>
      </c>
      <c r="H675" s="4" t="s">
        <v>5984</v>
      </c>
      <c r="I675" s="5">
        <v>41249</v>
      </c>
      <c r="J675" s="4" t="s">
        <v>4798</v>
      </c>
      <c r="K675" s="4" t="s">
        <v>57</v>
      </c>
      <c r="L675" s="4"/>
      <c r="M675" s="4"/>
    </row>
    <row r="676" ht="16" customHeight="1" s="4" customFormat="1">
      <c r="A676" s="4">
        <v>2309</v>
      </c>
      <c r="B676" s="4" t="s">
        <v>5499</v>
      </c>
      <c r="C676" s="4" t="s">
        <v>5519</v>
      </c>
      <c r="D676" s="4"/>
      <c r="E676" s="4" t="s">
        <v>6588</v>
      </c>
      <c r="F676" s="4" t="s">
        <v>6591</v>
      </c>
      <c r="G676" s="4" t="s">
        <v>5984</v>
      </c>
      <c r="H676" s="4" t="s">
        <v>5984</v>
      </c>
      <c r="I676" s="5">
        <v>41249</v>
      </c>
      <c r="J676" s="4" t="s">
        <v>4798</v>
      </c>
      <c r="K676" s="4" t="s">
        <v>57</v>
      </c>
      <c r="L676" s="4"/>
      <c r="M676" s="4"/>
    </row>
    <row r="677" ht="16" customHeight="1" s="4" customFormat="1">
      <c r="A677" s="4">
        <v>2310</v>
      </c>
      <c r="B677" s="4" t="s">
        <v>5499</v>
      </c>
      <c r="C677" s="4" t="s">
        <v>5519</v>
      </c>
      <c r="D677" s="4"/>
      <c r="E677" s="4" t="s">
        <v>6588</v>
      </c>
      <c r="F677" s="4" t="s">
        <v>6592</v>
      </c>
      <c r="G677" s="4" t="s">
        <v>5984</v>
      </c>
      <c r="H677" s="4" t="s">
        <v>5984</v>
      </c>
      <c r="I677" s="5">
        <v>41249</v>
      </c>
      <c r="J677" s="4" t="s">
        <v>4798</v>
      </c>
      <c r="K677" s="4" t="s">
        <v>57</v>
      </c>
      <c r="L677" s="4"/>
      <c r="M677" s="4"/>
    </row>
    <row r="678" ht="16" customHeight="1" s="4" customFormat="1">
      <c r="A678" s="4">
        <v>2311</v>
      </c>
      <c r="B678" s="4" t="s">
        <v>5534</v>
      </c>
      <c r="C678" s="4" t="s">
        <v>5631</v>
      </c>
      <c r="D678" s="4"/>
      <c r="E678" s="4"/>
      <c r="F678" s="4" t="s">
        <v>6593</v>
      </c>
      <c r="G678" s="4" t="s">
        <v>5632</v>
      </c>
      <c r="H678" s="4" t="s">
        <v>5998</v>
      </c>
      <c r="I678" s="5">
        <v>41242</v>
      </c>
      <c r="J678" s="4" t="s">
        <v>5506</v>
      </c>
      <c r="K678" s="4" t="s">
        <v>57</v>
      </c>
      <c r="L678" s="4"/>
      <c r="M678" s="4"/>
    </row>
    <row r="679" ht="16" customHeight="1" s="4" customFormat="1">
      <c r="A679" s="4">
        <v>2312</v>
      </c>
      <c r="B679" s="4" t="s">
        <v>5499</v>
      </c>
      <c r="C679" s="4" t="s">
        <v>5519</v>
      </c>
      <c r="D679" s="4"/>
      <c r="E679" s="4" t="s">
        <v>5676</v>
      </c>
      <c r="F679" s="4" t="s">
        <v>6594</v>
      </c>
      <c r="G679" s="4" t="s">
        <v>6595</v>
      </c>
      <c r="H679" s="4" t="s">
        <v>5984</v>
      </c>
      <c r="I679" s="5">
        <v>41236</v>
      </c>
      <c r="J679" s="4" t="s">
        <v>4798</v>
      </c>
      <c r="K679" s="4" t="s">
        <v>57</v>
      </c>
      <c r="L679" s="4"/>
      <c r="M679" s="4"/>
    </row>
    <row r="680" ht="16" customHeight="1" s="4" customFormat="1">
      <c r="A680" s="4">
        <v>2313</v>
      </c>
      <c r="B680" s="4" t="s">
        <v>5499</v>
      </c>
      <c r="C680" s="4" t="s">
        <v>5519</v>
      </c>
      <c r="D680" s="4"/>
      <c r="E680" s="4" t="s">
        <v>5676</v>
      </c>
      <c r="F680" s="4" t="s">
        <v>6596</v>
      </c>
      <c r="G680" s="4" t="s">
        <v>6595</v>
      </c>
      <c r="H680" s="4" t="s">
        <v>5984</v>
      </c>
      <c r="I680" s="5">
        <v>41236</v>
      </c>
      <c r="J680" s="4" t="s">
        <v>4798</v>
      </c>
      <c r="K680" s="4" t="s">
        <v>57</v>
      </c>
      <c r="L680" s="4"/>
      <c r="M680" s="4"/>
    </row>
    <row r="681" ht="16" customHeight="1" s="4" customFormat="1">
      <c r="A681" s="4">
        <v>2314</v>
      </c>
      <c r="B681" s="4" t="s">
        <v>5499</v>
      </c>
      <c r="C681" s="4" t="s">
        <v>5519</v>
      </c>
      <c r="D681" s="4"/>
      <c r="E681" s="4" t="s">
        <v>5676</v>
      </c>
      <c r="F681" s="4" t="s">
        <v>6597</v>
      </c>
      <c r="G681" s="4" t="s">
        <v>6595</v>
      </c>
      <c r="H681" s="4" t="s">
        <v>5984</v>
      </c>
      <c r="I681" s="5">
        <v>41236</v>
      </c>
      <c r="J681" s="4" t="s">
        <v>4798</v>
      </c>
      <c r="K681" s="4" t="s">
        <v>57</v>
      </c>
      <c r="L681" s="4"/>
      <c r="M681" s="4"/>
    </row>
    <row r="682" ht="16" customHeight="1" s="4" customFormat="1">
      <c r="A682" s="4">
        <v>2315</v>
      </c>
      <c r="B682" s="4" t="s">
        <v>5499</v>
      </c>
      <c r="C682" s="4" t="s">
        <v>5519</v>
      </c>
      <c r="D682" s="4"/>
      <c r="E682" s="4" t="s">
        <v>6598</v>
      </c>
      <c r="F682" s="4" t="s">
        <v>6599</v>
      </c>
      <c r="G682" s="4" t="s">
        <v>6595</v>
      </c>
      <c r="H682" s="4" t="s">
        <v>5984</v>
      </c>
      <c r="I682" s="5">
        <v>41236</v>
      </c>
      <c r="J682" s="4" t="s">
        <v>4798</v>
      </c>
      <c r="K682" s="4" t="s">
        <v>57</v>
      </c>
      <c r="L682" s="4"/>
      <c r="M682" s="4"/>
    </row>
    <row r="683" ht="16" customHeight="1" s="4" customFormat="1">
      <c r="A683" s="4">
        <v>2316</v>
      </c>
      <c r="B683" s="4" t="s">
        <v>5499</v>
      </c>
      <c r="C683" s="4" t="s">
        <v>5519</v>
      </c>
      <c r="D683" s="4"/>
      <c r="E683" s="4" t="s">
        <v>5580</v>
      </c>
      <c r="F683" s="4" t="s">
        <v>6600</v>
      </c>
      <c r="G683" s="4" t="s">
        <v>6595</v>
      </c>
      <c r="H683" s="4" t="s">
        <v>5984</v>
      </c>
      <c r="I683" s="5">
        <v>41236</v>
      </c>
      <c r="J683" s="4" t="s">
        <v>4798</v>
      </c>
      <c r="K683" s="4" t="s">
        <v>57</v>
      </c>
      <c r="L683" s="4"/>
      <c r="M683" s="4"/>
    </row>
    <row r="684" ht="16" customHeight="1" s="4" customFormat="1">
      <c r="A684" s="4">
        <v>2317</v>
      </c>
      <c r="B684" s="4" t="s">
        <v>5499</v>
      </c>
      <c r="C684" s="4" t="s">
        <v>5519</v>
      </c>
      <c r="D684" s="4"/>
      <c r="E684" s="4" t="s">
        <v>5580</v>
      </c>
      <c r="F684" s="4" t="s">
        <v>6601</v>
      </c>
      <c r="G684" s="4" t="s">
        <v>6595</v>
      </c>
      <c r="H684" s="4" t="s">
        <v>5984</v>
      </c>
      <c r="I684" s="5">
        <v>41236</v>
      </c>
      <c r="J684" s="4" t="s">
        <v>4798</v>
      </c>
      <c r="K684" s="4" t="s">
        <v>57</v>
      </c>
      <c r="L684" s="4"/>
      <c r="M684" s="4"/>
    </row>
    <row r="685" ht="16" customHeight="1" s="4" customFormat="1">
      <c r="A685" s="4">
        <v>2318</v>
      </c>
      <c r="B685" s="4" t="s">
        <v>5499</v>
      </c>
      <c r="C685" s="4" t="s">
        <v>5519</v>
      </c>
      <c r="D685" s="4"/>
      <c r="E685" s="4" t="s">
        <v>5580</v>
      </c>
      <c r="F685" s="4" t="s">
        <v>6602</v>
      </c>
      <c r="G685" s="4" t="s">
        <v>6595</v>
      </c>
      <c r="H685" s="4" t="s">
        <v>5984</v>
      </c>
      <c r="I685" s="5">
        <v>41236</v>
      </c>
      <c r="J685" s="4" t="s">
        <v>4798</v>
      </c>
      <c r="K685" s="4" t="s">
        <v>57</v>
      </c>
      <c r="L685" s="4"/>
      <c r="M685" s="4"/>
    </row>
    <row r="686" ht="16" customHeight="1" s="4" customFormat="1">
      <c r="A686" s="4">
        <v>2319</v>
      </c>
      <c r="B686" s="4" t="s">
        <v>5499</v>
      </c>
      <c r="C686" s="4" t="s">
        <v>5519</v>
      </c>
      <c r="D686" s="4"/>
      <c r="E686" s="4" t="s">
        <v>5641</v>
      </c>
      <c r="F686" s="4" t="s">
        <v>6603</v>
      </c>
      <c r="G686" s="4" t="s">
        <v>6595</v>
      </c>
      <c r="H686" s="4" t="s">
        <v>5984</v>
      </c>
      <c r="I686" s="5">
        <v>41236</v>
      </c>
      <c r="J686" s="4" t="s">
        <v>4798</v>
      </c>
      <c r="K686" s="4" t="s">
        <v>57</v>
      </c>
      <c r="L686" s="4"/>
      <c r="M686" s="4"/>
    </row>
    <row r="687" ht="16" customHeight="1" s="4" customFormat="1">
      <c r="A687" s="4">
        <v>2320</v>
      </c>
      <c r="B687" s="4" t="s">
        <v>5499</v>
      </c>
      <c r="C687" s="4" t="s">
        <v>5519</v>
      </c>
      <c r="D687" s="4"/>
      <c r="E687" s="4" t="s">
        <v>5676</v>
      </c>
      <c r="F687" s="4" t="s">
        <v>6604</v>
      </c>
      <c r="G687" s="4" t="s">
        <v>6605</v>
      </c>
      <c r="H687" s="4" t="s">
        <v>5984</v>
      </c>
      <c r="I687" s="5">
        <v>41235</v>
      </c>
      <c r="J687" s="4" t="s">
        <v>4798</v>
      </c>
      <c r="K687" s="4" t="s">
        <v>57</v>
      </c>
      <c r="L687" s="4"/>
      <c r="M687" s="4"/>
    </row>
    <row r="688" ht="16" customHeight="1" s="4" customFormat="1">
      <c r="A688" s="4">
        <v>2321</v>
      </c>
      <c r="B688" s="4" t="s">
        <v>5499</v>
      </c>
      <c r="C688" s="4" t="s">
        <v>5519</v>
      </c>
      <c r="D688" s="4"/>
      <c r="E688" s="4" t="s">
        <v>5676</v>
      </c>
      <c r="F688" s="4" t="s">
        <v>6606</v>
      </c>
      <c r="G688" s="4" t="s">
        <v>6607</v>
      </c>
      <c r="H688" s="4" t="s">
        <v>5984</v>
      </c>
      <c r="I688" s="5">
        <v>41235</v>
      </c>
      <c r="J688" s="4" t="s">
        <v>4798</v>
      </c>
      <c r="K688" s="4" t="s">
        <v>57</v>
      </c>
      <c r="L688" s="4"/>
      <c r="M688" s="4"/>
    </row>
    <row r="689" ht="16" customHeight="1" s="4" customFormat="1">
      <c r="A689" s="4">
        <v>2322</v>
      </c>
      <c r="B689" s="4" t="s">
        <v>5499</v>
      </c>
      <c r="C689" s="4" t="s">
        <v>5519</v>
      </c>
      <c r="D689" s="4"/>
      <c r="E689" s="4" t="s">
        <v>5580</v>
      </c>
      <c r="F689" s="4" t="s">
        <v>6608</v>
      </c>
      <c r="G689" s="4" t="s">
        <v>6605</v>
      </c>
      <c r="H689" s="4" t="s">
        <v>5984</v>
      </c>
      <c r="I689" s="5">
        <v>41235</v>
      </c>
      <c r="J689" s="4" t="s">
        <v>4798</v>
      </c>
      <c r="K689" s="4" t="s">
        <v>57</v>
      </c>
      <c r="L689" s="4"/>
      <c r="M689" s="4"/>
    </row>
    <row r="690" ht="16" customHeight="1" s="4" customFormat="1">
      <c r="A690" s="4">
        <v>2323</v>
      </c>
      <c r="B690" s="4" t="s">
        <v>5499</v>
      </c>
      <c r="C690" s="4" t="s">
        <v>5519</v>
      </c>
      <c r="D690" s="4"/>
      <c r="E690" s="4" t="s">
        <v>5580</v>
      </c>
      <c r="F690" s="4" t="s">
        <v>6609</v>
      </c>
      <c r="G690" s="4" t="s">
        <v>6607</v>
      </c>
      <c r="H690" s="4" t="s">
        <v>5984</v>
      </c>
      <c r="I690" s="5">
        <v>41235</v>
      </c>
      <c r="J690" s="4" t="s">
        <v>4798</v>
      </c>
      <c r="K690" s="4" t="s">
        <v>57</v>
      </c>
      <c r="L690" s="4"/>
      <c r="M690" s="4"/>
    </row>
    <row r="691" ht="16" customHeight="1" s="4" customFormat="1">
      <c r="A691" s="4">
        <v>2324</v>
      </c>
      <c r="B691" s="4" t="s">
        <v>5534</v>
      </c>
      <c r="C691" s="4" t="s">
        <v>5631</v>
      </c>
      <c r="D691" s="4"/>
      <c r="E691" s="4"/>
      <c r="F691" s="4" t="s">
        <v>6610</v>
      </c>
      <c r="G691" s="4" t="s">
        <v>6183</v>
      </c>
      <c r="H691" s="4" t="s">
        <v>6184</v>
      </c>
      <c r="I691" s="5">
        <v>41234</v>
      </c>
      <c r="J691" s="4" t="s">
        <v>5506</v>
      </c>
      <c r="K691" s="4" t="s">
        <v>57</v>
      </c>
      <c r="L691" s="4"/>
      <c r="M691" s="4"/>
    </row>
    <row r="692" ht="16" customHeight="1" s="4" customFormat="1">
      <c r="A692" s="4">
        <v>2325</v>
      </c>
      <c r="B692" s="4" t="s">
        <v>5534</v>
      </c>
      <c r="C692" s="4" t="s">
        <v>5631</v>
      </c>
      <c r="D692" s="4"/>
      <c r="E692" s="4"/>
      <c r="F692" s="4" t="s">
        <v>6611</v>
      </c>
      <c r="G692" s="4" t="s">
        <v>5632</v>
      </c>
      <c r="H692" s="4" t="s">
        <v>5634</v>
      </c>
      <c r="I692" s="5">
        <v>41222</v>
      </c>
      <c r="J692" s="4" t="s">
        <v>5506</v>
      </c>
      <c r="K692" s="4" t="s">
        <v>57</v>
      </c>
      <c r="L692" s="4"/>
      <c r="M692" s="4"/>
    </row>
    <row r="693" ht="16" customHeight="1" s="4" customFormat="1">
      <c r="A693" s="4">
        <v>2326</v>
      </c>
      <c r="B693" s="4" t="s">
        <v>5499</v>
      </c>
      <c r="C693" s="4" t="s">
        <v>5573</v>
      </c>
      <c r="D693" s="4" t="s">
        <v>5574</v>
      </c>
      <c r="E693" s="4" t="s">
        <v>5575</v>
      </c>
      <c r="F693" s="4" t="s">
        <v>6612</v>
      </c>
      <c r="G693" s="4" t="s">
        <v>6613</v>
      </c>
      <c r="H693" s="4" t="s">
        <v>6614</v>
      </c>
      <c r="I693" s="5">
        <v>41222</v>
      </c>
      <c r="J693" s="4" t="s">
        <v>4798</v>
      </c>
      <c r="K693" s="4" t="s">
        <v>57</v>
      </c>
      <c r="L693" s="4"/>
      <c r="M693" s="4"/>
    </row>
    <row r="694" ht="16" customHeight="1" s="4" customFormat="1">
      <c r="A694" s="4">
        <v>2327</v>
      </c>
      <c r="B694" s="4" t="s">
        <v>5499</v>
      </c>
      <c r="C694" s="4" t="s">
        <v>5519</v>
      </c>
      <c r="D694" s="4"/>
      <c r="E694" s="4" t="s">
        <v>5676</v>
      </c>
      <c r="F694" s="4" t="s">
        <v>6615</v>
      </c>
      <c r="G694" s="4" t="s">
        <v>6616</v>
      </c>
      <c r="H694" s="4" t="s">
        <v>5984</v>
      </c>
      <c r="I694" s="5">
        <v>41220</v>
      </c>
      <c r="J694" s="4" t="s">
        <v>4798</v>
      </c>
      <c r="K694" s="4" t="s">
        <v>57</v>
      </c>
      <c r="L694" s="4"/>
      <c r="M694" s="4"/>
    </row>
    <row r="695" ht="16" customHeight="1" s="4" customFormat="1">
      <c r="A695" s="4">
        <v>2328</v>
      </c>
      <c r="B695" s="4" t="s">
        <v>5499</v>
      </c>
      <c r="C695" s="4" t="s">
        <v>5519</v>
      </c>
      <c r="D695" s="4"/>
      <c r="E695" s="4" t="s">
        <v>5580</v>
      </c>
      <c r="F695" s="4" t="s">
        <v>6617</v>
      </c>
      <c r="G695" s="4" t="s">
        <v>6616</v>
      </c>
      <c r="H695" s="4" t="s">
        <v>5984</v>
      </c>
      <c r="I695" s="5">
        <v>41220</v>
      </c>
      <c r="J695" s="4" t="s">
        <v>4798</v>
      </c>
      <c r="K695" s="4" t="s">
        <v>57</v>
      </c>
      <c r="L695" s="4"/>
      <c r="M695" s="4"/>
    </row>
    <row r="696" ht="16" customHeight="1" s="4" customFormat="1">
      <c r="A696" s="4">
        <v>2329</v>
      </c>
      <c r="B696" s="4" t="s">
        <v>6161</v>
      </c>
      <c r="C696" s="4" t="s">
        <v>6618</v>
      </c>
      <c r="D696" s="4"/>
      <c r="E696" s="4"/>
      <c r="F696" s="4" t="s">
        <v>6619</v>
      </c>
      <c r="G696" s="4" t="s">
        <v>5984</v>
      </c>
      <c r="H696" s="4" t="s">
        <v>6414</v>
      </c>
      <c r="I696" s="5">
        <v>41212</v>
      </c>
      <c r="J696" s="4" t="s">
        <v>5506</v>
      </c>
      <c r="K696" s="4" t="s">
        <v>57</v>
      </c>
      <c r="L696" s="4"/>
      <c r="M696" s="4"/>
    </row>
    <row r="697" ht="16" customHeight="1" s="4" customFormat="1">
      <c r="A697" s="4">
        <v>2330</v>
      </c>
      <c r="B697" s="4" t="s">
        <v>5534</v>
      </c>
      <c r="C697" s="4" t="s">
        <v>5773</v>
      </c>
      <c r="D697" s="4"/>
      <c r="E697" s="4"/>
      <c r="F697" s="4" t="s">
        <v>6620</v>
      </c>
      <c r="G697" s="4" t="s">
        <v>5984</v>
      </c>
      <c r="H697" s="4" t="s">
        <v>6621</v>
      </c>
      <c r="I697" s="5">
        <v>41199</v>
      </c>
      <c r="J697" s="4" t="s">
        <v>4842</v>
      </c>
      <c r="K697" s="4" t="s">
        <v>57</v>
      </c>
      <c r="L697" s="4"/>
      <c r="M697" s="4"/>
    </row>
    <row r="698" ht="16" customHeight="1" s="4" customFormat="1">
      <c r="A698" s="4">
        <v>2331</v>
      </c>
      <c r="B698" s="4" t="s">
        <v>5499</v>
      </c>
      <c r="C698" s="4" t="s">
        <v>5519</v>
      </c>
      <c r="D698" s="4"/>
      <c r="E698" s="4" t="s">
        <v>5676</v>
      </c>
      <c r="F698" s="4" t="s">
        <v>6622</v>
      </c>
      <c r="G698" s="4" t="s">
        <v>6000</v>
      </c>
      <c r="H698" s="4" t="s">
        <v>5984</v>
      </c>
      <c r="I698" s="5">
        <v>41194</v>
      </c>
      <c r="J698" s="4" t="s">
        <v>4798</v>
      </c>
      <c r="K698" s="4" t="s">
        <v>57</v>
      </c>
      <c r="L698" s="4"/>
      <c r="M698" s="4"/>
    </row>
    <row r="699" ht="16" customHeight="1" s="4" customFormat="1">
      <c r="A699" s="4">
        <v>2332</v>
      </c>
      <c r="B699" s="4" t="s">
        <v>5499</v>
      </c>
      <c r="C699" s="4" t="s">
        <v>5519</v>
      </c>
      <c r="D699" s="4"/>
      <c r="E699" s="4" t="s">
        <v>5676</v>
      </c>
      <c r="F699" s="4" t="s">
        <v>6623</v>
      </c>
      <c r="G699" s="4" t="s">
        <v>6000</v>
      </c>
      <c r="H699" s="4" t="s">
        <v>5984</v>
      </c>
      <c r="I699" s="5">
        <v>41194</v>
      </c>
      <c r="J699" s="4" t="s">
        <v>4798</v>
      </c>
      <c r="K699" s="4" t="s">
        <v>57</v>
      </c>
      <c r="L699" s="4"/>
      <c r="M699" s="4"/>
    </row>
    <row r="700" ht="16" customHeight="1" s="4" customFormat="1">
      <c r="A700" s="4">
        <v>2333</v>
      </c>
      <c r="B700" s="4" t="s">
        <v>5499</v>
      </c>
      <c r="C700" s="4" t="s">
        <v>5519</v>
      </c>
      <c r="D700" s="4"/>
      <c r="E700" s="4" t="s">
        <v>5580</v>
      </c>
      <c r="F700" s="4" t="s">
        <v>6624</v>
      </c>
      <c r="G700" s="4" t="s">
        <v>6000</v>
      </c>
      <c r="H700" s="4" t="s">
        <v>5984</v>
      </c>
      <c r="I700" s="5">
        <v>41194</v>
      </c>
      <c r="J700" s="4" t="s">
        <v>4798</v>
      </c>
      <c r="K700" s="4" t="s">
        <v>57</v>
      </c>
      <c r="L700" s="4"/>
      <c r="M700" s="4"/>
    </row>
    <row r="701" ht="16" customHeight="1" s="4" customFormat="1">
      <c r="A701" s="4">
        <v>2334</v>
      </c>
      <c r="B701" s="4" t="s">
        <v>5499</v>
      </c>
      <c r="C701" s="4" t="s">
        <v>5519</v>
      </c>
      <c r="D701" s="4"/>
      <c r="E701" s="4" t="s">
        <v>5580</v>
      </c>
      <c r="F701" s="4" t="s">
        <v>6625</v>
      </c>
      <c r="G701" s="4" t="s">
        <v>6000</v>
      </c>
      <c r="H701" s="4" t="s">
        <v>5984</v>
      </c>
      <c r="I701" s="5">
        <v>41194</v>
      </c>
      <c r="J701" s="4" t="s">
        <v>4798</v>
      </c>
      <c r="K701" s="4" t="s">
        <v>57</v>
      </c>
      <c r="L701" s="4"/>
      <c r="M701" s="4"/>
    </row>
    <row r="702" ht="16" customHeight="1" s="4" customFormat="1">
      <c r="A702" s="4">
        <v>2335</v>
      </c>
      <c r="B702" s="4" t="s">
        <v>5499</v>
      </c>
      <c r="C702" s="4" t="s">
        <v>5519</v>
      </c>
      <c r="D702" s="4"/>
      <c r="E702" s="4" t="s">
        <v>6094</v>
      </c>
      <c r="F702" s="4" t="s">
        <v>6626</v>
      </c>
      <c r="G702" s="4" t="s">
        <v>6627</v>
      </c>
      <c r="H702" s="4" t="s">
        <v>6627</v>
      </c>
      <c r="I702" s="5">
        <v>41183</v>
      </c>
      <c r="J702" s="4" t="s">
        <v>4798</v>
      </c>
      <c r="K702" s="4" t="s">
        <v>57</v>
      </c>
      <c r="L702" s="4"/>
      <c r="M702" s="4"/>
    </row>
    <row r="703" ht="16" customHeight="1" s="4" customFormat="1">
      <c r="A703" s="4">
        <v>2336</v>
      </c>
      <c r="B703" s="4" t="s">
        <v>5499</v>
      </c>
      <c r="C703" s="4" t="s">
        <v>5519</v>
      </c>
      <c r="D703" s="4"/>
      <c r="E703" s="4" t="s">
        <v>6094</v>
      </c>
      <c r="F703" s="4" t="s">
        <v>6628</v>
      </c>
      <c r="G703" s="4" t="s">
        <v>6627</v>
      </c>
      <c r="H703" s="4" t="s">
        <v>6627</v>
      </c>
      <c r="I703" s="5">
        <v>41183</v>
      </c>
      <c r="J703" s="4" t="s">
        <v>4798</v>
      </c>
      <c r="K703" s="4" t="s">
        <v>57</v>
      </c>
      <c r="L703" s="4"/>
      <c r="M703" s="4"/>
    </row>
    <row r="704" ht="16" customHeight="1" s="4" customFormat="1">
      <c r="A704" s="4">
        <v>2337</v>
      </c>
      <c r="B704" s="4" t="s">
        <v>5499</v>
      </c>
      <c r="C704" s="4" t="s">
        <v>5519</v>
      </c>
      <c r="D704" s="4"/>
      <c r="E704" s="4" t="s">
        <v>6629</v>
      </c>
      <c r="F704" s="4" t="s">
        <v>6630</v>
      </c>
      <c r="G704" s="4" t="s">
        <v>6631</v>
      </c>
      <c r="H704" s="4" t="s">
        <v>5984</v>
      </c>
      <c r="I704" s="5">
        <v>41178</v>
      </c>
      <c r="J704" s="4" t="s">
        <v>4842</v>
      </c>
      <c r="K704" s="4" t="s">
        <v>57</v>
      </c>
      <c r="L704" s="4"/>
      <c r="M704" s="4"/>
    </row>
    <row r="705" ht="16" customHeight="1" s="4" customFormat="1">
      <c r="A705" s="4">
        <v>2338</v>
      </c>
      <c r="B705" s="4" t="s">
        <v>5499</v>
      </c>
      <c r="C705" s="4" t="s">
        <v>5519</v>
      </c>
      <c r="D705" s="4"/>
      <c r="E705" s="4" t="s">
        <v>6629</v>
      </c>
      <c r="F705" s="4" t="s">
        <v>6632</v>
      </c>
      <c r="G705" s="4" t="s">
        <v>6631</v>
      </c>
      <c r="H705" s="4" t="s">
        <v>5984</v>
      </c>
      <c r="I705" s="5">
        <v>41178</v>
      </c>
      <c r="J705" s="4" t="s">
        <v>4842</v>
      </c>
      <c r="K705" s="4" t="s">
        <v>57</v>
      </c>
      <c r="L705" s="4"/>
      <c r="M705" s="4"/>
    </row>
    <row r="706" ht="16" customHeight="1" s="4" customFormat="1">
      <c r="A706" s="4">
        <v>2339</v>
      </c>
      <c r="B706" s="4" t="s">
        <v>5499</v>
      </c>
      <c r="C706" s="4" t="s">
        <v>5519</v>
      </c>
      <c r="D706" s="4"/>
      <c r="E706" s="4" t="s">
        <v>6629</v>
      </c>
      <c r="F706" s="4" t="s">
        <v>6633</v>
      </c>
      <c r="G706" s="4" t="s">
        <v>6631</v>
      </c>
      <c r="H706" s="4" t="s">
        <v>5984</v>
      </c>
      <c r="I706" s="5">
        <v>41178</v>
      </c>
      <c r="J706" s="4" t="s">
        <v>4842</v>
      </c>
      <c r="K706" s="4" t="s">
        <v>57</v>
      </c>
      <c r="L706" s="4"/>
      <c r="M706" s="4"/>
    </row>
    <row r="707" ht="16" customHeight="1" s="4" customFormat="1">
      <c r="A707" s="4">
        <v>2340</v>
      </c>
      <c r="B707" s="4" t="s">
        <v>5499</v>
      </c>
      <c r="C707" s="4" t="s">
        <v>5519</v>
      </c>
      <c r="D707" s="4"/>
      <c r="E707" s="4" t="s">
        <v>6629</v>
      </c>
      <c r="F707" s="4" t="s">
        <v>6634</v>
      </c>
      <c r="G707" s="4" t="s">
        <v>6631</v>
      </c>
      <c r="H707" s="4" t="s">
        <v>5984</v>
      </c>
      <c r="I707" s="5">
        <v>41178</v>
      </c>
      <c r="J707" s="4" t="s">
        <v>4842</v>
      </c>
      <c r="K707" s="4" t="s">
        <v>57</v>
      </c>
      <c r="L707" s="4"/>
      <c r="M707" s="4"/>
    </row>
    <row r="708" ht="16" customHeight="1" s="4" customFormat="1">
      <c r="A708" s="4">
        <v>2341</v>
      </c>
      <c r="B708" s="4" t="s">
        <v>5499</v>
      </c>
      <c r="C708" s="4" t="s">
        <v>5519</v>
      </c>
      <c r="D708" s="4"/>
      <c r="E708" s="4" t="s">
        <v>6629</v>
      </c>
      <c r="F708" s="4" t="s">
        <v>6635</v>
      </c>
      <c r="G708" s="4" t="s">
        <v>6631</v>
      </c>
      <c r="H708" s="4" t="s">
        <v>5984</v>
      </c>
      <c r="I708" s="5">
        <v>41178</v>
      </c>
      <c r="J708" s="4" t="s">
        <v>4842</v>
      </c>
      <c r="K708" s="4" t="s">
        <v>57</v>
      </c>
      <c r="L708" s="4"/>
      <c r="M708" s="4"/>
    </row>
    <row r="709" ht="16" customHeight="1" s="4" customFormat="1">
      <c r="A709" s="4">
        <v>2342</v>
      </c>
      <c r="B709" s="4" t="s">
        <v>5499</v>
      </c>
      <c r="C709" s="4" t="s">
        <v>5519</v>
      </c>
      <c r="D709" s="4"/>
      <c r="E709" s="4" t="s">
        <v>6629</v>
      </c>
      <c r="F709" s="4" t="s">
        <v>6636</v>
      </c>
      <c r="G709" s="4" t="s">
        <v>6631</v>
      </c>
      <c r="H709" s="4" t="s">
        <v>5984</v>
      </c>
      <c r="I709" s="5">
        <v>41178</v>
      </c>
      <c r="J709" s="4" t="s">
        <v>4842</v>
      </c>
      <c r="K709" s="4" t="s">
        <v>57</v>
      </c>
      <c r="L709" s="4"/>
      <c r="M709" s="4"/>
    </row>
    <row r="710" ht="16" customHeight="1" s="4" customFormat="1">
      <c r="A710" s="4">
        <v>2343</v>
      </c>
      <c r="B710" s="4" t="s">
        <v>5499</v>
      </c>
      <c r="C710" s="4" t="s">
        <v>5519</v>
      </c>
      <c r="D710" s="4"/>
      <c r="E710" s="4" t="s">
        <v>6637</v>
      </c>
      <c r="F710" s="4" t="s">
        <v>6638</v>
      </c>
      <c r="G710" s="4" t="s">
        <v>6631</v>
      </c>
      <c r="H710" s="4" t="s">
        <v>5984</v>
      </c>
      <c r="I710" s="5">
        <v>41178</v>
      </c>
      <c r="J710" s="4" t="s">
        <v>4798</v>
      </c>
      <c r="K710" s="4" t="s">
        <v>57</v>
      </c>
      <c r="L710" s="4"/>
      <c r="M710" s="4"/>
    </row>
    <row r="711" ht="16" customHeight="1" s="4" customFormat="1">
      <c r="A711" s="4">
        <v>2344</v>
      </c>
      <c r="B711" s="4" t="s">
        <v>5499</v>
      </c>
      <c r="C711" s="4" t="s">
        <v>5519</v>
      </c>
      <c r="D711" s="4"/>
      <c r="E711" s="4" t="s">
        <v>6637</v>
      </c>
      <c r="F711" s="4" t="s">
        <v>6639</v>
      </c>
      <c r="G711" s="4" t="s">
        <v>6631</v>
      </c>
      <c r="H711" s="4" t="s">
        <v>5984</v>
      </c>
      <c r="I711" s="5">
        <v>41178</v>
      </c>
      <c r="J711" s="4" t="s">
        <v>4798</v>
      </c>
      <c r="K711" s="4" t="s">
        <v>57</v>
      </c>
      <c r="L711" s="4"/>
      <c r="M711" s="4"/>
    </row>
    <row r="712" ht="16" customHeight="1" s="4" customFormat="1">
      <c r="A712" s="4">
        <v>2345</v>
      </c>
      <c r="B712" s="4" t="s">
        <v>5499</v>
      </c>
      <c r="C712" s="4" t="s">
        <v>5519</v>
      </c>
      <c r="D712" s="4"/>
      <c r="E712" s="4" t="s">
        <v>6637</v>
      </c>
      <c r="F712" s="4" t="s">
        <v>6640</v>
      </c>
      <c r="G712" s="4" t="s">
        <v>6631</v>
      </c>
      <c r="H712" s="4" t="s">
        <v>5984</v>
      </c>
      <c r="I712" s="5">
        <v>41178</v>
      </c>
      <c r="J712" s="4" t="s">
        <v>4798</v>
      </c>
      <c r="K712" s="4" t="s">
        <v>57</v>
      </c>
      <c r="L712" s="4"/>
      <c r="M712" s="4"/>
    </row>
    <row r="713" ht="16" customHeight="1" s="4" customFormat="1">
      <c r="A713" s="4">
        <v>2346</v>
      </c>
      <c r="B713" s="4" t="s">
        <v>6161</v>
      </c>
      <c r="C713" s="4" t="s">
        <v>6618</v>
      </c>
      <c r="D713" s="4"/>
      <c r="E713" s="4"/>
      <c r="F713" s="4" t="s">
        <v>6641</v>
      </c>
      <c r="G713" s="4" t="s">
        <v>5984</v>
      </c>
      <c r="H713" s="4" t="s">
        <v>6414</v>
      </c>
      <c r="I713" s="5">
        <v>41176</v>
      </c>
      <c r="J713" s="4" t="s">
        <v>5506</v>
      </c>
      <c r="K713" s="4" t="s">
        <v>57</v>
      </c>
      <c r="L713" s="4"/>
      <c r="M713" s="4"/>
    </row>
    <row r="714" ht="16" customHeight="1" s="4" customFormat="1">
      <c r="A714" s="4">
        <v>2347</v>
      </c>
      <c r="B714" s="4" t="s">
        <v>5499</v>
      </c>
      <c r="C714" s="4" t="s">
        <v>5519</v>
      </c>
      <c r="D714" s="4"/>
      <c r="E714" s="4" t="s">
        <v>5676</v>
      </c>
      <c r="F714" s="4" t="s">
        <v>6642</v>
      </c>
      <c r="G714" s="4" t="s">
        <v>5984</v>
      </c>
      <c r="H714" s="4"/>
      <c r="I714" s="5">
        <v>41166</v>
      </c>
      <c r="J714" s="4" t="s">
        <v>4798</v>
      </c>
      <c r="K714" s="4" t="s">
        <v>57</v>
      </c>
      <c r="L714" s="4"/>
      <c r="M714" s="4"/>
    </row>
    <row r="715" ht="16" customHeight="1" s="4" customFormat="1">
      <c r="A715" s="4">
        <v>2348</v>
      </c>
      <c r="B715" s="4" t="s">
        <v>5499</v>
      </c>
      <c r="C715" s="4" t="s">
        <v>5519</v>
      </c>
      <c r="D715" s="4"/>
      <c r="E715" s="4" t="s">
        <v>5676</v>
      </c>
      <c r="F715" s="4" t="s">
        <v>6643</v>
      </c>
      <c r="G715" s="4" t="s">
        <v>5984</v>
      </c>
      <c r="H715" s="4"/>
      <c r="I715" s="5">
        <v>41166</v>
      </c>
      <c r="J715" s="4" t="s">
        <v>4798</v>
      </c>
      <c r="K715" s="4" t="s">
        <v>57</v>
      </c>
      <c r="L715" s="4"/>
      <c r="M715" s="4"/>
    </row>
    <row r="716" ht="16" customHeight="1" s="4" customFormat="1">
      <c r="A716" s="4">
        <v>2349</v>
      </c>
      <c r="B716" s="4" t="s">
        <v>5499</v>
      </c>
      <c r="C716" s="4" t="s">
        <v>5519</v>
      </c>
      <c r="D716" s="4"/>
      <c r="E716" s="4" t="s">
        <v>6144</v>
      </c>
      <c r="F716" s="4" t="s">
        <v>6644</v>
      </c>
      <c r="G716" s="4" t="s">
        <v>5984</v>
      </c>
      <c r="H716" s="4" t="s">
        <v>5984</v>
      </c>
      <c r="I716" s="5">
        <v>41166</v>
      </c>
      <c r="J716" s="4" t="s">
        <v>4798</v>
      </c>
      <c r="K716" s="4" t="s">
        <v>57</v>
      </c>
      <c r="L716" s="4"/>
      <c r="M716" s="4"/>
    </row>
    <row r="717" ht="16" customHeight="1" s="4" customFormat="1">
      <c r="A717" s="4">
        <v>2350</v>
      </c>
      <c r="B717" s="4" t="s">
        <v>5499</v>
      </c>
      <c r="C717" s="4" t="s">
        <v>5519</v>
      </c>
      <c r="D717" s="4"/>
      <c r="E717" s="4" t="s">
        <v>6094</v>
      </c>
      <c r="F717" s="4" t="s">
        <v>6645</v>
      </c>
      <c r="G717" s="4" t="s">
        <v>6646</v>
      </c>
      <c r="H717" s="4" t="s">
        <v>6646</v>
      </c>
      <c r="I717" s="5">
        <v>41166</v>
      </c>
      <c r="J717" s="4" t="s">
        <v>4798</v>
      </c>
      <c r="K717" s="4" t="s">
        <v>57</v>
      </c>
      <c r="L717" s="4"/>
      <c r="M717" s="4"/>
    </row>
    <row r="718" ht="16" customHeight="1" s="4" customFormat="1">
      <c r="A718" s="4">
        <v>2351</v>
      </c>
      <c r="B718" s="4" t="s">
        <v>5499</v>
      </c>
      <c r="C718" s="4" t="s">
        <v>5519</v>
      </c>
      <c r="D718" s="4"/>
      <c r="E718" s="4" t="s">
        <v>6144</v>
      </c>
      <c r="F718" s="4" t="s">
        <v>6647</v>
      </c>
      <c r="G718" s="4" t="s">
        <v>5984</v>
      </c>
      <c r="H718" s="4" t="s">
        <v>5984</v>
      </c>
      <c r="I718" s="5">
        <v>41166</v>
      </c>
      <c r="J718" s="4" t="s">
        <v>4798</v>
      </c>
      <c r="K718" s="4" t="s">
        <v>57</v>
      </c>
      <c r="L718" s="4"/>
      <c r="M718" s="4"/>
    </row>
    <row r="719" ht="16" customHeight="1" s="4" customFormat="1">
      <c r="A719" s="4">
        <v>2352</v>
      </c>
      <c r="B719" s="4" t="s">
        <v>5499</v>
      </c>
      <c r="C719" s="4" t="s">
        <v>5519</v>
      </c>
      <c r="D719" s="4"/>
      <c r="E719" s="4" t="s">
        <v>6094</v>
      </c>
      <c r="F719" s="4" t="s">
        <v>6648</v>
      </c>
      <c r="G719" s="4" t="s">
        <v>6649</v>
      </c>
      <c r="H719" s="4" t="s">
        <v>6649</v>
      </c>
      <c r="I719" s="5">
        <v>41144</v>
      </c>
      <c r="J719" s="4" t="s">
        <v>4798</v>
      </c>
      <c r="K719" s="4" t="s">
        <v>57</v>
      </c>
      <c r="L719" s="4"/>
      <c r="M719" s="4"/>
    </row>
    <row r="720" ht="16" customHeight="1" s="4" customFormat="1">
      <c r="A720" s="4">
        <v>2353</v>
      </c>
      <c r="B720" s="4" t="s">
        <v>5499</v>
      </c>
      <c r="C720" s="4" t="s">
        <v>5519</v>
      </c>
      <c r="D720" s="4"/>
      <c r="E720" s="4" t="s">
        <v>6094</v>
      </c>
      <c r="F720" s="4" t="s">
        <v>6650</v>
      </c>
      <c r="G720" s="4" t="s">
        <v>6649</v>
      </c>
      <c r="H720" s="4" t="s">
        <v>6649</v>
      </c>
      <c r="I720" s="5">
        <v>41144</v>
      </c>
      <c r="J720" s="4" t="s">
        <v>4798</v>
      </c>
      <c r="K720" s="4" t="s">
        <v>57</v>
      </c>
      <c r="L720" s="4"/>
      <c r="M720" s="4"/>
    </row>
    <row r="721" ht="16" customHeight="1" s="4" customFormat="1">
      <c r="A721" s="4">
        <v>2354</v>
      </c>
      <c r="B721" s="4" t="s">
        <v>5534</v>
      </c>
      <c r="C721" s="4" t="s">
        <v>5773</v>
      </c>
      <c r="D721" s="4"/>
      <c r="E721" s="4"/>
      <c r="F721" s="4" t="s">
        <v>6651</v>
      </c>
      <c r="G721" s="4" t="s">
        <v>6031</v>
      </c>
      <c r="H721" s="4" t="s">
        <v>5511</v>
      </c>
      <c r="I721" s="5">
        <v>41137</v>
      </c>
      <c r="J721" s="4" t="s">
        <v>4842</v>
      </c>
      <c r="K721" s="4" t="s">
        <v>57</v>
      </c>
      <c r="L721" s="4"/>
      <c r="M721" s="4"/>
    </row>
    <row r="722" ht="16" customHeight="1" s="4" customFormat="1">
      <c r="A722" s="4">
        <v>2355</v>
      </c>
      <c r="B722" s="4" t="s">
        <v>5534</v>
      </c>
      <c r="C722" s="4" t="s">
        <v>5773</v>
      </c>
      <c r="D722" s="4"/>
      <c r="E722" s="4"/>
      <c r="F722" s="4" t="s">
        <v>6652</v>
      </c>
      <c r="G722" s="4" t="s">
        <v>6653</v>
      </c>
      <c r="H722" s="4" t="s">
        <v>6654</v>
      </c>
      <c r="I722" s="5">
        <v>41130</v>
      </c>
      <c r="J722" s="4" t="s">
        <v>5506</v>
      </c>
      <c r="K722" s="4" t="s">
        <v>57</v>
      </c>
      <c r="L722" s="4"/>
      <c r="M722" s="4"/>
    </row>
    <row r="723" ht="16" customHeight="1" s="4" customFormat="1">
      <c r="A723" s="4">
        <v>2356</v>
      </c>
      <c r="B723" s="4" t="s">
        <v>5499</v>
      </c>
      <c r="C723" s="4" t="s">
        <v>5519</v>
      </c>
      <c r="D723" s="4"/>
      <c r="E723" s="4" t="s">
        <v>6094</v>
      </c>
      <c r="F723" s="4" t="s">
        <v>6655</v>
      </c>
      <c r="G723" s="4" t="s">
        <v>6656</v>
      </c>
      <c r="H723" s="4" t="s">
        <v>6656</v>
      </c>
      <c r="I723" s="5">
        <v>41130</v>
      </c>
      <c r="J723" s="4" t="s">
        <v>4798</v>
      </c>
      <c r="K723" s="4" t="s">
        <v>57</v>
      </c>
      <c r="L723" s="4"/>
      <c r="M723" s="4"/>
    </row>
    <row r="724" ht="16" customHeight="1" s="4" customFormat="1">
      <c r="A724" s="4">
        <v>2357</v>
      </c>
      <c r="B724" s="4" t="s">
        <v>5499</v>
      </c>
      <c r="C724" s="4" t="s">
        <v>5519</v>
      </c>
      <c r="D724" s="4"/>
      <c r="E724" s="4" t="s">
        <v>6094</v>
      </c>
      <c r="F724" s="4" t="s">
        <v>6657</v>
      </c>
      <c r="G724" s="4" t="s">
        <v>6656</v>
      </c>
      <c r="H724" s="4" t="s">
        <v>6656</v>
      </c>
      <c r="I724" s="5">
        <v>41130</v>
      </c>
      <c r="J724" s="4" t="s">
        <v>4798</v>
      </c>
      <c r="K724" s="4" t="s">
        <v>57</v>
      </c>
      <c r="L724" s="4"/>
      <c r="M724" s="4"/>
    </row>
    <row r="725" ht="16" customHeight="1" s="4" customFormat="1">
      <c r="A725" s="4">
        <v>2358</v>
      </c>
      <c r="B725" s="4" t="s">
        <v>5499</v>
      </c>
      <c r="C725" s="4" t="s">
        <v>5519</v>
      </c>
      <c r="D725" s="4"/>
      <c r="E725" s="4" t="s">
        <v>6658</v>
      </c>
      <c r="F725" s="4" t="s">
        <v>6659</v>
      </c>
      <c r="G725" s="4" t="s">
        <v>5604</v>
      </c>
      <c r="H725" s="4" t="s">
        <v>5604</v>
      </c>
      <c r="I725" s="5">
        <v>41109</v>
      </c>
      <c r="J725" s="4" t="s">
        <v>4798</v>
      </c>
      <c r="K725" s="4" t="s">
        <v>57</v>
      </c>
      <c r="L725" s="4"/>
      <c r="M725" s="4"/>
    </row>
    <row r="726" ht="16" customHeight="1" s="4" customFormat="1">
      <c r="A726" s="4">
        <v>2359</v>
      </c>
      <c r="B726" s="4" t="s">
        <v>5499</v>
      </c>
      <c r="C726" s="4" t="s">
        <v>5519</v>
      </c>
      <c r="D726" s="4"/>
      <c r="E726" s="4" t="s">
        <v>6658</v>
      </c>
      <c r="F726" s="4" t="s">
        <v>6660</v>
      </c>
      <c r="G726" s="4" t="s">
        <v>5604</v>
      </c>
      <c r="H726" s="4" t="s">
        <v>5604</v>
      </c>
      <c r="I726" s="5">
        <v>41109</v>
      </c>
      <c r="J726" s="4" t="s">
        <v>4798</v>
      </c>
      <c r="K726" s="4" t="s">
        <v>57</v>
      </c>
      <c r="L726" s="4"/>
      <c r="M726" s="4"/>
    </row>
    <row r="727" ht="16" customHeight="1" s="4" customFormat="1">
      <c r="A727" s="4">
        <v>2360</v>
      </c>
      <c r="B727" s="4" t="s">
        <v>5499</v>
      </c>
      <c r="C727" s="4" t="s">
        <v>5519</v>
      </c>
      <c r="D727" s="4"/>
      <c r="E727" s="4" t="s">
        <v>5664</v>
      </c>
      <c r="F727" s="4" t="s">
        <v>6661</v>
      </c>
      <c r="G727" s="4" t="s">
        <v>5983</v>
      </c>
      <c r="H727" s="4" t="s">
        <v>5511</v>
      </c>
      <c r="I727" s="5">
        <v>41085</v>
      </c>
      <c r="J727" s="4" t="s">
        <v>4798</v>
      </c>
      <c r="K727" s="4" t="s">
        <v>57</v>
      </c>
      <c r="L727" s="4"/>
      <c r="M727" s="4"/>
    </row>
    <row r="728" ht="16" customHeight="1" s="4" customFormat="1">
      <c r="A728" s="4">
        <v>2361</v>
      </c>
      <c r="B728" s="4" t="s">
        <v>5499</v>
      </c>
      <c r="C728" s="4" t="s">
        <v>5519</v>
      </c>
      <c r="D728" s="4"/>
      <c r="E728" s="4" t="s">
        <v>5676</v>
      </c>
      <c r="F728" s="4" t="s">
        <v>6662</v>
      </c>
      <c r="G728" s="4" t="s">
        <v>6663</v>
      </c>
      <c r="H728" s="4" t="s">
        <v>6540</v>
      </c>
      <c r="I728" s="5">
        <v>41078</v>
      </c>
      <c r="J728" s="4" t="s">
        <v>4798</v>
      </c>
      <c r="K728" s="4" t="s">
        <v>57</v>
      </c>
      <c r="L728" s="4"/>
      <c r="M728" s="4"/>
    </row>
    <row r="729" ht="16" customHeight="1" s="4" customFormat="1">
      <c r="A729" s="4">
        <v>2362</v>
      </c>
      <c r="B729" s="4" t="s">
        <v>5499</v>
      </c>
      <c r="C729" s="4" t="s">
        <v>5519</v>
      </c>
      <c r="D729" s="4"/>
      <c r="E729" s="4" t="s">
        <v>5676</v>
      </c>
      <c r="F729" s="4" t="s">
        <v>6664</v>
      </c>
      <c r="G729" s="4" t="s">
        <v>6663</v>
      </c>
      <c r="H729" s="4" t="s">
        <v>6540</v>
      </c>
      <c r="I729" s="5">
        <v>41078</v>
      </c>
      <c r="J729" s="4" t="s">
        <v>4798</v>
      </c>
      <c r="K729" s="4" t="s">
        <v>57</v>
      </c>
      <c r="L729" s="4"/>
      <c r="M729" s="4"/>
    </row>
    <row r="730" ht="16" customHeight="1" s="4" customFormat="1">
      <c r="A730" s="4">
        <v>2363</v>
      </c>
      <c r="B730" s="4" t="s">
        <v>5499</v>
      </c>
      <c r="C730" s="4" t="s">
        <v>5519</v>
      </c>
      <c r="D730" s="4"/>
      <c r="E730" s="4" t="s">
        <v>5580</v>
      </c>
      <c r="F730" s="4" t="s">
        <v>6665</v>
      </c>
      <c r="G730" s="4" t="s">
        <v>6663</v>
      </c>
      <c r="H730" s="4" t="s">
        <v>6540</v>
      </c>
      <c r="I730" s="5">
        <v>41078</v>
      </c>
      <c r="J730" s="4" t="s">
        <v>4798</v>
      </c>
      <c r="K730" s="4" t="s">
        <v>57</v>
      </c>
      <c r="L730" s="4"/>
      <c r="M730" s="4"/>
    </row>
    <row r="731" ht="16" customHeight="1" s="4" customFormat="1">
      <c r="A731" s="4">
        <v>2364</v>
      </c>
      <c r="B731" s="4" t="s">
        <v>5499</v>
      </c>
      <c r="C731" s="4" t="s">
        <v>5519</v>
      </c>
      <c r="D731" s="4"/>
      <c r="E731" s="4" t="s">
        <v>5580</v>
      </c>
      <c r="F731" s="4" t="s">
        <v>6666</v>
      </c>
      <c r="G731" s="4" t="s">
        <v>6663</v>
      </c>
      <c r="H731" s="4" t="s">
        <v>6540</v>
      </c>
      <c r="I731" s="5">
        <v>41078</v>
      </c>
      <c r="J731" s="4" t="s">
        <v>4798</v>
      </c>
      <c r="K731" s="4" t="s">
        <v>57</v>
      </c>
      <c r="L731" s="4"/>
      <c r="M731" s="4"/>
    </row>
    <row r="732" ht="16" customHeight="1" s="4" customFormat="1">
      <c r="A732" s="4">
        <v>2365</v>
      </c>
      <c r="B732" s="4" t="s">
        <v>6161</v>
      </c>
      <c r="C732" s="4" t="s">
        <v>6618</v>
      </c>
      <c r="D732" s="4"/>
      <c r="E732" s="4"/>
      <c r="F732" s="4" t="s">
        <v>6667</v>
      </c>
      <c r="G732" s="4" t="s">
        <v>6668</v>
      </c>
      <c r="H732" s="4" t="s">
        <v>6669</v>
      </c>
      <c r="I732" s="5">
        <v>41051</v>
      </c>
      <c r="J732" s="4" t="s">
        <v>4798</v>
      </c>
      <c r="K732" s="4" t="s">
        <v>57</v>
      </c>
      <c r="L732" s="4"/>
      <c r="M732" s="4"/>
    </row>
    <row r="733" ht="16" customHeight="1" s="4" customFormat="1">
      <c r="A733" s="4">
        <v>2366</v>
      </c>
      <c r="B733" s="4" t="s">
        <v>5534</v>
      </c>
      <c r="C733" s="4" t="s">
        <v>5631</v>
      </c>
      <c r="D733" s="4"/>
      <c r="E733" s="4"/>
      <c r="F733" s="4" t="s">
        <v>6670</v>
      </c>
      <c r="G733" s="4" t="s">
        <v>6671</v>
      </c>
      <c r="H733" s="4" t="s">
        <v>6672</v>
      </c>
      <c r="I733" s="5">
        <v>41047</v>
      </c>
      <c r="J733" s="4" t="s">
        <v>5506</v>
      </c>
      <c r="K733" s="4" t="s">
        <v>57</v>
      </c>
      <c r="L733" s="4"/>
      <c r="M733" s="4"/>
    </row>
    <row r="734" ht="16" customHeight="1" s="4" customFormat="1">
      <c r="A734" s="4">
        <v>2367</v>
      </c>
      <c r="B734" s="4" t="s">
        <v>5534</v>
      </c>
      <c r="C734" s="4" t="s">
        <v>5631</v>
      </c>
      <c r="D734" s="4"/>
      <c r="E734" s="4"/>
      <c r="F734" s="4" t="s">
        <v>6673</v>
      </c>
      <c r="G734" s="4" t="s">
        <v>6671</v>
      </c>
      <c r="H734" s="4" t="s">
        <v>6672</v>
      </c>
      <c r="I734" s="5">
        <v>41047</v>
      </c>
      <c r="J734" s="4" t="s">
        <v>5506</v>
      </c>
      <c r="K734" s="4" t="s">
        <v>57</v>
      </c>
      <c r="L734" s="4"/>
      <c r="M734" s="4"/>
    </row>
    <row r="735" ht="16" customHeight="1" s="4" customFormat="1">
      <c r="A735" s="4">
        <v>2368</v>
      </c>
      <c r="B735" s="4" t="s">
        <v>5534</v>
      </c>
      <c r="C735" s="4" t="s">
        <v>5631</v>
      </c>
      <c r="D735" s="4"/>
      <c r="E735" s="4"/>
      <c r="F735" s="4" t="s">
        <v>6674</v>
      </c>
      <c r="G735" s="4" t="s">
        <v>6671</v>
      </c>
      <c r="H735" s="4" t="s">
        <v>6672</v>
      </c>
      <c r="I735" s="5">
        <v>41047</v>
      </c>
      <c r="J735" s="4" t="s">
        <v>5506</v>
      </c>
      <c r="K735" s="4" t="s">
        <v>57</v>
      </c>
      <c r="L735" s="4"/>
      <c r="M735" s="4"/>
    </row>
    <row r="736" ht="16" customHeight="1" s="4" customFormat="1">
      <c r="A736" s="4">
        <v>2369</v>
      </c>
      <c r="B736" s="4" t="s">
        <v>5499</v>
      </c>
      <c r="C736" s="4" t="s">
        <v>5519</v>
      </c>
      <c r="D736" s="4"/>
      <c r="E736" s="4" t="s">
        <v>6083</v>
      </c>
      <c r="F736" s="4" t="s">
        <v>6675</v>
      </c>
      <c r="G736" s="4" t="s">
        <v>6676</v>
      </c>
      <c r="H736" s="4" t="s">
        <v>6676</v>
      </c>
      <c r="I736" s="5">
        <v>41039</v>
      </c>
      <c r="J736" s="4" t="s">
        <v>4798</v>
      </c>
      <c r="K736" s="4" t="s">
        <v>57</v>
      </c>
      <c r="L736" s="4"/>
      <c r="M736" s="4"/>
    </row>
    <row r="737" ht="16" customHeight="1" s="4" customFormat="1">
      <c r="A737" s="4">
        <v>2370</v>
      </c>
      <c r="B737" s="4" t="s">
        <v>5499</v>
      </c>
      <c r="C737" s="4" t="s">
        <v>5519</v>
      </c>
      <c r="D737" s="4"/>
      <c r="E737" s="4" t="s">
        <v>6083</v>
      </c>
      <c r="F737" s="4" t="s">
        <v>6677</v>
      </c>
      <c r="G737" s="4" t="s">
        <v>6676</v>
      </c>
      <c r="H737" s="4" t="s">
        <v>6676</v>
      </c>
      <c r="I737" s="5">
        <v>41039</v>
      </c>
      <c r="J737" s="4" t="s">
        <v>4798</v>
      </c>
      <c r="K737" s="4" t="s">
        <v>57</v>
      </c>
      <c r="L737" s="4"/>
      <c r="M737" s="4"/>
    </row>
    <row r="738" ht="16" customHeight="1" s="4" customFormat="1">
      <c r="A738" s="4">
        <v>2371</v>
      </c>
      <c r="B738" s="4" t="s">
        <v>5499</v>
      </c>
      <c r="C738" s="4" t="s">
        <v>5519</v>
      </c>
      <c r="D738" s="4"/>
      <c r="E738" s="4" t="s">
        <v>6275</v>
      </c>
      <c r="F738" s="4" t="s">
        <v>6678</v>
      </c>
      <c r="G738" s="4" t="s">
        <v>6114</v>
      </c>
      <c r="H738" s="4" t="s">
        <v>6114</v>
      </c>
      <c r="I738" s="5">
        <v>41026</v>
      </c>
      <c r="J738" s="4" t="s">
        <v>4798</v>
      </c>
      <c r="K738" s="4" t="s">
        <v>57</v>
      </c>
      <c r="L738" s="4"/>
      <c r="M738" s="4"/>
    </row>
    <row r="739" ht="16" customHeight="1" s="4" customFormat="1">
      <c r="A739" s="4">
        <v>2372</v>
      </c>
      <c r="B739" s="4" t="s">
        <v>5499</v>
      </c>
      <c r="C739" s="4" t="s">
        <v>5519</v>
      </c>
      <c r="D739" s="4"/>
      <c r="E739" s="4" t="s">
        <v>6275</v>
      </c>
      <c r="F739" s="4" t="s">
        <v>6679</v>
      </c>
      <c r="G739" s="4" t="s">
        <v>6114</v>
      </c>
      <c r="H739" s="4" t="s">
        <v>6114</v>
      </c>
      <c r="I739" s="5">
        <v>41026</v>
      </c>
      <c r="J739" s="4" t="s">
        <v>4798</v>
      </c>
      <c r="K739" s="4" t="s">
        <v>57</v>
      </c>
      <c r="L739" s="4"/>
      <c r="M739" s="4"/>
    </row>
    <row r="740" ht="16" customHeight="1" s="4" customFormat="1">
      <c r="A740" s="4">
        <v>2373</v>
      </c>
      <c r="B740" s="4" t="s">
        <v>5499</v>
      </c>
      <c r="C740" s="4" t="s">
        <v>5519</v>
      </c>
      <c r="D740" s="4"/>
      <c r="E740" s="4" t="s">
        <v>6275</v>
      </c>
      <c r="F740" s="4" t="s">
        <v>6680</v>
      </c>
      <c r="G740" s="4" t="s">
        <v>6114</v>
      </c>
      <c r="H740" s="4" t="s">
        <v>6114</v>
      </c>
      <c r="I740" s="5">
        <v>41026</v>
      </c>
      <c r="J740" s="4" t="s">
        <v>4798</v>
      </c>
      <c r="K740" s="4" t="s">
        <v>57</v>
      </c>
      <c r="L740" s="4"/>
      <c r="M740" s="4"/>
    </row>
    <row r="741" ht="16" customHeight="1" s="4" customFormat="1">
      <c r="A741" s="4">
        <v>2374</v>
      </c>
      <c r="B741" s="4" t="s">
        <v>5499</v>
      </c>
      <c r="C741" s="4" t="s">
        <v>5519</v>
      </c>
      <c r="D741" s="4"/>
      <c r="E741" s="4" t="s">
        <v>6275</v>
      </c>
      <c r="F741" s="4" t="s">
        <v>6681</v>
      </c>
      <c r="G741" s="4" t="s">
        <v>6114</v>
      </c>
      <c r="H741" s="4" t="s">
        <v>6114</v>
      </c>
      <c r="I741" s="5">
        <v>41026</v>
      </c>
      <c r="J741" s="4" t="s">
        <v>4798</v>
      </c>
      <c r="K741" s="4" t="s">
        <v>57</v>
      </c>
      <c r="L741" s="4"/>
      <c r="M741" s="4"/>
    </row>
    <row r="742" ht="16" customHeight="1" s="4" customFormat="1">
      <c r="A742" s="4">
        <v>2375</v>
      </c>
      <c r="B742" s="4" t="s">
        <v>5534</v>
      </c>
      <c r="C742" s="4" t="s">
        <v>5773</v>
      </c>
      <c r="D742" s="4"/>
      <c r="E742" s="4"/>
      <c r="F742" s="4" t="s">
        <v>6682</v>
      </c>
      <c r="G742" s="4"/>
      <c r="H742" s="4" t="s">
        <v>5768</v>
      </c>
      <c r="I742" s="5">
        <v>40990</v>
      </c>
      <c r="J742" s="4" t="s">
        <v>5506</v>
      </c>
      <c r="K742" s="4" t="s">
        <v>57</v>
      </c>
      <c r="L742" s="4"/>
      <c r="M742" s="4"/>
    </row>
    <row r="743" ht="16" customHeight="1" s="4" customFormat="1">
      <c r="A743" s="4">
        <v>2376</v>
      </c>
      <c r="B743" s="4" t="s">
        <v>5499</v>
      </c>
      <c r="C743" s="4" t="s">
        <v>5519</v>
      </c>
      <c r="D743" s="4"/>
      <c r="E743" s="4" t="s">
        <v>6094</v>
      </c>
      <c r="F743" s="4" t="s">
        <v>6683</v>
      </c>
      <c r="G743" s="4" t="s">
        <v>6684</v>
      </c>
      <c r="H743" s="4" t="s">
        <v>6684</v>
      </c>
      <c r="I743" s="5">
        <v>40980</v>
      </c>
      <c r="J743" s="4" t="s">
        <v>4798</v>
      </c>
      <c r="K743" s="4" t="s">
        <v>57</v>
      </c>
      <c r="L743" s="4"/>
      <c r="M743" s="4"/>
    </row>
    <row r="744" ht="16" customHeight="1" s="4" customFormat="1">
      <c r="A744" s="4">
        <v>2377</v>
      </c>
      <c r="B744" s="4" t="s">
        <v>5499</v>
      </c>
      <c r="C744" s="4" t="s">
        <v>5519</v>
      </c>
      <c r="D744" s="4"/>
      <c r="E744" s="4" t="s">
        <v>5664</v>
      </c>
      <c r="F744" s="4" t="s">
        <v>6685</v>
      </c>
      <c r="G744" s="4" t="s">
        <v>5984</v>
      </c>
      <c r="H744" s="4" t="s">
        <v>6686</v>
      </c>
      <c r="I744" s="5">
        <v>40933</v>
      </c>
      <c r="J744" s="4" t="s">
        <v>4842</v>
      </c>
      <c r="K744" s="4" t="s">
        <v>57</v>
      </c>
      <c r="L744" s="4"/>
      <c r="M744" s="4"/>
    </row>
    <row r="745" ht="16" customHeight="1" s="4" customFormat="1">
      <c r="A745" s="4">
        <v>2378</v>
      </c>
      <c r="B745" s="4" t="s">
        <v>5499</v>
      </c>
      <c r="C745" s="4" t="s">
        <v>5519</v>
      </c>
      <c r="D745" s="4"/>
      <c r="E745" s="4" t="s">
        <v>6094</v>
      </c>
      <c r="F745" s="4" t="s">
        <v>6687</v>
      </c>
      <c r="G745" s="4" t="s">
        <v>5984</v>
      </c>
      <c r="H745" s="4" t="s">
        <v>5984</v>
      </c>
      <c r="I745" s="5">
        <v>40933</v>
      </c>
      <c r="J745" s="4" t="s">
        <v>4842</v>
      </c>
      <c r="K745" s="4" t="s">
        <v>57</v>
      </c>
      <c r="L745" s="4"/>
      <c r="M745" s="4"/>
    </row>
    <row r="746" ht="16" customHeight="1" s="4" customFormat="1">
      <c r="A746" s="4">
        <v>2379</v>
      </c>
      <c r="B746" s="4" t="s">
        <v>5499</v>
      </c>
      <c r="C746" s="4" t="s">
        <v>5519</v>
      </c>
      <c r="D746" s="4"/>
      <c r="E746" s="4" t="s">
        <v>6079</v>
      </c>
      <c r="F746" s="4" t="s">
        <v>6688</v>
      </c>
      <c r="G746" s="4" t="s">
        <v>6376</v>
      </c>
      <c r="H746" s="4" t="s">
        <v>5663</v>
      </c>
      <c r="I746" s="5">
        <v>40890</v>
      </c>
      <c r="J746" s="4" t="s">
        <v>4798</v>
      </c>
      <c r="K746" s="4" t="s">
        <v>57</v>
      </c>
      <c r="L746" s="4"/>
      <c r="M746" s="4"/>
    </row>
    <row r="747" ht="16" customHeight="1" s="4" customFormat="1">
      <c r="A747" s="4">
        <v>2380</v>
      </c>
      <c r="B747" s="4" t="s">
        <v>5534</v>
      </c>
      <c r="C747" s="4" t="s">
        <v>5773</v>
      </c>
      <c r="D747" s="4"/>
      <c r="E747" s="4"/>
      <c r="F747" s="4" t="s">
        <v>6689</v>
      </c>
      <c r="G747" s="4" t="s">
        <v>6690</v>
      </c>
      <c r="H747" s="4" t="s">
        <v>6691</v>
      </c>
      <c r="I747" s="5">
        <v>40879</v>
      </c>
      <c r="J747" s="4" t="s">
        <v>5506</v>
      </c>
      <c r="K747" s="4" t="s">
        <v>57</v>
      </c>
      <c r="L747" s="4"/>
      <c r="M747" s="4"/>
    </row>
    <row r="748" ht="16" customHeight="1" s="4" customFormat="1">
      <c r="A748" s="4">
        <v>2381</v>
      </c>
      <c r="B748" s="4" t="s">
        <v>5534</v>
      </c>
      <c r="C748" s="4" t="s">
        <v>5773</v>
      </c>
      <c r="D748" s="4"/>
      <c r="E748" s="4"/>
      <c r="F748" s="4" t="s">
        <v>6692</v>
      </c>
      <c r="G748" s="4" t="s">
        <v>5817</v>
      </c>
      <c r="H748" s="4" t="s">
        <v>5818</v>
      </c>
      <c r="I748" s="5">
        <v>40857</v>
      </c>
      <c r="J748" s="4" t="s">
        <v>4842</v>
      </c>
      <c r="K748" s="4" t="s">
        <v>57</v>
      </c>
      <c r="L748" s="4"/>
      <c r="M748" s="4"/>
    </row>
    <row r="749" ht="16" customHeight="1" s="4" customFormat="1">
      <c r="A749" s="4">
        <v>2382</v>
      </c>
      <c r="B749" s="4" t="s">
        <v>5534</v>
      </c>
      <c r="C749" s="4" t="s">
        <v>5773</v>
      </c>
      <c r="D749" s="4"/>
      <c r="E749" s="4"/>
      <c r="F749" s="4" t="s">
        <v>6693</v>
      </c>
      <c r="G749" s="4" t="s">
        <v>5817</v>
      </c>
      <c r="H749" s="4" t="s">
        <v>5768</v>
      </c>
      <c r="I749" s="5">
        <v>40857</v>
      </c>
      <c r="J749" s="4" t="s">
        <v>4842</v>
      </c>
      <c r="K749" s="4" t="s">
        <v>57</v>
      </c>
      <c r="L749" s="4"/>
      <c r="M749" s="4"/>
    </row>
    <row r="750" ht="16" customHeight="1" s="4" customFormat="1">
      <c r="A750" s="4">
        <v>2383</v>
      </c>
      <c r="B750" s="4" t="s">
        <v>5534</v>
      </c>
      <c r="C750" s="4" t="s">
        <v>5773</v>
      </c>
      <c r="D750" s="4"/>
      <c r="E750" s="4"/>
      <c r="F750" s="4" t="s">
        <v>6694</v>
      </c>
      <c r="G750" s="4" t="s">
        <v>5817</v>
      </c>
      <c r="H750" s="4" t="s">
        <v>5768</v>
      </c>
      <c r="I750" s="5">
        <v>40857</v>
      </c>
      <c r="J750" s="4" t="s">
        <v>4842</v>
      </c>
      <c r="K750" s="4" t="s">
        <v>57</v>
      </c>
      <c r="L750" s="4"/>
      <c r="M750" s="4"/>
    </row>
    <row r="751" ht="16" customHeight="1" s="4" customFormat="1">
      <c r="A751" s="4">
        <v>2384</v>
      </c>
      <c r="B751" s="4" t="s">
        <v>5534</v>
      </c>
      <c r="C751" s="4" t="s">
        <v>5773</v>
      </c>
      <c r="D751" s="4"/>
      <c r="E751" s="4"/>
      <c r="F751" s="4" t="s">
        <v>6695</v>
      </c>
      <c r="G751" s="4" t="s">
        <v>5817</v>
      </c>
      <c r="H751" s="4" t="s">
        <v>5768</v>
      </c>
      <c r="I751" s="5">
        <v>40857</v>
      </c>
      <c r="J751" s="4" t="s">
        <v>4842</v>
      </c>
      <c r="K751" s="4" t="s">
        <v>57</v>
      </c>
      <c r="L751" s="4"/>
      <c r="M751" s="4"/>
    </row>
    <row r="752" ht="16" customHeight="1" s="4" customFormat="1">
      <c r="A752" s="4">
        <v>2385</v>
      </c>
      <c r="B752" s="4" t="s">
        <v>5534</v>
      </c>
      <c r="C752" s="4" t="s">
        <v>5773</v>
      </c>
      <c r="D752" s="4"/>
      <c r="E752" s="4"/>
      <c r="F752" s="4" t="s">
        <v>6696</v>
      </c>
      <c r="G752" s="4" t="s">
        <v>5817</v>
      </c>
      <c r="H752" s="4" t="s">
        <v>5818</v>
      </c>
      <c r="I752" s="5">
        <v>40857</v>
      </c>
      <c r="J752" s="4" t="s">
        <v>4842</v>
      </c>
      <c r="K752" s="4" t="s">
        <v>57</v>
      </c>
      <c r="L752" s="4"/>
      <c r="M752" s="4"/>
    </row>
    <row r="753" ht="16" customHeight="1" s="4" customFormat="1">
      <c r="A753" s="4">
        <v>2386</v>
      </c>
      <c r="B753" s="4" t="s">
        <v>5534</v>
      </c>
      <c r="C753" s="4" t="s">
        <v>5773</v>
      </c>
      <c r="D753" s="4"/>
      <c r="E753" s="4"/>
      <c r="F753" s="4" t="s">
        <v>6697</v>
      </c>
      <c r="G753" s="4" t="s">
        <v>5817</v>
      </c>
      <c r="H753" s="4" t="s">
        <v>5818</v>
      </c>
      <c r="I753" s="5">
        <v>40857</v>
      </c>
      <c r="J753" s="4" t="s">
        <v>4842</v>
      </c>
      <c r="K753" s="4" t="s">
        <v>57</v>
      </c>
      <c r="L753" s="4"/>
      <c r="M753" s="4"/>
    </row>
    <row r="754" ht="16" customHeight="1" s="4" customFormat="1">
      <c r="A754" s="4">
        <v>2387</v>
      </c>
      <c r="B754" s="4" t="s">
        <v>5534</v>
      </c>
      <c r="C754" s="4" t="s">
        <v>5773</v>
      </c>
      <c r="D754" s="4"/>
      <c r="E754" s="4"/>
      <c r="F754" s="4" t="s">
        <v>6698</v>
      </c>
      <c r="G754" s="4" t="s">
        <v>5817</v>
      </c>
      <c r="H754" s="4" t="s">
        <v>5667</v>
      </c>
      <c r="I754" s="5">
        <v>40857</v>
      </c>
      <c r="J754" s="4" t="s">
        <v>4842</v>
      </c>
      <c r="K754" s="4" t="s">
        <v>57</v>
      </c>
      <c r="L754" s="4"/>
      <c r="M754" s="4"/>
    </row>
    <row r="755" ht="16" customHeight="1" s="4" customFormat="1">
      <c r="A755" s="4">
        <v>2388</v>
      </c>
      <c r="B755" s="4" t="s">
        <v>5534</v>
      </c>
      <c r="C755" s="4" t="s">
        <v>5773</v>
      </c>
      <c r="D755" s="4"/>
      <c r="E755" s="4"/>
      <c r="F755" s="4" t="s">
        <v>6699</v>
      </c>
      <c r="G755" s="4" t="s">
        <v>5817</v>
      </c>
      <c r="H755" s="4" t="s">
        <v>5667</v>
      </c>
      <c r="I755" s="5">
        <v>40857</v>
      </c>
      <c r="J755" s="4" t="s">
        <v>4842</v>
      </c>
      <c r="K755" s="4" t="s">
        <v>57</v>
      </c>
      <c r="L755" s="4"/>
      <c r="M755" s="4"/>
    </row>
    <row r="756" ht="16" customHeight="1" s="4" customFormat="1">
      <c r="A756" s="4">
        <v>1331</v>
      </c>
      <c r="B756" s="4" t="s">
        <v>5499</v>
      </c>
      <c r="C756" s="4" t="s">
        <v>5519</v>
      </c>
      <c r="D756" s="4"/>
      <c r="E756" s="4" t="s">
        <v>6700</v>
      </c>
      <c r="F756" s="4" t="s">
        <v>6701</v>
      </c>
      <c r="G756" s="4" t="s">
        <v>6702</v>
      </c>
      <c r="H756" s="4" t="s">
        <v>6703</v>
      </c>
      <c r="I756" s="5">
        <v>42742</v>
      </c>
      <c r="J756" s="4" t="s">
        <v>4842</v>
      </c>
      <c r="K756" s="4" t="s">
        <v>57</v>
      </c>
      <c r="L756" s="4"/>
      <c r="M756" s="4"/>
    </row>
    <row r="757" ht="16" customHeight="1" s="4" customFormat="1">
      <c r="A757" s="4">
        <v>1332</v>
      </c>
      <c r="B757" s="4" t="s">
        <v>5499</v>
      </c>
      <c r="C757" s="4" t="s">
        <v>5519</v>
      </c>
      <c r="D757" s="4"/>
      <c r="E757" s="4" t="s">
        <v>6704</v>
      </c>
      <c r="F757" s="4" t="s">
        <v>6705</v>
      </c>
      <c r="G757" s="4" t="s">
        <v>6706</v>
      </c>
      <c r="H757" s="4" t="s">
        <v>6175</v>
      </c>
      <c r="I757" s="5">
        <v>42741</v>
      </c>
      <c r="J757" s="4" t="s">
        <v>4842</v>
      </c>
      <c r="K757" s="4" t="s">
        <v>57</v>
      </c>
      <c r="L757" s="4"/>
      <c r="M757" s="4"/>
    </row>
    <row r="758" ht="16" customHeight="1" s="4" customFormat="1">
      <c r="A758" s="4">
        <v>1333</v>
      </c>
      <c r="B758" s="4" t="s">
        <v>5499</v>
      </c>
      <c r="C758" s="4" t="s">
        <v>5519</v>
      </c>
      <c r="D758" s="4"/>
      <c r="E758" s="4" t="s">
        <v>6704</v>
      </c>
      <c r="F758" s="4" t="s">
        <v>6707</v>
      </c>
      <c r="G758" s="4" t="s">
        <v>6706</v>
      </c>
      <c r="H758" s="4" t="s">
        <v>6175</v>
      </c>
      <c r="I758" s="5">
        <v>42741</v>
      </c>
      <c r="J758" s="4" t="s">
        <v>4842</v>
      </c>
      <c r="K758" s="4" t="s">
        <v>57</v>
      </c>
      <c r="L758" s="4"/>
      <c r="M758" s="4"/>
    </row>
    <row r="759" ht="16" customHeight="1" s="4" customFormat="1">
      <c r="A759" s="4">
        <v>1334</v>
      </c>
      <c r="B759" s="4" t="s">
        <v>5499</v>
      </c>
      <c r="C759" s="4" t="s">
        <v>5500</v>
      </c>
      <c r="D759" s="4" t="s">
        <v>5574</v>
      </c>
      <c r="E759" s="4" t="s">
        <v>5575</v>
      </c>
      <c r="F759" s="4" t="s">
        <v>6708</v>
      </c>
      <c r="G759" s="4" t="s">
        <v>6419</v>
      </c>
      <c r="H759" s="4" t="s">
        <v>6709</v>
      </c>
      <c r="I759" s="5">
        <v>42740</v>
      </c>
      <c r="J759" s="4" t="s">
        <v>4798</v>
      </c>
      <c r="K759" s="4" t="s">
        <v>57</v>
      </c>
      <c r="L759" s="4"/>
      <c r="M759" s="4"/>
    </row>
    <row r="760" ht="16" customHeight="1" s="4" customFormat="1">
      <c r="A760" s="4">
        <v>1314</v>
      </c>
      <c r="B760" s="4" t="s">
        <v>5534</v>
      </c>
      <c r="C760" s="4" t="s">
        <v>5773</v>
      </c>
      <c r="D760" s="4"/>
      <c r="E760" s="4"/>
      <c r="F760" s="4" t="s">
        <v>6710</v>
      </c>
      <c r="G760" s="4" t="s">
        <v>10</v>
      </c>
      <c r="H760" s="4" t="s">
        <v>5899</v>
      </c>
      <c r="I760" s="5">
        <v>42794</v>
      </c>
      <c r="J760" s="4" t="s">
        <v>4842</v>
      </c>
      <c r="K760" s="4" t="s">
        <v>57</v>
      </c>
      <c r="L760" s="4"/>
      <c r="M760" s="4"/>
    </row>
    <row r="761" ht="16" customHeight="1" s="4" customFormat="1">
      <c r="A761" s="4">
        <v>1315</v>
      </c>
      <c r="B761" s="4" t="s">
        <v>5499</v>
      </c>
      <c r="C761" s="4" t="s">
        <v>5590</v>
      </c>
      <c r="D761" s="4" t="s">
        <v>5574</v>
      </c>
      <c r="E761" s="4" t="s">
        <v>5575</v>
      </c>
      <c r="F761" s="4" t="s">
        <v>6711</v>
      </c>
      <c r="G761" s="4" t="s">
        <v>6712</v>
      </c>
      <c r="H761" s="4" t="s">
        <v>6713</v>
      </c>
      <c r="I761" s="5">
        <v>42793</v>
      </c>
      <c r="J761" s="4" t="s">
        <v>5506</v>
      </c>
      <c r="K761" s="4" t="s">
        <v>57</v>
      </c>
      <c r="L761" s="4"/>
      <c r="M761" s="4"/>
    </row>
    <row r="762" ht="16" customHeight="1" s="4" customFormat="1">
      <c r="A762" s="4">
        <v>1316</v>
      </c>
      <c r="B762" s="4" t="s">
        <v>5534</v>
      </c>
      <c r="C762" s="4" t="s">
        <v>6714</v>
      </c>
      <c r="D762" s="4"/>
      <c r="E762" s="4" t="s">
        <v>6121</v>
      </c>
      <c r="F762" s="4" t="s">
        <v>6715</v>
      </c>
      <c r="G762" s="4"/>
      <c r="H762" s="4" t="s">
        <v>6716</v>
      </c>
      <c r="I762" s="5">
        <v>42788</v>
      </c>
      <c r="J762" s="4" t="s">
        <v>5506</v>
      </c>
      <c r="K762" s="4" t="s">
        <v>57</v>
      </c>
      <c r="L762" s="4"/>
      <c r="M762" s="4"/>
    </row>
    <row r="763" ht="16" customHeight="1" s="4" customFormat="1">
      <c r="A763" s="4">
        <v>1318</v>
      </c>
      <c r="B763" s="4" t="s">
        <v>5499</v>
      </c>
      <c r="C763" s="4" t="s">
        <v>5500</v>
      </c>
      <c r="D763" s="4"/>
      <c r="E763" s="4"/>
      <c r="F763" s="4" t="s">
        <v>6717</v>
      </c>
      <c r="G763" s="4" t="s">
        <v>6718</v>
      </c>
      <c r="H763" s="4" t="s">
        <v>6719</v>
      </c>
      <c r="I763" s="5">
        <v>42783</v>
      </c>
      <c r="J763" s="4" t="s">
        <v>4798</v>
      </c>
      <c r="K763" s="4" t="s">
        <v>57</v>
      </c>
      <c r="L763" s="4"/>
      <c r="M763" s="4"/>
    </row>
    <row r="764" ht="16" customHeight="1" s="4" customFormat="1">
      <c r="A764" s="4">
        <v>1319</v>
      </c>
      <c r="B764" s="4" t="s">
        <v>5499</v>
      </c>
      <c r="C764" s="4" t="s">
        <v>5519</v>
      </c>
      <c r="D764" s="4"/>
      <c r="E764" s="4" t="s">
        <v>5641</v>
      </c>
      <c r="F764" s="4" t="s">
        <v>6720</v>
      </c>
      <c r="G764" s="4" t="s">
        <v>6721</v>
      </c>
      <c r="H764" s="4" t="s">
        <v>6722</v>
      </c>
      <c r="I764" s="5">
        <v>42781</v>
      </c>
      <c r="J764" s="4" t="s">
        <v>4798</v>
      </c>
      <c r="K764" s="4" t="s">
        <v>57</v>
      </c>
      <c r="L764" s="4"/>
      <c r="M764" s="4"/>
    </row>
    <row r="765" ht="16" customHeight="1" s="4" customFormat="1">
      <c r="A765" s="4">
        <v>1320</v>
      </c>
      <c r="B765" s="4" t="s">
        <v>5534</v>
      </c>
      <c r="C765" s="4" t="s">
        <v>6714</v>
      </c>
      <c r="D765" s="4"/>
      <c r="E765" s="4" t="s">
        <v>6121</v>
      </c>
      <c r="F765" s="4" t="s">
        <v>6723</v>
      </c>
      <c r="G765" s="4"/>
      <c r="H765" s="4" t="s">
        <v>6716</v>
      </c>
      <c r="I765" s="5">
        <v>42781</v>
      </c>
      <c r="J765" s="4" t="s">
        <v>5506</v>
      </c>
      <c r="K765" s="4" t="s">
        <v>57</v>
      </c>
      <c r="L765" s="4"/>
      <c r="M765" s="4"/>
    </row>
    <row r="766" ht="16" customHeight="1" s="4" customFormat="1">
      <c r="A766" s="4">
        <v>1321</v>
      </c>
      <c r="B766" s="4" t="s">
        <v>5499</v>
      </c>
      <c r="C766" s="4" t="s">
        <v>5590</v>
      </c>
      <c r="D766" s="4" t="s">
        <v>5501</v>
      </c>
      <c r="E766" s="4" t="s">
        <v>5502</v>
      </c>
      <c r="F766" s="4" t="s">
        <v>6724</v>
      </c>
      <c r="G766" s="4" t="s">
        <v>5843</v>
      </c>
      <c r="H766" s="4" t="s">
        <v>6725</v>
      </c>
      <c r="I766" s="5">
        <v>42776</v>
      </c>
      <c r="J766" s="4" t="s">
        <v>4798</v>
      </c>
      <c r="K766" s="4" t="s">
        <v>57</v>
      </c>
      <c r="L766" s="4"/>
      <c r="M766" s="4"/>
    </row>
    <row r="767" ht="16" customHeight="1" s="4" customFormat="1">
      <c r="A767" s="4">
        <v>1322</v>
      </c>
      <c r="B767" s="4" t="s">
        <v>5499</v>
      </c>
      <c r="C767" s="4" t="s">
        <v>5519</v>
      </c>
      <c r="D767" s="4"/>
      <c r="E767" s="4" t="s">
        <v>5524</v>
      </c>
      <c r="F767" s="4" t="s">
        <v>6726</v>
      </c>
      <c r="G767" s="4" t="s">
        <v>6721</v>
      </c>
      <c r="H767" s="4" t="s">
        <v>6722</v>
      </c>
      <c r="I767" s="5">
        <v>42775</v>
      </c>
      <c r="J767" s="4" t="s">
        <v>4798</v>
      </c>
      <c r="K767" s="4" t="s">
        <v>57</v>
      </c>
      <c r="L767" s="4"/>
      <c r="M767" s="4"/>
    </row>
    <row r="768" ht="16" customHeight="1" s="4" customFormat="1">
      <c r="A768" s="4">
        <v>1323</v>
      </c>
      <c r="B768" s="4" t="s">
        <v>5499</v>
      </c>
      <c r="C768" s="4" t="s">
        <v>5519</v>
      </c>
      <c r="D768" s="4"/>
      <c r="E768" s="4" t="s">
        <v>5520</v>
      </c>
      <c r="F768" s="4" t="s">
        <v>6727</v>
      </c>
      <c r="G768" s="4" t="s">
        <v>6721</v>
      </c>
      <c r="H768" s="4" t="s">
        <v>6722</v>
      </c>
      <c r="I768" s="5">
        <v>42772</v>
      </c>
      <c r="J768" s="4" t="s">
        <v>4842</v>
      </c>
      <c r="K768" s="4" t="s">
        <v>57</v>
      </c>
      <c r="L768" s="4"/>
      <c r="M768" s="4"/>
    </row>
    <row r="769" ht="16" customHeight="1" s="4" customFormat="1">
      <c r="A769" s="4">
        <v>1324</v>
      </c>
      <c r="B769" s="4" t="s">
        <v>5499</v>
      </c>
      <c r="C769" s="4" t="s">
        <v>5519</v>
      </c>
      <c r="D769" s="4"/>
      <c r="E769" s="4" t="s">
        <v>5524</v>
      </c>
      <c r="F769" s="4" t="s">
        <v>6728</v>
      </c>
      <c r="G769" s="4" t="s">
        <v>6721</v>
      </c>
      <c r="H769" s="4" t="s">
        <v>6722</v>
      </c>
      <c r="I769" s="5">
        <v>42768</v>
      </c>
      <c r="J769" s="4" t="s">
        <v>4798</v>
      </c>
      <c r="K769" s="4" t="s">
        <v>57</v>
      </c>
      <c r="L769" s="4"/>
      <c r="M769" s="4"/>
    </row>
    <row r="770" ht="16" customHeight="1" s="4" customFormat="1">
      <c r="A770" s="4">
        <v>1325</v>
      </c>
      <c r="B770" s="4" t="s">
        <v>5499</v>
      </c>
      <c r="C770" s="4" t="s">
        <v>5519</v>
      </c>
      <c r="D770" s="4"/>
      <c r="E770" s="4" t="s">
        <v>5520</v>
      </c>
      <c r="F770" s="4" t="s">
        <v>6729</v>
      </c>
      <c r="G770" s="4" t="s">
        <v>6721</v>
      </c>
      <c r="H770" s="4" t="s">
        <v>6722</v>
      </c>
      <c r="I770" s="5">
        <v>42766</v>
      </c>
      <c r="J770" s="4" t="s">
        <v>4842</v>
      </c>
      <c r="K770" s="4" t="s">
        <v>57</v>
      </c>
      <c r="L770" s="4"/>
      <c r="M770" s="4"/>
    </row>
    <row r="771" ht="16" customHeight="1" s="4" customFormat="1">
      <c r="A771" s="4">
        <v>1326</v>
      </c>
      <c r="B771" s="4" t="s">
        <v>5499</v>
      </c>
      <c r="C771" s="4" t="s">
        <v>5519</v>
      </c>
      <c r="D771" s="4"/>
      <c r="E771" s="4" t="s">
        <v>5584</v>
      </c>
      <c r="F771" s="4" t="s">
        <v>6730</v>
      </c>
      <c r="G771" s="4" t="s">
        <v>6721</v>
      </c>
      <c r="H771" s="4" t="s">
        <v>6722</v>
      </c>
      <c r="I771" s="5">
        <v>42760</v>
      </c>
      <c r="J771" s="4" t="s">
        <v>4842</v>
      </c>
      <c r="K771" s="4" t="s">
        <v>57</v>
      </c>
      <c r="L771" s="4"/>
      <c r="M771" s="4"/>
    </row>
    <row r="772" ht="16" customHeight="1" s="4" customFormat="1">
      <c r="A772" s="4">
        <v>1327</v>
      </c>
      <c r="B772" s="4" t="s">
        <v>5499</v>
      </c>
      <c r="C772" s="4" t="s">
        <v>5500</v>
      </c>
      <c r="D772" s="4" t="s">
        <v>6121</v>
      </c>
      <c r="E772" s="4" t="s">
        <v>5515</v>
      </c>
      <c r="F772" s="4" t="s">
        <v>6731</v>
      </c>
      <c r="G772" s="4" t="s">
        <v>6732</v>
      </c>
      <c r="H772" s="4" t="s">
        <v>6733</v>
      </c>
      <c r="I772" s="5">
        <v>42759</v>
      </c>
      <c r="J772" s="4" t="s">
        <v>4842</v>
      </c>
      <c r="K772" s="4" t="s">
        <v>57</v>
      </c>
      <c r="L772" s="4"/>
      <c r="M772" s="4"/>
    </row>
    <row r="773" ht="16" customHeight="1" s="4" customFormat="1">
      <c r="A773" s="4">
        <v>1328</v>
      </c>
      <c r="B773" s="4" t="s">
        <v>5499</v>
      </c>
      <c r="C773" s="4" t="s">
        <v>5519</v>
      </c>
      <c r="D773" s="4"/>
      <c r="E773" s="4" t="s">
        <v>6083</v>
      </c>
      <c r="F773" s="4" t="s">
        <v>6734</v>
      </c>
      <c r="G773" s="4" t="s">
        <v>5791</v>
      </c>
      <c r="H773" s="4" t="s">
        <v>5791</v>
      </c>
      <c r="I773" s="5">
        <v>42755</v>
      </c>
      <c r="J773" s="4" t="s">
        <v>5506</v>
      </c>
      <c r="K773" s="4" t="s">
        <v>57</v>
      </c>
      <c r="L773" s="4"/>
      <c r="M773" s="4"/>
    </row>
    <row r="774" ht="16" customHeight="1" s="4" customFormat="1">
      <c r="A774" s="4">
        <v>1329</v>
      </c>
      <c r="B774" s="4" t="s">
        <v>5534</v>
      </c>
      <c r="C774" s="4" t="s">
        <v>5773</v>
      </c>
      <c r="D774" s="4"/>
      <c r="E774" s="4"/>
      <c r="F774" s="4" t="s">
        <v>6735</v>
      </c>
      <c r="G774" s="4" t="s">
        <v>5853</v>
      </c>
      <c r="H774" s="4" t="s">
        <v>5791</v>
      </c>
      <c r="I774" s="5">
        <v>42751</v>
      </c>
      <c r="J774" s="4" t="s">
        <v>4842</v>
      </c>
      <c r="K774" s="4" t="s">
        <v>57</v>
      </c>
      <c r="L774" s="4"/>
      <c r="M774" s="4"/>
    </row>
    <row r="775" ht="16" customHeight="1" s="4" customFormat="1">
      <c r="A775" s="4">
        <v>1336</v>
      </c>
      <c r="B775" s="4" t="s">
        <v>5499</v>
      </c>
      <c r="C775" s="4" t="s">
        <v>5519</v>
      </c>
      <c r="D775" s="4"/>
      <c r="E775" s="4" t="s">
        <v>5524</v>
      </c>
      <c r="F775" s="4" t="s">
        <v>6736</v>
      </c>
      <c r="G775" s="4" t="s">
        <v>5791</v>
      </c>
      <c r="H775" s="4" t="s">
        <v>1270</v>
      </c>
      <c r="I775" s="5">
        <v>42732</v>
      </c>
      <c r="J775" s="4" t="s">
        <v>4842</v>
      </c>
      <c r="K775" s="4" t="s">
        <v>57</v>
      </c>
      <c r="L775" s="4"/>
      <c r="M775" s="4"/>
    </row>
    <row r="776" ht="16" customHeight="1" s="4" customFormat="1">
      <c r="A776" s="4">
        <v>1337</v>
      </c>
      <c r="B776" s="4" t="s">
        <v>5534</v>
      </c>
      <c r="C776" s="4" t="s">
        <v>5773</v>
      </c>
      <c r="D776" s="4"/>
      <c r="E776" s="4"/>
      <c r="F776" s="4" t="s">
        <v>6737</v>
      </c>
      <c r="G776" s="4" t="s">
        <v>5984</v>
      </c>
      <c r="H776" s="4" t="s">
        <v>6738</v>
      </c>
      <c r="I776" s="5">
        <v>42723</v>
      </c>
      <c r="J776" s="4" t="s">
        <v>4842</v>
      </c>
      <c r="K776" s="4" t="s">
        <v>57</v>
      </c>
      <c r="L776" s="4"/>
      <c r="M776" s="4"/>
    </row>
    <row r="777" ht="16" customHeight="1" s="4" customFormat="1">
      <c r="A777" s="4">
        <v>1338</v>
      </c>
      <c r="B777" s="4" t="s">
        <v>5499</v>
      </c>
      <c r="C777" s="4" t="s">
        <v>5519</v>
      </c>
      <c r="D777" s="4"/>
      <c r="E777" s="4" t="s">
        <v>5524</v>
      </c>
      <c r="F777" s="4" t="s">
        <v>6739</v>
      </c>
      <c r="G777" s="4" t="s">
        <v>5791</v>
      </c>
      <c r="H777" s="4" t="s">
        <v>1270</v>
      </c>
      <c r="I777" s="5">
        <v>42720</v>
      </c>
      <c r="J777" s="4" t="s">
        <v>4798</v>
      </c>
      <c r="K777" s="4" t="s">
        <v>57</v>
      </c>
      <c r="L777" s="4"/>
      <c r="M777" s="4"/>
    </row>
    <row r="778" ht="16" customHeight="1" s="4" customFormat="1">
      <c r="A778" s="4">
        <v>1339</v>
      </c>
      <c r="B778" s="4" t="s">
        <v>5499</v>
      </c>
      <c r="C778" s="4" t="s">
        <v>5519</v>
      </c>
      <c r="D778" s="4"/>
      <c r="E778" s="4" t="s">
        <v>5840</v>
      </c>
      <c r="F778" s="4" t="s">
        <v>6740</v>
      </c>
      <c r="G778" s="4" t="s">
        <v>5791</v>
      </c>
      <c r="H778" s="4" t="s">
        <v>5791</v>
      </c>
      <c r="I778" s="5">
        <v>42720</v>
      </c>
      <c r="J778" s="4" t="s">
        <v>4798</v>
      </c>
      <c r="K778" s="4" t="s">
        <v>57</v>
      </c>
      <c r="L778" s="4"/>
      <c r="M778" s="4"/>
    </row>
    <row r="779" ht="16" customHeight="1" s="4" customFormat="1">
      <c r="A779" s="4">
        <v>1340</v>
      </c>
      <c r="B779" s="4" t="s">
        <v>5534</v>
      </c>
      <c r="C779" s="4" t="s">
        <v>5773</v>
      </c>
      <c r="D779" s="4"/>
      <c r="E779" s="4"/>
      <c r="F779" s="4" t="s">
        <v>6741</v>
      </c>
      <c r="G779" s="4" t="s">
        <v>5675</v>
      </c>
      <c r="H779" s="4" t="s">
        <v>6366</v>
      </c>
      <c r="I779" s="5">
        <v>42720</v>
      </c>
      <c r="J779" s="4" t="s">
        <v>4842</v>
      </c>
      <c r="K779" s="4" t="s">
        <v>57</v>
      </c>
      <c r="L779" s="4"/>
      <c r="M779" s="4"/>
    </row>
    <row r="780" ht="16" customHeight="1" s="4" customFormat="1">
      <c r="A780" s="4">
        <v>1341</v>
      </c>
      <c r="B780" s="4" t="s">
        <v>5499</v>
      </c>
      <c r="C780" s="4" t="s">
        <v>5500</v>
      </c>
      <c r="D780" s="4"/>
      <c r="E780" s="4"/>
      <c r="F780" s="4" t="s">
        <v>6742</v>
      </c>
      <c r="G780" s="4" t="s">
        <v>6743</v>
      </c>
      <c r="H780" s="4" t="s">
        <v>6744</v>
      </c>
      <c r="I780" s="5">
        <v>42720</v>
      </c>
      <c r="J780" s="4" t="s">
        <v>4798</v>
      </c>
      <c r="K780" s="4" t="s">
        <v>57</v>
      </c>
      <c r="L780" s="4"/>
      <c r="M780" s="4"/>
    </row>
    <row r="781" ht="16" customHeight="1" s="4" customFormat="1">
      <c r="A781" s="4">
        <v>1342</v>
      </c>
      <c r="B781" s="4" t="s">
        <v>5499</v>
      </c>
      <c r="C781" s="4" t="s">
        <v>5519</v>
      </c>
      <c r="D781" s="4"/>
      <c r="E781" s="4" t="s">
        <v>5641</v>
      </c>
      <c r="F781" s="4" t="s">
        <v>6745</v>
      </c>
      <c r="G781" s="4" t="s">
        <v>6746</v>
      </c>
      <c r="H781" s="4" t="s">
        <v>6747</v>
      </c>
      <c r="I781" s="5">
        <v>42718</v>
      </c>
      <c r="J781" s="4" t="s">
        <v>4798</v>
      </c>
      <c r="K781" s="4" t="s">
        <v>57</v>
      </c>
      <c r="L781" s="4"/>
      <c r="M781" s="4"/>
    </row>
    <row r="782" ht="16" customHeight="1" s="4" customFormat="1">
      <c r="A782" s="4">
        <v>1343</v>
      </c>
      <c r="B782" s="4" t="s">
        <v>5499</v>
      </c>
      <c r="C782" s="4" t="s">
        <v>5519</v>
      </c>
      <c r="D782" s="4"/>
      <c r="E782" s="4" t="s">
        <v>5584</v>
      </c>
      <c r="F782" s="4" t="s">
        <v>6748</v>
      </c>
      <c r="G782" s="4" t="s">
        <v>6746</v>
      </c>
      <c r="H782" s="4" t="s">
        <v>6747</v>
      </c>
      <c r="I782" s="5">
        <v>42718</v>
      </c>
      <c r="J782" s="4" t="s">
        <v>4798</v>
      </c>
      <c r="K782" s="4" t="s">
        <v>57</v>
      </c>
      <c r="L782" s="4"/>
      <c r="M782" s="4"/>
    </row>
    <row r="783" ht="16" customHeight="1" s="4" customFormat="1">
      <c r="A783" s="4">
        <v>1344</v>
      </c>
      <c r="B783" s="4" t="s">
        <v>5499</v>
      </c>
      <c r="C783" s="4" t="s">
        <v>5519</v>
      </c>
      <c r="D783" s="4"/>
      <c r="E783" s="4" t="s">
        <v>5641</v>
      </c>
      <c r="F783" s="4" t="s">
        <v>6749</v>
      </c>
      <c r="G783" s="4" t="s">
        <v>6750</v>
      </c>
      <c r="H783" s="4" t="s">
        <v>6751</v>
      </c>
      <c r="I783" s="5">
        <v>42717</v>
      </c>
      <c r="J783" s="4" t="s">
        <v>4842</v>
      </c>
      <c r="K783" s="4" t="s">
        <v>57</v>
      </c>
      <c r="L783" s="4"/>
      <c r="M783" s="4"/>
    </row>
    <row r="784" ht="16" customHeight="1" s="4" customFormat="1">
      <c r="A784" s="4">
        <v>1345</v>
      </c>
      <c r="B784" s="4" t="s">
        <v>5499</v>
      </c>
      <c r="C784" s="4" t="s">
        <v>5519</v>
      </c>
      <c r="D784" s="4"/>
      <c r="E784" s="4" t="s">
        <v>6598</v>
      </c>
      <c r="F784" s="4" t="s">
        <v>6752</v>
      </c>
      <c r="G784" s="4" t="s">
        <v>5791</v>
      </c>
      <c r="H784" s="4" t="s">
        <v>1270</v>
      </c>
      <c r="I784" s="5">
        <v>42713</v>
      </c>
      <c r="J784" s="4" t="s">
        <v>4842</v>
      </c>
      <c r="K784" s="4" t="s">
        <v>57</v>
      </c>
      <c r="L784" s="4"/>
      <c r="M784" s="4"/>
    </row>
    <row r="785" ht="16" customHeight="1" s="4" customFormat="1">
      <c r="A785" s="4">
        <v>1346</v>
      </c>
      <c r="B785" s="4" t="s">
        <v>5499</v>
      </c>
      <c r="C785" s="4" t="s">
        <v>5519</v>
      </c>
      <c r="D785" s="4"/>
      <c r="E785" s="4" t="s">
        <v>6083</v>
      </c>
      <c r="F785" s="4" t="s">
        <v>6753</v>
      </c>
      <c r="G785" s="4" t="s">
        <v>5791</v>
      </c>
      <c r="H785" s="4" t="s">
        <v>5791</v>
      </c>
      <c r="I785" s="5">
        <v>42713</v>
      </c>
      <c r="J785" s="4" t="s">
        <v>4842</v>
      </c>
      <c r="K785" s="4" t="s">
        <v>57</v>
      </c>
      <c r="L785" s="4"/>
      <c r="M785" s="4"/>
    </row>
    <row r="786" ht="16" customHeight="1" s="4" customFormat="1">
      <c r="A786" s="4">
        <v>1347</v>
      </c>
      <c r="B786" s="4" t="s">
        <v>5499</v>
      </c>
      <c r="C786" s="4" t="s">
        <v>5519</v>
      </c>
      <c r="D786" s="4"/>
      <c r="E786" s="4" t="s">
        <v>5690</v>
      </c>
      <c r="F786" s="4" t="s">
        <v>6754</v>
      </c>
      <c r="G786" s="4" t="s">
        <v>6755</v>
      </c>
      <c r="H786" s="4" t="s">
        <v>6755</v>
      </c>
      <c r="I786" s="5">
        <v>42711</v>
      </c>
      <c r="J786" s="4" t="s">
        <v>4842</v>
      </c>
      <c r="K786" s="4" t="s">
        <v>57</v>
      </c>
      <c r="L786" s="4"/>
      <c r="M786" s="4"/>
    </row>
    <row r="787" ht="16" customHeight="1" s="4" customFormat="1">
      <c r="A787" s="4">
        <v>1348</v>
      </c>
      <c r="B787" s="4" t="s">
        <v>5499</v>
      </c>
      <c r="C787" s="4" t="s">
        <v>5519</v>
      </c>
      <c r="D787" s="4"/>
      <c r="E787" s="4" t="s">
        <v>5668</v>
      </c>
      <c r="F787" s="4" t="s">
        <v>6756</v>
      </c>
      <c r="G787" s="4" t="s">
        <v>5972</v>
      </c>
      <c r="H787" s="4" t="s">
        <v>6429</v>
      </c>
      <c r="I787" s="5">
        <v>42711</v>
      </c>
      <c r="J787" s="4" t="s">
        <v>4798</v>
      </c>
      <c r="K787" s="4" t="s">
        <v>57</v>
      </c>
      <c r="L787" s="4"/>
      <c r="M787" s="4"/>
    </row>
    <row r="788" ht="16" customHeight="1" s="4" customFormat="1">
      <c r="A788" s="4">
        <v>1349</v>
      </c>
      <c r="B788" s="4" t="s">
        <v>5600</v>
      </c>
      <c r="C788" s="4" t="s">
        <v>5600</v>
      </c>
      <c r="D788" s="4"/>
      <c r="E788" s="4"/>
      <c r="F788" s="4" t="s">
        <v>6757</v>
      </c>
      <c r="G788" s="4" t="s">
        <v>5771</v>
      </c>
      <c r="H788" s="4" t="s">
        <v>6758</v>
      </c>
      <c r="I788" s="5">
        <v>42706</v>
      </c>
      <c r="J788" s="4" t="s">
        <v>4798</v>
      </c>
      <c r="K788" s="4" t="s">
        <v>57</v>
      </c>
      <c r="L788" s="4"/>
      <c r="M788" s="4"/>
    </row>
    <row r="789" ht="16" customHeight="1" s="4" customFormat="1">
      <c r="A789" s="4">
        <v>1350</v>
      </c>
      <c r="B789" s="4" t="s">
        <v>5600</v>
      </c>
      <c r="C789" s="4" t="s">
        <v>5600</v>
      </c>
      <c r="D789" s="4"/>
      <c r="E789" s="4"/>
      <c r="F789" s="4" t="s">
        <v>6759</v>
      </c>
      <c r="G789" s="4" t="s">
        <v>5771</v>
      </c>
      <c r="H789" s="4" t="s">
        <v>6758</v>
      </c>
      <c r="I789" s="5">
        <v>42706</v>
      </c>
      <c r="J789" s="4" t="s">
        <v>4798</v>
      </c>
      <c r="K789" s="4" t="s">
        <v>57</v>
      </c>
      <c r="L789" s="4"/>
      <c r="M789" s="4"/>
    </row>
    <row r="790" ht="16" customHeight="1" s="4" customFormat="1">
      <c r="A790" s="4">
        <v>1351</v>
      </c>
      <c r="B790" s="4" t="s">
        <v>5600</v>
      </c>
      <c r="C790" s="4" t="s">
        <v>5600</v>
      </c>
      <c r="D790" s="4"/>
      <c r="E790" s="4"/>
      <c r="F790" s="4" t="s">
        <v>6760</v>
      </c>
      <c r="G790" s="4" t="s">
        <v>5771</v>
      </c>
      <c r="H790" s="4" t="s">
        <v>6761</v>
      </c>
      <c r="I790" s="5">
        <v>42706</v>
      </c>
      <c r="J790" s="4" t="s">
        <v>4798</v>
      </c>
      <c r="K790" s="4" t="s">
        <v>57</v>
      </c>
      <c r="L790" s="4"/>
      <c r="M790" s="4"/>
    </row>
    <row r="791" ht="16" customHeight="1" s="4" customFormat="1">
      <c r="A791" s="4">
        <v>1352</v>
      </c>
      <c r="B791" s="4" t="s">
        <v>5600</v>
      </c>
      <c r="C791" s="4" t="s">
        <v>5600</v>
      </c>
      <c r="D791" s="4"/>
      <c r="E791" s="4" t="s">
        <v>6762</v>
      </c>
      <c r="F791" s="4" t="s">
        <v>6763</v>
      </c>
      <c r="G791" s="4" t="s">
        <v>5771</v>
      </c>
      <c r="H791" s="4" t="s">
        <v>6761</v>
      </c>
      <c r="I791" s="5">
        <v>42706</v>
      </c>
      <c r="J791" s="4" t="s">
        <v>4798</v>
      </c>
      <c r="K791" s="4" t="s">
        <v>57</v>
      </c>
      <c r="L791" s="4"/>
      <c r="M791" s="4"/>
    </row>
    <row r="792" ht="16" customHeight="1" s="4" customFormat="1">
      <c r="A792" s="4">
        <v>1353</v>
      </c>
      <c r="B792" s="4" t="s">
        <v>5534</v>
      </c>
      <c r="C792" s="4" t="s">
        <v>5773</v>
      </c>
      <c r="D792" s="4"/>
      <c r="E792" s="4"/>
      <c r="F792" s="4" t="s">
        <v>6764</v>
      </c>
      <c r="G792" s="4" t="s">
        <v>5791</v>
      </c>
      <c r="H792" s="4" t="s">
        <v>6765</v>
      </c>
      <c r="I792" s="5">
        <v>42702</v>
      </c>
      <c r="J792" s="4" t="s">
        <v>4842</v>
      </c>
      <c r="K792" s="4" t="s">
        <v>57</v>
      </c>
      <c r="L792" s="4"/>
      <c r="M792" s="4"/>
    </row>
    <row r="793" ht="16" customHeight="1" s="4" customFormat="1">
      <c r="A793" s="4">
        <v>1354</v>
      </c>
      <c r="B793" s="4" t="s">
        <v>5534</v>
      </c>
      <c r="C793" s="4" t="s">
        <v>5773</v>
      </c>
      <c r="D793" s="4"/>
      <c r="E793" s="4"/>
      <c r="F793" s="4" t="s">
        <v>6766</v>
      </c>
      <c r="G793" s="4" t="s">
        <v>5791</v>
      </c>
      <c r="H793" s="4" t="s">
        <v>5831</v>
      </c>
      <c r="I793" s="5">
        <v>42692</v>
      </c>
      <c r="J793" s="4" t="s">
        <v>4842</v>
      </c>
      <c r="K793" s="4" t="s">
        <v>57</v>
      </c>
      <c r="L793" s="4"/>
      <c r="M793" s="4"/>
    </row>
    <row r="794" ht="16" customHeight="1" s="4" customFormat="1">
      <c r="A794" s="4">
        <v>1355</v>
      </c>
      <c r="B794" s="4" t="s">
        <v>5534</v>
      </c>
      <c r="C794" s="4" t="s">
        <v>5773</v>
      </c>
      <c r="D794" s="4"/>
      <c r="E794" s="4"/>
      <c r="F794" s="4" t="s">
        <v>6767</v>
      </c>
      <c r="G794" s="4" t="s">
        <v>5791</v>
      </c>
      <c r="H794" s="4" t="s">
        <v>5831</v>
      </c>
      <c r="I794" s="5">
        <v>42692</v>
      </c>
      <c r="J794" s="4" t="s">
        <v>4798</v>
      </c>
      <c r="K794" s="4" t="s">
        <v>57</v>
      </c>
      <c r="L794" s="4"/>
      <c r="M794" s="4"/>
    </row>
    <row r="795" ht="16" customHeight="1" s="4" customFormat="1">
      <c r="A795" s="4">
        <v>1356</v>
      </c>
      <c r="B795" s="4" t="s">
        <v>5499</v>
      </c>
      <c r="C795" s="4" t="s">
        <v>5702</v>
      </c>
      <c r="D795" s="4" t="s">
        <v>5574</v>
      </c>
      <c r="E795" s="4" t="s">
        <v>5575</v>
      </c>
      <c r="F795" s="4" t="s">
        <v>6768</v>
      </c>
      <c r="G795" s="4" t="s">
        <v>5704</v>
      </c>
      <c r="H795" s="4" t="s">
        <v>6196</v>
      </c>
      <c r="I795" s="5">
        <v>42690</v>
      </c>
      <c r="J795" s="4" t="s">
        <v>4842</v>
      </c>
      <c r="K795" s="4" t="s">
        <v>57</v>
      </c>
      <c r="L795" s="4"/>
      <c r="M795" s="4"/>
    </row>
    <row r="796" ht="16" customHeight="1" s="4" customFormat="1">
      <c r="A796" s="4">
        <v>1357</v>
      </c>
      <c r="B796" s="4" t="s">
        <v>5534</v>
      </c>
      <c r="C796" s="4" t="s">
        <v>5773</v>
      </c>
      <c r="D796" s="4"/>
      <c r="E796" s="4"/>
      <c r="F796" s="4" t="s">
        <v>6769</v>
      </c>
      <c r="G796" s="4" t="s">
        <v>5791</v>
      </c>
      <c r="H796" s="4" t="s">
        <v>5831</v>
      </c>
      <c r="I796" s="5">
        <v>42685</v>
      </c>
      <c r="J796" s="4" t="s">
        <v>4842</v>
      </c>
      <c r="K796" s="4" t="s">
        <v>57</v>
      </c>
      <c r="L796" s="4"/>
      <c r="M796" s="4"/>
    </row>
    <row r="797" ht="16" customHeight="1" s="4" customFormat="1">
      <c r="A797" s="4">
        <v>1358</v>
      </c>
      <c r="B797" s="4" t="s">
        <v>5534</v>
      </c>
      <c r="C797" s="4" t="s">
        <v>5773</v>
      </c>
      <c r="D797" s="4"/>
      <c r="E797" s="4"/>
      <c r="F797" s="4" t="s">
        <v>6770</v>
      </c>
      <c r="G797" s="4" t="s">
        <v>5791</v>
      </c>
      <c r="H797" s="4" t="s">
        <v>5831</v>
      </c>
      <c r="I797" s="5">
        <v>42685</v>
      </c>
      <c r="J797" s="4" t="s">
        <v>4798</v>
      </c>
      <c r="K797" s="4" t="s">
        <v>57</v>
      </c>
      <c r="L797" s="4"/>
      <c r="M797" s="4"/>
    </row>
    <row r="798" ht="16" customHeight="1" s="4" customFormat="1">
      <c r="A798" s="4">
        <v>1359</v>
      </c>
      <c r="B798" s="4" t="s">
        <v>5600</v>
      </c>
      <c r="C798" s="4" t="s">
        <v>5600</v>
      </c>
      <c r="D798" s="4"/>
      <c r="E798" s="4" t="s">
        <v>6771</v>
      </c>
      <c r="F798" s="4" t="s">
        <v>6772</v>
      </c>
      <c r="G798" s="4" t="s">
        <v>6773</v>
      </c>
      <c r="H798" s="4" t="s">
        <v>6774</v>
      </c>
      <c r="I798" s="5">
        <v>42683</v>
      </c>
      <c r="J798" s="4" t="s">
        <v>4798</v>
      </c>
      <c r="K798" s="4" t="s">
        <v>57</v>
      </c>
      <c r="L798" s="4"/>
      <c r="M798" s="4"/>
    </row>
    <row r="799" ht="16" customHeight="1" s="4" customFormat="1">
      <c r="A799" s="4">
        <v>1360</v>
      </c>
      <c r="B799" s="4" t="s">
        <v>5600</v>
      </c>
      <c r="C799" s="4" t="s">
        <v>5600</v>
      </c>
      <c r="D799" s="4"/>
      <c r="E799" s="4"/>
      <c r="F799" s="4" t="s">
        <v>6775</v>
      </c>
      <c r="G799" s="4" t="s">
        <v>6776</v>
      </c>
      <c r="H799" s="4" t="s">
        <v>6777</v>
      </c>
      <c r="I799" s="5">
        <v>42681</v>
      </c>
      <c r="J799" s="4" t="s">
        <v>4798</v>
      </c>
      <c r="K799" s="4" t="s">
        <v>57</v>
      </c>
      <c r="L799" s="4"/>
      <c r="M799" s="4"/>
    </row>
    <row r="800" ht="16" customHeight="1" s="4" customFormat="1">
      <c r="A800" s="4">
        <v>1361</v>
      </c>
      <c r="B800" s="4" t="s">
        <v>5600</v>
      </c>
      <c r="C800" s="4" t="s">
        <v>5600</v>
      </c>
      <c r="D800" s="4"/>
      <c r="E800" s="4" t="s">
        <v>5956</v>
      </c>
      <c r="F800" s="4" t="s">
        <v>6778</v>
      </c>
      <c r="G800" s="4" t="s">
        <v>6776</v>
      </c>
      <c r="H800" s="4" t="s">
        <v>6777</v>
      </c>
      <c r="I800" s="5">
        <v>42681</v>
      </c>
      <c r="J800" s="4" t="s">
        <v>4798</v>
      </c>
      <c r="K800" s="4" t="s">
        <v>57</v>
      </c>
      <c r="L800" s="4"/>
      <c r="M800" s="4"/>
    </row>
    <row r="801" ht="16" customHeight="1" s="4" customFormat="1">
      <c r="A801" s="4">
        <v>1362</v>
      </c>
      <c r="B801" s="4" t="s">
        <v>5534</v>
      </c>
      <c r="C801" s="4" t="s">
        <v>5773</v>
      </c>
      <c r="D801" s="4"/>
      <c r="E801" s="4"/>
      <c r="F801" s="4" t="s">
        <v>6779</v>
      </c>
      <c r="G801" s="4" t="s">
        <v>5984</v>
      </c>
      <c r="H801" s="4" t="s">
        <v>6738</v>
      </c>
      <c r="I801" s="5">
        <v>42678</v>
      </c>
      <c r="J801" s="4" t="s">
        <v>4842</v>
      </c>
      <c r="K801" s="4" t="s">
        <v>57</v>
      </c>
      <c r="L801" s="4"/>
      <c r="M801" s="4"/>
    </row>
    <row r="802" ht="16" customHeight="1" s="4" customFormat="1">
      <c r="A802" s="4">
        <v>1363</v>
      </c>
      <c r="B802" s="4" t="s">
        <v>5534</v>
      </c>
      <c r="C802" s="4" t="s">
        <v>5773</v>
      </c>
      <c r="D802" s="4"/>
      <c r="E802" s="4"/>
      <c r="F802" s="4" t="s">
        <v>6780</v>
      </c>
      <c r="G802" s="4" t="s">
        <v>5984</v>
      </c>
      <c r="H802" s="4" t="s">
        <v>6781</v>
      </c>
      <c r="I802" s="5">
        <v>42676</v>
      </c>
      <c r="J802" s="4" t="s">
        <v>4842</v>
      </c>
      <c r="K802" s="4" t="s">
        <v>57</v>
      </c>
      <c r="L802" s="4"/>
      <c r="M802" s="4"/>
    </row>
    <row r="803" ht="16" customHeight="1" s="4" customFormat="1">
      <c r="A803" s="4">
        <v>1364</v>
      </c>
      <c r="B803" s="4" t="s">
        <v>5534</v>
      </c>
      <c r="C803" s="4" t="s">
        <v>5773</v>
      </c>
      <c r="D803" s="4"/>
      <c r="E803" s="4"/>
      <c r="F803" s="4" t="s">
        <v>6782</v>
      </c>
      <c r="G803" s="4" t="s">
        <v>5984</v>
      </c>
      <c r="H803" s="4" t="s">
        <v>6781</v>
      </c>
      <c r="I803" s="5">
        <v>42676</v>
      </c>
      <c r="J803" s="4" t="s">
        <v>4842</v>
      </c>
      <c r="K803" s="4" t="s">
        <v>57</v>
      </c>
      <c r="L803" s="4"/>
      <c r="M803" s="4"/>
    </row>
    <row r="804" ht="16" customHeight="1" s="4" customFormat="1">
      <c r="A804" s="4">
        <v>1365</v>
      </c>
      <c r="B804" s="4" t="s">
        <v>5534</v>
      </c>
      <c r="C804" s="4" t="s">
        <v>5773</v>
      </c>
      <c r="D804" s="4"/>
      <c r="E804" s="4"/>
      <c r="F804" s="4" t="s">
        <v>6783</v>
      </c>
      <c r="G804" s="4" t="s">
        <v>5984</v>
      </c>
      <c r="H804" s="4" t="s">
        <v>6781</v>
      </c>
      <c r="I804" s="5">
        <v>42676</v>
      </c>
      <c r="J804" s="4" t="s">
        <v>4842</v>
      </c>
      <c r="K804" s="4" t="s">
        <v>57</v>
      </c>
      <c r="L804" s="4"/>
      <c r="M804" s="4"/>
    </row>
    <row r="805" ht="16" customHeight="1" s="4" customFormat="1">
      <c r="A805" s="4">
        <v>1366</v>
      </c>
      <c r="B805" s="4" t="s">
        <v>5499</v>
      </c>
      <c r="C805" s="4" t="s">
        <v>5500</v>
      </c>
      <c r="D805" s="4" t="s">
        <v>5574</v>
      </c>
      <c r="E805" s="4" t="s">
        <v>5706</v>
      </c>
      <c r="F805" s="4" t="s">
        <v>6784</v>
      </c>
      <c r="G805" s="4" t="s">
        <v>6785</v>
      </c>
      <c r="H805" s="4" t="s">
        <v>6786</v>
      </c>
      <c r="I805" s="5">
        <v>42667</v>
      </c>
      <c r="J805" s="4" t="s">
        <v>5506</v>
      </c>
      <c r="K805" s="4" t="s">
        <v>57</v>
      </c>
      <c r="L805" s="4"/>
      <c r="M805" s="4"/>
    </row>
    <row r="806" ht="16" customHeight="1" s="4" customFormat="1">
      <c r="A806" s="4">
        <v>1367</v>
      </c>
      <c r="B806" s="4" t="s">
        <v>5600</v>
      </c>
      <c r="C806" s="4" t="s">
        <v>5600</v>
      </c>
      <c r="D806" s="4"/>
      <c r="E806" s="4" t="s">
        <v>6771</v>
      </c>
      <c r="F806" s="4" t="s">
        <v>6787</v>
      </c>
      <c r="G806" s="4" t="s">
        <v>6788</v>
      </c>
      <c r="H806" s="4" t="s">
        <v>6789</v>
      </c>
      <c r="I806" s="5">
        <v>42667</v>
      </c>
      <c r="J806" s="4" t="s">
        <v>4798</v>
      </c>
      <c r="K806" s="4" t="s">
        <v>57</v>
      </c>
      <c r="L806" s="4"/>
      <c r="M806" s="4"/>
    </row>
    <row r="807" ht="16" customHeight="1" s="4" customFormat="1">
      <c r="A807" s="4">
        <v>1368</v>
      </c>
      <c r="B807" s="4" t="s">
        <v>5694</v>
      </c>
      <c r="C807" s="4" t="s">
        <v>5695</v>
      </c>
      <c r="D807" s="4"/>
      <c r="E807" s="4" t="s">
        <v>5696</v>
      </c>
      <c r="F807" s="4" t="s">
        <v>6790</v>
      </c>
      <c r="G807" s="4" t="s">
        <v>5862</v>
      </c>
      <c r="H807" s="4" t="s">
        <v>5863</v>
      </c>
      <c r="I807" s="5">
        <v>42661</v>
      </c>
      <c r="J807" s="4" t="s">
        <v>5506</v>
      </c>
      <c r="K807" s="4" t="s">
        <v>57</v>
      </c>
      <c r="L807" s="4"/>
      <c r="M807" s="4"/>
    </row>
    <row r="808" ht="16" customHeight="1" s="4" customFormat="1">
      <c r="A808" s="4">
        <v>1369</v>
      </c>
      <c r="B808" s="4" t="s">
        <v>5694</v>
      </c>
      <c r="C808" s="4" t="s">
        <v>5695</v>
      </c>
      <c r="D808" s="4"/>
      <c r="E808" s="4" t="s">
        <v>5696</v>
      </c>
      <c r="F808" s="4" t="s">
        <v>6791</v>
      </c>
      <c r="G808" s="4" t="s">
        <v>6792</v>
      </c>
      <c r="H808" s="4" t="s">
        <v>6793</v>
      </c>
      <c r="I808" s="5">
        <v>42661</v>
      </c>
      <c r="J808" s="4" t="s">
        <v>5506</v>
      </c>
      <c r="K808" s="4" t="s">
        <v>57</v>
      </c>
      <c r="L808" s="4"/>
      <c r="M808" s="4"/>
    </row>
    <row r="809" ht="16" customHeight="1" s="4" customFormat="1">
      <c r="A809" s="4">
        <v>1370</v>
      </c>
      <c r="B809" s="4" t="s">
        <v>5499</v>
      </c>
      <c r="C809" s="4" t="s">
        <v>5519</v>
      </c>
      <c r="D809" s="4"/>
      <c r="E809" s="4" t="s">
        <v>5524</v>
      </c>
      <c r="F809" s="4" t="s">
        <v>6794</v>
      </c>
      <c r="G809" s="4" t="s">
        <v>6706</v>
      </c>
      <c r="H809" s="4" t="s">
        <v>6175</v>
      </c>
      <c r="I809" s="5">
        <v>42661</v>
      </c>
      <c r="J809" s="4" t="s">
        <v>4842</v>
      </c>
      <c r="K809" s="4" t="s">
        <v>57</v>
      </c>
      <c r="L809" s="4"/>
      <c r="M809" s="4"/>
    </row>
    <row r="810" ht="16" customHeight="1" s="4" customFormat="1">
      <c r="A810" s="4">
        <v>1371</v>
      </c>
      <c r="B810" s="4" t="s">
        <v>5499</v>
      </c>
      <c r="C810" s="4" t="s">
        <v>5519</v>
      </c>
      <c r="D810" s="4"/>
      <c r="E810" s="4" t="s">
        <v>5524</v>
      </c>
      <c r="F810" s="4" t="s">
        <v>6795</v>
      </c>
      <c r="G810" s="4" t="s">
        <v>6706</v>
      </c>
      <c r="H810" s="4" t="s">
        <v>6175</v>
      </c>
      <c r="I810" s="5">
        <v>42661</v>
      </c>
      <c r="J810" s="4" t="s">
        <v>4842</v>
      </c>
      <c r="K810" s="4" t="s">
        <v>57</v>
      </c>
      <c r="L810" s="4"/>
      <c r="M810" s="4"/>
    </row>
    <row r="811" ht="16" customHeight="1" s="4" customFormat="1">
      <c r="A811" s="4">
        <v>1372</v>
      </c>
      <c r="B811" s="4" t="s">
        <v>5499</v>
      </c>
      <c r="C811" s="4" t="s">
        <v>5519</v>
      </c>
      <c r="D811" s="4"/>
      <c r="E811" s="4" t="s">
        <v>5641</v>
      </c>
      <c r="F811" s="4" t="s">
        <v>6796</v>
      </c>
      <c r="G811" s="4" t="s">
        <v>6706</v>
      </c>
      <c r="H811" s="4" t="s">
        <v>6175</v>
      </c>
      <c r="I811" s="5">
        <v>42661</v>
      </c>
      <c r="J811" s="4" t="s">
        <v>4842</v>
      </c>
      <c r="K811" s="4" t="s">
        <v>57</v>
      </c>
      <c r="L811" s="4"/>
      <c r="M811" s="4"/>
    </row>
    <row r="812" ht="16" customHeight="1" s="4" customFormat="1">
      <c r="A812" s="4">
        <v>1373</v>
      </c>
      <c r="B812" s="4" t="s">
        <v>5499</v>
      </c>
      <c r="C812" s="4" t="s">
        <v>5519</v>
      </c>
      <c r="D812" s="4"/>
      <c r="E812" s="4" t="s">
        <v>5641</v>
      </c>
      <c r="F812" s="4" t="s">
        <v>6797</v>
      </c>
      <c r="G812" s="4" t="s">
        <v>6706</v>
      </c>
      <c r="H812" s="4" t="s">
        <v>6175</v>
      </c>
      <c r="I812" s="5">
        <v>42661</v>
      </c>
      <c r="J812" s="4" t="s">
        <v>4842</v>
      </c>
      <c r="K812" s="4" t="s">
        <v>57</v>
      </c>
      <c r="L812" s="4"/>
      <c r="M812" s="4"/>
    </row>
    <row r="813" ht="16" customHeight="1" s="4" customFormat="1">
      <c r="A813" s="4">
        <v>1374</v>
      </c>
      <c r="B813" s="4" t="s">
        <v>5499</v>
      </c>
      <c r="C813" s="4" t="s">
        <v>5519</v>
      </c>
      <c r="D813" s="4"/>
      <c r="E813" s="4" t="s">
        <v>5641</v>
      </c>
      <c r="F813" s="4" t="s">
        <v>6798</v>
      </c>
      <c r="G813" s="4" t="s">
        <v>6799</v>
      </c>
      <c r="H813" s="4" t="s">
        <v>6800</v>
      </c>
      <c r="I813" s="5">
        <v>42656</v>
      </c>
      <c r="J813" s="4" t="s">
        <v>4842</v>
      </c>
      <c r="K813" s="4" t="s">
        <v>57</v>
      </c>
      <c r="L813" s="4"/>
      <c r="M813" s="4"/>
    </row>
    <row r="814" ht="16" customHeight="1" s="4" customFormat="1">
      <c r="A814" s="4">
        <v>1375</v>
      </c>
      <c r="B814" s="4" t="s">
        <v>5499</v>
      </c>
      <c r="C814" s="4" t="s">
        <v>5519</v>
      </c>
      <c r="D814" s="4"/>
      <c r="E814" s="4" t="s">
        <v>5641</v>
      </c>
      <c r="F814" s="4" t="s">
        <v>6801</v>
      </c>
      <c r="G814" s="4" t="s">
        <v>6802</v>
      </c>
      <c r="H814" s="4" t="s">
        <v>5667</v>
      </c>
      <c r="I814" s="5">
        <v>42647</v>
      </c>
      <c r="J814" s="4" t="s">
        <v>4842</v>
      </c>
      <c r="K814" s="4" t="s">
        <v>57</v>
      </c>
      <c r="L814" s="4"/>
      <c r="M814" s="4"/>
    </row>
    <row r="815" ht="16" customHeight="1" s="4" customFormat="1">
      <c r="A815" s="4">
        <v>1376</v>
      </c>
      <c r="B815" s="4" t="s">
        <v>5694</v>
      </c>
      <c r="C815" s="4" t="s">
        <v>5695</v>
      </c>
      <c r="D815" s="4"/>
      <c r="E815" s="4" t="s">
        <v>5696</v>
      </c>
      <c r="F815" s="4" t="s">
        <v>6803</v>
      </c>
      <c r="G815" s="4" t="s">
        <v>5712</v>
      </c>
      <c r="H815" s="4" t="s">
        <v>5713</v>
      </c>
      <c r="I815" s="5">
        <v>42646</v>
      </c>
      <c r="J815" s="4" t="s">
        <v>5506</v>
      </c>
      <c r="K815" s="4" t="s">
        <v>57</v>
      </c>
      <c r="L815" s="4"/>
      <c r="M815" s="4"/>
    </row>
    <row r="816" ht="16" customHeight="1" s="4" customFormat="1">
      <c r="A816" s="4">
        <v>1918</v>
      </c>
      <c r="B816" s="4" t="s">
        <v>5534</v>
      </c>
      <c r="C816" s="4" t="s">
        <v>5631</v>
      </c>
      <c r="D816" s="4"/>
      <c r="E816" s="4"/>
      <c r="F816" s="4">
        <v>4769</v>
      </c>
      <c r="G816" s="4" t="s">
        <v>5632</v>
      </c>
      <c r="H816" s="4" t="s">
        <v>5635</v>
      </c>
      <c r="I816" s="5">
        <v>41857</v>
      </c>
      <c r="J816" s="4" t="s">
        <v>5506</v>
      </c>
      <c r="K816" s="4" t="s">
        <v>57</v>
      </c>
      <c r="L816" s="4"/>
      <c r="M816" s="4"/>
    </row>
    <row r="817" ht="16" customHeight="1" s="4" customFormat="1">
      <c r="A817" s="4">
        <v>1919</v>
      </c>
      <c r="B817" s="4" t="s">
        <v>5534</v>
      </c>
      <c r="C817" s="4" t="s">
        <v>5631</v>
      </c>
      <c r="D817" s="4"/>
      <c r="E817" s="4"/>
      <c r="F817" s="4">
        <v>4808</v>
      </c>
      <c r="G817" s="4" t="s">
        <v>5632</v>
      </c>
      <c r="H817" s="4" t="s">
        <v>5633</v>
      </c>
      <c r="I817" s="5">
        <v>41857</v>
      </c>
      <c r="J817" s="4" t="s">
        <v>5506</v>
      </c>
      <c r="K817" s="4" t="s">
        <v>57</v>
      </c>
      <c r="L817" s="4"/>
      <c r="M817" s="4"/>
    </row>
    <row r="818" ht="16" customHeight="1" s="4" customFormat="1">
      <c r="A818" s="4">
        <v>1920</v>
      </c>
      <c r="B818" s="4" t="s">
        <v>5534</v>
      </c>
      <c r="C818" s="4" t="s">
        <v>5631</v>
      </c>
      <c r="D818" s="4"/>
      <c r="E818" s="4"/>
      <c r="F818" s="4">
        <v>9890</v>
      </c>
      <c r="G818" s="4" t="s">
        <v>5632</v>
      </c>
      <c r="H818" s="4" t="s">
        <v>5636</v>
      </c>
      <c r="I818" s="5">
        <v>41857</v>
      </c>
      <c r="J818" s="4" t="s">
        <v>5506</v>
      </c>
      <c r="K818" s="4" t="s">
        <v>57</v>
      </c>
      <c r="L818" s="4"/>
      <c r="M818" s="4"/>
    </row>
    <row r="819" ht="16" customHeight="1" s="4" customFormat="1">
      <c r="A819" s="4">
        <v>1921</v>
      </c>
      <c r="B819" s="4" t="s">
        <v>5534</v>
      </c>
      <c r="C819" s="4" t="s">
        <v>5631</v>
      </c>
      <c r="D819" s="4"/>
      <c r="E819" s="4"/>
      <c r="F819" s="4">
        <v>9893</v>
      </c>
      <c r="G819" s="4" t="s">
        <v>5632</v>
      </c>
      <c r="H819" s="4" t="s">
        <v>5636</v>
      </c>
      <c r="I819" s="5">
        <v>41857</v>
      </c>
      <c r="J819" s="4" t="s">
        <v>5506</v>
      </c>
      <c r="K819" s="4" t="s">
        <v>57</v>
      </c>
      <c r="L819" s="4"/>
      <c r="M819" s="4"/>
    </row>
    <row r="820" ht="16" customHeight="1" s="4" customFormat="1">
      <c r="A820" s="4">
        <v>1922</v>
      </c>
      <c r="B820" s="4" t="s">
        <v>5534</v>
      </c>
      <c r="C820" s="4" t="s">
        <v>5631</v>
      </c>
      <c r="D820" s="4"/>
      <c r="E820" s="4"/>
      <c r="F820" s="4">
        <v>9896</v>
      </c>
      <c r="G820" s="4" t="s">
        <v>5632</v>
      </c>
      <c r="H820" s="4" t="s">
        <v>5634</v>
      </c>
      <c r="I820" s="5">
        <v>41857</v>
      </c>
      <c r="J820" s="4" t="s">
        <v>5506</v>
      </c>
      <c r="K820" s="4" t="s">
        <v>57</v>
      </c>
      <c r="L820" s="4"/>
      <c r="M820" s="4"/>
    </row>
    <row r="821" ht="16" customHeight="1" s="4" customFormat="1">
      <c r="A821" s="4">
        <v>1923</v>
      </c>
      <c r="B821" s="4" t="s">
        <v>5534</v>
      </c>
      <c r="C821" s="4" t="s">
        <v>5631</v>
      </c>
      <c r="D821" s="4"/>
      <c r="E821" s="4"/>
      <c r="F821" s="4" t="s">
        <v>6804</v>
      </c>
      <c r="G821" s="4" t="s">
        <v>5632</v>
      </c>
      <c r="H821" s="4" t="s">
        <v>5635</v>
      </c>
      <c r="I821" s="5">
        <v>41857</v>
      </c>
      <c r="J821" s="4" t="s">
        <v>5506</v>
      </c>
      <c r="K821" s="4" t="s">
        <v>57</v>
      </c>
      <c r="L821" s="4"/>
      <c r="M821" s="4"/>
    </row>
    <row r="822" ht="16" customHeight="1" s="4" customFormat="1">
      <c r="A822" s="4">
        <v>1924</v>
      </c>
      <c r="B822" s="4" t="s">
        <v>5534</v>
      </c>
      <c r="C822" s="4" t="s">
        <v>5631</v>
      </c>
      <c r="D822" s="4"/>
      <c r="E822" s="4"/>
      <c r="F822" s="4" t="s">
        <v>6805</v>
      </c>
      <c r="G822" s="4" t="s">
        <v>5632</v>
      </c>
      <c r="H822" s="4" t="s">
        <v>5635</v>
      </c>
      <c r="I822" s="5">
        <v>41857</v>
      </c>
      <c r="J822" s="4" t="s">
        <v>5506</v>
      </c>
      <c r="K822" s="4" t="s">
        <v>57</v>
      </c>
      <c r="L822" s="4"/>
      <c r="M822" s="4"/>
    </row>
    <row r="823" ht="16" customHeight="1" s="4" customFormat="1">
      <c r="A823" s="4">
        <v>1925</v>
      </c>
      <c r="B823" s="4" t="s">
        <v>5534</v>
      </c>
      <c r="C823" s="4" t="s">
        <v>5631</v>
      </c>
      <c r="D823" s="4"/>
      <c r="E823" s="4"/>
      <c r="F823" s="4" t="s">
        <v>6806</v>
      </c>
      <c r="G823" s="4" t="s">
        <v>5632</v>
      </c>
      <c r="H823" s="4" t="s">
        <v>5633</v>
      </c>
      <c r="I823" s="5">
        <v>41857</v>
      </c>
      <c r="J823" s="4" t="s">
        <v>5506</v>
      </c>
      <c r="K823" s="4" t="s">
        <v>57</v>
      </c>
      <c r="L823" s="4"/>
      <c r="M823" s="4"/>
    </row>
    <row r="824" ht="16" customHeight="1" s="4" customFormat="1">
      <c r="A824" s="4">
        <v>1926</v>
      </c>
      <c r="B824" s="4" t="s">
        <v>5534</v>
      </c>
      <c r="C824" s="4" t="s">
        <v>5631</v>
      </c>
      <c r="D824" s="4"/>
      <c r="E824" s="4"/>
      <c r="F824" s="4" t="s">
        <v>6807</v>
      </c>
      <c r="G824" s="4" t="s">
        <v>5632</v>
      </c>
      <c r="H824" s="4" t="s">
        <v>5633</v>
      </c>
      <c r="I824" s="5">
        <v>41857</v>
      </c>
      <c r="J824" s="4" t="s">
        <v>5506</v>
      </c>
      <c r="K824" s="4" t="s">
        <v>57</v>
      </c>
      <c r="L824" s="4"/>
      <c r="M824" s="4"/>
    </row>
    <row r="825" ht="16" customHeight="1" s="4" customFormat="1">
      <c r="A825" s="4">
        <v>1927</v>
      </c>
      <c r="B825" s="4" t="s">
        <v>5534</v>
      </c>
      <c r="C825" s="4" t="s">
        <v>5631</v>
      </c>
      <c r="D825" s="4"/>
      <c r="E825" s="4"/>
      <c r="F825" s="4" t="s">
        <v>6808</v>
      </c>
      <c r="G825" s="4" t="s">
        <v>5632</v>
      </c>
      <c r="H825" s="4" t="s">
        <v>5635</v>
      </c>
      <c r="I825" s="5">
        <v>41857</v>
      </c>
      <c r="J825" s="4" t="s">
        <v>5506</v>
      </c>
      <c r="K825" s="4" t="s">
        <v>57</v>
      </c>
      <c r="L825" s="4"/>
      <c r="M825" s="4"/>
    </row>
    <row r="826" ht="16" customHeight="1" s="4" customFormat="1">
      <c r="A826" s="4">
        <v>1928</v>
      </c>
      <c r="B826" s="4" t="s">
        <v>5534</v>
      </c>
      <c r="C826" s="4" t="s">
        <v>5631</v>
      </c>
      <c r="D826" s="4"/>
      <c r="E826" s="4"/>
      <c r="F826" s="4" t="s">
        <v>6809</v>
      </c>
      <c r="G826" s="4" t="s">
        <v>5632</v>
      </c>
      <c r="H826" s="4" t="s">
        <v>5635</v>
      </c>
      <c r="I826" s="5">
        <v>41857</v>
      </c>
      <c r="J826" s="4" t="s">
        <v>5506</v>
      </c>
      <c r="K826" s="4" t="s">
        <v>57</v>
      </c>
      <c r="L826" s="4"/>
      <c r="M826" s="4"/>
    </row>
    <row r="827" ht="16" customHeight="1" s="4" customFormat="1">
      <c r="A827" s="4">
        <v>1929</v>
      </c>
      <c r="B827" s="4" t="s">
        <v>5534</v>
      </c>
      <c r="C827" s="4" t="s">
        <v>5631</v>
      </c>
      <c r="D827" s="4"/>
      <c r="E827" s="4"/>
      <c r="F827" s="4" t="s">
        <v>6810</v>
      </c>
      <c r="G827" s="4" t="s">
        <v>5632</v>
      </c>
      <c r="H827" s="4" t="s">
        <v>5633</v>
      </c>
      <c r="I827" s="5">
        <v>41857</v>
      </c>
      <c r="J827" s="4" t="s">
        <v>5506</v>
      </c>
      <c r="K827" s="4" t="s">
        <v>57</v>
      </c>
      <c r="L827" s="4"/>
      <c r="M827" s="4"/>
    </row>
    <row r="828" ht="16" customHeight="1" s="4" customFormat="1">
      <c r="A828" s="4">
        <v>1930</v>
      </c>
      <c r="B828" s="4" t="s">
        <v>5694</v>
      </c>
      <c r="C828" s="4" t="s">
        <v>5695</v>
      </c>
      <c r="D828" s="4" t="s">
        <v>5985</v>
      </c>
      <c r="E828" s="4" t="s">
        <v>5986</v>
      </c>
      <c r="F828" s="4" t="s">
        <v>6811</v>
      </c>
      <c r="G828" s="4" t="s">
        <v>5675</v>
      </c>
      <c r="H828" s="4" t="s">
        <v>5997</v>
      </c>
      <c r="I828" s="5">
        <v>41851</v>
      </c>
      <c r="J828" s="4" t="s">
        <v>5506</v>
      </c>
      <c r="K828" s="4" t="s">
        <v>57</v>
      </c>
      <c r="L828" s="4"/>
      <c r="M828" s="4"/>
    </row>
    <row r="829" ht="16" customHeight="1" s="4" customFormat="1">
      <c r="A829" s="4">
        <v>1931</v>
      </c>
      <c r="B829" s="4" t="s">
        <v>5499</v>
      </c>
      <c r="C829" s="4" t="s">
        <v>5519</v>
      </c>
      <c r="D829" s="4"/>
      <c r="E829" s="4" t="s">
        <v>5641</v>
      </c>
      <c r="F829" s="4" t="s">
        <v>6812</v>
      </c>
      <c r="G829" s="4" t="s">
        <v>6813</v>
      </c>
      <c r="H829" s="4" t="s">
        <v>6814</v>
      </c>
      <c r="I829" s="5">
        <v>41850</v>
      </c>
      <c r="J829" s="4" t="s">
        <v>4798</v>
      </c>
      <c r="K829" s="4" t="s">
        <v>57</v>
      </c>
      <c r="L829" s="4"/>
      <c r="M829" s="4"/>
    </row>
    <row r="830" ht="16" customHeight="1" s="4" customFormat="1">
      <c r="A830" s="4">
        <v>1932</v>
      </c>
      <c r="B830" s="4" t="s">
        <v>5499</v>
      </c>
      <c r="C830" s="4" t="s">
        <v>5519</v>
      </c>
      <c r="D830" s="4"/>
      <c r="E830" s="4" t="s">
        <v>6501</v>
      </c>
      <c r="F830" s="4" t="s">
        <v>6815</v>
      </c>
      <c r="G830" s="4" t="s">
        <v>6813</v>
      </c>
      <c r="H830" s="4" t="s">
        <v>6813</v>
      </c>
      <c r="I830" s="5">
        <v>41850</v>
      </c>
      <c r="J830" s="4" t="s">
        <v>4798</v>
      </c>
      <c r="K830" s="4" t="s">
        <v>57</v>
      </c>
      <c r="L830" s="4"/>
      <c r="M830" s="4"/>
    </row>
    <row r="831" ht="16" customHeight="1" s="4" customFormat="1">
      <c r="A831" s="4">
        <v>1933</v>
      </c>
      <c r="B831" s="4" t="s">
        <v>5499</v>
      </c>
      <c r="C831" s="4" t="s">
        <v>5573</v>
      </c>
      <c r="D831" s="4" t="s">
        <v>5574</v>
      </c>
      <c r="E831" s="4" t="s">
        <v>5575</v>
      </c>
      <c r="F831" s="4" t="s">
        <v>6816</v>
      </c>
      <c r="G831" s="4" t="s">
        <v>5675</v>
      </c>
      <c r="H831" s="4" t="s">
        <v>6817</v>
      </c>
      <c r="I831" s="5">
        <v>41844</v>
      </c>
      <c r="J831" s="4" t="s">
        <v>4842</v>
      </c>
      <c r="K831" s="4" t="s">
        <v>57</v>
      </c>
      <c r="L831" s="4"/>
      <c r="M831" s="4"/>
    </row>
    <row r="832" ht="16" customHeight="1" s="4" customFormat="1">
      <c r="A832" s="4">
        <v>1934</v>
      </c>
      <c r="B832" s="4" t="s">
        <v>6161</v>
      </c>
      <c r="C832" s="4" t="s">
        <v>6162</v>
      </c>
      <c r="D832" s="4" t="s">
        <v>5728</v>
      </c>
      <c r="E832" s="4" t="s">
        <v>5729</v>
      </c>
      <c r="F832" s="4" t="s">
        <v>6818</v>
      </c>
      <c r="G832" s="4" t="s">
        <v>6668</v>
      </c>
      <c r="H832" s="4" t="s">
        <v>6403</v>
      </c>
      <c r="I832" s="5">
        <v>41838</v>
      </c>
      <c r="J832" s="4" t="s">
        <v>4842</v>
      </c>
      <c r="K832" s="4" t="s">
        <v>57</v>
      </c>
      <c r="L832" s="4"/>
      <c r="M832" s="4"/>
    </row>
    <row r="833" ht="16" customHeight="1" s="4" customFormat="1">
      <c r="A833" s="4">
        <v>1935</v>
      </c>
      <c r="B833" s="4" t="s">
        <v>6161</v>
      </c>
      <c r="C833" s="4" t="s">
        <v>6162</v>
      </c>
      <c r="D833" s="4" t="s">
        <v>5728</v>
      </c>
      <c r="E833" s="4" t="s">
        <v>5729</v>
      </c>
      <c r="F833" s="4" t="s">
        <v>6819</v>
      </c>
      <c r="G833" s="4" t="s">
        <v>6668</v>
      </c>
      <c r="H833" s="4" t="s">
        <v>6403</v>
      </c>
      <c r="I833" s="5">
        <v>41838</v>
      </c>
      <c r="J833" s="4" t="s">
        <v>4798</v>
      </c>
      <c r="K833" s="4" t="s">
        <v>57</v>
      </c>
      <c r="L833" s="4"/>
      <c r="M833" s="4"/>
    </row>
    <row r="834" ht="16" customHeight="1" s="4" customFormat="1">
      <c r="A834" s="4">
        <v>1936</v>
      </c>
      <c r="B834" s="4" t="s">
        <v>6161</v>
      </c>
      <c r="C834" s="4" t="s">
        <v>6162</v>
      </c>
      <c r="D834" s="4" t="s">
        <v>5728</v>
      </c>
      <c r="E834" s="4" t="s">
        <v>5729</v>
      </c>
      <c r="F834" s="4" t="s">
        <v>6820</v>
      </c>
      <c r="G834" s="4" t="s">
        <v>6668</v>
      </c>
      <c r="H834" s="4" t="s">
        <v>6403</v>
      </c>
      <c r="I834" s="5">
        <v>41838</v>
      </c>
      <c r="J834" s="4" t="s">
        <v>4798</v>
      </c>
      <c r="K834" s="4" t="s">
        <v>57</v>
      </c>
      <c r="L834" s="4"/>
      <c r="M834" s="4"/>
    </row>
    <row r="835" ht="16" customHeight="1" s="4" customFormat="1">
      <c r="A835" s="4">
        <v>1937</v>
      </c>
      <c r="B835" s="4" t="s">
        <v>6161</v>
      </c>
      <c r="C835" s="4" t="s">
        <v>6162</v>
      </c>
      <c r="D835" s="4" t="s">
        <v>5728</v>
      </c>
      <c r="E835" s="4" t="s">
        <v>5729</v>
      </c>
      <c r="F835" s="4" t="s">
        <v>6821</v>
      </c>
      <c r="G835" s="4" t="s">
        <v>6535</v>
      </c>
      <c r="H835" s="4" t="s">
        <v>5511</v>
      </c>
      <c r="I835" s="5">
        <v>41838</v>
      </c>
      <c r="J835" s="4" t="s">
        <v>4798</v>
      </c>
      <c r="K835" s="4" t="s">
        <v>57</v>
      </c>
      <c r="L835" s="4"/>
      <c r="M835" s="4"/>
    </row>
    <row r="836" ht="16" customHeight="1" s="4" customFormat="1">
      <c r="A836" s="4">
        <v>1938</v>
      </c>
      <c r="B836" s="4" t="s">
        <v>5600</v>
      </c>
      <c r="C836" s="4" t="s">
        <v>5600</v>
      </c>
      <c r="D836" s="4" t="s">
        <v>6391</v>
      </c>
      <c r="E836" s="4" t="s">
        <v>6392</v>
      </c>
      <c r="F836" s="4" t="s">
        <v>6822</v>
      </c>
      <c r="G836" s="4" t="s">
        <v>6823</v>
      </c>
      <c r="H836" s="4" t="s">
        <v>6824</v>
      </c>
      <c r="I836" s="5">
        <v>41838</v>
      </c>
      <c r="J836" s="4" t="s">
        <v>5506</v>
      </c>
      <c r="K836" s="4" t="s">
        <v>57</v>
      </c>
      <c r="L836" s="4"/>
      <c r="M836" s="4"/>
    </row>
    <row r="837" ht="16" customHeight="1" s="4" customFormat="1">
      <c r="A837" s="4">
        <v>1939</v>
      </c>
      <c r="B837" s="4" t="s">
        <v>5600</v>
      </c>
      <c r="C837" s="4" t="s">
        <v>5600</v>
      </c>
      <c r="D837" s="4" t="s">
        <v>5728</v>
      </c>
      <c r="E837" s="4" t="s">
        <v>5729</v>
      </c>
      <c r="F837" s="4" t="s">
        <v>6825</v>
      </c>
      <c r="G837" s="4" t="s">
        <v>6826</v>
      </c>
      <c r="H837" s="4" t="s">
        <v>6827</v>
      </c>
      <c r="I837" s="5">
        <v>41837</v>
      </c>
      <c r="J837" s="4" t="s">
        <v>5506</v>
      </c>
      <c r="K837" s="4" t="s">
        <v>57</v>
      </c>
      <c r="L837" s="4"/>
      <c r="M837" s="4"/>
    </row>
    <row r="838" ht="16" customHeight="1" s="4" customFormat="1">
      <c r="A838" s="4">
        <v>1940</v>
      </c>
      <c r="B838" s="4" t="s">
        <v>5499</v>
      </c>
      <c r="C838" s="4" t="s">
        <v>6371</v>
      </c>
      <c r="D838" s="4" t="s">
        <v>5591</v>
      </c>
      <c r="E838" s="4" t="s">
        <v>5592</v>
      </c>
      <c r="F838" s="4" t="s">
        <v>6828</v>
      </c>
      <c r="G838" s="4" t="s">
        <v>6829</v>
      </c>
      <c r="H838" s="4" t="s">
        <v>6830</v>
      </c>
      <c r="I838" s="5">
        <v>41836</v>
      </c>
      <c r="J838" s="4" t="s">
        <v>4798</v>
      </c>
      <c r="K838" s="4" t="s">
        <v>57</v>
      </c>
      <c r="L838" s="4"/>
      <c r="M838" s="4"/>
    </row>
    <row r="839" ht="16" customHeight="1" s="4" customFormat="1">
      <c r="A839" s="4">
        <v>1941</v>
      </c>
      <c r="B839" s="4" t="s">
        <v>5499</v>
      </c>
      <c r="C839" s="4" t="s">
        <v>5519</v>
      </c>
      <c r="D839" s="4"/>
      <c r="E839" s="4" t="s">
        <v>6831</v>
      </c>
      <c r="F839" s="4" t="s">
        <v>6832</v>
      </c>
      <c r="G839" s="4" t="s">
        <v>6833</v>
      </c>
      <c r="H839" s="4" t="s">
        <v>6833</v>
      </c>
      <c r="I839" s="5">
        <v>41835</v>
      </c>
      <c r="J839" s="4" t="s">
        <v>4798</v>
      </c>
      <c r="K839" s="4" t="s">
        <v>57</v>
      </c>
      <c r="L839" s="4"/>
      <c r="M839" s="4"/>
    </row>
    <row r="840" ht="16" customHeight="1" s="4" customFormat="1">
      <c r="A840" s="4">
        <v>1942</v>
      </c>
      <c r="B840" s="4" t="s">
        <v>5499</v>
      </c>
      <c r="C840" s="4" t="s">
        <v>5519</v>
      </c>
      <c r="D840" s="4"/>
      <c r="E840" s="4" t="s">
        <v>6831</v>
      </c>
      <c r="F840" s="4" t="s">
        <v>6834</v>
      </c>
      <c r="G840" s="4" t="s">
        <v>6835</v>
      </c>
      <c r="H840" s="4" t="s">
        <v>6835</v>
      </c>
      <c r="I840" s="5">
        <v>41835</v>
      </c>
      <c r="J840" s="4" t="s">
        <v>4798</v>
      </c>
      <c r="K840" s="4" t="s">
        <v>57</v>
      </c>
      <c r="L840" s="4"/>
      <c r="M840" s="4"/>
    </row>
    <row r="841" ht="16" customHeight="1" s="4" customFormat="1">
      <c r="A841" s="4">
        <v>1943</v>
      </c>
      <c r="B841" s="4" t="s">
        <v>5534</v>
      </c>
      <c r="C841" s="4" t="s">
        <v>5631</v>
      </c>
      <c r="D841" s="4"/>
      <c r="E841" s="4"/>
      <c r="F841" s="4">
        <v>28343</v>
      </c>
      <c r="G841" s="4" t="s">
        <v>5632</v>
      </c>
      <c r="H841" s="4" t="s">
        <v>5647</v>
      </c>
      <c r="I841" s="5">
        <v>41829</v>
      </c>
      <c r="J841" s="4" t="s">
        <v>5506</v>
      </c>
      <c r="K841" s="4" t="s">
        <v>57</v>
      </c>
      <c r="L841" s="4"/>
      <c r="M841" s="4"/>
    </row>
    <row r="842" ht="16" customHeight="1" s="4" customFormat="1">
      <c r="A842" s="4">
        <v>1944</v>
      </c>
      <c r="B842" s="4" t="s">
        <v>5694</v>
      </c>
      <c r="C842" s="4" t="s">
        <v>5695</v>
      </c>
      <c r="D842" s="4" t="s">
        <v>5985</v>
      </c>
      <c r="E842" s="4" t="s">
        <v>5986</v>
      </c>
      <c r="F842" s="4" t="s">
        <v>6836</v>
      </c>
      <c r="G842" s="4" t="s">
        <v>6837</v>
      </c>
      <c r="H842" s="4" t="s">
        <v>5675</v>
      </c>
      <c r="I842" s="5">
        <v>41828</v>
      </c>
      <c r="J842" s="4" t="s">
        <v>5506</v>
      </c>
      <c r="K842" s="4" t="s">
        <v>57</v>
      </c>
      <c r="L842" s="4"/>
      <c r="M842" s="4"/>
    </row>
    <row r="843" ht="16" customHeight="1" s="4" customFormat="1">
      <c r="A843" s="4">
        <v>1945</v>
      </c>
      <c r="B843" s="4" t="s">
        <v>5499</v>
      </c>
      <c r="C843" s="4" t="s">
        <v>5573</v>
      </c>
      <c r="D843" s="4" t="s">
        <v>5574</v>
      </c>
      <c r="E843" s="4" t="s">
        <v>5575</v>
      </c>
      <c r="F843" s="4" t="s">
        <v>6838</v>
      </c>
      <c r="G843" s="4" t="s">
        <v>6419</v>
      </c>
      <c r="H843" s="4" t="s">
        <v>5588</v>
      </c>
      <c r="I843" s="5">
        <v>41828</v>
      </c>
      <c r="J843" s="4" t="s">
        <v>4798</v>
      </c>
      <c r="K843" s="4" t="s">
        <v>57</v>
      </c>
      <c r="L843" s="4"/>
      <c r="M843" s="4"/>
    </row>
    <row r="844" ht="16" customHeight="1" s="4" customFormat="1">
      <c r="A844" s="4">
        <v>1946</v>
      </c>
      <c r="B844" s="4" t="s">
        <v>5534</v>
      </c>
      <c r="C844" s="4" t="s">
        <v>5631</v>
      </c>
      <c r="D844" s="4"/>
      <c r="E844" s="4"/>
      <c r="F844" s="4">
        <v>5285</v>
      </c>
      <c r="G844" s="4" t="s">
        <v>5632</v>
      </c>
      <c r="H844" s="4" t="s">
        <v>5633</v>
      </c>
      <c r="I844" s="5">
        <v>41825</v>
      </c>
      <c r="J844" s="4" t="s">
        <v>5506</v>
      </c>
      <c r="K844" s="4" t="s">
        <v>57</v>
      </c>
      <c r="L844" s="4"/>
      <c r="M844" s="4"/>
    </row>
    <row r="845" ht="16" customHeight="1" s="4" customFormat="1">
      <c r="A845" s="4">
        <v>1947</v>
      </c>
      <c r="B845" s="4" t="s">
        <v>5534</v>
      </c>
      <c r="C845" s="4" t="s">
        <v>5631</v>
      </c>
      <c r="D845" s="4"/>
      <c r="E845" s="4"/>
      <c r="F845" s="4">
        <v>5287</v>
      </c>
      <c r="G845" s="4" t="s">
        <v>5632</v>
      </c>
      <c r="H845" s="4" t="s">
        <v>5633</v>
      </c>
      <c r="I845" s="5">
        <v>41825</v>
      </c>
      <c r="J845" s="4" t="s">
        <v>5506</v>
      </c>
      <c r="K845" s="4" t="s">
        <v>57</v>
      </c>
      <c r="L845" s="4"/>
      <c r="M845" s="4"/>
    </row>
    <row r="846" ht="16" customHeight="1" s="4" customFormat="1">
      <c r="A846" s="4">
        <v>1948</v>
      </c>
      <c r="B846" s="4" t="s">
        <v>5534</v>
      </c>
      <c r="C846" s="4" t="s">
        <v>5631</v>
      </c>
      <c r="D846" s="4"/>
      <c r="E846" s="4"/>
      <c r="F846" s="4">
        <v>5288</v>
      </c>
      <c r="G846" s="4" t="s">
        <v>5632</v>
      </c>
      <c r="H846" s="4" t="s">
        <v>5633</v>
      </c>
      <c r="I846" s="5">
        <v>41825</v>
      </c>
      <c r="J846" s="4" t="s">
        <v>5506</v>
      </c>
      <c r="K846" s="4" t="s">
        <v>57</v>
      </c>
      <c r="L846" s="4"/>
      <c r="M846" s="4"/>
    </row>
    <row r="847" ht="16" customHeight="1" s="4" customFormat="1">
      <c r="A847" s="4">
        <v>1949</v>
      </c>
      <c r="B847" s="4" t="s">
        <v>5534</v>
      </c>
      <c r="C847" s="4" t="s">
        <v>5631</v>
      </c>
      <c r="D847" s="4"/>
      <c r="E847" s="4"/>
      <c r="F847" s="4">
        <v>5296</v>
      </c>
      <c r="G847" s="4" t="s">
        <v>5632</v>
      </c>
      <c r="H847" s="4" t="s">
        <v>5635</v>
      </c>
      <c r="I847" s="5">
        <v>41825</v>
      </c>
      <c r="J847" s="4" t="s">
        <v>5506</v>
      </c>
      <c r="K847" s="4" t="s">
        <v>57</v>
      </c>
      <c r="L847" s="4"/>
      <c r="M847" s="4"/>
    </row>
    <row r="848" ht="16" customHeight="1" s="4" customFormat="1">
      <c r="A848" s="4">
        <v>1950</v>
      </c>
      <c r="B848" s="4" t="s">
        <v>5534</v>
      </c>
      <c r="C848" s="4" t="s">
        <v>5631</v>
      </c>
      <c r="D848" s="4"/>
      <c r="E848" s="4"/>
      <c r="F848" s="4">
        <v>10331</v>
      </c>
      <c r="G848" s="4" t="s">
        <v>5632</v>
      </c>
      <c r="H848" s="4" t="s">
        <v>5636</v>
      </c>
      <c r="I848" s="5">
        <v>41825</v>
      </c>
      <c r="J848" s="4" t="s">
        <v>5506</v>
      </c>
      <c r="K848" s="4" t="s">
        <v>57</v>
      </c>
      <c r="L848" s="4"/>
      <c r="M848" s="4"/>
    </row>
    <row r="849" ht="16" customHeight="1" s="4" customFormat="1">
      <c r="A849" s="4">
        <v>1951</v>
      </c>
      <c r="B849" s="4" t="s">
        <v>5534</v>
      </c>
      <c r="C849" s="4" t="s">
        <v>5631</v>
      </c>
      <c r="D849" s="4"/>
      <c r="E849" s="4"/>
      <c r="F849" s="4">
        <v>10349</v>
      </c>
      <c r="G849" s="4" t="s">
        <v>5632</v>
      </c>
      <c r="H849" s="4" t="s">
        <v>5634</v>
      </c>
      <c r="I849" s="5">
        <v>41825</v>
      </c>
      <c r="J849" s="4" t="s">
        <v>5506</v>
      </c>
      <c r="K849" s="4" t="s">
        <v>57</v>
      </c>
      <c r="L849" s="4"/>
      <c r="M849" s="4"/>
    </row>
    <row r="850" ht="16" customHeight="1" s="4" customFormat="1">
      <c r="A850" s="4">
        <v>1952</v>
      </c>
      <c r="B850" s="4" t="s">
        <v>5534</v>
      </c>
      <c r="C850" s="4" t="s">
        <v>5631</v>
      </c>
      <c r="D850" s="4"/>
      <c r="E850" s="4"/>
      <c r="F850" s="4">
        <v>10351</v>
      </c>
      <c r="G850" s="4" t="s">
        <v>5632</v>
      </c>
      <c r="H850" s="4" t="s">
        <v>5634</v>
      </c>
      <c r="I850" s="5">
        <v>41825</v>
      </c>
      <c r="J850" s="4" t="s">
        <v>5506</v>
      </c>
      <c r="K850" s="4" t="s">
        <v>57</v>
      </c>
      <c r="L850" s="4"/>
      <c r="M850" s="4"/>
    </row>
    <row r="851" ht="16" customHeight="1" s="4" customFormat="1">
      <c r="A851" s="4">
        <v>1953</v>
      </c>
      <c r="B851" s="4" t="s">
        <v>5534</v>
      </c>
      <c r="C851" s="4" t="s">
        <v>5631</v>
      </c>
      <c r="D851" s="4"/>
      <c r="E851" s="4"/>
      <c r="F851" s="4">
        <v>10352</v>
      </c>
      <c r="G851" s="4" t="s">
        <v>5632</v>
      </c>
      <c r="H851" s="4" t="s">
        <v>5998</v>
      </c>
      <c r="I851" s="5">
        <v>41825</v>
      </c>
      <c r="J851" s="4" t="s">
        <v>5506</v>
      </c>
      <c r="K851" s="4" t="s">
        <v>57</v>
      </c>
      <c r="L851" s="4"/>
      <c r="M851" s="4"/>
    </row>
    <row r="852" ht="16" customHeight="1" s="4" customFormat="1">
      <c r="A852" s="4">
        <v>1954</v>
      </c>
      <c r="B852" s="4" t="s">
        <v>5534</v>
      </c>
      <c r="C852" s="4" t="s">
        <v>5631</v>
      </c>
      <c r="D852" s="4"/>
      <c r="E852" s="4"/>
      <c r="F852" s="4">
        <v>10360</v>
      </c>
      <c r="G852" s="4" t="s">
        <v>5632</v>
      </c>
      <c r="H852" s="4" t="s">
        <v>5636</v>
      </c>
      <c r="I852" s="5">
        <v>41825</v>
      </c>
      <c r="J852" s="4" t="s">
        <v>5506</v>
      </c>
      <c r="K852" s="4" t="s">
        <v>57</v>
      </c>
      <c r="L852" s="4"/>
      <c r="M852" s="4"/>
    </row>
    <row r="853" ht="16" customHeight="1" s="4" customFormat="1">
      <c r="A853" s="4">
        <v>1955</v>
      </c>
      <c r="B853" s="4" t="s">
        <v>5534</v>
      </c>
      <c r="C853" s="4" t="s">
        <v>5631</v>
      </c>
      <c r="D853" s="4"/>
      <c r="E853" s="4"/>
      <c r="F853" s="4">
        <v>5264</v>
      </c>
      <c r="G853" s="4" t="s">
        <v>5632</v>
      </c>
      <c r="H853" s="4" t="s">
        <v>5635</v>
      </c>
      <c r="I853" s="5">
        <v>41825</v>
      </c>
      <c r="J853" s="4" t="s">
        <v>5506</v>
      </c>
      <c r="K853" s="4" t="s">
        <v>57</v>
      </c>
      <c r="L853" s="4"/>
      <c r="M853" s="4"/>
    </row>
    <row r="854" ht="16" customHeight="1" s="4" customFormat="1">
      <c r="A854" s="4">
        <v>1956</v>
      </c>
      <c r="B854" s="4" t="s">
        <v>5694</v>
      </c>
      <c r="C854" s="4" t="s">
        <v>5695</v>
      </c>
      <c r="D854" s="4" t="s">
        <v>5985</v>
      </c>
      <c r="E854" s="4" t="s">
        <v>5986</v>
      </c>
      <c r="F854" s="4" t="s">
        <v>6839</v>
      </c>
      <c r="G854" s="4" t="s">
        <v>6837</v>
      </c>
      <c r="H854" s="4" t="s">
        <v>5675</v>
      </c>
      <c r="I854" s="5">
        <v>41821</v>
      </c>
      <c r="J854" s="4" t="s">
        <v>5506</v>
      </c>
      <c r="K854" s="4" t="s">
        <v>57</v>
      </c>
      <c r="L854" s="4"/>
      <c r="M854" s="4"/>
    </row>
    <row r="855" ht="16" customHeight="1" s="4" customFormat="1">
      <c r="A855" s="4">
        <v>1957</v>
      </c>
      <c r="B855" s="4" t="s">
        <v>5534</v>
      </c>
      <c r="C855" s="4" t="s">
        <v>5773</v>
      </c>
      <c r="D855" s="4"/>
      <c r="E855" s="4"/>
      <c r="F855" s="4" t="s">
        <v>6840</v>
      </c>
      <c r="G855" s="4" t="s">
        <v>5817</v>
      </c>
      <c r="H855" s="4" t="s">
        <v>5818</v>
      </c>
      <c r="I855" s="5">
        <v>41815</v>
      </c>
      <c r="J855" s="4" t="s">
        <v>4798</v>
      </c>
      <c r="K855" s="4" t="s">
        <v>57</v>
      </c>
      <c r="L855" s="4"/>
      <c r="M855" s="4"/>
    </row>
    <row r="856" ht="16" customHeight="1" s="4" customFormat="1">
      <c r="A856" s="4">
        <v>1958</v>
      </c>
      <c r="B856" s="4" t="s">
        <v>5534</v>
      </c>
      <c r="C856" s="4" t="s">
        <v>5773</v>
      </c>
      <c r="D856" s="4"/>
      <c r="E856" s="4"/>
      <c r="F856" s="4" t="s">
        <v>6841</v>
      </c>
      <c r="G856" s="4" t="s">
        <v>5817</v>
      </c>
      <c r="H856" s="4" t="s">
        <v>5511</v>
      </c>
      <c r="I856" s="5">
        <v>41815</v>
      </c>
      <c r="J856" s="4" t="s">
        <v>4798</v>
      </c>
      <c r="K856" s="4" t="s">
        <v>57</v>
      </c>
      <c r="L856" s="4"/>
      <c r="M856" s="4"/>
    </row>
    <row r="857" ht="16" customHeight="1" s="4" customFormat="1">
      <c r="A857" s="4">
        <v>1959</v>
      </c>
      <c r="B857" s="4" t="s">
        <v>5534</v>
      </c>
      <c r="C857" s="4" t="s">
        <v>5773</v>
      </c>
      <c r="D857" s="4"/>
      <c r="E857" s="4"/>
      <c r="F857" s="4" t="s">
        <v>6842</v>
      </c>
      <c r="G857" s="4" t="s">
        <v>5817</v>
      </c>
      <c r="H857" s="4" t="s">
        <v>5818</v>
      </c>
      <c r="I857" s="5">
        <v>41815</v>
      </c>
      <c r="J857" s="4" t="s">
        <v>4798</v>
      </c>
      <c r="K857" s="4" t="s">
        <v>57</v>
      </c>
      <c r="L857" s="4"/>
      <c r="M857" s="4"/>
    </row>
    <row r="858" ht="16" customHeight="1" s="4" customFormat="1">
      <c r="A858" s="4">
        <v>1960</v>
      </c>
      <c r="B858" s="4" t="s">
        <v>5534</v>
      </c>
      <c r="C858" s="4" t="s">
        <v>5773</v>
      </c>
      <c r="D858" s="4"/>
      <c r="E858" s="4"/>
      <c r="F858" s="4" t="s">
        <v>6843</v>
      </c>
      <c r="G858" s="4" t="s">
        <v>5817</v>
      </c>
      <c r="H858" s="4" t="s">
        <v>5511</v>
      </c>
      <c r="I858" s="5">
        <v>41815</v>
      </c>
      <c r="J858" s="4" t="s">
        <v>4798</v>
      </c>
      <c r="K858" s="4" t="s">
        <v>57</v>
      </c>
      <c r="L858" s="4"/>
      <c r="M858" s="4"/>
    </row>
    <row r="859" ht="16" customHeight="1" s="4" customFormat="1">
      <c r="A859" s="4">
        <v>1961</v>
      </c>
      <c r="B859" s="4" t="s">
        <v>5534</v>
      </c>
      <c r="C859" s="4" t="s">
        <v>5773</v>
      </c>
      <c r="D859" s="4"/>
      <c r="E859" s="4"/>
      <c r="F859" s="4" t="s">
        <v>6844</v>
      </c>
      <c r="G859" s="4" t="s">
        <v>5817</v>
      </c>
      <c r="H859" s="4" t="s">
        <v>5511</v>
      </c>
      <c r="I859" s="5">
        <v>41815</v>
      </c>
      <c r="J859" s="4" t="s">
        <v>4798</v>
      </c>
      <c r="K859" s="4" t="s">
        <v>57</v>
      </c>
      <c r="L859" s="4"/>
      <c r="M859" s="4"/>
    </row>
    <row r="860" ht="16" customHeight="1" s="4" customFormat="1">
      <c r="A860" s="4">
        <v>1962</v>
      </c>
      <c r="B860" s="4" t="s">
        <v>5534</v>
      </c>
      <c r="C860" s="4" t="s">
        <v>5773</v>
      </c>
      <c r="D860" s="4"/>
      <c r="E860" s="4"/>
      <c r="F860" s="4" t="s">
        <v>6845</v>
      </c>
      <c r="G860" s="4" t="s">
        <v>5817</v>
      </c>
      <c r="H860" s="4" t="s">
        <v>5511</v>
      </c>
      <c r="I860" s="5">
        <v>41815</v>
      </c>
      <c r="J860" s="4" t="s">
        <v>4798</v>
      </c>
      <c r="K860" s="4" t="s">
        <v>57</v>
      </c>
      <c r="L860" s="4"/>
      <c r="M860" s="4"/>
    </row>
    <row r="861" ht="16" customHeight="1" s="4" customFormat="1">
      <c r="A861" s="4">
        <v>1963</v>
      </c>
      <c r="B861" s="4" t="s">
        <v>5534</v>
      </c>
      <c r="C861" s="4" t="s">
        <v>5773</v>
      </c>
      <c r="D861" s="4"/>
      <c r="E861" s="4"/>
      <c r="F861" s="4" t="s">
        <v>6846</v>
      </c>
      <c r="G861" s="4" t="s">
        <v>5817</v>
      </c>
      <c r="H861" s="4" t="s">
        <v>5511</v>
      </c>
      <c r="I861" s="5">
        <v>41815</v>
      </c>
      <c r="J861" s="4" t="s">
        <v>4798</v>
      </c>
      <c r="K861" s="4" t="s">
        <v>57</v>
      </c>
      <c r="L861" s="4"/>
      <c r="M861" s="4"/>
    </row>
    <row r="862" ht="16" customHeight="1" s="4" customFormat="1">
      <c r="A862" s="4">
        <v>1964</v>
      </c>
      <c r="B862" s="4" t="s">
        <v>5534</v>
      </c>
      <c r="C862" s="4" t="s">
        <v>5773</v>
      </c>
      <c r="D862" s="4"/>
      <c r="E862" s="4"/>
      <c r="F862" s="4" t="s">
        <v>6847</v>
      </c>
      <c r="G862" s="4" t="s">
        <v>5817</v>
      </c>
      <c r="H862" s="4" t="s">
        <v>5511</v>
      </c>
      <c r="I862" s="5">
        <v>41815</v>
      </c>
      <c r="J862" s="4" t="s">
        <v>4798</v>
      </c>
      <c r="K862" s="4" t="s">
        <v>57</v>
      </c>
      <c r="L862" s="4"/>
      <c r="M862" s="4"/>
    </row>
    <row r="863" ht="16" customHeight="1" s="4" customFormat="1">
      <c r="A863" s="4">
        <v>1965</v>
      </c>
      <c r="B863" s="4" t="s">
        <v>5534</v>
      </c>
      <c r="C863" s="4" t="s">
        <v>5773</v>
      </c>
      <c r="D863" s="4"/>
      <c r="E863" s="4"/>
      <c r="F863" s="4" t="s">
        <v>6848</v>
      </c>
      <c r="G863" s="4" t="s">
        <v>5817</v>
      </c>
      <c r="H863" s="4" t="s">
        <v>6849</v>
      </c>
      <c r="I863" s="5">
        <v>41815</v>
      </c>
      <c r="J863" s="4" t="s">
        <v>4798</v>
      </c>
      <c r="K863" s="4" t="s">
        <v>57</v>
      </c>
      <c r="L863" s="4"/>
      <c r="M863" s="4"/>
    </row>
    <row r="864" ht="16" customHeight="1" s="4" customFormat="1">
      <c r="A864" s="4">
        <v>1966</v>
      </c>
      <c r="B864" s="4" t="s">
        <v>5534</v>
      </c>
      <c r="C864" s="4" t="s">
        <v>5773</v>
      </c>
      <c r="D864" s="4"/>
      <c r="E864" s="4"/>
      <c r="F864" s="4" t="s">
        <v>6850</v>
      </c>
      <c r="G864" s="4" t="s">
        <v>5817</v>
      </c>
      <c r="H864" s="4" t="s">
        <v>5818</v>
      </c>
      <c r="I864" s="5">
        <v>41815</v>
      </c>
      <c r="J864" s="4" t="s">
        <v>4798</v>
      </c>
      <c r="K864" s="4" t="s">
        <v>57</v>
      </c>
      <c r="L864" s="4"/>
      <c r="M864" s="4"/>
    </row>
    <row r="865" ht="16" customHeight="1" s="4" customFormat="1">
      <c r="A865" s="4">
        <v>1967</v>
      </c>
      <c r="B865" s="4" t="s">
        <v>5534</v>
      </c>
      <c r="C865" s="4" t="s">
        <v>5773</v>
      </c>
      <c r="D865" s="4"/>
      <c r="E865" s="4"/>
      <c r="F865" s="4" t="s">
        <v>6851</v>
      </c>
      <c r="G865" s="4" t="s">
        <v>5817</v>
      </c>
      <c r="H865" s="4" t="s">
        <v>5818</v>
      </c>
      <c r="I865" s="5">
        <v>41815</v>
      </c>
      <c r="J865" s="4" t="s">
        <v>4798</v>
      </c>
      <c r="K865" s="4" t="s">
        <v>57</v>
      </c>
      <c r="L865" s="4"/>
      <c r="M865" s="4"/>
    </row>
    <row r="866" ht="16" customHeight="1" s="4" customFormat="1">
      <c r="A866" s="4">
        <v>1968</v>
      </c>
      <c r="B866" s="4" t="s">
        <v>5534</v>
      </c>
      <c r="C866" s="4" t="s">
        <v>5773</v>
      </c>
      <c r="D866" s="4"/>
      <c r="E866" s="4"/>
      <c r="F866" s="4" t="s">
        <v>6852</v>
      </c>
      <c r="G866" s="4" t="s">
        <v>5817</v>
      </c>
      <c r="H866" s="4" t="s">
        <v>5818</v>
      </c>
      <c r="I866" s="5">
        <v>41815</v>
      </c>
      <c r="J866" s="4" t="s">
        <v>4798</v>
      </c>
      <c r="K866" s="4" t="s">
        <v>57</v>
      </c>
      <c r="L866" s="4"/>
      <c r="M866" s="4"/>
    </row>
    <row r="867" ht="16" customHeight="1" s="4" customFormat="1">
      <c r="A867" s="4">
        <v>1969</v>
      </c>
      <c r="B867" s="4" t="s">
        <v>5534</v>
      </c>
      <c r="C867" s="4" t="s">
        <v>5773</v>
      </c>
      <c r="D867" s="4"/>
      <c r="E867" s="4"/>
      <c r="F867" s="4" t="s">
        <v>6853</v>
      </c>
      <c r="G867" s="4" t="s">
        <v>5817</v>
      </c>
      <c r="H867" s="4" t="s">
        <v>5818</v>
      </c>
      <c r="I867" s="5">
        <v>41815</v>
      </c>
      <c r="J867" s="4" t="s">
        <v>4798</v>
      </c>
      <c r="K867" s="4" t="s">
        <v>57</v>
      </c>
      <c r="L867" s="4"/>
      <c r="M867" s="4"/>
    </row>
    <row r="868" ht="16" customHeight="1" s="4" customFormat="1">
      <c r="A868" s="4">
        <v>1970</v>
      </c>
      <c r="B868" s="4" t="s">
        <v>5534</v>
      </c>
      <c r="C868" s="4" t="s">
        <v>5773</v>
      </c>
      <c r="D868" s="4"/>
      <c r="E868" s="4"/>
      <c r="F868" s="4" t="s">
        <v>6854</v>
      </c>
      <c r="G868" s="4" t="s">
        <v>5817</v>
      </c>
      <c r="H868" s="4" t="s">
        <v>5818</v>
      </c>
      <c r="I868" s="5">
        <v>41815</v>
      </c>
      <c r="J868" s="4" t="s">
        <v>4798</v>
      </c>
      <c r="K868" s="4" t="s">
        <v>57</v>
      </c>
      <c r="L868" s="4"/>
      <c r="M868" s="4"/>
    </row>
    <row r="869" ht="16" customHeight="1" s="4" customFormat="1">
      <c r="A869" s="4">
        <v>1971</v>
      </c>
      <c r="B869" s="4" t="s">
        <v>5534</v>
      </c>
      <c r="C869" s="4" t="s">
        <v>5773</v>
      </c>
      <c r="D869" s="4"/>
      <c r="E869" s="4"/>
      <c r="F869" s="4" t="s">
        <v>6855</v>
      </c>
      <c r="G869" s="4" t="s">
        <v>5817</v>
      </c>
      <c r="H869" s="4" t="s">
        <v>5818</v>
      </c>
      <c r="I869" s="5">
        <v>41815</v>
      </c>
      <c r="J869" s="4" t="s">
        <v>4798</v>
      </c>
      <c r="K869" s="4" t="s">
        <v>57</v>
      </c>
      <c r="L869" s="4"/>
      <c r="M869" s="4"/>
    </row>
    <row r="870" ht="16" customHeight="1" s="4" customFormat="1">
      <c r="A870" s="4">
        <v>1972</v>
      </c>
      <c r="B870" s="4" t="s">
        <v>5534</v>
      </c>
      <c r="C870" s="4" t="s">
        <v>5773</v>
      </c>
      <c r="D870" s="4"/>
      <c r="E870" s="4"/>
      <c r="F870" s="4" t="s">
        <v>6856</v>
      </c>
      <c r="G870" s="4" t="s">
        <v>5817</v>
      </c>
      <c r="H870" s="4" t="s">
        <v>6849</v>
      </c>
      <c r="I870" s="5">
        <v>41815</v>
      </c>
      <c r="J870" s="4" t="s">
        <v>4798</v>
      </c>
      <c r="K870" s="4" t="s">
        <v>57</v>
      </c>
      <c r="L870" s="4"/>
      <c r="M870" s="4"/>
    </row>
    <row r="871" ht="16" customHeight="1" s="4" customFormat="1">
      <c r="A871" s="4">
        <v>1973</v>
      </c>
      <c r="B871" s="4" t="s">
        <v>5534</v>
      </c>
      <c r="C871" s="4" t="s">
        <v>5773</v>
      </c>
      <c r="D871" s="4"/>
      <c r="E871" s="4"/>
      <c r="F871" s="4" t="s">
        <v>6857</v>
      </c>
      <c r="G871" s="4" t="s">
        <v>5817</v>
      </c>
      <c r="H871" s="4" t="s">
        <v>5818</v>
      </c>
      <c r="I871" s="5">
        <v>41815</v>
      </c>
      <c r="J871" s="4" t="s">
        <v>4798</v>
      </c>
      <c r="K871" s="4" t="s">
        <v>57</v>
      </c>
      <c r="L871" s="4"/>
      <c r="M871" s="4"/>
    </row>
    <row r="872" ht="16" customHeight="1" s="4" customFormat="1">
      <c r="A872" s="4">
        <v>1975</v>
      </c>
      <c r="B872" s="4" t="s">
        <v>5534</v>
      </c>
      <c r="C872" s="4" t="s">
        <v>5773</v>
      </c>
      <c r="D872" s="4"/>
      <c r="E872" s="4"/>
      <c r="F872" s="4" t="s">
        <v>6858</v>
      </c>
      <c r="G872" s="4" t="s">
        <v>5817</v>
      </c>
      <c r="H872" s="4" t="s">
        <v>5818</v>
      </c>
      <c r="I872" s="5">
        <v>41815</v>
      </c>
      <c r="J872" s="4" t="s">
        <v>4798</v>
      </c>
      <c r="K872" s="4" t="s">
        <v>57</v>
      </c>
      <c r="L872" s="4"/>
      <c r="M872" s="4"/>
    </row>
    <row r="873" ht="16" customHeight="1" s="4" customFormat="1">
      <c r="A873" s="4">
        <v>1976</v>
      </c>
      <c r="B873" s="4" t="s">
        <v>5534</v>
      </c>
      <c r="C873" s="4" t="s">
        <v>5773</v>
      </c>
      <c r="D873" s="4"/>
      <c r="E873" s="4"/>
      <c r="F873" s="4" t="s">
        <v>6859</v>
      </c>
      <c r="G873" s="4" t="s">
        <v>5817</v>
      </c>
      <c r="H873" s="4" t="s">
        <v>5818</v>
      </c>
      <c r="I873" s="5">
        <v>41815</v>
      </c>
      <c r="J873" s="4" t="s">
        <v>4798</v>
      </c>
      <c r="K873" s="4" t="s">
        <v>57</v>
      </c>
      <c r="L873" s="4"/>
      <c r="M873" s="4"/>
    </row>
    <row r="874" ht="16" customHeight="1" s="4" customFormat="1">
      <c r="A874" s="4">
        <v>1977</v>
      </c>
      <c r="B874" s="4" t="s">
        <v>5534</v>
      </c>
      <c r="C874" s="4" t="s">
        <v>5773</v>
      </c>
      <c r="D874" s="4"/>
      <c r="E874" s="4"/>
      <c r="F874" s="4" t="s">
        <v>6860</v>
      </c>
      <c r="G874" s="4" t="s">
        <v>5817</v>
      </c>
      <c r="H874" s="4" t="s">
        <v>5818</v>
      </c>
      <c r="I874" s="5">
        <v>41815</v>
      </c>
      <c r="J874" s="4" t="s">
        <v>4798</v>
      </c>
      <c r="K874" s="4" t="s">
        <v>57</v>
      </c>
      <c r="L874" s="4"/>
      <c r="M874" s="4"/>
    </row>
    <row r="875" ht="16" customHeight="1" s="4" customFormat="1">
      <c r="A875" s="4">
        <v>1978</v>
      </c>
      <c r="B875" s="4" t="s">
        <v>5534</v>
      </c>
      <c r="C875" s="4" t="s">
        <v>5773</v>
      </c>
      <c r="D875" s="4"/>
      <c r="E875" s="4"/>
      <c r="F875" s="4" t="s">
        <v>6861</v>
      </c>
      <c r="G875" s="4" t="s">
        <v>5817</v>
      </c>
      <c r="H875" s="4" t="s">
        <v>5818</v>
      </c>
      <c r="I875" s="5">
        <v>41815</v>
      </c>
      <c r="J875" s="4" t="s">
        <v>4798</v>
      </c>
      <c r="K875" s="4" t="s">
        <v>57</v>
      </c>
      <c r="L875" s="4"/>
      <c r="M875" s="4"/>
    </row>
    <row r="876" ht="16" customHeight="1" s="4" customFormat="1">
      <c r="A876" s="4">
        <v>1979</v>
      </c>
      <c r="B876" s="4" t="s">
        <v>5534</v>
      </c>
      <c r="C876" s="4" t="s">
        <v>5773</v>
      </c>
      <c r="D876" s="4"/>
      <c r="E876" s="4"/>
      <c r="F876" s="4" t="s">
        <v>6862</v>
      </c>
      <c r="G876" s="4" t="s">
        <v>5817</v>
      </c>
      <c r="H876" s="4" t="s">
        <v>5818</v>
      </c>
      <c r="I876" s="5">
        <v>41815</v>
      </c>
      <c r="J876" s="4" t="s">
        <v>4798</v>
      </c>
      <c r="K876" s="4" t="s">
        <v>57</v>
      </c>
      <c r="L876" s="4"/>
      <c r="M876" s="4"/>
    </row>
    <row r="877" ht="16" customHeight="1" s="4" customFormat="1">
      <c r="A877" s="4">
        <v>1980</v>
      </c>
      <c r="B877" s="4" t="s">
        <v>5534</v>
      </c>
      <c r="C877" s="4" t="s">
        <v>5773</v>
      </c>
      <c r="D877" s="4"/>
      <c r="E877" s="4"/>
      <c r="F877" s="4" t="s">
        <v>6863</v>
      </c>
      <c r="G877" s="4" t="s">
        <v>5817</v>
      </c>
      <c r="H877" s="4" t="s">
        <v>5818</v>
      </c>
      <c r="I877" s="5">
        <v>41815</v>
      </c>
      <c r="J877" s="4" t="s">
        <v>4798</v>
      </c>
      <c r="K877" s="4" t="s">
        <v>57</v>
      </c>
      <c r="L877" s="4"/>
      <c r="M877" s="4"/>
    </row>
    <row r="878" ht="16" customHeight="1" s="4" customFormat="1">
      <c r="A878" s="4">
        <v>1981</v>
      </c>
      <c r="B878" s="4" t="s">
        <v>5534</v>
      </c>
      <c r="C878" s="4" t="s">
        <v>5773</v>
      </c>
      <c r="D878" s="4"/>
      <c r="E878" s="4"/>
      <c r="F878" s="4" t="s">
        <v>6864</v>
      </c>
      <c r="G878" s="4" t="s">
        <v>5817</v>
      </c>
      <c r="H878" s="4" t="s">
        <v>5818</v>
      </c>
      <c r="I878" s="5">
        <v>41815</v>
      </c>
      <c r="J878" s="4" t="s">
        <v>4798</v>
      </c>
      <c r="K878" s="4" t="s">
        <v>57</v>
      </c>
      <c r="L878" s="4"/>
      <c r="M878" s="4"/>
    </row>
    <row r="879" ht="16" customHeight="1" s="4" customFormat="1">
      <c r="A879" s="4">
        <v>1982</v>
      </c>
      <c r="B879" s="4" t="s">
        <v>5534</v>
      </c>
      <c r="C879" s="4" t="s">
        <v>5773</v>
      </c>
      <c r="D879" s="4"/>
      <c r="E879" s="4"/>
      <c r="F879" s="4" t="s">
        <v>6865</v>
      </c>
      <c r="G879" s="4" t="s">
        <v>5817</v>
      </c>
      <c r="H879" s="4" t="s">
        <v>5818</v>
      </c>
      <c r="I879" s="5">
        <v>41815</v>
      </c>
      <c r="J879" s="4" t="s">
        <v>4798</v>
      </c>
      <c r="K879" s="4" t="s">
        <v>57</v>
      </c>
      <c r="L879" s="4"/>
      <c r="M879" s="4"/>
    </row>
    <row r="880" ht="16" customHeight="1" s="4" customFormat="1">
      <c r="A880" s="4">
        <v>1983</v>
      </c>
      <c r="B880" s="4" t="s">
        <v>5534</v>
      </c>
      <c r="C880" s="4" t="s">
        <v>5773</v>
      </c>
      <c r="D880" s="4"/>
      <c r="E880" s="4"/>
      <c r="F880" s="4" t="s">
        <v>6866</v>
      </c>
      <c r="G880" s="4" t="s">
        <v>5817</v>
      </c>
      <c r="H880" s="4" t="s">
        <v>5818</v>
      </c>
      <c r="I880" s="5">
        <v>41815</v>
      </c>
      <c r="J880" s="4" t="s">
        <v>4798</v>
      </c>
      <c r="K880" s="4" t="s">
        <v>57</v>
      </c>
      <c r="L880" s="4"/>
      <c r="M880" s="4"/>
    </row>
    <row r="881" ht="16" customHeight="1" s="4" customFormat="1">
      <c r="A881" s="4">
        <v>1984</v>
      </c>
      <c r="B881" s="4" t="s">
        <v>5534</v>
      </c>
      <c r="C881" s="4" t="s">
        <v>5773</v>
      </c>
      <c r="D881" s="4"/>
      <c r="E881" s="4"/>
      <c r="F881" s="4" t="s">
        <v>6867</v>
      </c>
      <c r="G881" s="4" t="s">
        <v>5817</v>
      </c>
      <c r="H881" s="4" t="s">
        <v>5667</v>
      </c>
      <c r="I881" s="5">
        <v>41815</v>
      </c>
      <c r="J881" s="4" t="s">
        <v>4798</v>
      </c>
      <c r="K881" s="4" t="s">
        <v>57</v>
      </c>
      <c r="L881" s="4"/>
      <c r="M881" s="4"/>
    </row>
    <row r="882" ht="16" customHeight="1" s="4" customFormat="1">
      <c r="A882" s="4">
        <v>1985</v>
      </c>
      <c r="B882" s="4" t="s">
        <v>5534</v>
      </c>
      <c r="C882" s="4" t="s">
        <v>5773</v>
      </c>
      <c r="D882" s="4"/>
      <c r="E882" s="4"/>
      <c r="F882" s="4" t="s">
        <v>6868</v>
      </c>
      <c r="G882" s="4" t="s">
        <v>5817</v>
      </c>
      <c r="H882" s="4" t="s">
        <v>5818</v>
      </c>
      <c r="I882" s="5">
        <v>41815</v>
      </c>
      <c r="J882" s="4" t="s">
        <v>4798</v>
      </c>
      <c r="K882" s="4" t="s">
        <v>57</v>
      </c>
      <c r="L882" s="4"/>
      <c r="M882" s="4"/>
    </row>
    <row r="883" ht="16" customHeight="1" s="4" customFormat="1">
      <c r="A883" s="4">
        <v>1986</v>
      </c>
      <c r="B883" s="4" t="s">
        <v>5534</v>
      </c>
      <c r="C883" s="4" t="s">
        <v>5773</v>
      </c>
      <c r="D883" s="4"/>
      <c r="E883" s="4"/>
      <c r="F883" s="4" t="s">
        <v>6869</v>
      </c>
      <c r="G883" s="4" t="s">
        <v>5817</v>
      </c>
      <c r="H883" s="4" t="s">
        <v>5667</v>
      </c>
      <c r="I883" s="5">
        <v>41815</v>
      </c>
      <c r="J883" s="4" t="s">
        <v>4798</v>
      </c>
      <c r="K883" s="4" t="s">
        <v>57</v>
      </c>
      <c r="L883" s="4"/>
      <c r="M883" s="4"/>
    </row>
    <row r="884" ht="16" customHeight="1" s="4" customFormat="1">
      <c r="A884" s="4">
        <v>1987</v>
      </c>
      <c r="B884" s="4" t="s">
        <v>5534</v>
      </c>
      <c r="C884" s="4" t="s">
        <v>5773</v>
      </c>
      <c r="D884" s="4"/>
      <c r="E884" s="4"/>
      <c r="F884" s="4" t="s">
        <v>6870</v>
      </c>
      <c r="G884" s="4" t="s">
        <v>5817</v>
      </c>
      <c r="H884" s="4" t="s">
        <v>5818</v>
      </c>
      <c r="I884" s="5">
        <v>41815</v>
      </c>
      <c r="J884" s="4" t="s">
        <v>4798</v>
      </c>
      <c r="K884" s="4" t="s">
        <v>57</v>
      </c>
      <c r="L884" s="4"/>
      <c r="M884" s="4"/>
    </row>
    <row r="885" ht="16" customHeight="1" s="4" customFormat="1">
      <c r="A885" s="4">
        <v>1988</v>
      </c>
      <c r="B885" s="4" t="s">
        <v>5534</v>
      </c>
      <c r="C885" s="4" t="s">
        <v>5773</v>
      </c>
      <c r="D885" s="4"/>
      <c r="E885" s="4"/>
      <c r="F885" s="4" t="s">
        <v>6871</v>
      </c>
      <c r="G885" s="4" t="s">
        <v>5817</v>
      </c>
      <c r="H885" s="4" t="s">
        <v>5818</v>
      </c>
      <c r="I885" s="5">
        <v>41815</v>
      </c>
      <c r="J885" s="4" t="s">
        <v>4798</v>
      </c>
      <c r="K885" s="4" t="s">
        <v>57</v>
      </c>
      <c r="L885" s="4"/>
      <c r="M885" s="4"/>
    </row>
    <row r="886" ht="16" customHeight="1" s="4" customFormat="1">
      <c r="A886" s="4">
        <v>1989</v>
      </c>
      <c r="B886" s="4" t="s">
        <v>5534</v>
      </c>
      <c r="C886" s="4" t="s">
        <v>5773</v>
      </c>
      <c r="D886" s="4"/>
      <c r="E886" s="4"/>
      <c r="F886" s="4" t="s">
        <v>6872</v>
      </c>
      <c r="G886" s="4" t="s">
        <v>5817</v>
      </c>
      <c r="H886" s="4" t="s">
        <v>5818</v>
      </c>
      <c r="I886" s="5">
        <v>41815</v>
      </c>
      <c r="J886" s="4" t="s">
        <v>4798</v>
      </c>
      <c r="K886" s="4" t="s">
        <v>57</v>
      </c>
      <c r="L886" s="4"/>
      <c r="M886" s="4"/>
    </row>
    <row r="887" ht="16" customHeight="1" s="4" customFormat="1">
      <c r="A887" s="4">
        <v>1990</v>
      </c>
      <c r="B887" s="4" t="s">
        <v>5534</v>
      </c>
      <c r="C887" s="4" t="s">
        <v>5773</v>
      </c>
      <c r="D887" s="4"/>
      <c r="E887" s="4"/>
      <c r="F887" s="4" t="s">
        <v>6873</v>
      </c>
      <c r="G887" s="4" t="s">
        <v>5817</v>
      </c>
      <c r="H887" s="4" t="s">
        <v>5818</v>
      </c>
      <c r="I887" s="5">
        <v>41815</v>
      </c>
      <c r="J887" s="4" t="s">
        <v>4798</v>
      </c>
      <c r="K887" s="4" t="s">
        <v>57</v>
      </c>
      <c r="L887" s="4"/>
      <c r="M887" s="4"/>
    </row>
    <row r="888" ht="16" customHeight="1" s="4" customFormat="1">
      <c r="A888" s="4">
        <v>1991</v>
      </c>
      <c r="B888" s="4" t="s">
        <v>5499</v>
      </c>
      <c r="C888" s="4" t="s">
        <v>5519</v>
      </c>
      <c r="D888" s="4"/>
      <c r="E888" s="4" t="s">
        <v>6704</v>
      </c>
      <c r="F888" s="4" t="s">
        <v>6874</v>
      </c>
      <c r="G888" s="4" t="s">
        <v>6875</v>
      </c>
      <c r="H888" s="4" t="s">
        <v>6876</v>
      </c>
      <c r="I888" s="5">
        <v>41813</v>
      </c>
      <c r="J888" s="4" t="s">
        <v>4842</v>
      </c>
      <c r="K888" s="4" t="s">
        <v>57</v>
      </c>
      <c r="L888" s="4"/>
      <c r="M888" s="4"/>
    </row>
    <row r="889" ht="16" customHeight="1" s="4" customFormat="1">
      <c r="A889" s="4">
        <v>1992</v>
      </c>
      <c r="B889" s="4" t="s">
        <v>5499</v>
      </c>
      <c r="C889" s="4" t="s">
        <v>5519</v>
      </c>
      <c r="D889" s="4"/>
      <c r="E889" s="4" t="s">
        <v>6877</v>
      </c>
      <c r="F889" s="4" t="s">
        <v>6878</v>
      </c>
      <c r="G889" s="4" t="s">
        <v>6875</v>
      </c>
      <c r="H889" s="4" t="s">
        <v>6875</v>
      </c>
      <c r="I889" s="5">
        <v>41799</v>
      </c>
      <c r="J889" s="4" t="s">
        <v>4798</v>
      </c>
      <c r="K889" s="4" t="s">
        <v>57</v>
      </c>
      <c r="L889" s="4"/>
      <c r="M889" s="4"/>
    </row>
    <row r="890" ht="16" customHeight="1" s="4" customFormat="1">
      <c r="A890" s="4">
        <v>1993</v>
      </c>
      <c r="B890" s="4" t="s">
        <v>5534</v>
      </c>
      <c r="C890" s="4" t="s">
        <v>5773</v>
      </c>
      <c r="D890" s="4"/>
      <c r="E890" s="4"/>
      <c r="F890" s="4" t="s">
        <v>6879</v>
      </c>
      <c r="G890" s="4" t="s">
        <v>5675</v>
      </c>
      <c r="H890" s="4" t="s">
        <v>6497</v>
      </c>
      <c r="I890" s="5">
        <v>41788</v>
      </c>
      <c r="J890" s="4" t="s">
        <v>4798</v>
      </c>
      <c r="K890" s="4" t="s">
        <v>57</v>
      </c>
      <c r="L890" s="4"/>
      <c r="M890" s="4"/>
    </row>
    <row r="891" ht="16" customHeight="1" s="4" customFormat="1">
      <c r="A891" s="4">
        <v>1994</v>
      </c>
      <c r="B891" s="4" t="s">
        <v>5534</v>
      </c>
      <c r="C891" s="4" t="s">
        <v>5773</v>
      </c>
      <c r="D891" s="4"/>
      <c r="E891" s="4"/>
      <c r="F891" s="4" t="s">
        <v>6880</v>
      </c>
      <c r="G891" s="4" t="s">
        <v>6444</v>
      </c>
      <c r="H891" s="4" t="s">
        <v>6881</v>
      </c>
      <c r="I891" s="5">
        <v>41781</v>
      </c>
      <c r="J891" s="4" t="s">
        <v>5506</v>
      </c>
      <c r="K891" s="4" t="s">
        <v>57</v>
      </c>
      <c r="L891" s="4"/>
      <c r="M891" s="4"/>
    </row>
    <row r="892" ht="16" customHeight="1" s="4" customFormat="1">
      <c r="A892" s="4">
        <v>1995</v>
      </c>
      <c r="B892" s="4" t="s">
        <v>5694</v>
      </c>
      <c r="C892" s="4" t="s">
        <v>5695</v>
      </c>
      <c r="D892" s="4" t="s">
        <v>5985</v>
      </c>
      <c r="E892" s="4" t="s">
        <v>5986</v>
      </c>
      <c r="F892" s="4" t="s">
        <v>6882</v>
      </c>
      <c r="G892" s="4" t="s">
        <v>5675</v>
      </c>
      <c r="H892" s="4" t="s">
        <v>5997</v>
      </c>
      <c r="I892" s="5">
        <v>41778</v>
      </c>
      <c r="J892" s="4" t="s">
        <v>5506</v>
      </c>
      <c r="K892" s="4" t="s">
        <v>57</v>
      </c>
      <c r="L892" s="4"/>
      <c r="M892" s="4"/>
    </row>
    <row r="893" ht="16" customHeight="1" s="4" customFormat="1">
      <c r="A893" s="4">
        <v>1996</v>
      </c>
      <c r="B893" s="4" t="s">
        <v>5600</v>
      </c>
      <c r="C893" s="4" t="s">
        <v>5600</v>
      </c>
      <c r="D893" s="4" t="s">
        <v>5574</v>
      </c>
      <c r="E893" s="4" t="s">
        <v>6883</v>
      </c>
      <c r="F893" s="4" t="s">
        <v>6884</v>
      </c>
      <c r="G893" s="4" t="s">
        <v>6885</v>
      </c>
      <c r="H893" s="4" t="s">
        <v>6886</v>
      </c>
      <c r="I893" s="5">
        <v>41771</v>
      </c>
      <c r="J893" s="4" t="s">
        <v>4798</v>
      </c>
      <c r="K893" s="4" t="s">
        <v>57</v>
      </c>
      <c r="L893" s="4"/>
      <c r="M893" s="4"/>
    </row>
    <row r="894" ht="16" customHeight="1" s="4" customFormat="1">
      <c r="A894" s="4">
        <v>1997</v>
      </c>
      <c r="B894" s="4" t="s">
        <v>5600</v>
      </c>
      <c r="C894" s="4" t="s">
        <v>5600</v>
      </c>
      <c r="D894" s="4" t="s">
        <v>5574</v>
      </c>
      <c r="E894" s="4" t="s">
        <v>5606</v>
      </c>
      <c r="F894" s="4" t="s">
        <v>6887</v>
      </c>
      <c r="G894" s="4" t="s">
        <v>6888</v>
      </c>
      <c r="H894" s="4" t="s">
        <v>6889</v>
      </c>
      <c r="I894" s="5">
        <v>41771</v>
      </c>
      <c r="J894" s="4" t="s">
        <v>5506</v>
      </c>
      <c r="K894" s="4" t="s">
        <v>57</v>
      </c>
      <c r="L894" s="4"/>
      <c r="M894" s="4"/>
    </row>
    <row r="895" ht="16" customHeight="1" s="4" customFormat="1">
      <c r="A895" s="4">
        <v>2013</v>
      </c>
      <c r="B895" s="4" t="s">
        <v>5534</v>
      </c>
      <c r="C895" s="4" t="s">
        <v>5773</v>
      </c>
      <c r="D895" s="4"/>
      <c r="E895" s="4"/>
      <c r="F895" s="4" t="s">
        <v>6890</v>
      </c>
      <c r="G895" s="4" t="s">
        <v>5817</v>
      </c>
      <c r="H895" s="4" t="s">
        <v>5818</v>
      </c>
      <c r="I895" s="5">
        <v>41759</v>
      </c>
      <c r="J895" s="4" t="s">
        <v>4798</v>
      </c>
      <c r="K895" s="4" t="s">
        <v>57</v>
      </c>
      <c r="L895" s="4"/>
      <c r="M895" s="4"/>
    </row>
    <row r="896" ht="16" customHeight="1" s="4" customFormat="1">
      <c r="A896" s="4">
        <v>2014</v>
      </c>
      <c r="B896" s="4" t="s">
        <v>5534</v>
      </c>
      <c r="C896" s="4" t="s">
        <v>5773</v>
      </c>
      <c r="D896" s="4"/>
      <c r="E896" s="4"/>
      <c r="F896" s="4" t="s">
        <v>6891</v>
      </c>
      <c r="G896" s="4" t="s">
        <v>5984</v>
      </c>
      <c r="H896" s="4" t="s">
        <v>6046</v>
      </c>
      <c r="I896" s="5">
        <v>41759</v>
      </c>
      <c r="J896" s="4" t="s">
        <v>4798</v>
      </c>
      <c r="K896" s="4" t="s">
        <v>57</v>
      </c>
      <c r="L896" s="4"/>
      <c r="M896" s="4"/>
    </row>
    <row r="897" ht="16" customHeight="1" s="4" customFormat="1">
      <c r="A897" s="4">
        <v>1998</v>
      </c>
      <c r="B897" s="4" t="s">
        <v>5534</v>
      </c>
      <c r="C897" s="4" t="s">
        <v>5631</v>
      </c>
      <c r="D897" s="4"/>
      <c r="E897" s="4"/>
      <c r="F897" s="4">
        <v>10878</v>
      </c>
      <c r="G897" s="4" t="s">
        <v>5632</v>
      </c>
      <c r="H897" s="4" t="s">
        <v>5636</v>
      </c>
      <c r="I897" s="5">
        <v>41768</v>
      </c>
      <c r="J897" s="4" t="s">
        <v>5506</v>
      </c>
      <c r="K897" s="4" t="s">
        <v>57</v>
      </c>
      <c r="L897" s="4"/>
      <c r="M897" s="4"/>
    </row>
    <row r="898" ht="16" customHeight="1" s="4" customFormat="1">
      <c r="A898" s="4">
        <v>1999</v>
      </c>
      <c r="B898" s="4" t="s">
        <v>5534</v>
      </c>
      <c r="C898" s="4" t="s">
        <v>5631</v>
      </c>
      <c r="D898" s="4"/>
      <c r="E898" s="4"/>
      <c r="F898" s="4">
        <v>5882</v>
      </c>
      <c r="G898" s="4" t="s">
        <v>5632</v>
      </c>
      <c r="H898" s="4" t="s">
        <v>5635</v>
      </c>
      <c r="I898" s="5">
        <v>41768</v>
      </c>
      <c r="J898" s="4" t="s">
        <v>5506</v>
      </c>
      <c r="K898" s="4" t="s">
        <v>57</v>
      </c>
      <c r="L898" s="4"/>
      <c r="M898" s="4"/>
    </row>
    <row r="899" ht="16" customHeight="1" s="4" customFormat="1">
      <c r="A899" s="4">
        <v>2000</v>
      </c>
      <c r="B899" s="4" t="s">
        <v>5534</v>
      </c>
      <c r="C899" s="4" t="s">
        <v>5631</v>
      </c>
      <c r="D899" s="4"/>
      <c r="E899" s="4"/>
      <c r="F899" s="4">
        <v>5885</v>
      </c>
      <c r="G899" s="4" t="s">
        <v>5632</v>
      </c>
      <c r="H899" s="4" t="s">
        <v>5633</v>
      </c>
      <c r="I899" s="5">
        <v>41768</v>
      </c>
      <c r="J899" s="4" t="s">
        <v>5506</v>
      </c>
      <c r="K899" s="4" t="s">
        <v>57</v>
      </c>
      <c r="L899" s="4"/>
      <c r="M899" s="4"/>
    </row>
    <row r="900" ht="16" customHeight="1" s="4" customFormat="1">
      <c r="A900" s="4">
        <v>2001</v>
      </c>
      <c r="B900" s="4" t="s">
        <v>5534</v>
      </c>
      <c r="C900" s="4" t="s">
        <v>5631</v>
      </c>
      <c r="D900" s="4"/>
      <c r="E900" s="4"/>
      <c r="F900" s="4">
        <v>5910</v>
      </c>
      <c r="G900" s="4" t="s">
        <v>5632</v>
      </c>
      <c r="H900" s="4" t="s">
        <v>5633</v>
      </c>
      <c r="I900" s="5">
        <v>41768</v>
      </c>
      <c r="J900" s="4" t="s">
        <v>5506</v>
      </c>
      <c r="K900" s="4" t="s">
        <v>57</v>
      </c>
      <c r="L900" s="4"/>
      <c r="M900" s="4"/>
    </row>
    <row r="901" ht="16" customHeight="1" s="4" customFormat="1">
      <c r="A901" s="4">
        <v>2002</v>
      </c>
      <c r="B901" s="4" t="s">
        <v>5534</v>
      </c>
      <c r="C901" s="4" t="s">
        <v>5631</v>
      </c>
      <c r="D901" s="4"/>
      <c r="E901" s="4"/>
      <c r="F901" s="4">
        <v>10836</v>
      </c>
      <c r="G901" s="4" t="s">
        <v>5632</v>
      </c>
      <c r="H901" s="4" t="s">
        <v>5636</v>
      </c>
      <c r="I901" s="5">
        <v>41768</v>
      </c>
      <c r="J901" s="4" t="s">
        <v>5506</v>
      </c>
      <c r="K901" s="4" t="s">
        <v>57</v>
      </c>
      <c r="L901" s="4"/>
      <c r="M901" s="4"/>
    </row>
    <row r="902" ht="16" customHeight="1" s="4" customFormat="1">
      <c r="A902" s="4">
        <v>2003</v>
      </c>
      <c r="B902" s="4" t="s">
        <v>5534</v>
      </c>
      <c r="C902" s="4" t="s">
        <v>5631</v>
      </c>
      <c r="D902" s="4"/>
      <c r="E902" s="4"/>
      <c r="F902" s="4">
        <v>10839</v>
      </c>
      <c r="G902" s="4" t="s">
        <v>5632</v>
      </c>
      <c r="H902" s="4" t="s">
        <v>5634</v>
      </c>
      <c r="I902" s="5">
        <v>41768</v>
      </c>
      <c r="J902" s="4" t="s">
        <v>5506</v>
      </c>
      <c r="K902" s="4" t="s">
        <v>57</v>
      </c>
      <c r="L902" s="4"/>
      <c r="M902" s="4"/>
    </row>
    <row r="903" ht="16" customHeight="1" s="4" customFormat="1">
      <c r="A903" s="4">
        <v>2004</v>
      </c>
      <c r="B903" s="4" t="s">
        <v>5534</v>
      </c>
      <c r="C903" s="4" t="s">
        <v>5631</v>
      </c>
      <c r="D903" s="4"/>
      <c r="E903" s="4"/>
      <c r="F903" s="4">
        <v>5915</v>
      </c>
      <c r="G903" s="4" t="s">
        <v>5632</v>
      </c>
      <c r="H903" s="4" t="s">
        <v>5633</v>
      </c>
      <c r="I903" s="5">
        <v>41768</v>
      </c>
      <c r="J903" s="4" t="s">
        <v>5506</v>
      </c>
      <c r="K903" s="4" t="s">
        <v>57</v>
      </c>
      <c r="L903" s="4"/>
      <c r="M903" s="4"/>
    </row>
    <row r="904" ht="16" customHeight="1" s="4" customFormat="1">
      <c r="A904" s="4">
        <v>2005</v>
      </c>
      <c r="B904" s="4" t="s">
        <v>5534</v>
      </c>
      <c r="C904" s="4" t="s">
        <v>5631</v>
      </c>
      <c r="D904" s="4"/>
      <c r="E904" s="4"/>
      <c r="F904" s="4">
        <v>5919</v>
      </c>
      <c r="G904" s="4" t="s">
        <v>5632</v>
      </c>
      <c r="H904" s="4" t="s">
        <v>5635</v>
      </c>
      <c r="I904" s="5">
        <v>41768</v>
      </c>
      <c r="J904" s="4" t="s">
        <v>5506</v>
      </c>
      <c r="K904" s="4" t="s">
        <v>57</v>
      </c>
      <c r="L904" s="4"/>
      <c r="M904" s="4"/>
    </row>
    <row r="905" ht="16" customHeight="1" s="4" customFormat="1">
      <c r="A905" s="4">
        <v>2006</v>
      </c>
      <c r="B905" s="4" t="s">
        <v>5534</v>
      </c>
      <c r="C905" s="4" t="s">
        <v>5631</v>
      </c>
      <c r="D905" s="4"/>
      <c r="E905" s="4"/>
      <c r="F905" s="4">
        <v>10870</v>
      </c>
      <c r="G905" s="4" t="s">
        <v>5632</v>
      </c>
      <c r="H905" s="4" t="s">
        <v>5998</v>
      </c>
      <c r="I905" s="5">
        <v>41768</v>
      </c>
      <c r="J905" s="4" t="s">
        <v>5506</v>
      </c>
      <c r="K905" s="4" t="s">
        <v>57</v>
      </c>
      <c r="L905" s="4"/>
      <c r="M905" s="4"/>
    </row>
    <row r="906" ht="16" customHeight="1" s="4" customFormat="1">
      <c r="A906" s="4">
        <v>2007</v>
      </c>
      <c r="B906" s="4" t="s">
        <v>5534</v>
      </c>
      <c r="C906" s="4" t="s">
        <v>5631</v>
      </c>
      <c r="D906" s="4"/>
      <c r="E906" s="4"/>
      <c r="F906" s="4">
        <v>10874</v>
      </c>
      <c r="G906" s="4" t="s">
        <v>5632</v>
      </c>
      <c r="H906" s="4" t="s">
        <v>5634</v>
      </c>
      <c r="I906" s="5">
        <v>41768</v>
      </c>
      <c r="J906" s="4" t="s">
        <v>5506</v>
      </c>
      <c r="K906" s="4" t="s">
        <v>57</v>
      </c>
      <c r="L906" s="4"/>
      <c r="M906" s="4"/>
    </row>
    <row r="907" ht="16" customHeight="1" s="4" customFormat="1">
      <c r="A907" s="4">
        <v>2008</v>
      </c>
      <c r="B907" s="4" t="s">
        <v>5534</v>
      </c>
      <c r="C907" s="4" t="s">
        <v>5773</v>
      </c>
      <c r="D907" s="4"/>
      <c r="E907" s="4"/>
      <c r="F907" s="4" t="s">
        <v>6892</v>
      </c>
      <c r="G907" s="4" t="s">
        <v>6893</v>
      </c>
      <c r="H907" s="4" t="s">
        <v>6041</v>
      </c>
      <c r="I907" s="5">
        <v>41759</v>
      </c>
      <c r="J907" s="4" t="s">
        <v>5506</v>
      </c>
      <c r="K907" s="4" t="s">
        <v>57</v>
      </c>
      <c r="L907" s="4"/>
      <c r="M907" s="4"/>
    </row>
    <row r="908" ht="16" customHeight="1" s="4" customFormat="1">
      <c r="A908" s="4">
        <v>2009</v>
      </c>
      <c r="B908" s="4" t="s">
        <v>5534</v>
      </c>
      <c r="C908" s="4" t="s">
        <v>5773</v>
      </c>
      <c r="D908" s="4"/>
      <c r="E908" s="4"/>
      <c r="F908" s="4" t="s">
        <v>6894</v>
      </c>
      <c r="G908" s="4" t="s">
        <v>6895</v>
      </c>
      <c r="H908" s="4" t="s">
        <v>6896</v>
      </c>
      <c r="I908" s="5">
        <v>41759</v>
      </c>
      <c r="J908" s="4" t="s">
        <v>5506</v>
      </c>
      <c r="K908" s="4" t="s">
        <v>57</v>
      </c>
      <c r="L908" s="4"/>
      <c r="M908" s="4"/>
    </row>
    <row r="909" ht="16" customHeight="1" s="4" customFormat="1">
      <c r="A909" s="4">
        <v>2010</v>
      </c>
      <c r="B909" s="4" t="s">
        <v>5534</v>
      </c>
      <c r="C909" s="4" t="s">
        <v>5773</v>
      </c>
      <c r="D909" s="4"/>
      <c r="E909" s="4"/>
      <c r="F909" s="4" t="s">
        <v>6897</v>
      </c>
      <c r="G909" s="4" t="s">
        <v>6898</v>
      </c>
      <c r="H909" s="4" t="s">
        <v>6896</v>
      </c>
      <c r="I909" s="5">
        <v>41759</v>
      </c>
      <c r="J909" s="4" t="s">
        <v>5506</v>
      </c>
      <c r="K909" s="4" t="s">
        <v>57</v>
      </c>
      <c r="L909" s="4"/>
      <c r="M909" s="4"/>
    </row>
    <row r="910" ht="16" customHeight="1" s="4" customFormat="1">
      <c r="A910" s="4">
        <v>2011</v>
      </c>
      <c r="B910" s="4" t="s">
        <v>5534</v>
      </c>
      <c r="C910" s="4" t="s">
        <v>5773</v>
      </c>
      <c r="D910" s="4"/>
      <c r="E910" s="4"/>
      <c r="F910" s="4" t="s">
        <v>6899</v>
      </c>
      <c r="G910" s="4" t="s">
        <v>5817</v>
      </c>
      <c r="H910" s="4" t="s">
        <v>5667</v>
      </c>
      <c r="I910" s="5">
        <v>41759</v>
      </c>
      <c r="J910" s="4" t="s">
        <v>4798</v>
      </c>
      <c r="K910" s="4" t="s">
        <v>57</v>
      </c>
      <c r="L910" s="4"/>
      <c r="M910" s="4"/>
    </row>
    <row r="911" ht="16" customHeight="1" s="4" customFormat="1">
      <c r="A911" s="4">
        <v>2012</v>
      </c>
      <c r="B911" s="4" t="s">
        <v>5534</v>
      </c>
      <c r="C911" s="4" t="s">
        <v>5773</v>
      </c>
      <c r="D911" s="4"/>
      <c r="E911" s="4"/>
      <c r="F911" s="4" t="s">
        <v>6900</v>
      </c>
      <c r="G911" s="4" t="s">
        <v>5817</v>
      </c>
      <c r="H911" s="4" t="s">
        <v>5818</v>
      </c>
      <c r="I911" s="5">
        <v>41759</v>
      </c>
      <c r="J911" s="4" t="s">
        <v>4798</v>
      </c>
      <c r="K911" s="4" t="s">
        <v>57</v>
      </c>
      <c r="L911" s="4"/>
      <c r="M911" s="4"/>
    </row>
    <row r="912" ht="16" customHeight="1" s="4" customFormat="1">
      <c r="A912" s="4">
        <v>2015</v>
      </c>
      <c r="B912" s="4" t="s">
        <v>5534</v>
      </c>
      <c r="C912" s="4" t="s">
        <v>5773</v>
      </c>
      <c r="D912" s="4"/>
      <c r="E912" s="4"/>
      <c r="F912" s="4" t="s">
        <v>6901</v>
      </c>
      <c r="G912" s="4" t="s">
        <v>5984</v>
      </c>
      <c r="H912" s="4" t="s">
        <v>6046</v>
      </c>
      <c r="I912" s="5">
        <v>41759</v>
      </c>
      <c r="J912" s="4" t="s">
        <v>4798</v>
      </c>
      <c r="K912" s="4" t="s">
        <v>57</v>
      </c>
      <c r="L912" s="4"/>
      <c r="M912" s="4"/>
    </row>
    <row r="913" ht="16" customHeight="1" s="4" customFormat="1">
      <c r="A913" s="4">
        <v>2016</v>
      </c>
      <c r="B913" s="4" t="s">
        <v>5534</v>
      </c>
      <c r="C913" s="4" t="s">
        <v>5773</v>
      </c>
      <c r="D913" s="4"/>
      <c r="E913" s="4"/>
      <c r="F913" s="4" t="s">
        <v>6902</v>
      </c>
      <c r="G913" s="4" t="s">
        <v>5984</v>
      </c>
      <c r="H913" s="4" t="s">
        <v>6046</v>
      </c>
      <c r="I913" s="5">
        <v>41759</v>
      </c>
      <c r="J913" s="4" t="s">
        <v>4798</v>
      </c>
      <c r="K913" s="4" t="s">
        <v>57</v>
      </c>
      <c r="L913" s="4"/>
      <c r="M913" s="4"/>
    </row>
    <row r="914" ht="16" customHeight="1" s="4" customFormat="1">
      <c r="A914" s="4">
        <v>2017</v>
      </c>
      <c r="B914" s="4" t="s">
        <v>5534</v>
      </c>
      <c r="C914" s="4" t="s">
        <v>5773</v>
      </c>
      <c r="D914" s="4"/>
      <c r="E914" s="4"/>
      <c r="F914" s="4" t="s">
        <v>6903</v>
      </c>
      <c r="G914" s="4" t="s">
        <v>5984</v>
      </c>
      <c r="H914" s="4" t="s">
        <v>6046</v>
      </c>
      <c r="I914" s="5">
        <v>41759</v>
      </c>
      <c r="J914" s="4" t="s">
        <v>4798</v>
      </c>
      <c r="K914" s="4" t="s">
        <v>57</v>
      </c>
      <c r="L914" s="4"/>
      <c r="M914" s="4"/>
    </row>
    <row r="915" ht="16" customHeight="1" s="4" customFormat="1">
      <c r="A915" s="4">
        <v>2018</v>
      </c>
      <c r="B915" s="4" t="s">
        <v>5534</v>
      </c>
      <c r="C915" s="4" t="s">
        <v>5773</v>
      </c>
      <c r="D915" s="4"/>
      <c r="E915" s="4"/>
      <c r="F915" s="4" t="s">
        <v>6904</v>
      </c>
      <c r="G915" s="4" t="s">
        <v>5984</v>
      </c>
      <c r="H915" s="4" t="s">
        <v>6046</v>
      </c>
      <c r="I915" s="5">
        <v>41759</v>
      </c>
      <c r="J915" s="4" t="s">
        <v>4798</v>
      </c>
      <c r="K915" s="4" t="s">
        <v>57</v>
      </c>
      <c r="L915" s="4"/>
      <c r="M915" s="4"/>
    </row>
    <row r="916" ht="16" customHeight="1" s="4" customFormat="1">
      <c r="A916" s="4">
        <v>2019</v>
      </c>
      <c r="B916" s="4" t="s">
        <v>5534</v>
      </c>
      <c r="C916" s="4" t="s">
        <v>5773</v>
      </c>
      <c r="D916" s="4"/>
      <c r="E916" s="4"/>
      <c r="F916" s="4" t="s">
        <v>6905</v>
      </c>
      <c r="G916" s="4" t="s">
        <v>5984</v>
      </c>
      <c r="H916" s="4" t="s">
        <v>6046</v>
      </c>
      <c r="I916" s="5">
        <v>41759</v>
      </c>
      <c r="J916" s="4" t="s">
        <v>4798</v>
      </c>
      <c r="K916" s="4" t="s">
        <v>57</v>
      </c>
      <c r="L916" s="4"/>
      <c r="M916" s="4"/>
    </row>
    <row r="917" ht="16" customHeight="1" s="4" customFormat="1">
      <c r="A917" s="4">
        <v>2020</v>
      </c>
      <c r="B917" s="4" t="s">
        <v>5534</v>
      </c>
      <c r="C917" s="4" t="s">
        <v>5773</v>
      </c>
      <c r="D917" s="4"/>
      <c r="E917" s="4"/>
      <c r="F917" s="4" t="s">
        <v>6906</v>
      </c>
      <c r="G917" s="4" t="s">
        <v>5817</v>
      </c>
      <c r="H917" s="4" t="s">
        <v>5818</v>
      </c>
      <c r="I917" s="5">
        <v>41759</v>
      </c>
      <c r="J917" s="4" t="s">
        <v>4798</v>
      </c>
      <c r="K917" s="4" t="s">
        <v>57</v>
      </c>
      <c r="L917" s="4"/>
      <c r="M917" s="4"/>
    </row>
    <row r="918" ht="16" customHeight="1" s="4" customFormat="1">
      <c r="A918" s="4">
        <v>2021</v>
      </c>
      <c r="B918" s="4" t="s">
        <v>5534</v>
      </c>
      <c r="C918" s="4" t="s">
        <v>5773</v>
      </c>
      <c r="D918" s="4"/>
      <c r="E918" s="4"/>
      <c r="F918" s="4" t="s">
        <v>6907</v>
      </c>
      <c r="G918" s="4" t="s">
        <v>5984</v>
      </c>
      <c r="H918" s="4" t="s">
        <v>5831</v>
      </c>
      <c r="I918" s="5">
        <v>41759</v>
      </c>
      <c r="J918" s="4" t="s">
        <v>4798</v>
      </c>
      <c r="K918" s="4" t="s">
        <v>57</v>
      </c>
      <c r="L918" s="4"/>
      <c r="M918" s="4"/>
    </row>
    <row r="919" ht="16" customHeight="1" s="4" customFormat="1">
      <c r="A919" s="4">
        <v>2022</v>
      </c>
      <c r="B919" s="4" t="s">
        <v>5534</v>
      </c>
      <c r="C919" s="4" t="s">
        <v>5773</v>
      </c>
      <c r="D919" s="4"/>
      <c r="E919" s="4"/>
      <c r="F919" s="4" t="s">
        <v>6908</v>
      </c>
      <c r="G919" s="4" t="s">
        <v>5984</v>
      </c>
      <c r="H919" s="4" t="s">
        <v>6046</v>
      </c>
      <c r="I919" s="5">
        <v>41759</v>
      </c>
      <c r="J919" s="4" t="s">
        <v>4798</v>
      </c>
      <c r="K919" s="4" t="s">
        <v>57</v>
      </c>
      <c r="L919" s="4"/>
      <c r="M919" s="4"/>
    </row>
    <row r="920" ht="16" customHeight="1" s="4" customFormat="1">
      <c r="A920" s="4">
        <v>2023</v>
      </c>
      <c r="B920" s="4" t="s">
        <v>5534</v>
      </c>
      <c r="C920" s="4" t="s">
        <v>5773</v>
      </c>
      <c r="D920" s="4"/>
      <c r="E920" s="4"/>
      <c r="F920" s="4" t="s">
        <v>6909</v>
      </c>
      <c r="G920" s="4" t="s">
        <v>5984</v>
      </c>
      <c r="H920" s="4" t="s">
        <v>6046</v>
      </c>
      <c r="I920" s="5">
        <v>41759</v>
      </c>
      <c r="J920" s="4" t="s">
        <v>4798</v>
      </c>
      <c r="K920" s="4" t="s">
        <v>57</v>
      </c>
      <c r="L920" s="4"/>
      <c r="M920" s="4"/>
    </row>
    <row r="921" ht="16" customHeight="1" s="4" customFormat="1">
      <c r="A921" s="4">
        <v>2024</v>
      </c>
      <c r="B921" s="4" t="s">
        <v>5534</v>
      </c>
      <c r="C921" s="4" t="s">
        <v>5773</v>
      </c>
      <c r="D921" s="4"/>
      <c r="E921" s="4"/>
      <c r="F921" s="4" t="s">
        <v>6910</v>
      </c>
      <c r="G921" s="4" t="s">
        <v>5984</v>
      </c>
      <c r="H921" s="4" t="s">
        <v>6911</v>
      </c>
      <c r="I921" s="5">
        <v>41759</v>
      </c>
      <c r="J921" s="4" t="s">
        <v>4798</v>
      </c>
      <c r="K921" s="4" t="s">
        <v>57</v>
      </c>
      <c r="L921" s="4"/>
      <c r="M921" s="4"/>
    </row>
    <row r="922" ht="16" customHeight="1" s="4" customFormat="1">
      <c r="A922" s="4">
        <v>2025</v>
      </c>
      <c r="B922" s="4" t="s">
        <v>5534</v>
      </c>
      <c r="C922" s="4" t="s">
        <v>5773</v>
      </c>
      <c r="D922" s="4"/>
      <c r="E922" s="4"/>
      <c r="F922" s="4" t="s">
        <v>6912</v>
      </c>
      <c r="G922" s="4" t="s">
        <v>5817</v>
      </c>
      <c r="H922" s="4" t="s">
        <v>5818</v>
      </c>
      <c r="I922" s="5">
        <v>41759</v>
      </c>
      <c r="J922" s="4" t="s">
        <v>4798</v>
      </c>
      <c r="K922" s="4" t="s">
        <v>57</v>
      </c>
      <c r="L922" s="4"/>
      <c r="M922" s="4"/>
    </row>
    <row r="923" ht="16" customHeight="1" s="4" customFormat="1">
      <c r="A923" s="4">
        <v>2026</v>
      </c>
      <c r="B923" s="4" t="s">
        <v>5534</v>
      </c>
      <c r="C923" s="4" t="s">
        <v>5773</v>
      </c>
      <c r="D923" s="4"/>
      <c r="E923" s="4"/>
      <c r="F923" s="4" t="s">
        <v>6913</v>
      </c>
      <c r="G923" s="4" t="s">
        <v>5817</v>
      </c>
      <c r="H923" s="4" t="s">
        <v>5667</v>
      </c>
      <c r="I923" s="5">
        <v>41759</v>
      </c>
      <c r="J923" s="4" t="s">
        <v>4798</v>
      </c>
      <c r="K923" s="4" t="s">
        <v>57</v>
      </c>
      <c r="L923" s="4"/>
      <c r="M923" s="4"/>
    </row>
    <row r="924" ht="16" customHeight="1" s="4" customFormat="1">
      <c r="A924" s="4">
        <v>2027</v>
      </c>
      <c r="B924" s="4" t="s">
        <v>5534</v>
      </c>
      <c r="C924" s="4" t="s">
        <v>5773</v>
      </c>
      <c r="D924" s="4"/>
      <c r="E924" s="4"/>
      <c r="F924" s="4" t="s">
        <v>6914</v>
      </c>
      <c r="G924" s="4" t="s">
        <v>5817</v>
      </c>
      <c r="H924" s="4" t="s">
        <v>6849</v>
      </c>
      <c r="I924" s="5">
        <v>41759</v>
      </c>
      <c r="J924" s="4" t="s">
        <v>4798</v>
      </c>
      <c r="K924" s="4" t="s">
        <v>57</v>
      </c>
      <c r="L924" s="4"/>
      <c r="M924" s="4"/>
    </row>
    <row r="925" ht="16" customHeight="1" s="4" customFormat="1">
      <c r="A925" s="4">
        <v>2028</v>
      </c>
      <c r="B925" s="4" t="s">
        <v>5534</v>
      </c>
      <c r="C925" s="4" t="s">
        <v>5773</v>
      </c>
      <c r="D925" s="4"/>
      <c r="E925" s="4"/>
      <c r="F925" s="4" t="s">
        <v>6915</v>
      </c>
      <c r="G925" s="4" t="s">
        <v>5817</v>
      </c>
      <c r="H925" s="4" t="s">
        <v>5511</v>
      </c>
      <c r="I925" s="5">
        <v>41759</v>
      </c>
      <c r="J925" s="4" t="s">
        <v>4798</v>
      </c>
      <c r="K925" s="4" t="s">
        <v>57</v>
      </c>
      <c r="L925" s="4"/>
      <c r="M925" s="4"/>
    </row>
    <row r="926" ht="16" customHeight="1" s="4" customFormat="1">
      <c r="A926" s="4">
        <v>2029</v>
      </c>
      <c r="B926" s="4" t="s">
        <v>5534</v>
      </c>
      <c r="C926" s="4" t="s">
        <v>5773</v>
      </c>
      <c r="D926" s="4"/>
      <c r="E926" s="4"/>
      <c r="F926" s="4" t="s">
        <v>6916</v>
      </c>
      <c r="G926" s="4" t="s">
        <v>5817</v>
      </c>
      <c r="H926" s="4" t="s">
        <v>5511</v>
      </c>
      <c r="I926" s="5">
        <v>41759</v>
      </c>
      <c r="J926" s="4" t="s">
        <v>4798</v>
      </c>
      <c r="K926" s="4" t="s">
        <v>57</v>
      </c>
      <c r="L926" s="4"/>
      <c r="M926" s="4"/>
    </row>
    <row r="927" ht="16" customHeight="1" s="4" customFormat="1">
      <c r="A927" s="4">
        <v>2030</v>
      </c>
      <c r="B927" s="4" t="s">
        <v>5534</v>
      </c>
      <c r="C927" s="4" t="s">
        <v>5773</v>
      </c>
      <c r="D927" s="4"/>
      <c r="E927" s="4"/>
      <c r="F927" s="4" t="s">
        <v>6917</v>
      </c>
      <c r="G927" s="4" t="s">
        <v>5817</v>
      </c>
      <c r="H927" s="4" t="s">
        <v>5511</v>
      </c>
      <c r="I927" s="5">
        <v>41759</v>
      </c>
      <c r="J927" s="4" t="s">
        <v>4798</v>
      </c>
      <c r="K927" s="4" t="s">
        <v>57</v>
      </c>
      <c r="L927" s="4"/>
      <c r="M927" s="4"/>
    </row>
    <row r="928" ht="16" customHeight="1" s="4" customFormat="1">
      <c r="A928" s="4">
        <v>2031</v>
      </c>
      <c r="B928" s="4" t="s">
        <v>5534</v>
      </c>
      <c r="C928" s="4" t="s">
        <v>5773</v>
      </c>
      <c r="D928" s="4"/>
      <c r="E928" s="4"/>
      <c r="F928" s="4" t="s">
        <v>6918</v>
      </c>
      <c r="G928" s="4" t="s">
        <v>5817</v>
      </c>
      <c r="H928" s="4" t="s">
        <v>6849</v>
      </c>
      <c r="I928" s="5">
        <v>41759</v>
      </c>
      <c r="J928" s="4" t="s">
        <v>4798</v>
      </c>
      <c r="K928" s="4" t="s">
        <v>57</v>
      </c>
      <c r="L928" s="4"/>
      <c r="M928" s="4"/>
    </row>
    <row r="929" ht="16" customHeight="1" s="4" customFormat="1">
      <c r="A929" s="4">
        <v>2032</v>
      </c>
      <c r="B929" s="4" t="s">
        <v>5534</v>
      </c>
      <c r="C929" s="4" t="s">
        <v>5773</v>
      </c>
      <c r="D929" s="4"/>
      <c r="E929" s="4"/>
      <c r="F929" s="4" t="s">
        <v>6919</v>
      </c>
      <c r="G929" s="4" t="s">
        <v>5817</v>
      </c>
      <c r="H929" s="4" t="s">
        <v>6849</v>
      </c>
      <c r="I929" s="5">
        <v>41759</v>
      </c>
      <c r="J929" s="4" t="s">
        <v>4798</v>
      </c>
      <c r="K929" s="4" t="s">
        <v>57</v>
      </c>
      <c r="L929" s="4"/>
      <c r="M929" s="4"/>
    </row>
    <row r="930" ht="16" customHeight="1" s="4" customFormat="1">
      <c r="A930" s="4">
        <v>2033</v>
      </c>
      <c r="B930" s="4" t="s">
        <v>5534</v>
      </c>
      <c r="C930" s="4" t="s">
        <v>5773</v>
      </c>
      <c r="D930" s="4"/>
      <c r="E930" s="4"/>
      <c r="F930" s="4" t="s">
        <v>6920</v>
      </c>
      <c r="G930" s="4" t="s">
        <v>5817</v>
      </c>
      <c r="H930" s="4" t="s">
        <v>5511</v>
      </c>
      <c r="I930" s="5">
        <v>41759</v>
      </c>
      <c r="J930" s="4" t="s">
        <v>4798</v>
      </c>
      <c r="K930" s="4" t="s">
        <v>57</v>
      </c>
      <c r="L930" s="4"/>
      <c r="M930" s="4"/>
    </row>
    <row r="931" ht="16" customHeight="1" s="4" customFormat="1">
      <c r="A931" s="4">
        <v>2034</v>
      </c>
      <c r="B931" s="4" t="s">
        <v>5534</v>
      </c>
      <c r="C931" s="4" t="s">
        <v>5773</v>
      </c>
      <c r="D931" s="4"/>
      <c r="E931" s="4"/>
      <c r="F931" s="4" t="s">
        <v>6921</v>
      </c>
      <c r="G931" s="4" t="s">
        <v>5817</v>
      </c>
      <c r="H931" s="4" t="s">
        <v>5667</v>
      </c>
      <c r="I931" s="5">
        <v>41759</v>
      </c>
      <c r="J931" s="4" t="s">
        <v>4798</v>
      </c>
      <c r="K931" s="4" t="s">
        <v>57</v>
      </c>
      <c r="L931" s="4"/>
      <c r="M931" s="4"/>
    </row>
    <row r="932" ht="16" customHeight="1" s="4" customFormat="1">
      <c r="A932" s="4">
        <v>2035</v>
      </c>
      <c r="B932" s="4" t="s">
        <v>5534</v>
      </c>
      <c r="C932" s="4" t="s">
        <v>5773</v>
      </c>
      <c r="D932" s="4"/>
      <c r="E932" s="4"/>
      <c r="F932" s="4" t="s">
        <v>6922</v>
      </c>
      <c r="G932" s="4" t="s">
        <v>5984</v>
      </c>
      <c r="H932" s="4" t="s">
        <v>6046</v>
      </c>
      <c r="I932" s="5">
        <v>41759</v>
      </c>
      <c r="J932" s="4" t="s">
        <v>4798</v>
      </c>
      <c r="K932" s="4" t="s">
        <v>57</v>
      </c>
      <c r="L932" s="4"/>
      <c r="M932" s="4"/>
    </row>
    <row r="933" ht="16" customHeight="1" s="4" customFormat="1">
      <c r="A933" s="4">
        <v>2036</v>
      </c>
      <c r="B933" s="4" t="s">
        <v>5534</v>
      </c>
      <c r="C933" s="4" t="s">
        <v>5773</v>
      </c>
      <c r="D933" s="4"/>
      <c r="E933" s="4"/>
      <c r="F933" s="4" t="s">
        <v>6923</v>
      </c>
      <c r="G933" s="4" t="s">
        <v>5984</v>
      </c>
      <c r="H933" s="4" t="s">
        <v>6046</v>
      </c>
      <c r="I933" s="5">
        <v>41759</v>
      </c>
      <c r="J933" s="4" t="s">
        <v>4798</v>
      </c>
      <c r="K933" s="4" t="s">
        <v>57</v>
      </c>
      <c r="L933" s="4"/>
      <c r="M933" s="4"/>
    </row>
    <row r="934" ht="16" customHeight="1" s="4" customFormat="1">
      <c r="A934" s="4">
        <v>2037</v>
      </c>
      <c r="B934" s="4" t="s">
        <v>5534</v>
      </c>
      <c r="C934" s="4" t="s">
        <v>5773</v>
      </c>
      <c r="D934" s="4"/>
      <c r="E934" s="4"/>
      <c r="F934" s="4" t="s">
        <v>6924</v>
      </c>
      <c r="G934" s="4" t="s">
        <v>5984</v>
      </c>
      <c r="H934" s="4" t="s">
        <v>6046</v>
      </c>
      <c r="I934" s="5">
        <v>41759</v>
      </c>
      <c r="J934" s="4" t="s">
        <v>4798</v>
      </c>
      <c r="K934" s="4" t="s">
        <v>57</v>
      </c>
      <c r="L934" s="4"/>
      <c r="M934" s="4"/>
    </row>
    <row r="935" ht="16" customHeight="1" s="4" customFormat="1">
      <c r="A935" s="4">
        <v>2038</v>
      </c>
      <c r="B935" s="4" t="s">
        <v>5534</v>
      </c>
      <c r="C935" s="4" t="s">
        <v>5773</v>
      </c>
      <c r="D935" s="4"/>
      <c r="E935" s="4"/>
      <c r="F935" s="4" t="s">
        <v>6925</v>
      </c>
      <c r="G935" s="4" t="s">
        <v>5984</v>
      </c>
      <c r="H935" s="4" t="s">
        <v>6038</v>
      </c>
      <c r="I935" s="5">
        <v>41759</v>
      </c>
      <c r="J935" s="4" t="s">
        <v>4798</v>
      </c>
      <c r="K935" s="4" t="s">
        <v>57</v>
      </c>
      <c r="L935" s="4"/>
      <c r="M935" s="4"/>
    </row>
    <row r="936" ht="16" customHeight="1" s="4" customFormat="1">
      <c r="A936" s="4">
        <v>2039</v>
      </c>
      <c r="B936" s="4" t="s">
        <v>5534</v>
      </c>
      <c r="C936" s="4" t="s">
        <v>5773</v>
      </c>
      <c r="D936" s="4"/>
      <c r="E936" s="4"/>
      <c r="F936" s="4" t="s">
        <v>6926</v>
      </c>
      <c r="G936" s="4" t="s">
        <v>5984</v>
      </c>
      <c r="H936" s="4" t="s">
        <v>6038</v>
      </c>
      <c r="I936" s="5">
        <v>41759</v>
      </c>
      <c r="J936" s="4" t="s">
        <v>4798</v>
      </c>
      <c r="K936" s="4" t="s">
        <v>57</v>
      </c>
      <c r="L936" s="4"/>
      <c r="M936" s="4"/>
    </row>
    <row r="937" ht="16" customHeight="1" s="4" customFormat="1">
      <c r="A937" s="4">
        <v>2040</v>
      </c>
      <c r="B937" s="4" t="s">
        <v>5534</v>
      </c>
      <c r="C937" s="4" t="s">
        <v>5773</v>
      </c>
      <c r="D937" s="4"/>
      <c r="E937" s="4"/>
      <c r="F937" s="4" t="s">
        <v>6927</v>
      </c>
      <c r="G937" s="4" t="s">
        <v>5817</v>
      </c>
      <c r="H937" s="4" t="s">
        <v>5818</v>
      </c>
      <c r="I937" s="5">
        <v>41759</v>
      </c>
      <c r="J937" s="4" t="s">
        <v>4798</v>
      </c>
      <c r="K937" s="4" t="s">
        <v>57</v>
      </c>
      <c r="L937" s="4"/>
      <c r="M937" s="4"/>
    </row>
    <row r="938" ht="16" customHeight="1" s="4" customFormat="1">
      <c r="A938" s="4">
        <v>2041</v>
      </c>
      <c r="B938" s="4" t="s">
        <v>5534</v>
      </c>
      <c r="C938" s="4" t="s">
        <v>5773</v>
      </c>
      <c r="D938" s="4"/>
      <c r="E938" s="4"/>
      <c r="F938" s="4" t="s">
        <v>6928</v>
      </c>
      <c r="G938" s="4" t="s">
        <v>5984</v>
      </c>
      <c r="H938" s="4" t="s">
        <v>6911</v>
      </c>
      <c r="I938" s="5">
        <v>41759</v>
      </c>
      <c r="J938" s="4" t="s">
        <v>4798</v>
      </c>
      <c r="K938" s="4" t="s">
        <v>57</v>
      </c>
      <c r="L938" s="4"/>
      <c r="M938" s="4"/>
    </row>
    <row r="939" ht="16" customHeight="1" s="4" customFormat="1">
      <c r="A939" s="4">
        <v>2042</v>
      </c>
      <c r="B939" s="4" t="s">
        <v>5534</v>
      </c>
      <c r="C939" s="4" t="s">
        <v>5773</v>
      </c>
      <c r="D939" s="4"/>
      <c r="E939" s="4"/>
      <c r="F939" s="4" t="s">
        <v>6929</v>
      </c>
      <c r="G939" s="4" t="s">
        <v>5984</v>
      </c>
      <c r="H939" s="4" t="s">
        <v>6911</v>
      </c>
      <c r="I939" s="5">
        <v>41759</v>
      </c>
      <c r="J939" s="4" t="s">
        <v>4798</v>
      </c>
      <c r="K939" s="4" t="s">
        <v>57</v>
      </c>
      <c r="L939" s="4"/>
      <c r="M939" s="4"/>
    </row>
    <row r="940" ht="16" customHeight="1" s="4" customFormat="1">
      <c r="A940" s="4">
        <v>2043</v>
      </c>
      <c r="B940" s="4" t="s">
        <v>5534</v>
      </c>
      <c r="C940" s="4" t="s">
        <v>5773</v>
      </c>
      <c r="D940" s="4"/>
      <c r="E940" s="4"/>
      <c r="F940" s="4" t="s">
        <v>6930</v>
      </c>
      <c r="G940" s="4" t="s">
        <v>5984</v>
      </c>
      <c r="H940" s="4" t="s">
        <v>6911</v>
      </c>
      <c r="I940" s="5">
        <v>41759</v>
      </c>
      <c r="J940" s="4" t="s">
        <v>4798</v>
      </c>
      <c r="K940" s="4" t="s">
        <v>57</v>
      </c>
      <c r="L940" s="4"/>
      <c r="M940" s="4"/>
    </row>
    <row r="941" ht="16" customHeight="1" s="4" customFormat="1">
      <c r="A941" s="4">
        <v>2044</v>
      </c>
      <c r="B941" s="4" t="s">
        <v>5534</v>
      </c>
      <c r="C941" s="4" t="s">
        <v>5773</v>
      </c>
      <c r="D941" s="4"/>
      <c r="E941" s="4"/>
      <c r="F941" s="4" t="s">
        <v>6931</v>
      </c>
      <c r="G941" s="4" t="s">
        <v>5984</v>
      </c>
      <c r="H941" s="4" t="s">
        <v>6046</v>
      </c>
      <c r="I941" s="5">
        <v>41759</v>
      </c>
      <c r="J941" s="4" t="s">
        <v>4798</v>
      </c>
      <c r="K941" s="4" t="s">
        <v>57</v>
      </c>
      <c r="L941" s="4"/>
      <c r="M941" s="4"/>
    </row>
    <row r="942" ht="16" customHeight="1" s="4" customFormat="1">
      <c r="A942" s="4">
        <v>2045</v>
      </c>
      <c r="B942" s="4" t="s">
        <v>5534</v>
      </c>
      <c r="C942" s="4" t="s">
        <v>5773</v>
      </c>
      <c r="D942" s="4"/>
      <c r="E942" s="4"/>
      <c r="F942" s="4" t="s">
        <v>6932</v>
      </c>
      <c r="G942" s="4" t="s">
        <v>5984</v>
      </c>
      <c r="H942" s="4" t="s">
        <v>6911</v>
      </c>
      <c r="I942" s="5">
        <v>41759</v>
      </c>
      <c r="J942" s="4" t="s">
        <v>4798</v>
      </c>
      <c r="K942" s="4" t="s">
        <v>57</v>
      </c>
      <c r="L942" s="4"/>
      <c r="M942" s="4"/>
    </row>
    <row r="943" ht="16" customHeight="1" s="4" customFormat="1">
      <c r="A943" s="4">
        <v>2046</v>
      </c>
      <c r="B943" s="4" t="s">
        <v>5534</v>
      </c>
      <c r="C943" s="4" t="s">
        <v>5773</v>
      </c>
      <c r="D943" s="4"/>
      <c r="E943" s="4"/>
      <c r="F943" s="4" t="s">
        <v>6933</v>
      </c>
      <c r="G943" s="4" t="s">
        <v>5984</v>
      </c>
      <c r="H943" s="4" t="s">
        <v>6046</v>
      </c>
      <c r="I943" s="5">
        <v>41759</v>
      </c>
      <c r="J943" s="4" t="s">
        <v>4798</v>
      </c>
      <c r="K943" s="4" t="s">
        <v>57</v>
      </c>
      <c r="L943" s="4"/>
      <c r="M943" s="4"/>
    </row>
    <row r="944" ht="16" customHeight="1" s="4" customFormat="1">
      <c r="A944" s="4">
        <v>2047</v>
      </c>
      <c r="B944" s="4" t="s">
        <v>5534</v>
      </c>
      <c r="C944" s="4" t="s">
        <v>5773</v>
      </c>
      <c r="D944" s="4"/>
      <c r="E944" s="4"/>
      <c r="F944" s="4" t="s">
        <v>6934</v>
      </c>
      <c r="G944" s="4" t="s">
        <v>5984</v>
      </c>
      <c r="H944" s="4" t="s">
        <v>6046</v>
      </c>
      <c r="I944" s="5">
        <v>41759</v>
      </c>
      <c r="J944" s="4" t="s">
        <v>4798</v>
      </c>
      <c r="K944" s="4" t="s">
        <v>57</v>
      </c>
      <c r="L944" s="4"/>
      <c r="M944" s="4"/>
    </row>
    <row r="945" ht="16" customHeight="1" s="4" customFormat="1">
      <c r="A945" s="4">
        <v>2048</v>
      </c>
      <c r="B945" s="4" t="s">
        <v>5534</v>
      </c>
      <c r="C945" s="4" t="s">
        <v>5773</v>
      </c>
      <c r="D945" s="4"/>
      <c r="E945" s="4"/>
      <c r="F945" s="4" t="s">
        <v>6935</v>
      </c>
      <c r="G945" s="4" t="s">
        <v>5984</v>
      </c>
      <c r="H945" s="4" t="s">
        <v>6911</v>
      </c>
      <c r="I945" s="5">
        <v>41759</v>
      </c>
      <c r="J945" s="4" t="s">
        <v>4798</v>
      </c>
      <c r="K945" s="4" t="s">
        <v>57</v>
      </c>
      <c r="L945" s="4"/>
      <c r="M945" s="4"/>
    </row>
    <row r="946" ht="16" customHeight="1" s="4" customFormat="1">
      <c r="A946" s="4">
        <v>2049</v>
      </c>
      <c r="B946" s="4" t="s">
        <v>5534</v>
      </c>
      <c r="C946" s="4" t="s">
        <v>5773</v>
      </c>
      <c r="D946" s="4"/>
      <c r="E946" s="4"/>
      <c r="F946" s="4" t="s">
        <v>6936</v>
      </c>
      <c r="G946" s="4" t="s">
        <v>5984</v>
      </c>
      <c r="H946" s="4" t="s">
        <v>6046</v>
      </c>
      <c r="I946" s="5">
        <v>41759</v>
      </c>
      <c r="J946" s="4" t="s">
        <v>4798</v>
      </c>
      <c r="K946" s="4" t="s">
        <v>57</v>
      </c>
      <c r="L946" s="4"/>
      <c r="M946" s="4"/>
    </row>
    <row r="947" ht="16" customHeight="1" s="4" customFormat="1">
      <c r="A947" s="4">
        <v>2050</v>
      </c>
      <c r="B947" s="4" t="s">
        <v>5534</v>
      </c>
      <c r="C947" s="4" t="s">
        <v>5773</v>
      </c>
      <c r="D947" s="4"/>
      <c r="E947" s="4"/>
      <c r="F947" s="4" t="s">
        <v>6937</v>
      </c>
      <c r="G947" s="4" t="s">
        <v>5984</v>
      </c>
      <c r="H947" s="4" t="s">
        <v>6046</v>
      </c>
      <c r="I947" s="5">
        <v>41759</v>
      </c>
      <c r="J947" s="4" t="s">
        <v>4798</v>
      </c>
      <c r="K947" s="4" t="s">
        <v>57</v>
      </c>
      <c r="L947" s="4"/>
      <c r="M947" s="4"/>
    </row>
    <row r="948" ht="16" customHeight="1" s="4" customFormat="1">
      <c r="A948" s="4">
        <v>2051</v>
      </c>
      <c r="B948" s="4" t="s">
        <v>5534</v>
      </c>
      <c r="C948" s="4" t="s">
        <v>5773</v>
      </c>
      <c r="D948" s="4"/>
      <c r="E948" s="4"/>
      <c r="F948" s="4" t="s">
        <v>6938</v>
      </c>
      <c r="G948" s="4" t="s">
        <v>5817</v>
      </c>
      <c r="H948" s="4" t="s">
        <v>5818</v>
      </c>
      <c r="I948" s="5">
        <v>41759</v>
      </c>
      <c r="J948" s="4" t="s">
        <v>4798</v>
      </c>
      <c r="K948" s="4" t="s">
        <v>57</v>
      </c>
      <c r="L948" s="4"/>
      <c r="M948" s="4"/>
    </row>
    <row r="949" ht="16" customHeight="1" s="4" customFormat="1">
      <c r="A949" s="4">
        <v>2052</v>
      </c>
      <c r="B949" s="4" t="s">
        <v>5534</v>
      </c>
      <c r="C949" s="4" t="s">
        <v>5773</v>
      </c>
      <c r="D949" s="4"/>
      <c r="E949" s="4"/>
      <c r="F949" s="4" t="s">
        <v>6939</v>
      </c>
      <c r="G949" s="4" t="s">
        <v>5817</v>
      </c>
      <c r="H949" s="4" t="s">
        <v>5818</v>
      </c>
      <c r="I949" s="5">
        <v>41759</v>
      </c>
      <c r="J949" s="4" t="s">
        <v>4798</v>
      </c>
      <c r="K949" s="4" t="s">
        <v>57</v>
      </c>
      <c r="L949" s="4"/>
      <c r="M949" s="4"/>
    </row>
    <row r="950" ht="16" customHeight="1" s="4" customFormat="1">
      <c r="A950" s="4">
        <v>2053</v>
      </c>
      <c r="B950" s="4" t="s">
        <v>5534</v>
      </c>
      <c r="C950" s="4" t="s">
        <v>5773</v>
      </c>
      <c r="D950" s="4"/>
      <c r="E950" s="4"/>
      <c r="F950" s="4" t="s">
        <v>6940</v>
      </c>
      <c r="G950" s="4" t="s">
        <v>5984</v>
      </c>
      <c r="H950" s="4" t="s">
        <v>6046</v>
      </c>
      <c r="I950" s="5">
        <v>41759</v>
      </c>
      <c r="J950" s="4" t="s">
        <v>4798</v>
      </c>
      <c r="K950" s="4" t="s">
        <v>57</v>
      </c>
      <c r="L950" s="4"/>
      <c r="M950" s="4"/>
    </row>
    <row r="951" ht="16" customHeight="1" s="4" customFormat="1">
      <c r="A951" s="4">
        <v>2054</v>
      </c>
      <c r="B951" s="4" t="s">
        <v>5534</v>
      </c>
      <c r="C951" s="4" t="s">
        <v>5773</v>
      </c>
      <c r="D951" s="4"/>
      <c r="E951" s="4"/>
      <c r="F951" s="4" t="s">
        <v>6941</v>
      </c>
      <c r="G951" s="4" t="s">
        <v>5984</v>
      </c>
      <c r="H951" s="4" t="s">
        <v>6046</v>
      </c>
      <c r="I951" s="5">
        <v>41759</v>
      </c>
      <c r="J951" s="4" t="s">
        <v>4798</v>
      </c>
      <c r="K951" s="4" t="s">
        <v>57</v>
      </c>
      <c r="L951" s="4"/>
      <c r="M951" s="4"/>
    </row>
    <row r="952" ht="16" customHeight="1" s="4" customFormat="1">
      <c r="A952" s="4">
        <v>2055</v>
      </c>
      <c r="B952" s="4" t="s">
        <v>5534</v>
      </c>
      <c r="C952" s="4" t="s">
        <v>5773</v>
      </c>
      <c r="D952" s="4"/>
      <c r="E952" s="4"/>
      <c r="F952" s="4" t="s">
        <v>6942</v>
      </c>
      <c r="G952" s="4" t="s">
        <v>5817</v>
      </c>
      <c r="H952" s="4" t="s">
        <v>5818</v>
      </c>
      <c r="I952" s="5">
        <v>41759</v>
      </c>
      <c r="J952" s="4" t="s">
        <v>4798</v>
      </c>
      <c r="K952" s="4" t="s">
        <v>57</v>
      </c>
      <c r="L952" s="4"/>
      <c r="M952" s="4"/>
    </row>
    <row r="953" ht="16" customHeight="1" s="4" customFormat="1">
      <c r="A953" s="4">
        <v>2056</v>
      </c>
      <c r="B953" s="4" t="s">
        <v>5534</v>
      </c>
      <c r="C953" s="4" t="s">
        <v>5773</v>
      </c>
      <c r="D953" s="4"/>
      <c r="E953" s="4"/>
      <c r="F953" s="4" t="s">
        <v>6943</v>
      </c>
      <c r="G953" s="4" t="s">
        <v>5817</v>
      </c>
      <c r="H953" s="4" t="s">
        <v>5818</v>
      </c>
      <c r="I953" s="5">
        <v>41759</v>
      </c>
      <c r="J953" s="4" t="s">
        <v>4798</v>
      </c>
      <c r="K953" s="4" t="s">
        <v>57</v>
      </c>
      <c r="L953" s="4"/>
      <c r="M953" s="4"/>
    </row>
    <row r="954" ht="16" customHeight="1" s="4" customFormat="1">
      <c r="A954" s="4">
        <v>2057</v>
      </c>
      <c r="B954" s="4" t="s">
        <v>5534</v>
      </c>
      <c r="C954" s="4" t="s">
        <v>5773</v>
      </c>
      <c r="D954" s="4"/>
      <c r="E954" s="4"/>
      <c r="F954" s="4" t="s">
        <v>6944</v>
      </c>
      <c r="G954" s="4" t="s">
        <v>5817</v>
      </c>
      <c r="H954" s="4" t="s">
        <v>5818</v>
      </c>
      <c r="I954" s="5">
        <v>41759</v>
      </c>
      <c r="J954" s="4" t="s">
        <v>4798</v>
      </c>
      <c r="K954" s="4" t="s">
        <v>57</v>
      </c>
      <c r="L954" s="4"/>
      <c r="M954" s="4"/>
    </row>
    <row r="955" ht="16" customHeight="1" s="4" customFormat="1">
      <c r="A955" s="4">
        <v>2058</v>
      </c>
      <c r="B955" s="4" t="s">
        <v>5534</v>
      </c>
      <c r="C955" s="4" t="s">
        <v>5773</v>
      </c>
      <c r="D955" s="4"/>
      <c r="E955" s="4"/>
      <c r="F955" s="4" t="s">
        <v>6945</v>
      </c>
      <c r="G955" s="4" t="s">
        <v>5817</v>
      </c>
      <c r="H955" s="4" t="s">
        <v>5818</v>
      </c>
      <c r="I955" s="5">
        <v>41759</v>
      </c>
      <c r="J955" s="4" t="s">
        <v>4798</v>
      </c>
      <c r="K955" s="4" t="s">
        <v>57</v>
      </c>
      <c r="L955" s="4"/>
      <c r="M955" s="4"/>
    </row>
    <row r="956" ht="16" customHeight="1" s="4" customFormat="1">
      <c r="A956" s="4">
        <v>2059</v>
      </c>
      <c r="B956" s="4" t="s">
        <v>5534</v>
      </c>
      <c r="C956" s="4" t="s">
        <v>5773</v>
      </c>
      <c r="D956" s="4"/>
      <c r="E956" s="4"/>
      <c r="F956" s="4" t="s">
        <v>6946</v>
      </c>
      <c r="G956" s="4" t="s">
        <v>5817</v>
      </c>
      <c r="H956" s="4" t="s">
        <v>5818</v>
      </c>
      <c r="I956" s="5">
        <v>41759</v>
      </c>
      <c r="J956" s="4" t="s">
        <v>4798</v>
      </c>
      <c r="K956" s="4" t="s">
        <v>57</v>
      </c>
      <c r="L956" s="4"/>
      <c r="M956" s="4"/>
    </row>
    <row r="957" ht="16" customHeight="1" s="4" customFormat="1">
      <c r="A957" s="4">
        <v>2060</v>
      </c>
      <c r="B957" s="4" t="s">
        <v>5534</v>
      </c>
      <c r="C957" s="4" t="s">
        <v>5773</v>
      </c>
      <c r="D957" s="4"/>
      <c r="E957" s="4"/>
      <c r="F957" s="4" t="s">
        <v>6947</v>
      </c>
      <c r="G957" s="4" t="s">
        <v>5817</v>
      </c>
      <c r="H957" s="4" t="s">
        <v>5818</v>
      </c>
      <c r="I957" s="5">
        <v>41759</v>
      </c>
      <c r="J957" s="4" t="s">
        <v>4842</v>
      </c>
      <c r="K957" s="4" t="s">
        <v>57</v>
      </c>
      <c r="L957" s="4"/>
      <c r="M957" s="4"/>
    </row>
    <row r="958" ht="16" customHeight="1" s="4" customFormat="1">
      <c r="A958" s="4">
        <v>2061</v>
      </c>
      <c r="B958" s="4" t="s">
        <v>5499</v>
      </c>
      <c r="C958" s="4" t="s">
        <v>5573</v>
      </c>
      <c r="D958" s="4" t="s">
        <v>5574</v>
      </c>
      <c r="E958" s="4" t="s">
        <v>5575</v>
      </c>
      <c r="F958" s="4" t="s">
        <v>6948</v>
      </c>
      <c r="G958" s="4" t="s">
        <v>5675</v>
      </c>
      <c r="H958" s="4" t="s">
        <v>6202</v>
      </c>
      <c r="I958" s="5">
        <v>41758</v>
      </c>
      <c r="J958" s="4" t="s">
        <v>4798</v>
      </c>
      <c r="K958" s="4" t="s">
        <v>57</v>
      </c>
      <c r="L958" s="4"/>
      <c r="M958" s="4"/>
    </row>
    <row r="959" ht="16" customHeight="1" s="4" customFormat="1">
      <c r="A959" s="4">
        <v>2062</v>
      </c>
      <c r="B959" s="4" t="s">
        <v>5499</v>
      </c>
      <c r="C959" s="4" t="s">
        <v>5573</v>
      </c>
      <c r="D959" s="4" t="s">
        <v>5574</v>
      </c>
      <c r="E959" s="4" t="s">
        <v>5575</v>
      </c>
      <c r="F959" s="4" t="s">
        <v>6949</v>
      </c>
      <c r="G959" s="4" t="s">
        <v>5675</v>
      </c>
      <c r="H959" s="4" t="s">
        <v>6202</v>
      </c>
      <c r="I959" s="5">
        <v>41758</v>
      </c>
      <c r="J959" s="4" t="s">
        <v>4798</v>
      </c>
      <c r="K959" s="4" t="s">
        <v>57</v>
      </c>
      <c r="L959" s="4"/>
      <c r="M959" s="4"/>
    </row>
    <row r="960" ht="16" customHeight="1" s="4" customFormat="1">
      <c r="A960" s="4">
        <v>2063</v>
      </c>
      <c r="B960" s="4" t="s">
        <v>5600</v>
      </c>
      <c r="C960" s="4" t="s">
        <v>5600</v>
      </c>
      <c r="D960" s="4" t="s">
        <v>6121</v>
      </c>
      <c r="E960" s="4" t="s">
        <v>6122</v>
      </c>
      <c r="F960" s="4" t="s">
        <v>6950</v>
      </c>
      <c r="G960" s="4" t="s">
        <v>6951</v>
      </c>
      <c r="H960" s="4" t="s">
        <v>6952</v>
      </c>
      <c r="I960" s="5">
        <v>41754</v>
      </c>
      <c r="J960" s="4" t="s">
        <v>4798</v>
      </c>
      <c r="K960" s="4" t="s">
        <v>57</v>
      </c>
      <c r="L960" s="4"/>
      <c r="M960" s="4"/>
    </row>
    <row r="961" ht="16" customHeight="1" s="4" customFormat="1">
      <c r="A961" s="4">
        <v>2064</v>
      </c>
      <c r="B961" s="4" t="s">
        <v>5600</v>
      </c>
      <c r="C961" s="4" t="s">
        <v>5600</v>
      </c>
      <c r="D961" s="4" t="s">
        <v>5514</v>
      </c>
      <c r="E961" s="4" t="s">
        <v>5515</v>
      </c>
      <c r="F961" s="4" t="s">
        <v>6953</v>
      </c>
      <c r="G961" s="4" t="s">
        <v>6954</v>
      </c>
      <c r="H961" s="4" t="s">
        <v>6955</v>
      </c>
      <c r="I961" s="5">
        <v>41754</v>
      </c>
      <c r="J961" s="4" t="s">
        <v>5506</v>
      </c>
      <c r="K961" s="4" t="s">
        <v>57</v>
      </c>
      <c r="L961" s="4"/>
      <c r="M961" s="4"/>
    </row>
    <row r="962" ht="16" customHeight="1" s="4" customFormat="1">
      <c r="A962" s="4">
        <v>2065</v>
      </c>
      <c r="B962" s="4" t="s">
        <v>5600</v>
      </c>
      <c r="C962" s="4" t="s">
        <v>5600</v>
      </c>
      <c r="D962" s="4" t="s">
        <v>6121</v>
      </c>
      <c r="E962" s="4" t="s">
        <v>6128</v>
      </c>
      <c r="F962" s="4" t="s">
        <v>6956</v>
      </c>
      <c r="G962" s="4" t="s">
        <v>6957</v>
      </c>
      <c r="H962" s="4" t="s">
        <v>6958</v>
      </c>
      <c r="I962" s="5">
        <v>41754</v>
      </c>
      <c r="J962" s="4" t="s">
        <v>5506</v>
      </c>
      <c r="K962" s="4" t="s">
        <v>57</v>
      </c>
      <c r="L962" s="4"/>
      <c r="M962" s="4"/>
    </row>
    <row r="963" ht="16" customHeight="1" s="4" customFormat="1">
      <c r="A963" s="4">
        <v>2066</v>
      </c>
      <c r="B963" s="4" t="s">
        <v>5534</v>
      </c>
      <c r="C963" s="4" t="s">
        <v>5631</v>
      </c>
      <c r="D963" s="4"/>
      <c r="E963" s="4"/>
      <c r="F963" s="4">
        <v>28542</v>
      </c>
      <c r="G963" s="4" t="s">
        <v>5632</v>
      </c>
      <c r="H963" s="4" t="s">
        <v>5647</v>
      </c>
      <c r="I963" s="5">
        <v>41753</v>
      </c>
      <c r="J963" s="4" t="s">
        <v>5506</v>
      </c>
      <c r="K963" s="4" t="s">
        <v>57</v>
      </c>
      <c r="L963" s="4"/>
      <c r="M963" s="4"/>
    </row>
    <row r="964" ht="16" customHeight="1" s="4" customFormat="1">
      <c r="A964" s="4">
        <v>2067</v>
      </c>
      <c r="B964" s="4" t="s">
        <v>5534</v>
      </c>
      <c r="C964" s="4" t="s">
        <v>6300</v>
      </c>
      <c r="D964" s="4"/>
      <c r="E964" s="4"/>
      <c r="F964" s="4" t="s">
        <v>6959</v>
      </c>
      <c r="G964" s="4" t="s">
        <v>6303</v>
      </c>
      <c r="H964" s="4" t="s">
        <v>6306</v>
      </c>
      <c r="I964" s="5">
        <v>41753</v>
      </c>
      <c r="J964" s="4" t="s">
        <v>5506</v>
      </c>
      <c r="K964" s="4" t="s">
        <v>57</v>
      </c>
      <c r="L964" s="4"/>
      <c r="M964" s="4"/>
    </row>
    <row r="965" ht="16" customHeight="1" s="4" customFormat="1">
      <c r="A965" s="4">
        <v>2068</v>
      </c>
      <c r="B965" s="4" t="s">
        <v>5534</v>
      </c>
      <c r="C965" s="4" t="s">
        <v>6300</v>
      </c>
      <c r="D965" s="4"/>
      <c r="E965" s="4"/>
      <c r="F965" s="4" t="s">
        <v>6960</v>
      </c>
      <c r="G965" s="4" t="s">
        <v>6303</v>
      </c>
      <c r="H965" s="4" t="s">
        <v>6306</v>
      </c>
      <c r="I965" s="5">
        <v>41753</v>
      </c>
      <c r="J965" s="4" t="s">
        <v>5506</v>
      </c>
      <c r="K965" s="4" t="s">
        <v>57</v>
      </c>
      <c r="L965" s="4"/>
      <c r="M965" s="4"/>
    </row>
    <row r="966" ht="16" customHeight="1" s="4" customFormat="1">
      <c r="A966" s="4">
        <v>2083</v>
      </c>
      <c r="B966" s="4" t="s">
        <v>5499</v>
      </c>
      <c r="C966" s="4" t="s">
        <v>5519</v>
      </c>
      <c r="D966" s="4"/>
      <c r="E966" s="4" t="s">
        <v>5641</v>
      </c>
      <c r="F966" s="4" t="s">
        <v>6961</v>
      </c>
      <c r="G966" s="4" t="s">
        <v>5983</v>
      </c>
      <c r="H966" s="4" t="s">
        <v>5984</v>
      </c>
      <c r="I966" s="5">
        <v>41730</v>
      </c>
      <c r="J966" s="4" t="s">
        <v>5506</v>
      </c>
      <c r="K966" s="4" t="s">
        <v>57</v>
      </c>
      <c r="L966" s="4"/>
      <c r="M966" s="4"/>
    </row>
    <row r="967" ht="16" customHeight="1" s="4" customFormat="1">
      <c r="A967" s="4">
        <v>2069</v>
      </c>
      <c r="B967" s="4" t="s">
        <v>5534</v>
      </c>
      <c r="C967" s="4" t="s">
        <v>5631</v>
      </c>
      <c r="D967" s="4"/>
      <c r="E967" s="4"/>
      <c r="F967" s="4">
        <v>11256</v>
      </c>
      <c r="G967" s="4" t="s">
        <v>5632</v>
      </c>
      <c r="H967" s="4" t="s">
        <v>5998</v>
      </c>
      <c r="I967" s="5">
        <v>41745</v>
      </c>
      <c r="J967" s="4" t="s">
        <v>5506</v>
      </c>
      <c r="K967" s="4" t="s">
        <v>57</v>
      </c>
      <c r="L967" s="4"/>
      <c r="M967" s="4"/>
    </row>
    <row r="968" ht="16" customHeight="1" s="4" customFormat="1">
      <c r="A968" s="4">
        <v>2070</v>
      </c>
      <c r="B968" s="4" t="s">
        <v>5534</v>
      </c>
      <c r="C968" s="4" t="s">
        <v>5631</v>
      </c>
      <c r="D968" s="4"/>
      <c r="E968" s="4"/>
      <c r="F968" s="4">
        <v>6228</v>
      </c>
      <c r="G968" s="4" t="s">
        <v>5632</v>
      </c>
      <c r="H968" s="4" t="s">
        <v>5635</v>
      </c>
      <c r="I968" s="5">
        <v>41745</v>
      </c>
      <c r="J968" s="4" t="s">
        <v>5506</v>
      </c>
      <c r="K968" s="4" t="s">
        <v>57</v>
      </c>
      <c r="L968" s="4"/>
      <c r="M968" s="4"/>
    </row>
    <row r="969" ht="16" customHeight="1" s="4" customFormat="1">
      <c r="A969" s="4">
        <v>2908</v>
      </c>
      <c r="B969" s="4" t="s">
        <v>5499</v>
      </c>
      <c r="C969" s="4" t="s">
        <v>5500</v>
      </c>
      <c r="D969" s="4"/>
      <c r="E969" s="4" t="s">
        <v>6629</v>
      </c>
      <c r="F969" s="4" t="s">
        <v>6962</v>
      </c>
      <c r="G969" s="4" t="s">
        <v>6963</v>
      </c>
      <c r="H969" s="4" t="s">
        <v>6964</v>
      </c>
      <c r="I969" s="4"/>
      <c r="J969" s="4" t="s">
        <v>5506</v>
      </c>
      <c r="K969" s="4" t="s">
        <v>57</v>
      </c>
      <c r="L969" s="4"/>
      <c r="M969" s="4"/>
    </row>
    <row r="970" ht="16" customHeight="1" s="4" customFormat="1">
      <c r="A970" s="4">
        <v>2909</v>
      </c>
      <c r="B970" s="4" t="s">
        <v>5499</v>
      </c>
      <c r="C970" s="4" t="s">
        <v>5500</v>
      </c>
      <c r="D970" s="4"/>
      <c r="E970" s="4" t="s">
        <v>6629</v>
      </c>
      <c r="F970" s="4" t="s">
        <v>6630</v>
      </c>
      <c r="G970" s="4" t="s">
        <v>6963</v>
      </c>
      <c r="H970" s="4" t="s">
        <v>6964</v>
      </c>
      <c r="I970" s="4"/>
      <c r="J970" s="4" t="s">
        <v>5506</v>
      </c>
      <c r="K970" s="4" t="s">
        <v>57</v>
      </c>
      <c r="L970" s="4"/>
      <c r="M970" s="4"/>
    </row>
    <row r="971" ht="16" customHeight="1" s="4" customFormat="1">
      <c r="A971" s="4">
        <v>2910</v>
      </c>
      <c r="B971" s="4" t="s">
        <v>5499</v>
      </c>
      <c r="C971" s="4" t="s">
        <v>5500</v>
      </c>
      <c r="D971" s="4"/>
      <c r="E971" s="4" t="s">
        <v>6629</v>
      </c>
      <c r="F971" s="4" t="s">
        <v>6633</v>
      </c>
      <c r="G971" s="4" t="s">
        <v>6963</v>
      </c>
      <c r="H971" s="4" t="s">
        <v>6964</v>
      </c>
      <c r="I971" s="4"/>
      <c r="J971" s="4" t="s">
        <v>5506</v>
      </c>
      <c r="K971" s="4" t="s">
        <v>57</v>
      </c>
      <c r="L971" s="4"/>
      <c r="M971" s="4"/>
    </row>
    <row r="972" ht="16" customHeight="1" s="4" customFormat="1">
      <c r="A972" s="4">
        <v>2911</v>
      </c>
      <c r="B972" s="4" t="s">
        <v>5499</v>
      </c>
      <c r="C972" s="4" t="s">
        <v>5500</v>
      </c>
      <c r="D972" s="4"/>
      <c r="E972" s="4" t="s">
        <v>6629</v>
      </c>
      <c r="F972" s="4" t="s">
        <v>6965</v>
      </c>
      <c r="G972" s="4" t="s">
        <v>6963</v>
      </c>
      <c r="H972" s="4" t="s">
        <v>6964</v>
      </c>
      <c r="I972" s="4"/>
      <c r="J972" s="4" t="s">
        <v>5506</v>
      </c>
      <c r="K972" s="4" t="s">
        <v>57</v>
      </c>
      <c r="L972" s="4"/>
      <c r="M972" s="4"/>
    </row>
    <row r="973" ht="16" customHeight="1" s="4" customFormat="1">
      <c r="A973" s="4">
        <v>2912</v>
      </c>
      <c r="B973" s="4" t="s">
        <v>5499</v>
      </c>
      <c r="C973" s="4" t="s">
        <v>5500</v>
      </c>
      <c r="D973" s="4"/>
      <c r="E973" s="4" t="s">
        <v>6629</v>
      </c>
      <c r="F973" s="4" t="s">
        <v>6634</v>
      </c>
      <c r="G973" s="4" t="s">
        <v>6963</v>
      </c>
      <c r="H973" s="4" t="s">
        <v>6964</v>
      </c>
      <c r="I973" s="4"/>
      <c r="J973" s="4" t="s">
        <v>5506</v>
      </c>
      <c r="K973" s="4" t="s">
        <v>57</v>
      </c>
      <c r="L973" s="4"/>
      <c r="M973" s="4"/>
    </row>
    <row r="974" ht="16" customHeight="1" s="4" customFormat="1">
      <c r="A974" s="4">
        <v>2913</v>
      </c>
      <c r="B974" s="4" t="s">
        <v>5499</v>
      </c>
      <c r="C974" s="4" t="s">
        <v>5500</v>
      </c>
      <c r="D974" s="4"/>
      <c r="E974" s="4" t="s">
        <v>6629</v>
      </c>
      <c r="F974" s="4" t="s">
        <v>6635</v>
      </c>
      <c r="G974" s="4" t="s">
        <v>6963</v>
      </c>
      <c r="H974" s="4" t="s">
        <v>6964</v>
      </c>
      <c r="I974" s="4"/>
      <c r="J974" s="4" t="s">
        <v>5506</v>
      </c>
      <c r="K974" s="4" t="s">
        <v>57</v>
      </c>
      <c r="L974" s="4"/>
      <c r="M974" s="4"/>
    </row>
    <row r="975" ht="16" customHeight="1" s="4" customFormat="1">
      <c r="A975" s="4">
        <v>2914</v>
      </c>
      <c r="B975" s="4" t="s">
        <v>5499</v>
      </c>
      <c r="C975" s="4" t="s">
        <v>5500</v>
      </c>
      <c r="D975" s="4"/>
      <c r="E975" s="4" t="s">
        <v>6629</v>
      </c>
      <c r="F975" s="4" t="s">
        <v>6636</v>
      </c>
      <c r="G975" s="4" t="s">
        <v>6963</v>
      </c>
      <c r="H975" s="4" t="s">
        <v>6964</v>
      </c>
      <c r="I975" s="4"/>
      <c r="J975" s="4" t="s">
        <v>5506</v>
      </c>
      <c r="K975" s="4" t="s">
        <v>57</v>
      </c>
      <c r="L975" s="4"/>
      <c r="M975" s="4"/>
    </row>
    <row r="976" ht="16" customHeight="1" s="4" customFormat="1">
      <c r="A976" s="4">
        <v>2915</v>
      </c>
      <c r="B976" s="4" t="s">
        <v>5499</v>
      </c>
      <c r="C976" s="4" t="s">
        <v>5500</v>
      </c>
      <c r="D976" s="4"/>
      <c r="E976" s="4" t="s">
        <v>6966</v>
      </c>
      <c r="F976" s="4" t="s">
        <v>6678</v>
      </c>
      <c r="G976" s="4" t="s">
        <v>6967</v>
      </c>
      <c r="H976" s="4" t="s">
        <v>6968</v>
      </c>
      <c r="I976" s="4"/>
      <c r="J976" s="4" t="s">
        <v>5506</v>
      </c>
      <c r="K976" s="4" t="s">
        <v>57</v>
      </c>
      <c r="L976" s="4"/>
      <c r="M976" s="4"/>
    </row>
    <row r="977" ht="16" customHeight="1" s="4" customFormat="1">
      <c r="A977" s="4">
        <v>2916</v>
      </c>
      <c r="B977" s="4" t="s">
        <v>5499</v>
      </c>
      <c r="C977" s="4" t="s">
        <v>5500</v>
      </c>
      <c r="D977" s="4"/>
      <c r="E977" s="4" t="s">
        <v>6966</v>
      </c>
      <c r="F977" s="4" t="s">
        <v>6969</v>
      </c>
      <c r="G977" s="4" t="s">
        <v>6970</v>
      </c>
      <c r="H977" s="4" t="s">
        <v>6971</v>
      </c>
      <c r="I977" s="4"/>
      <c r="J977" s="4" t="s">
        <v>5506</v>
      </c>
      <c r="K977" s="4" t="s">
        <v>57</v>
      </c>
      <c r="L977" s="4"/>
      <c r="M977" s="4"/>
    </row>
    <row r="978" ht="16" customHeight="1" s="4" customFormat="1">
      <c r="A978" s="4">
        <v>2917</v>
      </c>
      <c r="B978" s="4" t="s">
        <v>5499</v>
      </c>
      <c r="C978" s="4" t="s">
        <v>5702</v>
      </c>
      <c r="D978" s="4" t="s">
        <v>5574</v>
      </c>
      <c r="E978" s="4" t="s">
        <v>5575</v>
      </c>
      <c r="F978" s="4" t="s">
        <v>6972</v>
      </c>
      <c r="G978" s="4" t="s">
        <v>6973</v>
      </c>
      <c r="H978" s="4" t="s">
        <v>6974</v>
      </c>
      <c r="I978" s="4"/>
      <c r="J978" s="4" t="s">
        <v>5506</v>
      </c>
      <c r="K978" s="4" t="s">
        <v>57</v>
      </c>
      <c r="L978" s="4"/>
      <c r="M978" s="4"/>
    </row>
    <row r="979" ht="16" customHeight="1" s="4" customFormat="1">
      <c r="A979" s="4">
        <v>2918</v>
      </c>
      <c r="B979" s="4" t="s">
        <v>5499</v>
      </c>
      <c r="C979" s="4" t="s">
        <v>5573</v>
      </c>
      <c r="D979" s="4" t="s">
        <v>5728</v>
      </c>
      <c r="E979" s="4" t="s">
        <v>6003</v>
      </c>
      <c r="F979" s="4" t="s">
        <v>6975</v>
      </c>
      <c r="G979" s="4" t="s">
        <v>6431</v>
      </c>
      <c r="H979" s="4" t="s">
        <v>5844</v>
      </c>
      <c r="I979" s="4"/>
      <c r="J979" s="4" t="s">
        <v>4798</v>
      </c>
      <c r="K979" s="4" t="s">
        <v>57</v>
      </c>
      <c r="L979" s="4"/>
      <c r="M979" s="4"/>
    </row>
    <row r="980" ht="16" customHeight="1" s="4" customFormat="1">
      <c r="A980" s="4">
        <v>2919</v>
      </c>
      <c r="B980" s="4" t="s">
        <v>5499</v>
      </c>
      <c r="C980" s="4" t="s">
        <v>5573</v>
      </c>
      <c r="D980" s="4" t="s">
        <v>5574</v>
      </c>
      <c r="E980" s="4" t="s">
        <v>5575</v>
      </c>
      <c r="F980" s="4" t="s">
        <v>6976</v>
      </c>
      <c r="G980" s="4" t="s">
        <v>6977</v>
      </c>
      <c r="H980" s="4"/>
      <c r="I980" s="4"/>
      <c r="J980" s="4" t="s">
        <v>5506</v>
      </c>
      <c r="K980" s="4" t="s">
        <v>57</v>
      </c>
      <c r="L980" s="4"/>
      <c r="M980" s="4"/>
    </row>
    <row r="981" ht="16" customHeight="1" s="4" customFormat="1">
      <c r="A981" s="4">
        <v>2920</v>
      </c>
      <c r="B981" s="4" t="s">
        <v>5499</v>
      </c>
      <c r="C981" s="4" t="s">
        <v>5573</v>
      </c>
      <c r="D981" s="4" t="s">
        <v>5574</v>
      </c>
      <c r="E981" s="4" t="s">
        <v>5575</v>
      </c>
      <c r="F981" s="4" t="s">
        <v>6978</v>
      </c>
      <c r="G981" s="4" t="s">
        <v>6979</v>
      </c>
      <c r="H981" s="4" t="s">
        <v>6980</v>
      </c>
      <c r="I981" s="4"/>
      <c r="J981" s="4" t="s">
        <v>5506</v>
      </c>
      <c r="K981" s="4" t="s">
        <v>57</v>
      </c>
      <c r="L981" s="4"/>
      <c r="M981" s="4"/>
    </row>
    <row r="982" ht="16" customHeight="1" s="4" customFormat="1">
      <c r="A982" s="4">
        <v>2921</v>
      </c>
      <c r="B982" s="4" t="s">
        <v>5499</v>
      </c>
      <c r="C982" s="4" t="s">
        <v>5500</v>
      </c>
      <c r="D982" s="4"/>
      <c r="E982" s="4" t="s">
        <v>6146</v>
      </c>
      <c r="F982" s="4" t="s">
        <v>6561</v>
      </c>
      <c r="G982" s="4" t="s">
        <v>6981</v>
      </c>
      <c r="H982" s="4" t="s">
        <v>6964</v>
      </c>
      <c r="I982" s="4"/>
      <c r="J982" s="4" t="s">
        <v>5506</v>
      </c>
      <c r="K982" s="4" t="s">
        <v>57</v>
      </c>
      <c r="L982" s="4"/>
      <c r="M982" s="4"/>
    </row>
    <row r="983" ht="16" customHeight="1" s="4" customFormat="1">
      <c r="A983" s="4">
        <v>2922</v>
      </c>
      <c r="B983" s="4" t="s">
        <v>5499</v>
      </c>
      <c r="C983" s="4" t="s">
        <v>5500</v>
      </c>
      <c r="D983" s="4"/>
      <c r="E983" s="4" t="s">
        <v>5676</v>
      </c>
      <c r="F983" s="4" t="s">
        <v>6324</v>
      </c>
      <c r="G983" s="4" t="s">
        <v>6970</v>
      </c>
      <c r="H983" s="4" t="s">
        <v>6971</v>
      </c>
      <c r="I983" s="4"/>
      <c r="J983" s="4" t="s">
        <v>5506</v>
      </c>
      <c r="K983" s="4" t="s">
        <v>57</v>
      </c>
      <c r="L983" s="4"/>
      <c r="M983" s="4"/>
    </row>
    <row r="984" ht="16" customHeight="1" s="4" customFormat="1">
      <c r="A984" s="4">
        <v>2923</v>
      </c>
      <c r="B984" s="4" t="s">
        <v>5499</v>
      </c>
      <c r="C984" s="4" t="s">
        <v>5500</v>
      </c>
      <c r="D984" s="4"/>
      <c r="E984" s="4" t="s">
        <v>5676</v>
      </c>
      <c r="F984" s="4" t="s">
        <v>6564</v>
      </c>
      <c r="G984" s="4" t="s">
        <v>5732</v>
      </c>
      <c r="H984" s="4" t="s">
        <v>6964</v>
      </c>
      <c r="I984" s="4"/>
      <c r="J984" s="4" t="s">
        <v>5506</v>
      </c>
      <c r="K984" s="4" t="s">
        <v>57</v>
      </c>
      <c r="L984" s="4"/>
      <c r="M984" s="4"/>
    </row>
    <row r="985" ht="16" customHeight="1" s="4" customFormat="1">
      <c r="A985" s="4">
        <v>2924</v>
      </c>
      <c r="B985" s="4" t="s">
        <v>5499</v>
      </c>
      <c r="C985" s="4" t="s">
        <v>5500</v>
      </c>
      <c r="D985" s="4"/>
      <c r="E985" s="4" t="s">
        <v>5676</v>
      </c>
      <c r="F985" s="4" t="s">
        <v>6276</v>
      </c>
      <c r="G985" s="4" t="s">
        <v>6970</v>
      </c>
      <c r="H985" s="4" t="s">
        <v>6971</v>
      </c>
      <c r="I985" s="4"/>
      <c r="J985" s="4" t="s">
        <v>5506</v>
      </c>
      <c r="K985" s="4" t="s">
        <v>57</v>
      </c>
      <c r="L985" s="4"/>
      <c r="M985" s="4"/>
    </row>
    <row r="986" ht="16" customHeight="1" s="4" customFormat="1">
      <c r="A986" s="4">
        <v>2925</v>
      </c>
      <c r="B986" s="4" t="s">
        <v>5499</v>
      </c>
      <c r="C986" s="4" t="s">
        <v>5500</v>
      </c>
      <c r="D986" s="4"/>
      <c r="E986" s="4" t="s">
        <v>5676</v>
      </c>
      <c r="F986" s="4" t="s">
        <v>6664</v>
      </c>
      <c r="G986" s="4" t="s">
        <v>6982</v>
      </c>
      <c r="H986" s="4" t="s">
        <v>6967</v>
      </c>
      <c r="I986" s="4"/>
      <c r="J986" s="4" t="s">
        <v>5506</v>
      </c>
      <c r="K986" s="4" t="s">
        <v>57</v>
      </c>
      <c r="L986" s="4"/>
      <c r="M986" s="4"/>
    </row>
    <row r="987" ht="16" customHeight="1" s="4" customFormat="1">
      <c r="A987" s="4">
        <v>2926</v>
      </c>
      <c r="B987" s="4" t="s">
        <v>5499</v>
      </c>
      <c r="C987" s="4" t="s">
        <v>5500</v>
      </c>
      <c r="D987" s="4"/>
      <c r="E987" s="4" t="s">
        <v>5676</v>
      </c>
      <c r="F987" s="4" t="s">
        <v>5870</v>
      </c>
      <c r="G987" s="4" t="s">
        <v>6970</v>
      </c>
      <c r="H987" s="4" t="s">
        <v>6971</v>
      </c>
      <c r="I987" s="4"/>
      <c r="J987" s="4" t="s">
        <v>5506</v>
      </c>
      <c r="K987" s="4" t="s">
        <v>57</v>
      </c>
      <c r="L987" s="4"/>
      <c r="M987" s="4"/>
    </row>
    <row r="988" ht="16" customHeight="1" s="4" customFormat="1">
      <c r="A988" s="4">
        <v>2927</v>
      </c>
      <c r="B988" s="4" t="s">
        <v>5499</v>
      </c>
      <c r="C988" s="4" t="s">
        <v>5500</v>
      </c>
      <c r="D988" s="4"/>
      <c r="E988" s="4" t="s">
        <v>5676</v>
      </c>
      <c r="F988" s="4" t="s">
        <v>5752</v>
      </c>
      <c r="G988" s="4" t="s">
        <v>6970</v>
      </c>
      <c r="H988" s="4" t="s">
        <v>6971</v>
      </c>
      <c r="I988" s="4"/>
      <c r="J988" s="4" t="s">
        <v>5506</v>
      </c>
      <c r="K988" s="4" t="s">
        <v>57</v>
      </c>
      <c r="L988" s="4"/>
      <c r="M988" s="4"/>
    </row>
    <row r="989" ht="16" customHeight="1" s="4" customFormat="1">
      <c r="A989" s="4">
        <v>2928</v>
      </c>
      <c r="B989" s="4" t="s">
        <v>5499</v>
      </c>
      <c r="C989" s="4" t="s">
        <v>5500</v>
      </c>
      <c r="D989" s="4"/>
      <c r="E989" s="4" t="s">
        <v>5676</v>
      </c>
      <c r="F989" s="4" t="s">
        <v>6642</v>
      </c>
      <c r="G989" s="4" t="s">
        <v>6964</v>
      </c>
      <c r="H989" s="4"/>
      <c r="I989" s="4"/>
      <c r="J989" s="4" t="s">
        <v>5506</v>
      </c>
      <c r="K989" s="4" t="s">
        <v>57</v>
      </c>
      <c r="L989" s="4"/>
      <c r="M989" s="4"/>
    </row>
    <row r="990" ht="16" customHeight="1" s="4" customFormat="1">
      <c r="A990" s="4">
        <v>2929</v>
      </c>
      <c r="B990" s="4" t="s">
        <v>5499</v>
      </c>
      <c r="C990" s="4" t="s">
        <v>5500</v>
      </c>
      <c r="D990" s="4"/>
      <c r="E990" s="4" t="s">
        <v>5676</v>
      </c>
      <c r="F990" s="4" t="s">
        <v>6643</v>
      </c>
      <c r="G990" s="4" t="s">
        <v>6964</v>
      </c>
      <c r="H990" s="4"/>
      <c r="I990" s="4"/>
      <c r="J990" s="4" t="s">
        <v>5506</v>
      </c>
      <c r="K990" s="4" t="s">
        <v>57</v>
      </c>
      <c r="L990" s="4"/>
      <c r="M990" s="4"/>
    </row>
    <row r="991" ht="16" customHeight="1" s="4" customFormat="1">
      <c r="A991" s="4">
        <v>2930</v>
      </c>
      <c r="B991" s="4" t="s">
        <v>5499</v>
      </c>
      <c r="C991" s="4" t="s">
        <v>5500</v>
      </c>
      <c r="D991" s="4"/>
      <c r="E991" s="4" t="s">
        <v>5676</v>
      </c>
      <c r="F991" s="4" t="s">
        <v>6615</v>
      </c>
      <c r="G991" s="4" t="s">
        <v>6394</v>
      </c>
      <c r="H991" s="4" t="s">
        <v>6964</v>
      </c>
      <c r="I991" s="4"/>
      <c r="J991" s="4" t="s">
        <v>5506</v>
      </c>
      <c r="K991" s="4" t="s">
        <v>57</v>
      </c>
      <c r="L991" s="4"/>
      <c r="M991" s="4"/>
    </row>
    <row r="992" ht="16" customHeight="1" s="4" customFormat="1">
      <c r="A992" s="4">
        <v>2931</v>
      </c>
      <c r="B992" s="4" t="s">
        <v>5499</v>
      </c>
      <c r="C992" s="4" t="s">
        <v>5500</v>
      </c>
      <c r="D992" s="4"/>
      <c r="E992" s="4" t="s">
        <v>5676</v>
      </c>
      <c r="F992" s="4" t="s">
        <v>6550</v>
      </c>
      <c r="G992" s="4" t="s">
        <v>6983</v>
      </c>
      <c r="H992" s="4" t="s">
        <v>6964</v>
      </c>
      <c r="I992" s="4"/>
      <c r="J992" s="4" t="s">
        <v>5506</v>
      </c>
      <c r="K992" s="4" t="s">
        <v>57</v>
      </c>
      <c r="L992" s="4"/>
      <c r="M992" s="4"/>
    </row>
    <row r="993" ht="16" customHeight="1" s="4" customFormat="1">
      <c r="A993" s="4">
        <v>2932</v>
      </c>
      <c r="B993" s="4" t="s">
        <v>5499</v>
      </c>
      <c r="C993" s="4" t="s">
        <v>5500</v>
      </c>
      <c r="D993" s="4"/>
      <c r="E993" s="4" t="s">
        <v>6598</v>
      </c>
      <c r="F993" s="4" t="s">
        <v>6590</v>
      </c>
      <c r="G993" s="4" t="s">
        <v>6964</v>
      </c>
      <c r="H993" s="4" t="s">
        <v>6968</v>
      </c>
      <c r="I993" s="4"/>
      <c r="J993" s="4" t="s">
        <v>5506</v>
      </c>
      <c r="K993" s="4" t="s">
        <v>57</v>
      </c>
      <c r="L993" s="4"/>
      <c r="M993" s="4"/>
    </row>
    <row r="994" ht="16" customHeight="1" s="4" customFormat="1">
      <c r="A994" s="4">
        <v>2933</v>
      </c>
      <c r="B994" s="4" t="s">
        <v>5499</v>
      </c>
      <c r="C994" s="4" t="s">
        <v>5500</v>
      </c>
      <c r="D994" s="4" t="s">
        <v>5845</v>
      </c>
      <c r="E994" s="4" t="s">
        <v>6984</v>
      </c>
      <c r="F994" s="4" t="s">
        <v>6985</v>
      </c>
      <c r="G994" s="4" t="s">
        <v>6964</v>
      </c>
      <c r="H994" s="4" t="s">
        <v>6986</v>
      </c>
      <c r="I994" s="4"/>
      <c r="J994" s="4" t="s">
        <v>5506</v>
      </c>
      <c r="K994" s="4" t="s">
        <v>57</v>
      </c>
      <c r="L994" s="4"/>
      <c r="M994" s="4"/>
    </row>
    <row r="995" ht="16" customHeight="1" s="4" customFormat="1">
      <c r="A995" s="4">
        <v>2934</v>
      </c>
      <c r="B995" s="4" t="s">
        <v>5499</v>
      </c>
      <c r="C995" s="4" t="s">
        <v>5500</v>
      </c>
      <c r="D995" s="4" t="s">
        <v>5845</v>
      </c>
      <c r="E995" s="4" t="s">
        <v>6984</v>
      </c>
      <c r="F995" s="4" t="s">
        <v>6987</v>
      </c>
      <c r="G995" s="4" t="s">
        <v>6988</v>
      </c>
      <c r="H995" s="4" t="s">
        <v>6989</v>
      </c>
      <c r="I995" s="4"/>
      <c r="J995" s="4" t="s">
        <v>5506</v>
      </c>
      <c r="K995" s="4" t="s">
        <v>57</v>
      </c>
      <c r="L995" s="4"/>
      <c r="M995" s="4"/>
    </row>
    <row r="996" ht="16" customHeight="1" s="4" customFormat="1">
      <c r="A996" s="4">
        <v>2935</v>
      </c>
      <c r="B996" s="4" t="s">
        <v>5499</v>
      </c>
      <c r="C996" s="4" t="s">
        <v>5500</v>
      </c>
      <c r="D996" s="4"/>
      <c r="E996" s="4" t="s">
        <v>6990</v>
      </c>
      <c r="F996" s="4" t="s">
        <v>6991</v>
      </c>
      <c r="G996" s="4" t="s">
        <v>6992</v>
      </c>
      <c r="H996" s="4" t="s">
        <v>6993</v>
      </c>
      <c r="I996" s="4"/>
      <c r="J996" s="4" t="s">
        <v>5506</v>
      </c>
      <c r="K996" s="4" t="s">
        <v>57</v>
      </c>
      <c r="L996" s="4"/>
      <c r="M996" s="4"/>
    </row>
    <row r="997" ht="16" customHeight="1" s="4" customFormat="1">
      <c r="A997" s="4">
        <v>2936</v>
      </c>
      <c r="B997" s="4" t="s">
        <v>5499</v>
      </c>
      <c r="C997" s="4" t="s">
        <v>5500</v>
      </c>
      <c r="D997" s="4" t="s">
        <v>5574</v>
      </c>
      <c r="E997" s="4" t="s">
        <v>5575</v>
      </c>
      <c r="F997" s="4" t="s">
        <v>6754</v>
      </c>
      <c r="G997" s="4" t="s">
        <v>6994</v>
      </c>
      <c r="H997" s="4" t="s">
        <v>6995</v>
      </c>
      <c r="I997" s="4"/>
      <c r="J997" s="4" t="s">
        <v>5506</v>
      </c>
      <c r="K997" s="4" t="s">
        <v>57</v>
      </c>
      <c r="L997" s="4"/>
      <c r="M997" s="4"/>
    </row>
    <row r="998" ht="16" customHeight="1" s="4" customFormat="1">
      <c r="A998" s="4">
        <v>2937</v>
      </c>
      <c r="B998" s="4" t="s">
        <v>5499</v>
      </c>
      <c r="C998" s="4" t="s">
        <v>5500</v>
      </c>
      <c r="D998" s="4"/>
      <c r="E998" s="4" t="s">
        <v>6629</v>
      </c>
      <c r="F998" s="4" t="s">
        <v>6632</v>
      </c>
      <c r="G998" s="4" t="s">
        <v>6963</v>
      </c>
      <c r="H998" s="4" t="s">
        <v>6964</v>
      </c>
      <c r="I998" s="4"/>
      <c r="J998" s="4" t="s">
        <v>5506</v>
      </c>
      <c r="K998" s="4" t="s">
        <v>57</v>
      </c>
      <c r="L998" s="4"/>
      <c r="M998" s="4"/>
    </row>
    <row r="999" ht="16" customHeight="1" s="4" customFormat="1">
      <c r="A999" s="4">
        <v>2938</v>
      </c>
      <c r="B999" s="4" t="s">
        <v>5499</v>
      </c>
      <c r="C999" s="4" t="s">
        <v>5500</v>
      </c>
      <c r="D999" s="4"/>
      <c r="E999" s="4" t="s">
        <v>6629</v>
      </c>
      <c r="F999" s="4" t="s">
        <v>6996</v>
      </c>
      <c r="G999" s="4" t="s">
        <v>6963</v>
      </c>
      <c r="H999" s="4" t="s">
        <v>6964</v>
      </c>
      <c r="I999" s="4"/>
      <c r="J999" s="4" t="s">
        <v>5506</v>
      </c>
      <c r="K999" s="4" t="s">
        <v>57</v>
      </c>
      <c r="L999" s="4"/>
      <c r="M999" s="4"/>
    </row>
    <row r="1000" ht="16" customHeight="1" s="4" customFormat="1">
      <c r="A1000" s="4">
        <v>2939</v>
      </c>
      <c r="B1000" s="4" t="s">
        <v>5499</v>
      </c>
      <c r="C1000" s="4" t="s">
        <v>5500</v>
      </c>
      <c r="D1000" s="4"/>
      <c r="E1000" s="4" t="s">
        <v>6966</v>
      </c>
      <c r="F1000" s="4" t="s">
        <v>6679</v>
      </c>
      <c r="G1000" s="4" t="s">
        <v>6967</v>
      </c>
      <c r="H1000" s="4" t="s">
        <v>6968</v>
      </c>
      <c r="I1000" s="4"/>
      <c r="J1000" s="4" t="s">
        <v>5506</v>
      </c>
      <c r="K1000" s="4" t="s">
        <v>57</v>
      </c>
      <c r="L1000" s="4"/>
      <c r="M1000" s="4"/>
    </row>
    <row r="1001" ht="16" customHeight="1" s="4" customFormat="1">
      <c r="A1001" s="4">
        <v>2940</v>
      </c>
      <c r="B1001" s="4" t="s">
        <v>5499</v>
      </c>
      <c r="C1001" s="4" t="s">
        <v>5573</v>
      </c>
      <c r="D1001" s="4" t="s">
        <v>5574</v>
      </c>
      <c r="E1001" s="4" t="s">
        <v>5575</v>
      </c>
      <c r="F1001" s="4" t="s">
        <v>6997</v>
      </c>
      <c r="G1001" s="4" t="s">
        <v>6964</v>
      </c>
      <c r="H1001" s="4" t="s">
        <v>6998</v>
      </c>
      <c r="I1001" s="4"/>
      <c r="J1001" s="4" t="s">
        <v>4798</v>
      </c>
      <c r="K1001" s="4" t="s">
        <v>57</v>
      </c>
      <c r="L1001" s="4"/>
      <c r="M1001" s="4"/>
    </row>
    <row r="1002" ht="16" customHeight="1" s="4" customFormat="1">
      <c r="A1002" s="4">
        <v>2941</v>
      </c>
      <c r="B1002" s="4" t="s">
        <v>5499</v>
      </c>
      <c r="C1002" s="4" t="s">
        <v>5573</v>
      </c>
      <c r="D1002" s="4" t="s">
        <v>5574</v>
      </c>
      <c r="E1002" s="4" t="s">
        <v>5575</v>
      </c>
      <c r="F1002" s="4" t="s">
        <v>6999</v>
      </c>
      <c r="G1002" s="4" t="s">
        <v>4850</v>
      </c>
      <c r="H1002" s="4" t="s">
        <v>7000</v>
      </c>
      <c r="I1002" s="4"/>
      <c r="J1002" s="4" t="s">
        <v>5506</v>
      </c>
      <c r="K1002" s="4" t="s">
        <v>57</v>
      </c>
      <c r="L1002" s="4"/>
      <c r="M1002" s="4"/>
    </row>
    <row r="1003" ht="16" customHeight="1" s="4" customFormat="1">
      <c r="A1003" s="4">
        <v>2942</v>
      </c>
      <c r="B1003" s="4" t="s">
        <v>5499</v>
      </c>
      <c r="C1003" s="4" t="s">
        <v>5590</v>
      </c>
      <c r="D1003" s="4" t="s">
        <v>5574</v>
      </c>
      <c r="E1003" s="4" t="s">
        <v>5575</v>
      </c>
      <c r="F1003" s="4" t="s">
        <v>7001</v>
      </c>
      <c r="G1003" s="4" t="s">
        <v>5657</v>
      </c>
      <c r="H1003" s="4" t="s">
        <v>5823</v>
      </c>
      <c r="I1003" s="4"/>
      <c r="J1003" s="4" t="s">
        <v>4798</v>
      </c>
      <c r="K1003" s="4" t="s">
        <v>57</v>
      </c>
      <c r="L1003" s="4"/>
      <c r="M1003" s="4"/>
    </row>
    <row r="1004" ht="16" customHeight="1" s="4" customFormat="1">
      <c r="A1004" s="4">
        <v>2943</v>
      </c>
      <c r="B1004" s="4" t="s">
        <v>5499</v>
      </c>
      <c r="C1004" s="4" t="s">
        <v>5590</v>
      </c>
      <c r="D1004" s="4" t="s">
        <v>5574</v>
      </c>
      <c r="E1004" s="4" t="s">
        <v>5575</v>
      </c>
      <c r="F1004" s="4" t="s">
        <v>7002</v>
      </c>
      <c r="G1004" s="4" t="s">
        <v>5716</v>
      </c>
      <c r="H1004" s="4" t="s">
        <v>6207</v>
      </c>
      <c r="I1004" s="4"/>
      <c r="J1004" s="4" t="s">
        <v>4798</v>
      </c>
      <c r="K1004" s="4" t="s">
        <v>57</v>
      </c>
      <c r="L1004" s="4"/>
      <c r="M1004" s="4"/>
    </row>
    <row r="1005" ht="16" customHeight="1" s="4" customFormat="1">
      <c r="A1005" s="4">
        <v>2944</v>
      </c>
      <c r="B1005" s="4" t="s">
        <v>5499</v>
      </c>
      <c r="C1005" s="4" t="s">
        <v>5590</v>
      </c>
      <c r="D1005" s="4" t="s">
        <v>5574</v>
      </c>
      <c r="E1005" s="4" t="s">
        <v>5575</v>
      </c>
      <c r="F1005" s="4" t="s">
        <v>7003</v>
      </c>
      <c r="G1005" s="4" t="s">
        <v>5680</v>
      </c>
      <c r="H1005" s="4" t="s">
        <v>6207</v>
      </c>
      <c r="I1005" s="4"/>
      <c r="J1005" s="4" t="s">
        <v>4798</v>
      </c>
      <c r="K1005" s="4" t="s">
        <v>57</v>
      </c>
      <c r="L1005" s="4"/>
      <c r="M1005" s="4"/>
    </row>
    <row r="1006" ht="16" customHeight="1" s="4" customFormat="1">
      <c r="A1006" s="4">
        <v>2945</v>
      </c>
      <c r="B1006" s="4" t="s">
        <v>5499</v>
      </c>
      <c r="C1006" s="4" t="s">
        <v>5590</v>
      </c>
      <c r="D1006" s="4" t="s">
        <v>5574</v>
      </c>
      <c r="E1006" s="4" t="s">
        <v>5575</v>
      </c>
      <c r="F1006" s="4" t="s">
        <v>7004</v>
      </c>
      <c r="G1006" s="4" t="s">
        <v>6419</v>
      </c>
      <c r="H1006" s="4" t="s">
        <v>7005</v>
      </c>
      <c r="I1006" s="4"/>
      <c r="J1006" s="4" t="s">
        <v>4798</v>
      </c>
      <c r="K1006" s="4" t="s">
        <v>57</v>
      </c>
      <c r="L1006" s="4"/>
      <c r="M1006" s="4"/>
    </row>
    <row r="1007" ht="16" customHeight="1" s="4" customFormat="1">
      <c r="A1007" s="4">
        <v>2946</v>
      </c>
      <c r="B1007" s="4" t="s">
        <v>5499</v>
      </c>
      <c r="C1007" s="4" t="s">
        <v>5590</v>
      </c>
      <c r="D1007" s="4" t="s">
        <v>5574</v>
      </c>
      <c r="E1007" s="4" t="s">
        <v>5575</v>
      </c>
      <c r="F1007" s="4" t="s">
        <v>7006</v>
      </c>
      <c r="G1007" s="4" t="s">
        <v>5657</v>
      </c>
      <c r="H1007" s="4" t="s">
        <v>7007</v>
      </c>
      <c r="I1007" s="4"/>
      <c r="J1007" s="4" t="s">
        <v>5506</v>
      </c>
      <c r="K1007" s="4" t="s">
        <v>57</v>
      </c>
      <c r="L1007" s="4"/>
      <c r="M1007" s="4"/>
    </row>
    <row r="1008" ht="16" customHeight="1" s="4" customFormat="1">
      <c r="A1008" s="4">
        <v>2947</v>
      </c>
      <c r="B1008" s="4" t="s">
        <v>5499</v>
      </c>
      <c r="C1008" s="4" t="s">
        <v>5590</v>
      </c>
      <c r="D1008" s="4" t="s">
        <v>5574</v>
      </c>
      <c r="E1008" s="4" t="s">
        <v>5575</v>
      </c>
      <c r="F1008" s="4" t="s">
        <v>7008</v>
      </c>
      <c r="G1008" s="4" t="s">
        <v>5843</v>
      </c>
      <c r="H1008" s="4" t="s">
        <v>7009</v>
      </c>
      <c r="I1008" s="4"/>
      <c r="J1008" s="4" t="s">
        <v>4842</v>
      </c>
      <c r="K1008" s="4" t="s">
        <v>57</v>
      </c>
      <c r="L1008" s="4"/>
      <c r="M1008" s="4"/>
    </row>
    <row r="1009" ht="16" customHeight="1" s="4" customFormat="1">
      <c r="A1009" s="4">
        <v>2948</v>
      </c>
      <c r="B1009" s="4" t="s">
        <v>5499</v>
      </c>
      <c r="C1009" s="4" t="s">
        <v>5590</v>
      </c>
      <c r="D1009" s="4" t="s">
        <v>5574</v>
      </c>
      <c r="E1009" s="4" t="s">
        <v>5575</v>
      </c>
      <c r="F1009" s="4" t="s">
        <v>7010</v>
      </c>
      <c r="G1009" s="4" t="s">
        <v>7011</v>
      </c>
      <c r="H1009" s="4" t="s">
        <v>7012</v>
      </c>
      <c r="I1009" s="4"/>
      <c r="J1009" s="4" t="s">
        <v>4798</v>
      </c>
      <c r="K1009" s="4" t="s">
        <v>57</v>
      </c>
      <c r="L1009" s="4"/>
      <c r="M1009" s="4"/>
    </row>
    <row r="1010" ht="16" customHeight="1" s="4" customFormat="1">
      <c r="A1010" s="4">
        <v>2949</v>
      </c>
      <c r="B1010" s="4" t="s">
        <v>5499</v>
      </c>
      <c r="C1010" s="4" t="s">
        <v>5590</v>
      </c>
      <c r="D1010" s="4" t="s">
        <v>5574</v>
      </c>
      <c r="E1010" s="4" t="s">
        <v>5575</v>
      </c>
      <c r="F1010" s="4" t="s">
        <v>7013</v>
      </c>
      <c r="G1010" s="4" t="s">
        <v>7014</v>
      </c>
      <c r="H1010" s="4" t="s">
        <v>7015</v>
      </c>
      <c r="I1010" s="4"/>
      <c r="J1010" s="4" t="s">
        <v>4798</v>
      </c>
      <c r="K1010" s="4" t="s">
        <v>57</v>
      </c>
      <c r="L1010" s="4"/>
      <c r="M1010" s="4"/>
    </row>
    <row r="1011" ht="16" customHeight="1" s="4" customFormat="1">
      <c r="A1011" s="4">
        <v>2950</v>
      </c>
      <c r="B1011" s="4" t="s">
        <v>5499</v>
      </c>
      <c r="C1011" s="4" t="s">
        <v>5590</v>
      </c>
      <c r="D1011" s="4" t="s">
        <v>5574</v>
      </c>
      <c r="E1011" s="4" t="s">
        <v>5575</v>
      </c>
      <c r="F1011" s="4" t="s">
        <v>7016</v>
      </c>
      <c r="G1011" s="4" t="s">
        <v>5822</v>
      </c>
      <c r="H1011" s="4" t="s">
        <v>5823</v>
      </c>
      <c r="I1011" s="4"/>
      <c r="J1011" s="4" t="s">
        <v>4798</v>
      </c>
      <c r="K1011" s="4" t="s">
        <v>57</v>
      </c>
      <c r="L1011" s="4"/>
      <c r="M1011" s="4"/>
    </row>
    <row r="1012" ht="16" customHeight="1" s="4" customFormat="1">
      <c r="A1012" s="4">
        <v>2951</v>
      </c>
      <c r="B1012" s="4" t="s">
        <v>5499</v>
      </c>
      <c r="C1012" s="4" t="s">
        <v>5590</v>
      </c>
      <c r="D1012" s="4" t="s">
        <v>5574</v>
      </c>
      <c r="E1012" s="4" t="s">
        <v>7017</v>
      </c>
      <c r="F1012" s="4" t="s">
        <v>7018</v>
      </c>
      <c r="G1012" s="4" t="s">
        <v>7019</v>
      </c>
      <c r="H1012" s="4" t="s">
        <v>7020</v>
      </c>
      <c r="I1012" s="4"/>
      <c r="J1012" s="4" t="s">
        <v>4798</v>
      </c>
      <c r="K1012" s="4" t="s">
        <v>57</v>
      </c>
      <c r="L1012" s="4"/>
      <c r="M1012" s="4"/>
    </row>
    <row r="1013" ht="16" customHeight="1" s="4" customFormat="1">
      <c r="A1013" s="4">
        <v>2952</v>
      </c>
      <c r="B1013" s="4" t="s">
        <v>5499</v>
      </c>
      <c r="C1013" s="4" t="s">
        <v>5590</v>
      </c>
      <c r="D1013" s="4" t="s">
        <v>5574</v>
      </c>
      <c r="E1013" s="4" t="s">
        <v>5575</v>
      </c>
      <c r="F1013" s="4" t="s">
        <v>7021</v>
      </c>
      <c r="G1013" s="4" t="s">
        <v>4850</v>
      </c>
      <c r="H1013" s="4" t="s">
        <v>7022</v>
      </c>
      <c r="I1013" s="4"/>
      <c r="J1013" s="4" t="s">
        <v>4798</v>
      </c>
      <c r="K1013" s="4" t="s">
        <v>57</v>
      </c>
      <c r="L1013" s="4"/>
      <c r="M1013" s="4"/>
    </row>
    <row r="1014" ht="16" customHeight="1" s="4" customFormat="1">
      <c r="A1014" s="4">
        <v>2953</v>
      </c>
      <c r="B1014" s="4" t="s">
        <v>5499</v>
      </c>
      <c r="C1014" s="4" t="s">
        <v>5590</v>
      </c>
      <c r="D1014" s="4" t="s">
        <v>5574</v>
      </c>
      <c r="E1014" s="4" t="s">
        <v>5575</v>
      </c>
      <c r="F1014" s="4" t="s">
        <v>7023</v>
      </c>
      <c r="G1014" s="4" t="s">
        <v>5716</v>
      </c>
      <c r="H1014" s="4" t="s">
        <v>7012</v>
      </c>
      <c r="I1014" s="4"/>
      <c r="J1014" s="4" t="s">
        <v>4798</v>
      </c>
      <c r="K1014" s="4" t="s">
        <v>57</v>
      </c>
      <c r="L1014" s="4"/>
      <c r="M1014" s="4"/>
    </row>
    <row r="1015" ht="16" customHeight="1" s="4" customFormat="1">
      <c r="A1015" s="4">
        <v>2954</v>
      </c>
      <c r="B1015" s="4" t="s">
        <v>5499</v>
      </c>
      <c r="C1015" s="4" t="s">
        <v>5590</v>
      </c>
      <c r="D1015" s="4" t="s">
        <v>5574</v>
      </c>
      <c r="E1015" s="4" t="s">
        <v>5575</v>
      </c>
      <c r="F1015" s="4" t="s">
        <v>7024</v>
      </c>
      <c r="G1015" s="4" t="s">
        <v>5716</v>
      </c>
      <c r="H1015" s="4" t="s">
        <v>5823</v>
      </c>
      <c r="I1015" s="4"/>
      <c r="J1015" s="4" t="s">
        <v>4798</v>
      </c>
      <c r="K1015" s="4" t="s">
        <v>57</v>
      </c>
      <c r="L1015" s="4"/>
      <c r="M1015" s="4"/>
    </row>
    <row r="1016" ht="16" customHeight="1" s="4" customFormat="1">
      <c r="A1016" s="4">
        <v>2955</v>
      </c>
      <c r="B1016" s="4" t="s">
        <v>5499</v>
      </c>
      <c r="C1016" s="4" t="s">
        <v>5590</v>
      </c>
      <c r="D1016" s="4" t="s">
        <v>5574</v>
      </c>
      <c r="E1016" s="4" t="s">
        <v>5575</v>
      </c>
      <c r="F1016" s="4" t="s">
        <v>7025</v>
      </c>
      <c r="G1016" s="4" t="s">
        <v>7026</v>
      </c>
      <c r="H1016" s="4" t="s">
        <v>6207</v>
      </c>
      <c r="I1016" s="4"/>
      <c r="J1016" s="4" t="s">
        <v>4798</v>
      </c>
      <c r="K1016" s="4" t="s">
        <v>57</v>
      </c>
      <c r="L1016" s="4"/>
      <c r="M1016" s="4"/>
    </row>
    <row r="1017" ht="16" customHeight="1" s="4" customFormat="1">
      <c r="A1017" s="4">
        <v>2956</v>
      </c>
      <c r="B1017" s="4" t="s">
        <v>5499</v>
      </c>
      <c r="C1017" s="4" t="s">
        <v>5590</v>
      </c>
      <c r="D1017" s="4" t="s">
        <v>5574</v>
      </c>
      <c r="E1017" s="4" t="s">
        <v>5575</v>
      </c>
      <c r="F1017" s="4" t="s">
        <v>7027</v>
      </c>
      <c r="G1017" s="4" t="s">
        <v>5716</v>
      </c>
      <c r="H1017" s="4" t="s">
        <v>5823</v>
      </c>
      <c r="I1017" s="4"/>
      <c r="J1017" s="4" t="s">
        <v>4798</v>
      </c>
      <c r="K1017" s="4" t="s">
        <v>57</v>
      </c>
      <c r="L1017" s="4"/>
      <c r="M1017" s="4"/>
    </row>
    <row r="1018" ht="16" customHeight="1" s="4" customFormat="1">
      <c r="A1018" s="4">
        <v>2957</v>
      </c>
      <c r="B1018" s="4" t="s">
        <v>5499</v>
      </c>
      <c r="C1018" s="4" t="s">
        <v>5590</v>
      </c>
      <c r="D1018" s="4" t="s">
        <v>5574</v>
      </c>
      <c r="E1018" s="4" t="s">
        <v>5575</v>
      </c>
      <c r="F1018" s="4" t="s">
        <v>7028</v>
      </c>
      <c r="G1018" s="4" t="s">
        <v>5716</v>
      </c>
      <c r="H1018" s="4" t="s">
        <v>5823</v>
      </c>
      <c r="I1018" s="4"/>
      <c r="J1018" s="4" t="s">
        <v>4798</v>
      </c>
      <c r="K1018" s="4" t="s">
        <v>57</v>
      </c>
      <c r="L1018" s="4"/>
      <c r="M1018" s="4"/>
    </row>
    <row r="1019" ht="16" customHeight="1" s="4" customFormat="1">
      <c r="A1019" s="4">
        <v>2958</v>
      </c>
      <c r="B1019" s="4" t="s">
        <v>5499</v>
      </c>
      <c r="C1019" s="4" t="s">
        <v>5590</v>
      </c>
      <c r="D1019" s="4" t="s">
        <v>5514</v>
      </c>
      <c r="E1019" s="4" t="s">
        <v>5515</v>
      </c>
      <c r="F1019" s="4" t="s">
        <v>7029</v>
      </c>
      <c r="G1019" s="4" t="s">
        <v>5843</v>
      </c>
      <c r="H1019" s="4" t="s">
        <v>7030</v>
      </c>
      <c r="I1019" s="4"/>
      <c r="J1019" s="4" t="s">
        <v>4798</v>
      </c>
      <c r="K1019" s="4" t="s">
        <v>57</v>
      </c>
      <c r="L1019" s="4"/>
      <c r="M1019" s="4"/>
    </row>
    <row r="1020" ht="16" customHeight="1" s="4" customFormat="1">
      <c r="A1020" s="4">
        <v>2959</v>
      </c>
      <c r="B1020" s="4" t="s">
        <v>5499</v>
      </c>
      <c r="C1020" s="4" t="s">
        <v>5590</v>
      </c>
      <c r="D1020" s="4" t="s">
        <v>5574</v>
      </c>
      <c r="E1020" s="4" t="s">
        <v>5575</v>
      </c>
      <c r="F1020" s="4" t="s">
        <v>7031</v>
      </c>
      <c r="G1020" s="4" t="s">
        <v>5716</v>
      </c>
      <c r="H1020" s="4" t="s">
        <v>6207</v>
      </c>
      <c r="I1020" s="4"/>
      <c r="J1020" s="4" t="s">
        <v>4798</v>
      </c>
      <c r="K1020" s="4" t="s">
        <v>57</v>
      </c>
      <c r="L1020" s="4"/>
      <c r="M1020" s="4"/>
    </row>
    <row r="1021" ht="16" customHeight="1" s="4" customFormat="1">
      <c r="A1021" s="4">
        <v>2960</v>
      </c>
      <c r="B1021" s="4" t="s">
        <v>5499</v>
      </c>
      <c r="C1021" s="4" t="s">
        <v>5590</v>
      </c>
      <c r="D1021" s="4" t="s">
        <v>5574</v>
      </c>
      <c r="E1021" s="4" t="s">
        <v>5575</v>
      </c>
      <c r="F1021" s="4" t="s">
        <v>7032</v>
      </c>
      <c r="G1021" s="4" t="s">
        <v>4850</v>
      </c>
      <c r="H1021" s="4" t="s">
        <v>7033</v>
      </c>
      <c r="I1021" s="4"/>
      <c r="J1021" s="4" t="s">
        <v>4798</v>
      </c>
      <c r="K1021" s="4" t="s">
        <v>57</v>
      </c>
      <c r="L1021" s="4"/>
      <c r="M1021" s="4"/>
    </row>
    <row r="1022" ht="16" customHeight="1" s="4" customFormat="1">
      <c r="A1022" s="4">
        <v>2961</v>
      </c>
      <c r="B1022" s="4" t="s">
        <v>5499</v>
      </c>
      <c r="C1022" s="4" t="s">
        <v>5590</v>
      </c>
      <c r="D1022" s="4" t="s">
        <v>5574</v>
      </c>
      <c r="E1022" s="4" t="s">
        <v>5575</v>
      </c>
      <c r="F1022" s="4" t="s">
        <v>7034</v>
      </c>
      <c r="G1022" s="4" t="s">
        <v>5657</v>
      </c>
      <c r="H1022" s="4" t="s">
        <v>5955</v>
      </c>
      <c r="I1022" s="4"/>
      <c r="J1022" s="4" t="s">
        <v>4842</v>
      </c>
      <c r="K1022" s="4" t="s">
        <v>57</v>
      </c>
      <c r="L1022" s="4"/>
      <c r="M1022" s="4"/>
    </row>
    <row r="1023" ht="16" customHeight="1" s="4" customFormat="1">
      <c r="A1023" s="4">
        <v>2962</v>
      </c>
      <c r="B1023" s="4" t="s">
        <v>5499</v>
      </c>
      <c r="C1023" s="4" t="s">
        <v>5590</v>
      </c>
      <c r="D1023" s="4" t="s">
        <v>5574</v>
      </c>
      <c r="E1023" s="4" t="s">
        <v>5575</v>
      </c>
      <c r="F1023" s="4" t="s">
        <v>7035</v>
      </c>
      <c r="G1023" s="4" t="s">
        <v>7036</v>
      </c>
      <c r="H1023" s="4" t="s">
        <v>7012</v>
      </c>
      <c r="I1023" s="4"/>
      <c r="J1023" s="4" t="s">
        <v>4798</v>
      </c>
      <c r="K1023" s="4" t="s">
        <v>57</v>
      </c>
      <c r="L1023" s="4"/>
      <c r="M1023" s="4"/>
    </row>
    <row r="1024" ht="16" customHeight="1" s="4" customFormat="1">
      <c r="A1024" s="4">
        <v>2963</v>
      </c>
      <c r="B1024" s="4" t="s">
        <v>5499</v>
      </c>
      <c r="C1024" s="4" t="s">
        <v>5590</v>
      </c>
      <c r="D1024" s="4" t="s">
        <v>5574</v>
      </c>
      <c r="E1024" s="4" t="s">
        <v>5575</v>
      </c>
      <c r="F1024" s="4" t="s">
        <v>7037</v>
      </c>
      <c r="G1024" s="4" t="s">
        <v>5657</v>
      </c>
      <c r="H1024" s="4" t="s">
        <v>7038</v>
      </c>
      <c r="I1024" s="4"/>
      <c r="J1024" s="4" t="s">
        <v>4842</v>
      </c>
      <c r="K1024" s="4" t="s">
        <v>57</v>
      </c>
      <c r="L1024" s="4"/>
      <c r="M1024" s="4"/>
    </row>
    <row r="1025" ht="16" customHeight="1" s="4" customFormat="1">
      <c r="A1025" s="4">
        <v>2964</v>
      </c>
      <c r="B1025" s="4" t="s">
        <v>5499</v>
      </c>
      <c r="C1025" s="4" t="s">
        <v>5590</v>
      </c>
      <c r="D1025" s="4" t="s">
        <v>5574</v>
      </c>
      <c r="E1025" s="4" t="s">
        <v>5575</v>
      </c>
      <c r="F1025" s="4" t="s">
        <v>7039</v>
      </c>
      <c r="G1025" s="4" t="s">
        <v>7040</v>
      </c>
      <c r="H1025" s="4" t="s">
        <v>7041</v>
      </c>
      <c r="I1025" s="4"/>
      <c r="J1025" s="4" t="s">
        <v>4798</v>
      </c>
      <c r="K1025" s="4" t="s">
        <v>57</v>
      </c>
      <c r="L1025" s="4"/>
      <c r="M1025" s="4"/>
    </row>
    <row r="1026" ht="16" customHeight="1" s="4" customFormat="1">
      <c r="A1026" s="4">
        <v>2965</v>
      </c>
      <c r="B1026" s="4" t="s">
        <v>5499</v>
      </c>
      <c r="C1026" s="4" t="s">
        <v>5590</v>
      </c>
      <c r="D1026" s="4" t="s">
        <v>5574</v>
      </c>
      <c r="E1026" s="4" t="s">
        <v>5575</v>
      </c>
      <c r="F1026" s="4" t="s">
        <v>7042</v>
      </c>
      <c r="G1026" s="4" t="s">
        <v>7011</v>
      </c>
      <c r="H1026" s="4" t="s">
        <v>7012</v>
      </c>
      <c r="I1026" s="4"/>
      <c r="J1026" s="4" t="s">
        <v>4798</v>
      </c>
      <c r="K1026" s="4" t="s">
        <v>57</v>
      </c>
      <c r="L1026" s="4"/>
      <c r="M1026" s="4"/>
    </row>
    <row r="1027" ht="16" customHeight="1" s="4" customFormat="1">
      <c r="A1027" s="4">
        <v>2966</v>
      </c>
      <c r="B1027" s="4" t="s">
        <v>5499</v>
      </c>
      <c r="C1027" s="4" t="s">
        <v>5590</v>
      </c>
      <c r="D1027" s="4" t="s">
        <v>5574</v>
      </c>
      <c r="E1027" s="4" t="s">
        <v>5575</v>
      </c>
      <c r="F1027" s="4" t="s">
        <v>7043</v>
      </c>
      <c r="G1027" s="4" t="s">
        <v>6419</v>
      </c>
      <c r="H1027" s="4" t="s">
        <v>7005</v>
      </c>
      <c r="I1027" s="4"/>
      <c r="J1027" s="4" t="s">
        <v>4798</v>
      </c>
      <c r="K1027" s="4" t="s">
        <v>57</v>
      </c>
      <c r="L1027" s="4"/>
      <c r="M1027" s="4"/>
    </row>
    <row r="1028" ht="16" customHeight="1" s="4" customFormat="1">
      <c r="A1028" s="4">
        <v>2967</v>
      </c>
      <c r="B1028" s="4" t="s">
        <v>5499</v>
      </c>
      <c r="C1028" s="4" t="s">
        <v>5590</v>
      </c>
      <c r="D1028" s="4" t="s">
        <v>5574</v>
      </c>
      <c r="E1028" s="4" t="s">
        <v>5575</v>
      </c>
      <c r="F1028" s="4" t="s">
        <v>7044</v>
      </c>
      <c r="G1028" s="4" t="s">
        <v>5843</v>
      </c>
      <c r="H1028" s="4" t="s">
        <v>5823</v>
      </c>
      <c r="I1028" s="4"/>
      <c r="J1028" s="4" t="s">
        <v>4798</v>
      </c>
      <c r="K1028" s="4" t="s">
        <v>57</v>
      </c>
      <c r="L1028" s="4"/>
      <c r="M1028" s="4"/>
    </row>
    <row r="1029" ht="16" customHeight="1" s="4" customFormat="1">
      <c r="A1029" s="4">
        <v>2968</v>
      </c>
      <c r="B1029" s="4" t="s">
        <v>5499</v>
      </c>
      <c r="C1029" s="4" t="s">
        <v>7045</v>
      </c>
      <c r="D1029" s="4" t="s">
        <v>5574</v>
      </c>
      <c r="E1029" s="4" t="s">
        <v>7046</v>
      </c>
      <c r="F1029" s="4" t="s">
        <v>7047</v>
      </c>
      <c r="G1029" s="4" t="s">
        <v>4850</v>
      </c>
      <c r="H1029" s="4" t="s">
        <v>7048</v>
      </c>
      <c r="I1029" s="4"/>
      <c r="J1029" s="4" t="s">
        <v>5506</v>
      </c>
      <c r="K1029" s="4" t="s">
        <v>57</v>
      </c>
      <c r="L1029" s="4"/>
      <c r="M1029" s="4"/>
    </row>
    <row r="1030" ht="16" customHeight="1" s="4" customFormat="1">
      <c r="A1030" s="4">
        <v>2969</v>
      </c>
      <c r="B1030" s="4" t="s">
        <v>5499</v>
      </c>
      <c r="C1030" s="4" t="s">
        <v>5590</v>
      </c>
      <c r="D1030" s="4" t="s">
        <v>5574</v>
      </c>
      <c r="E1030" s="4" t="s">
        <v>5575</v>
      </c>
      <c r="F1030" s="4" t="s">
        <v>7049</v>
      </c>
      <c r="G1030" s="4" t="s">
        <v>5657</v>
      </c>
      <c r="H1030" s="4" t="s">
        <v>5823</v>
      </c>
      <c r="I1030" s="4"/>
      <c r="J1030" s="4" t="s">
        <v>4798</v>
      </c>
      <c r="K1030" s="4" t="s">
        <v>57</v>
      </c>
      <c r="L1030" s="4"/>
      <c r="M1030" s="4"/>
    </row>
    <row r="1031" ht="16" customHeight="1" s="4" customFormat="1">
      <c r="A1031" s="4">
        <v>2970</v>
      </c>
      <c r="B1031" s="4" t="s">
        <v>5499</v>
      </c>
      <c r="C1031" s="4" t="s">
        <v>5590</v>
      </c>
      <c r="D1031" s="4" t="s">
        <v>5574</v>
      </c>
      <c r="E1031" s="4" t="s">
        <v>5575</v>
      </c>
      <c r="F1031" s="4" t="s">
        <v>7050</v>
      </c>
      <c r="G1031" s="4" t="s">
        <v>5716</v>
      </c>
      <c r="H1031" s="4" t="s">
        <v>6211</v>
      </c>
      <c r="I1031" s="4"/>
      <c r="J1031" s="4" t="s">
        <v>4798</v>
      </c>
      <c r="K1031" s="4" t="s">
        <v>57</v>
      </c>
      <c r="L1031" s="4"/>
      <c r="M1031" s="4"/>
    </row>
    <row r="1032" ht="16" customHeight="1" s="4" customFormat="1">
      <c r="A1032" s="4">
        <v>2971</v>
      </c>
      <c r="B1032" s="4" t="s">
        <v>5499</v>
      </c>
      <c r="C1032" s="4" t="s">
        <v>5590</v>
      </c>
      <c r="D1032" s="4" t="s">
        <v>5574</v>
      </c>
      <c r="E1032" s="4" t="s">
        <v>5575</v>
      </c>
      <c r="F1032" s="4" t="s">
        <v>7051</v>
      </c>
      <c r="G1032" s="4" t="s">
        <v>7052</v>
      </c>
      <c r="H1032" s="4" t="s">
        <v>7053</v>
      </c>
      <c r="I1032" s="4"/>
      <c r="J1032" s="4" t="s">
        <v>4798</v>
      </c>
      <c r="K1032" s="4" t="s">
        <v>57</v>
      </c>
      <c r="L1032" s="4"/>
      <c r="M1032" s="4"/>
    </row>
    <row r="1033" ht="16" customHeight="1" s="4" customFormat="1">
      <c r="A1033" s="4">
        <v>2972</v>
      </c>
      <c r="B1033" s="4" t="s">
        <v>5499</v>
      </c>
      <c r="C1033" s="4" t="s">
        <v>5590</v>
      </c>
      <c r="D1033" s="4" t="s">
        <v>5574</v>
      </c>
      <c r="E1033" s="4" t="s">
        <v>5575</v>
      </c>
      <c r="F1033" s="4" t="s">
        <v>7054</v>
      </c>
      <c r="G1033" s="4" t="s">
        <v>5930</v>
      </c>
      <c r="H1033" s="4" t="s">
        <v>7030</v>
      </c>
      <c r="I1033" s="4"/>
      <c r="J1033" s="4" t="s">
        <v>4798</v>
      </c>
      <c r="K1033" s="4" t="s">
        <v>57</v>
      </c>
      <c r="L1033" s="4"/>
      <c r="M1033" s="4"/>
    </row>
    <row r="1034" ht="16" customHeight="1" s="4" customFormat="1">
      <c r="A1034" s="4">
        <v>2973</v>
      </c>
      <c r="B1034" s="4" t="s">
        <v>5499</v>
      </c>
      <c r="C1034" s="4" t="s">
        <v>5590</v>
      </c>
      <c r="D1034" s="4" t="s">
        <v>5574</v>
      </c>
      <c r="E1034" s="4" t="s">
        <v>5575</v>
      </c>
      <c r="F1034" s="4" t="s">
        <v>7055</v>
      </c>
      <c r="G1034" s="4" t="s">
        <v>5716</v>
      </c>
      <c r="H1034" s="4" t="s">
        <v>5823</v>
      </c>
      <c r="I1034" s="4"/>
      <c r="J1034" s="4" t="s">
        <v>4798</v>
      </c>
      <c r="K1034" s="4" t="s">
        <v>57</v>
      </c>
      <c r="L1034" s="4"/>
      <c r="M1034" s="4"/>
    </row>
    <row r="1035" ht="16" customHeight="1" s="4" customFormat="1">
      <c r="A1035" s="4">
        <v>2974</v>
      </c>
      <c r="B1035" s="4" t="s">
        <v>5499</v>
      </c>
      <c r="C1035" s="4" t="s">
        <v>5590</v>
      </c>
      <c r="D1035" s="4" t="s">
        <v>5574</v>
      </c>
      <c r="E1035" s="4" t="s">
        <v>5575</v>
      </c>
      <c r="F1035" s="4" t="s">
        <v>7056</v>
      </c>
      <c r="G1035" s="4" t="s">
        <v>5822</v>
      </c>
      <c r="H1035" s="4" t="s">
        <v>5823</v>
      </c>
      <c r="I1035" s="4"/>
      <c r="J1035" s="4" t="s">
        <v>4798</v>
      </c>
      <c r="K1035" s="4" t="s">
        <v>57</v>
      </c>
      <c r="L1035" s="4"/>
      <c r="M1035" s="4"/>
    </row>
    <row r="1036" ht="16" customHeight="1" s="4" customFormat="1">
      <c r="A1036" s="4">
        <v>2975</v>
      </c>
      <c r="B1036" s="4" t="s">
        <v>5499</v>
      </c>
      <c r="C1036" s="4" t="s">
        <v>5590</v>
      </c>
      <c r="D1036" s="4" t="s">
        <v>5574</v>
      </c>
      <c r="E1036" s="4" t="s">
        <v>5575</v>
      </c>
      <c r="F1036" s="4" t="s">
        <v>7057</v>
      </c>
      <c r="G1036" s="4" t="s">
        <v>7040</v>
      </c>
      <c r="H1036" s="4" t="s">
        <v>7041</v>
      </c>
      <c r="I1036" s="4"/>
      <c r="J1036" s="4" t="s">
        <v>4798</v>
      </c>
      <c r="K1036" s="4" t="s">
        <v>57</v>
      </c>
      <c r="L1036" s="4"/>
      <c r="M1036" s="4"/>
    </row>
    <row r="1037" ht="16" customHeight="1" s="4" customFormat="1">
      <c r="A1037" s="4">
        <v>2976</v>
      </c>
      <c r="B1037" s="4" t="s">
        <v>5499</v>
      </c>
      <c r="C1037" s="4" t="s">
        <v>5590</v>
      </c>
      <c r="D1037" s="4" t="s">
        <v>5574</v>
      </c>
      <c r="E1037" s="4" t="s">
        <v>5575</v>
      </c>
      <c r="F1037" s="4" t="s">
        <v>7058</v>
      </c>
      <c r="G1037" s="4" t="s">
        <v>5716</v>
      </c>
      <c r="H1037" s="4" t="s">
        <v>7012</v>
      </c>
      <c r="I1037" s="4"/>
      <c r="J1037" s="4" t="s">
        <v>4798</v>
      </c>
      <c r="K1037" s="4" t="s">
        <v>57</v>
      </c>
      <c r="L1037" s="4"/>
      <c r="M1037" s="4"/>
    </row>
    <row r="1038" ht="16" customHeight="1" s="4" customFormat="1">
      <c r="A1038" s="4">
        <v>2977</v>
      </c>
      <c r="B1038" s="4" t="s">
        <v>5499</v>
      </c>
      <c r="C1038" s="4" t="s">
        <v>5590</v>
      </c>
      <c r="D1038" s="4" t="s">
        <v>5574</v>
      </c>
      <c r="E1038" s="4" t="s">
        <v>5575</v>
      </c>
      <c r="F1038" s="4" t="s">
        <v>7059</v>
      </c>
      <c r="G1038" s="4" t="s">
        <v>5930</v>
      </c>
      <c r="H1038" s="4" t="s">
        <v>7030</v>
      </c>
      <c r="I1038" s="4"/>
      <c r="J1038" s="4" t="s">
        <v>5506</v>
      </c>
      <c r="K1038" s="4" t="s">
        <v>57</v>
      </c>
      <c r="L1038" s="4"/>
      <c r="M1038" s="4"/>
    </row>
    <row r="1039" ht="16" customHeight="1" s="4" customFormat="1">
      <c r="A1039" s="4">
        <v>2978</v>
      </c>
      <c r="B1039" s="4" t="s">
        <v>5499</v>
      </c>
      <c r="C1039" s="4" t="s">
        <v>5590</v>
      </c>
      <c r="D1039" s="4" t="s">
        <v>5574</v>
      </c>
      <c r="E1039" s="4" t="s">
        <v>5575</v>
      </c>
      <c r="F1039" s="4" t="s">
        <v>7060</v>
      </c>
      <c r="G1039" s="4" t="s">
        <v>5716</v>
      </c>
      <c r="H1039" s="4" t="s">
        <v>5823</v>
      </c>
      <c r="I1039" s="4"/>
      <c r="J1039" s="4" t="s">
        <v>4798</v>
      </c>
      <c r="K1039" s="4" t="s">
        <v>57</v>
      </c>
      <c r="L1039" s="4"/>
      <c r="M1039" s="4"/>
    </row>
    <row r="1040" ht="16" customHeight="1" s="4" customFormat="1">
      <c r="A1040" s="4">
        <v>2979</v>
      </c>
      <c r="B1040" s="4" t="s">
        <v>5499</v>
      </c>
      <c r="C1040" s="4" t="s">
        <v>5590</v>
      </c>
      <c r="D1040" s="4" t="s">
        <v>5574</v>
      </c>
      <c r="E1040" s="4" t="s">
        <v>5575</v>
      </c>
      <c r="F1040" s="4" t="s">
        <v>7061</v>
      </c>
      <c r="G1040" s="4" t="s">
        <v>4850</v>
      </c>
      <c r="H1040" s="4" t="s">
        <v>7062</v>
      </c>
      <c r="I1040" s="4"/>
      <c r="J1040" s="4" t="s">
        <v>4798</v>
      </c>
      <c r="K1040" s="4" t="s">
        <v>57</v>
      </c>
      <c r="L1040" s="4"/>
      <c r="M1040" s="4"/>
    </row>
    <row r="1041" ht="16" customHeight="1" s="4" customFormat="1">
      <c r="A1041" s="4">
        <v>2980</v>
      </c>
      <c r="B1041" s="4" t="s">
        <v>5499</v>
      </c>
      <c r="C1041" s="4" t="s">
        <v>5590</v>
      </c>
      <c r="D1041" s="4" t="s">
        <v>5574</v>
      </c>
      <c r="E1041" s="4" t="s">
        <v>5575</v>
      </c>
      <c r="F1041" s="4" t="s">
        <v>7063</v>
      </c>
      <c r="G1041" s="4" t="s">
        <v>5843</v>
      </c>
      <c r="H1041" s="4" t="s">
        <v>5823</v>
      </c>
      <c r="I1041" s="4"/>
      <c r="J1041" s="4" t="s">
        <v>4798</v>
      </c>
      <c r="K1041" s="4" t="s">
        <v>57</v>
      </c>
      <c r="L1041" s="4"/>
      <c r="M1041" s="4"/>
    </row>
    <row r="1042" ht="16" customHeight="1" s="4" customFormat="1">
      <c r="A1042" s="4">
        <v>2981</v>
      </c>
      <c r="B1042" s="4" t="s">
        <v>5499</v>
      </c>
      <c r="C1042" s="4" t="s">
        <v>5590</v>
      </c>
      <c r="D1042" s="4" t="s">
        <v>5574</v>
      </c>
      <c r="E1042" s="4" t="s">
        <v>5575</v>
      </c>
      <c r="F1042" s="4" t="s">
        <v>7064</v>
      </c>
      <c r="G1042" s="4" t="s">
        <v>7065</v>
      </c>
      <c r="H1042" s="4" t="s">
        <v>6207</v>
      </c>
      <c r="I1042" s="4"/>
      <c r="J1042" s="4" t="s">
        <v>4798</v>
      </c>
      <c r="K1042" s="4" t="s">
        <v>57</v>
      </c>
      <c r="L1042" s="4"/>
      <c r="M1042" s="4"/>
    </row>
    <row r="1043" ht="16" customHeight="1" s="4" customFormat="1">
      <c r="A1043" s="4">
        <v>2982</v>
      </c>
      <c r="B1043" s="4" t="s">
        <v>5499</v>
      </c>
      <c r="C1043" s="4" t="s">
        <v>5590</v>
      </c>
      <c r="D1043" s="4" t="s">
        <v>5574</v>
      </c>
      <c r="E1043" s="4" t="s">
        <v>5575</v>
      </c>
      <c r="F1043" s="4" t="s">
        <v>7066</v>
      </c>
      <c r="G1043" s="4" t="s">
        <v>5716</v>
      </c>
      <c r="H1043" s="4" t="s">
        <v>7012</v>
      </c>
      <c r="I1043" s="4"/>
      <c r="J1043" s="4" t="s">
        <v>4798</v>
      </c>
      <c r="K1043" s="4" t="s">
        <v>57</v>
      </c>
      <c r="L1043" s="4"/>
      <c r="M1043" s="4"/>
    </row>
    <row r="1044" ht="16" customHeight="1" s="4" customFormat="1">
      <c r="A1044" s="4">
        <v>2983</v>
      </c>
      <c r="B1044" s="4" t="s">
        <v>5499</v>
      </c>
      <c r="C1044" s="4" t="s">
        <v>5590</v>
      </c>
      <c r="D1044" s="4" t="s">
        <v>5574</v>
      </c>
      <c r="E1044" s="4" t="s">
        <v>5575</v>
      </c>
      <c r="F1044" s="4" t="s">
        <v>7067</v>
      </c>
      <c r="G1044" s="4" t="s">
        <v>5716</v>
      </c>
      <c r="H1044" s="4" t="s">
        <v>7012</v>
      </c>
      <c r="I1044" s="4"/>
      <c r="J1044" s="4" t="s">
        <v>4798</v>
      </c>
      <c r="K1044" s="4" t="s">
        <v>57</v>
      </c>
      <c r="L1044" s="4"/>
      <c r="M1044" s="4"/>
    </row>
    <row r="1045" ht="16" customHeight="1" s="4" customFormat="1">
      <c r="A1045" s="4">
        <v>2984</v>
      </c>
      <c r="B1045" s="4" t="s">
        <v>5499</v>
      </c>
      <c r="C1045" s="4" t="s">
        <v>5590</v>
      </c>
      <c r="D1045" s="4" t="s">
        <v>5574</v>
      </c>
      <c r="E1045" s="4" t="s">
        <v>5575</v>
      </c>
      <c r="F1045" s="4" t="s">
        <v>7068</v>
      </c>
      <c r="G1045" s="4" t="s">
        <v>6419</v>
      </c>
      <c r="H1045" s="4" t="s">
        <v>7005</v>
      </c>
      <c r="I1045" s="4"/>
      <c r="J1045" s="4" t="s">
        <v>4798</v>
      </c>
      <c r="K1045" s="4" t="s">
        <v>57</v>
      </c>
      <c r="L1045" s="4"/>
      <c r="M1045" s="4"/>
    </row>
    <row r="1046" ht="16" customHeight="1" s="4" customFormat="1">
      <c r="A1046" s="4">
        <v>2985</v>
      </c>
      <c r="B1046" s="4" t="s">
        <v>5499</v>
      </c>
      <c r="C1046" s="4" t="s">
        <v>5590</v>
      </c>
      <c r="D1046" s="4" t="s">
        <v>5574</v>
      </c>
      <c r="E1046" s="4" t="s">
        <v>5575</v>
      </c>
      <c r="F1046" s="4" t="s">
        <v>7069</v>
      </c>
      <c r="G1046" s="4" t="s">
        <v>5716</v>
      </c>
      <c r="H1046" s="4" t="s">
        <v>6211</v>
      </c>
      <c r="I1046" s="4"/>
      <c r="J1046" s="4" t="s">
        <v>5506</v>
      </c>
      <c r="K1046" s="4" t="s">
        <v>57</v>
      </c>
      <c r="L1046" s="4"/>
      <c r="M1046" s="4"/>
    </row>
    <row r="1047" ht="16" customHeight="1" s="4" customFormat="1">
      <c r="A1047" s="4">
        <v>2986</v>
      </c>
      <c r="B1047" s="4" t="s">
        <v>5499</v>
      </c>
      <c r="C1047" s="4" t="s">
        <v>5590</v>
      </c>
      <c r="D1047" s="4" t="s">
        <v>5574</v>
      </c>
      <c r="E1047" s="4" t="s">
        <v>5575</v>
      </c>
      <c r="F1047" s="4" t="s">
        <v>7070</v>
      </c>
      <c r="G1047" s="4" t="s">
        <v>5680</v>
      </c>
      <c r="H1047" s="4" t="s">
        <v>6207</v>
      </c>
      <c r="I1047" s="4"/>
      <c r="J1047" s="4" t="s">
        <v>4798</v>
      </c>
      <c r="K1047" s="4" t="s">
        <v>57</v>
      </c>
      <c r="L1047" s="4"/>
      <c r="M1047" s="4"/>
    </row>
    <row r="1048" ht="16" customHeight="1" s="4" customFormat="1">
      <c r="A1048" s="4">
        <v>2987</v>
      </c>
      <c r="B1048" s="4" t="s">
        <v>5499</v>
      </c>
      <c r="C1048" s="4" t="s">
        <v>7045</v>
      </c>
      <c r="D1048" s="4" t="s">
        <v>5574</v>
      </c>
      <c r="E1048" s="4" t="s">
        <v>7046</v>
      </c>
      <c r="F1048" s="4" t="s">
        <v>7071</v>
      </c>
      <c r="G1048" s="4" t="s">
        <v>5680</v>
      </c>
      <c r="H1048" s="4" t="s">
        <v>7072</v>
      </c>
      <c r="I1048" s="4"/>
      <c r="J1048" s="4" t="s">
        <v>5506</v>
      </c>
      <c r="K1048" s="4" t="s">
        <v>57</v>
      </c>
      <c r="L1048" s="4"/>
      <c r="M1048" s="4"/>
    </row>
    <row r="1049" ht="16" customHeight="1" s="4" customFormat="1">
      <c r="A1049" s="4">
        <v>2988</v>
      </c>
      <c r="B1049" s="4" t="s">
        <v>5499</v>
      </c>
      <c r="C1049" s="4" t="s">
        <v>5590</v>
      </c>
      <c r="D1049" s="4" t="s">
        <v>5574</v>
      </c>
      <c r="E1049" s="4" t="s">
        <v>5575</v>
      </c>
      <c r="F1049" s="4" t="s">
        <v>7073</v>
      </c>
      <c r="G1049" s="4" t="s">
        <v>5843</v>
      </c>
      <c r="H1049" s="4" t="s">
        <v>7009</v>
      </c>
      <c r="I1049" s="4"/>
      <c r="J1049" s="4" t="s">
        <v>4842</v>
      </c>
      <c r="K1049" s="4" t="s">
        <v>57</v>
      </c>
      <c r="L1049" s="4"/>
      <c r="M1049" s="4"/>
    </row>
    <row r="1050" ht="16" customHeight="1" s="4" customFormat="1">
      <c r="A1050" s="4">
        <v>2989</v>
      </c>
      <c r="B1050" s="4" t="s">
        <v>5499</v>
      </c>
      <c r="C1050" s="4" t="s">
        <v>5590</v>
      </c>
      <c r="D1050" s="4" t="s">
        <v>5574</v>
      </c>
      <c r="E1050" s="4" t="s">
        <v>5575</v>
      </c>
      <c r="F1050" s="4" t="s">
        <v>7074</v>
      </c>
      <c r="G1050" s="4" t="s">
        <v>5843</v>
      </c>
      <c r="H1050" s="4" t="s">
        <v>7075</v>
      </c>
      <c r="I1050" s="4"/>
      <c r="J1050" s="4" t="s">
        <v>4798</v>
      </c>
      <c r="K1050" s="4" t="s">
        <v>57</v>
      </c>
      <c r="L1050" s="4"/>
      <c r="M1050" s="4"/>
    </row>
    <row r="1051" ht="16" customHeight="1" s="4" customFormat="1">
      <c r="A1051" s="4">
        <v>2990</v>
      </c>
      <c r="B1051" s="4" t="s">
        <v>5499</v>
      </c>
      <c r="C1051" s="4" t="s">
        <v>5590</v>
      </c>
      <c r="D1051" s="4" t="s">
        <v>5574</v>
      </c>
      <c r="E1051" s="4" t="s">
        <v>5575</v>
      </c>
      <c r="F1051" s="4" t="s">
        <v>7076</v>
      </c>
      <c r="G1051" s="4" t="s">
        <v>7077</v>
      </c>
      <c r="H1051" s="4" t="s">
        <v>7075</v>
      </c>
      <c r="I1051" s="4"/>
      <c r="J1051" s="4" t="s">
        <v>4798</v>
      </c>
      <c r="K1051" s="4" t="s">
        <v>57</v>
      </c>
      <c r="L1051" s="4"/>
      <c r="M1051" s="4"/>
    </row>
    <row r="1052" ht="16" customHeight="1" s="4" customFormat="1">
      <c r="A1052" s="4">
        <v>2991</v>
      </c>
      <c r="B1052" s="4" t="s">
        <v>5499</v>
      </c>
      <c r="C1052" s="4" t="s">
        <v>5590</v>
      </c>
      <c r="D1052" s="4" t="s">
        <v>5574</v>
      </c>
      <c r="E1052" s="4" t="s">
        <v>5575</v>
      </c>
      <c r="F1052" s="4" t="s">
        <v>7078</v>
      </c>
      <c r="G1052" s="4" t="s">
        <v>5716</v>
      </c>
      <c r="H1052" s="4" t="s">
        <v>5823</v>
      </c>
      <c r="I1052" s="4"/>
      <c r="J1052" s="4" t="s">
        <v>4798</v>
      </c>
      <c r="K1052" s="4" t="s">
        <v>57</v>
      </c>
      <c r="L1052" s="4"/>
      <c r="M1052" s="4"/>
    </row>
    <row r="1053" ht="16" customHeight="1" s="4" customFormat="1">
      <c r="A1053" s="4">
        <v>2992</v>
      </c>
      <c r="B1053" s="4" t="s">
        <v>5499</v>
      </c>
      <c r="C1053" s="4" t="s">
        <v>5590</v>
      </c>
      <c r="D1053" s="4" t="s">
        <v>5574</v>
      </c>
      <c r="E1053" s="4" t="s">
        <v>5575</v>
      </c>
      <c r="F1053" s="4" t="s">
        <v>7079</v>
      </c>
      <c r="G1053" s="4" t="s">
        <v>6419</v>
      </c>
      <c r="H1053" s="4" t="s">
        <v>7005</v>
      </c>
      <c r="I1053" s="4"/>
      <c r="J1053" s="4" t="s">
        <v>4798</v>
      </c>
      <c r="K1053" s="4" t="s">
        <v>57</v>
      </c>
      <c r="L1053" s="4"/>
      <c r="M1053" s="4"/>
    </row>
    <row r="1054" ht="16" customHeight="1" s="4" customFormat="1">
      <c r="A1054" s="4">
        <v>2993</v>
      </c>
      <c r="B1054" s="4" t="s">
        <v>5499</v>
      </c>
      <c r="C1054" s="4" t="s">
        <v>5590</v>
      </c>
      <c r="D1054" s="4" t="s">
        <v>5574</v>
      </c>
      <c r="E1054" s="4" t="s">
        <v>5575</v>
      </c>
      <c r="F1054" s="4" t="s">
        <v>7080</v>
      </c>
      <c r="G1054" s="4" t="s">
        <v>5716</v>
      </c>
      <c r="H1054" s="4" t="s">
        <v>7012</v>
      </c>
      <c r="I1054" s="4"/>
      <c r="J1054" s="4" t="s">
        <v>4798</v>
      </c>
      <c r="K1054" s="4" t="s">
        <v>57</v>
      </c>
      <c r="L1054" s="4"/>
      <c r="M1054" s="4"/>
    </row>
    <row r="1055" ht="16" customHeight="1" s="4" customFormat="1">
      <c r="A1055" s="4">
        <v>2994</v>
      </c>
      <c r="B1055" s="4" t="s">
        <v>5499</v>
      </c>
      <c r="C1055" s="4" t="s">
        <v>5590</v>
      </c>
      <c r="D1055" s="4" t="s">
        <v>5574</v>
      </c>
      <c r="E1055" s="4" t="s">
        <v>5575</v>
      </c>
      <c r="F1055" s="4" t="s">
        <v>7081</v>
      </c>
      <c r="G1055" s="4" t="s">
        <v>4850</v>
      </c>
      <c r="H1055" s="4" t="s">
        <v>7022</v>
      </c>
      <c r="I1055" s="4"/>
      <c r="J1055" s="4" t="s">
        <v>4798</v>
      </c>
      <c r="K1055" s="4" t="s">
        <v>57</v>
      </c>
      <c r="L1055" s="4"/>
      <c r="M1055" s="4"/>
    </row>
    <row r="1056" ht="16" customHeight="1" s="4" customFormat="1">
      <c r="A1056" s="4">
        <v>2995</v>
      </c>
      <c r="B1056" s="4" t="s">
        <v>5499</v>
      </c>
      <c r="C1056" s="4" t="s">
        <v>5590</v>
      </c>
      <c r="D1056" s="4" t="s">
        <v>5574</v>
      </c>
      <c r="E1056" s="4" t="s">
        <v>5575</v>
      </c>
      <c r="F1056" s="4" t="s">
        <v>7082</v>
      </c>
      <c r="G1056" s="4" t="s">
        <v>5680</v>
      </c>
      <c r="H1056" s="4" t="s">
        <v>7030</v>
      </c>
      <c r="I1056" s="4"/>
      <c r="J1056" s="4" t="s">
        <v>4798</v>
      </c>
      <c r="K1056" s="4" t="s">
        <v>57</v>
      </c>
      <c r="L1056" s="4"/>
      <c r="M1056" s="4"/>
    </row>
    <row r="1057" ht="16" customHeight="1" s="4" customFormat="1">
      <c r="A1057" s="4">
        <v>2996</v>
      </c>
      <c r="B1057" s="4" t="s">
        <v>5499</v>
      </c>
      <c r="C1057" s="4" t="s">
        <v>5590</v>
      </c>
      <c r="D1057" s="4" t="s">
        <v>5574</v>
      </c>
      <c r="E1057" s="4" t="s">
        <v>5575</v>
      </c>
      <c r="F1057" s="4" t="s">
        <v>7083</v>
      </c>
      <c r="G1057" s="4" t="s">
        <v>7084</v>
      </c>
      <c r="H1057" s="4" t="s">
        <v>7012</v>
      </c>
      <c r="I1057" s="4"/>
      <c r="J1057" s="4" t="s">
        <v>4798</v>
      </c>
      <c r="K1057" s="4" t="s">
        <v>57</v>
      </c>
      <c r="L1057" s="4"/>
      <c r="M1057" s="4"/>
    </row>
    <row r="1058" ht="16" customHeight="1" s="4" customFormat="1">
      <c r="A1058" s="4">
        <v>2997</v>
      </c>
      <c r="B1058" s="4" t="s">
        <v>5499</v>
      </c>
      <c r="C1058" s="4" t="s">
        <v>5590</v>
      </c>
      <c r="D1058" s="4" t="s">
        <v>5574</v>
      </c>
      <c r="E1058" s="4" t="s">
        <v>5575</v>
      </c>
      <c r="F1058" s="4" t="s">
        <v>7085</v>
      </c>
      <c r="G1058" s="4" t="s">
        <v>7086</v>
      </c>
      <c r="H1058" s="4" t="s">
        <v>7011</v>
      </c>
      <c r="I1058" s="4"/>
      <c r="J1058" s="4" t="s">
        <v>4798</v>
      </c>
      <c r="K1058" s="4" t="s">
        <v>57</v>
      </c>
      <c r="L1058" s="4"/>
      <c r="M1058" s="4"/>
    </row>
    <row r="1059" ht="16" customHeight="1" s="4" customFormat="1">
      <c r="A1059" s="4">
        <v>2998</v>
      </c>
      <c r="B1059" s="4" t="s">
        <v>5499</v>
      </c>
      <c r="C1059" s="4" t="s">
        <v>5590</v>
      </c>
      <c r="D1059" s="4" t="s">
        <v>5574</v>
      </c>
      <c r="E1059" s="4" t="s">
        <v>5575</v>
      </c>
      <c r="F1059" s="4" t="s">
        <v>7087</v>
      </c>
      <c r="G1059" s="4" t="s">
        <v>7014</v>
      </c>
      <c r="H1059" s="4" t="s">
        <v>7015</v>
      </c>
      <c r="I1059" s="4"/>
      <c r="J1059" s="4" t="s">
        <v>4798</v>
      </c>
      <c r="K1059" s="4" t="s">
        <v>57</v>
      </c>
      <c r="L1059" s="4"/>
      <c r="M1059" s="4"/>
    </row>
    <row r="1060" ht="16" customHeight="1" s="4" customFormat="1">
      <c r="A1060" s="4">
        <v>2999</v>
      </c>
      <c r="B1060" s="4" t="s">
        <v>5499</v>
      </c>
      <c r="C1060" s="4" t="s">
        <v>5590</v>
      </c>
      <c r="D1060" s="4" t="s">
        <v>5574</v>
      </c>
      <c r="E1060" s="4" t="s">
        <v>5575</v>
      </c>
      <c r="F1060" s="4" t="s">
        <v>7088</v>
      </c>
      <c r="G1060" s="4" t="s">
        <v>5843</v>
      </c>
      <c r="H1060" s="4" t="s">
        <v>7075</v>
      </c>
      <c r="I1060" s="4"/>
      <c r="J1060" s="4" t="s">
        <v>4798</v>
      </c>
      <c r="K1060" s="4" t="s">
        <v>57</v>
      </c>
      <c r="L1060" s="4"/>
      <c r="M1060" s="4"/>
    </row>
    <row r="1061" ht="16" customHeight="1" s="4" customFormat="1">
      <c r="A1061" s="4">
        <v>3000</v>
      </c>
      <c r="B1061" s="4" t="s">
        <v>5499</v>
      </c>
      <c r="C1061" s="4" t="s">
        <v>5590</v>
      </c>
      <c r="D1061" s="4" t="s">
        <v>5574</v>
      </c>
      <c r="E1061" s="4" t="s">
        <v>5575</v>
      </c>
      <c r="F1061" s="4" t="s">
        <v>7089</v>
      </c>
      <c r="G1061" s="4" t="s">
        <v>7014</v>
      </c>
      <c r="H1061" s="4" t="s">
        <v>7015</v>
      </c>
      <c r="I1061" s="4"/>
      <c r="J1061" s="4" t="s">
        <v>4798</v>
      </c>
      <c r="K1061" s="4" t="s">
        <v>57</v>
      </c>
      <c r="L1061" s="4"/>
      <c r="M1061" s="4"/>
    </row>
    <row r="1062" ht="16" customHeight="1" s="4" customFormat="1">
      <c r="A1062" s="4">
        <v>3001</v>
      </c>
      <c r="B1062" s="4" t="s">
        <v>5499</v>
      </c>
      <c r="C1062" s="4" t="s">
        <v>5590</v>
      </c>
      <c r="D1062" s="4" t="s">
        <v>5574</v>
      </c>
      <c r="E1062" s="4" t="s">
        <v>5575</v>
      </c>
      <c r="F1062" s="4" t="s">
        <v>7090</v>
      </c>
      <c r="G1062" s="4" t="s">
        <v>5716</v>
      </c>
      <c r="H1062" s="4" t="s">
        <v>6211</v>
      </c>
      <c r="I1062" s="4"/>
      <c r="J1062" s="4" t="s">
        <v>4798</v>
      </c>
      <c r="K1062" s="4" t="s">
        <v>57</v>
      </c>
      <c r="L1062" s="4"/>
      <c r="M1062" s="4"/>
    </row>
    <row r="1063" ht="16" customHeight="1" s="4" customFormat="1">
      <c r="A1063" s="4">
        <v>3002</v>
      </c>
      <c r="B1063" s="4" t="s">
        <v>5499</v>
      </c>
      <c r="C1063" s="4" t="s">
        <v>5590</v>
      </c>
      <c r="D1063" s="4" t="s">
        <v>5574</v>
      </c>
      <c r="E1063" s="4" t="s">
        <v>5575</v>
      </c>
      <c r="F1063" s="4" t="s">
        <v>7091</v>
      </c>
      <c r="G1063" s="4" t="s">
        <v>5716</v>
      </c>
      <c r="H1063" s="4" t="s">
        <v>6207</v>
      </c>
      <c r="I1063" s="4"/>
      <c r="J1063" s="4" t="s">
        <v>4798</v>
      </c>
      <c r="K1063" s="4" t="s">
        <v>57</v>
      </c>
      <c r="L1063" s="4"/>
      <c r="M1063" s="4"/>
    </row>
    <row r="1064" ht="16" customHeight="1" s="4" customFormat="1">
      <c r="A1064" s="4">
        <v>3003</v>
      </c>
      <c r="B1064" s="4" t="s">
        <v>5499</v>
      </c>
      <c r="C1064" s="4" t="s">
        <v>5590</v>
      </c>
      <c r="D1064" s="4" t="s">
        <v>5574</v>
      </c>
      <c r="E1064" s="4" t="s">
        <v>5575</v>
      </c>
      <c r="F1064" s="4" t="s">
        <v>7092</v>
      </c>
      <c r="G1064" s="4" t="s">
        <v>5826</v>
      </c>
      <c r="H1064" s="4" t="s">
        <v>5827</v>
      </c>
      <c r="I1064" s="4"/>
      <c r="J1064" s="4" t="s">
        <v>4798</v>
      </c>
      <c r="K1064" s="4" t="s">
        <v>57</v>
      </c>
      <c r="L1064" s="4"/>
      <c r="M1064" s="4"/>
    </row>
    <row r="1065" ht="16" customHeight="1" s="4" customFormat="1">
      <c r="A1065" s="4">
        <v>3004</v>
      </c>
      <c r="B1065" s="4" t="s">
        <v>5499</v>
      </c>
      <c r="C1065" s="4" t="s">
        <v>5590</v>
      </c>
      <c r="D1065" s="4" t="s">
        <v>5574</v>
      </c>
      <c r="E1065" s="4" t="s">
        <v>5575</v>
      </c>
      <c r="F1065" s="4" t="s">
        <v>7093</v>
      </c>
      <c r="G1065" s="4" t="s">
        <v>5716</v>
      </c>
      <c r="H1065" s="4" t="s">
        <v>6211</v>
      </c>
      <c r="I1065" s="4"/>
      <c r="J1065" s="4" t="s">
        <v>4842</v>
      </c>
      <c r="K1065" s="4" t="s">
        <v>57</v>
      </c>
      <c r="L1065" s="4"/>
      <c r="M1065" s="4"/>
    </row>
    <row r="1066" ht="16" customHeight="1" s="4" customFormat="1">
      <c r="A1066" s="4">
        <v>3005</v>
      </c>
      <c r="B1066" s="4" t="s">
        <v>5499</v>
      </c>
      <c r="C1066" s="4" t="s">
        <v>5590</v>
      </c>
      <c r="D1066" s="4" t="s">
        <v>5574</v>
      </c>
      <c r="E1066" s="4" t="s">
        <v>5575</v>
      </c>
      <c r="F1066" s="4" t="s">
        <v>7094</v>
      </c>
      <c r="G1066" s="4" t="s">
        <v>5716</v>
      </c>
      <c r="H1066" s="4" t="s">
        <v>6207</v>
      </c>
      <c r="I1066" s="4"/>
      <c r="J1066" s="4" t="s">
        <v>4798</v>
      </c>
      <c r="K1066" s="4" t="s">
        <v>57</v>
      </c>
      <c r="L1066" s="4"/>
      <c r="M1066" s="4"/>
    </row>
    <row r="1067" ht="16" customHeight="1" s="4" customFormat="1">
      <c r="A1067" s="4">
        <v>3006</v>
      </c>
      <c r="B1067" s="4" t="s">
        <v>5499</v>
      </c>
      <c r="C1067" s="4" t="s">
        <v>5590</v>
      </c>
      <c r="D1067" s="4" t="s">
        <v>6450</v>
      </c>
      <c r="E1067" s="4" t="s">
        <v>7095</v>
      </c>
      <c r="F1067" s="4" t="s">
        <v>7096</v>
      </c>
      <c r="G1067" s="4" t="s">
        <v>7097</v>
      </c>
      <c r="H1067" s="4" t="s">
        <v>7098</v>
      </c>
      <c r="I1067" s="4"/>
      <c r="J1067" s="4" t="s">
        <v>4798</v>
      </c>
      <c r="K1067" s="4" t="s">
        <v>57</v>
      </c>
      <c r="L1067" s="4"/>
      <c r="M1067" s="4"/>
    </row>
    <row r="1068" ht="16" customHeight="1" s="4" customFormat="1">
      <c r="A1068" s="4">
        <v>3007</v>
      </c>
      <c r="B1068" s="4" t="s">
        <v>5499</v>
      </c>
      <c r="C1068" s="4" t="s">
        <v>5590</v>
      </c>
      <c r="D1068" s="4" t="s">
        <v>5574</v>
      </c>
      <c r="E1068" s="4" t="s">
        <v>5575</v>
      </c>
      <c r="F1068" s="4" t="s">
        <v>7099</v>
      </c>
      <c r="G1068" s="4" t="s">
        <v>6419</v>
      </c>
      <c r="H1068" s="4" t="s">
        <v>7005</v>
      </c>
      <c r="I1068" s="4"/>
      <c r="J1068" s="4" t="s">
        <v>4798</v>
      </c>
      <c r="K1068" s="4" t="s">
        <v>57</v>
      </c>
      <c r="L1068" s="4"/>
      <c r="M1068" s="4"/>
    </row>
    <row r="1069" ht="16" customHeight="1" s="4" customFormat="1">
      <c r="A1069" s="4">
        <v>3008</v>
      </c>
      <c r="B1069" s="4" t="s">
        <v>5499</v>
      </c>
      <c r="C1069" s="4" t="s">
        <v>5590</v>
      </c>
      <c r="D1069" s="4" t="s">
        <v>5574</v>
      </c>
      <c r="E1069" s="4" t="s">
        <v>5575</v>
      </c>
      <c r="F1069" s="4" t="s">
        <v>7100</v>
      </c>
      <c r="G1069" s="4" t="s">
        <v>5843</v>
      </c>
      <c r="H1069" s="4" t="s">
        <v>7030</v>
      </c>
      <c r="I1069" s="4"/>
      <c r="J1069" s="4" t="s">
        <v>5506</v>
      </c>
      <c r="K1069" s="4" t="s">
        <v>57</v>
      </c>
      <c r="L1069" s="4"/>
      <c r="M1069" s="4"/>
    </row>
    <row r="1070" ht="16" customHeight="1" s="4" customFormat="1">
      <c r="A1070" s="4">
        <v>3009</v>
      </c>
      <c r="B1070" s="4" t="s">
        <v>5499</v>
      </c>
      <c r="C1070" s="4" t="s">
        <v>5590</v>
      </c>
      <c r="D1070" s="4" t="s">
        <v>5574</v>
      </c>
      <c r="E1070" s="4" t="s">
        <v>5575</v>
      </c>
      <c r="F1070" s="4" t="s">
        <v>7101</v>
      </c>
      <c r="G1070" s="4" t="s">
        <v>4850</v>
      </c>
      <c r="H1070" s="4" t="s">
        <v>7022</v>
      </c>
      <c r="I1070" s="4"/>
      <c r="J1070" s="4" t="s">
        <v>4798</v>
      </c>
      <c r="K1070" s="4" t="s">
        <v>57</v>
      </c>
      <c r="L1070" s="4"/>
      <c r="M1070" s="4"/>
    </row>
    <row r="1071" ht="16" customHeight="1" s="4" customFormat="1">
      <c r="A1071" s="4">
        <v>3010</v>
      </c>
      <c r="B1071" s="4" t="s">
        <v>5499</v>
      </c>
      <c r="C1071" s="4" t="s">
        <v>5590</v>
      </c>
      <c r="D1071" s="4" t="s">
        <v>5574</v>
      </c>
      <c r="E1071" s="4" t="s">
        <v>5575</v>
      </c>
      <c r="F1071" s="4" t="s">
        <v>7102</v>
      </c>
      <c r="G1071" s="4" t="s">
        <v>7011</v>
      </c>
      <c r="H1071" s="4" t="s">
        <v>7012</v>
      </c>
      <c r="I1071" s="4"/>
      <c r="J1071" s="4" t="s">
        <v>4798</v>
      </c>
      <c r="K1071" s="4" t="s">
        <v>57</v>
      </c>
      <c r="L1071" s="4"/>
      <c r="M1071" s="4"/>
    </row>
    <row r="1072" ht="16" customHeight="1" s="4" customFormat="1">
      <c r="A1072" s="4">
        <v>3011</v>
      </c>
      <c r="B1072" s="4" t="s">
        <v>5499</v>
      </c>
      <c r="C1072" s="4" t="s">
        <v>5590</v>
      </c>
      <c r="D1072" s="4" t="s">
        <v>5574</v>
      </c>
      <c r="E1072" s="4" t="s">
        <v>5575</v>
      </c>
      <c r="F1072" s="4" t="s">
        <v>7103</v>
      </c>
      <c r="G1072" s="4" t="s">
        <v>6419</v>
      </c>
      <c r="H1072" s="4" t="s">
        <v>7005</v>
      </c>
      <c r="I1072" s="4"/>
      <c r="J1072" s="4" t="s">
        <v>4798</v>
      </c>
      <c r="K1072" s="4" t="s">
        <v>57</v>
      </c>
      <c r="L1072" s="4"/>
      <c r="M1072" s="4"/>
    </row>
    <row r="1073" ht="16" customHeight="1" s="4" customFormat="1">
      <c r="A1073" s="4">
        <v>3012</v>
      </c>
      <c r="B1073" s="4" t="s">
        <v>5499</v>
      </c>
      <c r="C1073" s="4" t="s">
        <v>5590</v>
      </c>
      <c r="D1073" s="4" t="s">
        <v>5574</v>
      </c>
      <c r="E1073" s="4" t="s">
        <v>5575</v>
      </c>
      <c r="F1073" s="4" t="s">
        <v>7104</v>
      </c>
      <c r="G1073" s="4" t="s">
        <v>7105</v>
      </c>
      <c r="H1073" s="4" t="s">
        <v>5823</v>
      </c>
      <c r="I1073" s="4"/>
      <c r="J1073" s="4" t="s">
        <v>4798</v>
      </c>
      <c r="K1073" s="4" t="s">
        <v>57</v>
      </c>
      <c r="L1073" s="4"/>
      <c r="M1073" s="4"/>
    </row>
    <row r="1074" ht="16" customHeight="1" s="4" customFormat="1">
      <c r="A1074" s="4">
        <v>3013</v>
      </c>
      <c r="B1074" s="4" t="s">
        <v>5499</v>
      </c>
      <c r="C1074" s="4" t="s">
        <v>5590</v>
      </c>
      <c r="D1074" s="4" t="s">
        <v>5574</v>
      </c>
      <c r="E1074" s="4" t="s">
        <v>5575</v>
      </c>
      <c r="F1074" s="4" t="s">
        <v>7106</v>
      </c>
      <c r="G1074" s="4" t="s">
        <v>5716</v>
      </c>
      <c r="H1074" s="4" t="s">
        <v>7107</v>
      </c>
      <c r="I1074" s="4"/>
      <c r="J1074" s="4" t="s">
        <v>4798</v>
      </c>
      <c r="K1074" s="4" t="s">
        <v>57</v>
      </c>
      <c r="L1074" s="4"/>
      <c r="M1074" s="4"/>
    </row>
    <row r="1075" ht="16" customHeight="1" s="4" customFormat="1">
      <c r="A1075" s="4">
        <v>3014</v>
      </c>
      <c r="B1075" s="4" t="s">
        <v>5499</v>
      </c>
      <c r="C1075" s="4" t="s">
        <v>5590</v>
      </c>
      <c r="D1075" s="4" t="s">
        <v>5574</v>
      </c>
      <c r="E1075" s="4" t="s">
        <v>5575</v>
      </c>
      <c r="F1075" s="4" t="s">
        <v>7108</v>
      </c>
      <c r="G1075" s="4" t="s">
        <v>5843</v>
      </c>
      <c r="H1075" s="4" t="s">
        <v>5823</v>
      </c>
      <c r="I1075" s="4"/>
      <c r="J1075" s="4" t="s">
        <v>4798</v>
      </c>
      <c r="K1075" s="4" t="s">
        <v>57</v>
      </c>
      <c r="L1075" s="4"/>
      <c r="M1075" s="4"/>
    </row>
    <row r="1076" ht="16" customHeight="1" s="4" customFormat="1">
      <c r="A1076" s="4">
        <v>3015</v>
      </c>
      <c r="B1076" s="4" t="s">
        <v>5499</v>
      </c>
      <c r="C1076" s="4" t="s">
        <v>5590</v>
      </c>
      <c r="D1076" s="4" t="s">
        <v>5574</v>
      </c>
      <c r="E1076" s="4" t="s">
        <v>5575</v>
      </c>
      <c r="F1076" s="4" t="s">
        <v>7109</v>
      </c>
      <c r="G1076" s="4" t="s">
        <v>5716</v>
      </c>
      <c r="H1076" s="4" t="s">
        <v>5823</v>
      </c>
      <c r="I1076" s="4"/>
      <c r="J1076" s="4" t="s">
        <v>4798</v>
      </c>
      <c r="K1076" s="4" t="s">
        <v>57</v>
      </c>
      <c r="L1076" s="4"/>
      <c r="M1076" s="4"/>
    </row>
    <row r="1077" ht="16" customHeight="1" s="4" customFormat="1">
      <c r="A1077" s="4">
        <v>3016</v>
      </c>
      <c r="B1077" s="4" t="s">
        <v>5499</v>
      </c>
      <c r="C1077" s="4" t="s">
        <v>5590</v>
      </c>
      <c r="D1077" s="4" t="s">
        <v>5574</v>
      </c>
      <c r="E1077" s="4" t="s">
        <v>5575</v>
      </c>
      <c r="F1077" s="4" t="s">
        <v>7110</v>
      </c>
      <c r="G1077" s="4" t="s">
        <v>5843</v>
      </c>
      <c r="H1077" s="4" t="s">
        <v>7062</v>
      </c>
      <c r="I1077" s="4"/>
      <c r="J1077" s="4" t="s">
        <v>4798</v>
      </c>
      <c r="K1077" s="4" t="s">
        <v>57</v>
      </c>
      <c r="L1077" s="4"/>
      <c r="M1077" s="4"/>
    </row>
    <row r="1078" ht="16" customHeight="1" s="4" customFormat="1">
      <c r="A1078" s="4">
        <v>3017</v>
      </c>
      <c r="B1078" s="4" t="s">
        <v>5499</v>
      </c>
      <c r="C1078" s="4" t="s">
        <v>5590</v>
      </c>
      <c r="D1078" s="4" t="s">
        <v>5574</v>
      </c>
      <c r="E1078" s="4" t="s">
        <v>5575</v>
      </c>
      <c r="F1078" s="4" t="s">
        <v>7111</v>
      </c>
      <c r="G1078" s="4" t="s">
        <v>7112</v>
      </c>
      <c r="H1078" s="4" t="s">
        <v>7113</v>
      </c>
      <c r="I1078" s="4"/>
      <c r="J1078" s="4" t="s">
        <v>4798</v>
      </c>
      <c r="K1078" s="4" t="s">
        <v>57</v>
      </c>
      <c r="L1078" s="4"/>
      <c r="M1078" s="4"/>
    </row>
    <row r="1079" ht="16" customHeight="1" s="4" customFormat="1">
      <c r="A1079" s="4">
        <v>3018</v>
      </c>
      <c r="B1079" s="4" t="s">
        <v>5499</v>
      </c>
      <c r="C1079" s="4" t="s">
        <v>5590</v>
      </c>
      <c r="D1079" s="4" t="s">
        <v>5574</v>
      </c>
      <c r="E1079" s="4" t="s">
        <v>5575</v>
      </c>
      <c r="F1079" s="4" t="s">
        <v>7114</v>
      </c>
      <c r="G1079" s="4" t="s">
        <v>5716</v>
      </c>
      <c r="H1079" s="4" t="s">
        <v>6207</v>
      </c>
      <c r="I1079" s="4"/>
      <c r="J1079" s="4" t="s">
        <v>4798</v>
      </c>
      <c r="K1079" s="4" t="s">
        <v>57</v>
      </c>
      <c r="L1079" s="4"/>
      <c r="M1079" s="4"/>
    </row>
    <row r="1080" ht="16" customHeight="1" s="4" customFormat="1">
      <c r="A1080" s="4">
        <v>3019</v>
      </c>
      <c r="B1080" s="4" t="s">
        <v>5499</v>
      </c>
      <c r="C1080" s="4" t="s">
        <v>5590</v>
      </c>
      <c r="D1080" s="4" t="s">
        <v>5574</v>
      </c>
      <c r="E1080" s="4" t="s">
        <v>5575</v>
      </c>
      <c r="F1080" s="4" t="s">
        <v>7115</v>
      </c>
      <c r="G1080" s="4" t="s">
        <v>7040</v>
      </c>
      <c r="H1080" s="4" t="s">
        <v>7041</v>
      </c>
      <c r="I1080" s="4"/>
      <c r="J1080" s="4" t="s">
        <v>4798</v>
      </c>
      <c r="K1080" s="4" t="s">
        <v>57</v>
      </c>
      <c r="L1080" s="4"/>
      <c r="M1080" s="4"/>
    </row>
    <row r="1081" ht="16" customHeight="1" s="4" customFormat="1">
      <c r="A1081" s="4">
        <v>3020</v>
      </c>
      <c r="B1081" s="4" t="s">
        <v>5499</v>
      </c>
      <c r="C1081" s="4" t="s">
        <v>5590</v>
      </c>
      <c r="D1081" s="4" t="s">
        <v>5574</v>
      </c>
      <c r="E1081" s="4" t="s">
        <v>5575</v>
      </c>
      <c r="F1081" s="4" t="s">
        <v>7116</v>
      </c>
      <c r="G1081" s="4" t="s">
        <v>5843</v>
      </c>
      <c r="H1081" s="4" t="s">
        <v>5823</v>
      </c>
      <c r="I1081" s="4"/>
      <c r="J1081" s="4" t="s">
        <v>4798</v>
      </c>
      <c r="K1081" s="4" t="s">
        <v>57</v>
      </c>
      <c r="L1081" s="4"/>
      <c r="M1081" s="4"/>
    </row>
    <row r="1082" ht="16" customHeight="1" s="4" customFormat="1">
      <c r="A1082" s="4">
        <v>3021</v>
      </c>
      <c r="B1082" s="4" t="s">
        <v>5499</v>
      </c>
      <c r="C1082" s="4" t="s">
        <v>5590</v>
      </c>
      <c r="D1082" s="4" t="s">
        <v>5574</v>
      </c>
      <c r="E1082" s="4" t="s">
        <v>5575</v>
      </c>
      <c r="F1082" s="4" t="s">
        <v>7117</v>
      </c>
      <c r="G1082" s="4" t="s">
        <v>5843</v>
      </c>
      <c r="H1082" s="4" t="s">
        <v>7030</v>
      </c>
      <c r="I1082" s="4"/>
      <c r="J1082" s="4" t="s">
        <v>4798</v>
      </c>
      <c r="K1082" s="4" t="s">
        <v>57</v>
      </c>
      <c r="L1082" s="4"/>
      <c r="M1082" s="4"/>
    </row>
    <row r="1083" ht="16" customHeight="1" s="4" customFormat="1">
      <c r="A1083" s="4">
        <v>3022</v>
      </c>
      <c r="B1083" s="4" t="s">
        <v>5499</v>
      </c>
      <c r="C1083" s="4" t="s">
        <v>5590</v>
      </c>
      <c r="D1083" s="4" t="s">
        <v>5574</v>
      </c>
      <c r="E1083" s="4" t="s">
        <v>5575</v>
      </c>
      <c r="F1083" s="4" t="s">
        <v>7118</v>
      </c>
      <c r="G1083" s="4" t="s">
        <v>6419</v>
      </c>
      <c r="H1083" s="4" t="s">
        <v>7005</v>
      </c>
      <c r="I1083" s="4"/>
      <c r="J1083" s="4" t="s">
        <v>4798</v>
      </c>
      <c r="K1083" s="4" t="s">
        <v>57</v>
      </c>
      <c r="L1083" s="4"/>
      <c r="M1083" s="4"/>
    </row>
    <row r="1084" ht="16" customHeight="1" s="4" customFormat="1">
      <c r="A1084" s="4">
        <v>3023</v>
      </c>
      <c r="B1084" s="4" t="s">
        <v>5499</v>
      </c>
      <c r="C1084" s="4" t="s">
        <v>5590</v>
      </c>
      <c r="D1084" s="4" t="s">
        <v>5574</v>
      </c>
      <c r="E1084" s="4" t="s">
        <v>5575</v>
      </c>
      <c r="F1084" s="4" t="s">
        <v>7119</v>
      </c>
      <c r="G1084" s="4" t="s">
        <v>7052</v>
      </c>
      <c r="H1084" s="4" t="s">
        <v>7053</v>
      </c>
      <c r="I1084" s="4"/>
      <c r="J1084" s="4" t="s">
        <v>4798</v>
      </c>
      <c r="K1084" s="4" t="s">
        <v>57</v>
      </c>
      <c r="L1084" s="4"/>
      <c r="M1084" s="4"/>
    </row>
    <row r="1085" ht="16" customHeight="1" s="4" customFormat="1">
      <c r="A1085" s="4">
        <v>3024</v>
      </c>
      <c r="B1085" s="4" t="s">
        <v>5499</v>
      </c>
      <c r="C1085" s="4" t="s">
        <v>5590</v>
      </c>
      <c r="D1085" s="4" t="s">
        <v>5574</v>
      </c>
      <c r="E1085" s="4" t="s">
        <v>5575</v>
      </c>
      <c r="F1085" s="4" t="s">
        <v>7120</v>
      </c>
      <c r="G1085" s="4" t="s">
        <v>5716</v>
      </c>
      <c r="H1085" s="4" t="s">
        <v>7012</v>
      </c>
      <c r="I1085" s="4"/>
      <c r="J1085" s="4" t="s">
        <v>4798</v>
      </c>
      <c r="K1085" s="4" t="s">
        <v>57</v>
      </c>
      <c r="L1085" s="4"/>
      <c r="M1085" s="4"/>
    </row>
    <row r="1086" ht="16" customHeight="1" s="4" customFormat="1">
      <c r="A1086" s="4">
        <v>3025</v>
      </c>
      <c r="B1086" s="4" t="s">
        <v>5499</v>
      </c>
      <c r="C1086" s="4" t="s">
        <v>5590</v>
      </c>
      <c r="D1086" s="4" t="s">
        <v>5574</v>
      </c>
      <c r="E1086" s="4" t="s">
        <v>5575</v>
      </c>
      <c r="F1086" s="4" t="s">
        <v>7121</v>
      </c>
      <c r="G1086" s="4" t="s">
        <v>7052</v>
      </c>
      <c r="H1086" s="4" t="s">
        <v>7053</v>
      </c>
      <c r="I1086" s="4"/>
      <c r="J1086" s="4" t="s">
        <v>4798</v>
      </c>
      <c r="K1086" s="4" t="s">
        <v>57</v>
      </c>
      <c r="L1086" s="4"/>
      <c r="M1086" s="4"/>
    </row>
    <row r="1087" ht="16" customHeight="1" s="4" customFormat="1">
      <c r="A1087" s="4">
        <v>3026</v>
      </c>
      <c r="B1087" s="4" t="s">
        <v>5499</v>
      </c>
      <c r="C1087" s="4" t="s">
        <v>5590</v>
      </c>
      <c r="D1087" s="4" t="s">
        <v>5574</v>
      </c>
      <c r="E1087" s="4" t="s">
        <v>5575</v>
      </c>
      <c r="F1087" s="4" t="s">
        <v>7122</v>
      </c>
      <c r="G1087" s="4" t="s">
        <v>7052</v>
      </c>
      <c r="H1087" s="4" t="s">
        <v>7053</v>
      </c>
      <c r="I1087" s="4"/>
      <c r="J1087" s="4" t="s">
        <v>4798</v>
      </c>
      <c r="K1087" s="4" t="s">
        <v>57</v>
      </c>
      <c r="L1087" s="4"/>
      <c r="M1087" s="4"/>
    </row>
    <row r="1088" ht="16" customHeight="1" s="4" customFormat="1">
      <c r="A1088" s="4">
        <v>3027</v>
      </c>
      <c r="B1088" s="4" t="s">
        <v>5499</v>
      </c>
      <c r="C1088" s="4" t="s">
        <v>5590</v>
      </c>
      <c r="D1088" s="4" t="s">
        <v>5574</v>
      </c>
      <c r="E1088" s="4" t="s">
        <v>5575</v>
      </c>
      <c r="F1088" s="4" t="s">
        <v>7123</v>
      </c>
      <c r="G1088" s="4" t="s">
        <v>6419</v>
      </c>
      <c r="H1088" s="4" t="s">
        <v>7005</v>
      </c>
      <c r="I1088" s="4"/>
      <c r="J1088" s="4" t="s">
        <v>4798</v>
      </c>
      <c r="K1088" s="4" t="s">
        <v>57</v>
      </c>
      <c r="L1088" s="4"/>
      <c r="M1088" s="4"/>
    </row>
    <row r="1089" ht="16" customHeight="1" s="4" customFormat="1">
      <c r="A1089" s="4">
        <v>3028</v>
      </c>
      <c r="B1089" s="4" t="s">
        <v>5499</v>
      </c>
      <c r="C1089" s="4" t="s">
        <v>5590</v>
      </c>
      <c r="D1089" s="4" t="s">
        <v>5574</v>
      </c>
      <c r="E1089" s="4" t="s">
        <v>5575</v>
      </c>
      <c r="F1089" s="4" t="s">
        <v>7124</v>
      </c>
      <c r="G1089" s="4" t="s">
        <v>7040</v>
      </c>
      <c r="H1089" s="4" t="s">
        <v>7041</v>
      </c>
      <c r="I1089" s="4"/>
      <c r="J1089" s="4" t="s">
        <v>4798</v>
      </c>
      <c r="K1089" s="4" t="s">
        <v>57</v>
      </c>
      <c r="L1089" s="4"/>
      <c r="M1089" s="4"/>
    </row>
    <row r="1090" ht="16" customHeight="1" s="4" customFormat="1">
      <c r="A1090" s="4">
        <v>3029</v>
      </c>
      <c r="B1090" s="4" t="s">
        <v>5499</v>
      </c>
      <c r="C1090" s="4" t="s">
        <v>5590</v>
      </c>
      <c r="D1090" s="4" t="s">
        <v>5514</v>
      </c>
      <c r="E1090" s="4" t="s">
        <v>5515</v>
      </c>
      <c r="F1090" s="4" t="s">
        <v>7125</v>
      </c>
      <c r="G1090" s="4" t="s">
        <v>7014</v>
      </c>
      <c r="H1090" s="4" t="s">
        <v>7030</v>
      </c>
      <c r="I1090" s="4"/>
      <c r="J1090" s="4" t="s">
        <v>4798</v>
      </c>
      <c r="K1090" s="4" t="s">
        <v>57</v>
      </c>
      <c r="L1090" s="4"/>
      <c r="M1090" s="4"/>
    </row>
    <row r="1091" ht="16" customHeight="1" s="4" customFormat="1">
      <c r="A1091" s="4">
        <v>3030</v>
      </c>
      <c r="B1091" s="4" t="s">
        <v>5499</v>
      </c>
      <c r="C1091" s="4" t="s">
        <v>5590</v>
      </c>
      <c r="D1091" s="4" t="s">
        <v>5574</v>
      </c>
      <c r="E1091" s="4" t="s">
        <v>5575</v>
      </c>
      <c r="F1091" s="4" t="s">
        <v>7126</v>
      </c>
      <c r="G1091" s="4" t="s">
        <v>7052</v>
      </c>
      <c r="H1091" s="4" t="s">
        <v>7053</v>
      </c>
      <c r="I1091" s="4"/>
      <c r="J1091" s="4" t="s">
        <v>4798</v>
      </c>
      <c r="K1091" s="4" t="s">
        <v>57</v>
      </c>
      <c r="L1091" s="4"/>
      <c r="M1091" s="4"/>
    </row>
    <row r="1092" ht="16" customHeight="1" s="4" customFormat="1">
      <c r="A1092" s="4">
        <v>3031</v>
      </c>
      <c r="B1092" s="4" t="s">
        <v>5499</v>
      </c>
      <c r="C1092" s="4" t="s">
        <v>5590</v>
      </c>
      <c r="D1092" s="4" t="s">
        <v>5574</v>
      </c>
      <c r="E1092" s="4" t="s">
        <v>5575</v>
      </c>
      <c r="F1092" s="4" t="s">
        <v>7127</v>
      </c>
      <c r="G1092" s="4" t="s">
        <v>5716</v>
      </c>
      <c r="H1092" s="4" t="s">
        <v>7012</v>
      </c>
      <c r="I1092" s="4"/>
      <c r="J1092" s="4" t="s">
        <v>4798</v>
      </c>
      <c r="K1092" s="4" t="s">
        <v>57</v>
      </c>
      <c r="L1092" s="4"/>
      <c r="M1092" s="4"/>
    </row>
    <row r="1093" ht="16" customHeight="1" s="4" customFormat="1">
      <c r="A1093" s="4">
        <v>3032</v>
      </c>
      <c r="B1093" s="4" t="s">
        <v>5499</v>
      </c>
      <c r="C1093" s="4" t="s">
        <v>5590</v>
      </c>
      <c r="D1093" s="4" t="s">
        <v>5574</v>
      </c>
      <c r="E1093" s="4" t="s">
        <v>5575</v>
      </c>
      <c r="F1093" s="4" t="s">
        <v>7128</v>
      </c>
      <c r="G1093" s="4" t="s">
        <v>5822</v>
      </c>
      <c r="H1093" s="4" t="s">
        <v>5823</v>
      </c>
      <c r="I1093" s="4"/>
      <c r="J1093" s="4" t="s">
        <v>4798</v>
      </c>
      <c r="K1093" s="4" t="s">
        <v>57</v>
      </c>
      <c r="L1093" s="4"/>
      <c r="M1093" s="4"/>
    </row>
    <row r="1094" ht="16" customHeight="1" s="4" customFormat="1">
      <c r="A1094" s="4">
        <v>3033</v>
      </c>
      <c r="B1094" s="4" t="s">
        <v>5499</v>
      </c>
      <c r="C1094" s="4" t="s">
        <v>5590</v>
      </c>
      <c r="D1094" s="4" t="s">
        <v>5574</v>
      </c>
      <c r="E1094" s="4" t="s">
        <v>5575</v>
      </c>
      <c r="F1094" s="4" t="s">
        <v>7129</v>
      </c>
      <c r="G1094" s="4" t="s">
        <v>5716</v>
      </c>
      <c r="H1094" s="4" t="s">
        <v>7012</v>
      </c>
      <c r="I1094" s="4"/>
      <c r="J1094" s="4" t="s">
        <v>4798</v>
      </c>
      <c r="K1094" s="4" t="s">
        <v>57</v>
      </c>
      <c r="L1094" s="4"/>
      <c r="M1094" s="4"/>
    </row>
    <row r="1095" ht="16" customHeight="1" s="4" customFormat="1">
      <c r="A1095" s="4">
        <v>3034</v>
      </c>
      <c r="B1095" s="4" t="s">
        <v>5499</v>
      </c>
      <c r="C1095" s="4" t="s">
        <v>5590</v>
      </c>
      <c r="D1095" s="4" t="s">
        <v>5574</v>
      </c>
      <c r="E1095" s="4" t="s">
        <v>5575</v>
      </c>
      <c r="F1095" s="4" t="s">
        <v>7130</v>
      </c>
      <c r="G1095" s="4" t="s">
        <v>5716</v>
      </c>
      <c r="H1095" s="4" t="s">
        <v>6211</v>
      </c>
      <c r="I1095" s="4"/>
      <c r="J1095" s="4" t="s">
        <v>4798</v>
      </c>
      <c r="K1095" s="4" t="s">
        <v>57</v>
      </c>
      <c r="L1095" s="4"/>
      <c r="M1095" s="4"/>
    </row>
    <row r="1096" ht="16" customHeight="1" s="4" customFormat="1">
      <c r="A1096" s="4">
        <v>3035</v>
      </c>
      <c r="B1096" s="4" t="s">
        <v>5499</v>
      </c>
      <c r="C1096" s="4" t="s">
        <v>5590</v>
      </c>
      <c r="D1096" s="4" t="s">
        <v>5574</v>
      </c>
      <c r="E1096" s="4" t="s">
        <v>5575</v>
      </c>
      <c r="F1096" s="4" t="s">
        <v>7131</v>
      </c>
      <c r="G1096" s="4" t="s">
        <v>5716</v>
      </c>
      <c r="H1096" s="4" t="s">
        <v>5823</v>
      </c>
      <c r="I1096" s="4"/>
      <c r="J1096" s="4" t="s">
        <v>5506</v>
      </c>
      <c r="K1096" s="4" t="s">
        <v>57</v>
      </c>
      <c r="L1096" s="4"/>
      <c r="M1096" s="4"/>
    </row>
    <row r="1097" ht="16" customHeight="1" s="4" customFormat="1">
      <c r="A1097" s="4">
        <v>3036</v>
      </c>
      <c r="B1097" s="4" t="s">
        <v>5499</v>
      </c>
      <c r="C1097" s="4" t="s">
        <v>5590</v>
      </c>
      <c r="D1097" s="4" t="s">
        <v>5574</v>
      </c>
      <c r="E1097" s="4" t="s">
        <v>5575</v>
      </c>
      <c r="F1097" s="4" t="s">
        <v>7132</v>
      </c>
      <c r="G1097" s="4" t="s">
        <v>7133</v>
      </c>
      <c r="H1097" s="4" t="s">
        <v>7134</v>
      </c>
      <c r="I1097" s="4"/>
      <c r="J1097" s="4" t="s">
        <v>5506</v>
      </c>
      <c r="K1097" s="4" t="s">
        <v>57</v>
      </c>
      <c r="L1097" s="4"/>
      <c r="M1097" s="4"/>
    </row>
    <row r="1098" ht="16" customHeight="1" s="4" customFormat="1">
      <c r="A1098" s="4">
        <v>3037</v>
      </c>
      <c r="B1098" s="4" t="s">
        <v>5499</v>
      </c>
      <c r="C1098" s="4" t="s">
        <v>5590</v>
      </c>
      <c r="D1098" s="4" t="s">
        <v>5574</v>
      </c>
      <c r="E1098" s="4" t="s">
        <v>5575</v>
      </c>
      <c r="F1098" s="4" t="s">
        <v>7135</v>
      </c>
      <c r="G1098" s="4" t="s">
        <v>5843</v>
      </c>
      <c r="H1098" s="4" t="s">
        <v>5823</v>
      </c>
      <c r="I1098" s="4"/>
      <c r="J1098" s="4" t="s">
        <v>4798</v>
      </c>
      <c r="K1098" s="4" t="s">
        <v>57</v>
      </c>
      <c r="L1098" s="4"/>
      <c r="M1098" s="4"/>
    </row>
    <row r="1099" ht="16" customHeight="1" s="4" customFormat="1">
      <c r="A1099" s="4">
        <v>3038</v>
      </c>
      <c r="B1099" s="4" t="s">
        <v>5499</v>
      </c>
      <c r="C1099" s="4" t="s">
        <v>5590</v>
      </c>
      <c r="D1099" s="4" t="s">
        <v>5574</v>
      </c>
      <c r="E1099" s="4" t="s">
        <v>5575</v>
      </c>
      <c r="F1099" s="4" t="s">
        <v>7136</v>
      </c>
      <c r="G1099" s="4" t="s">
        <v>7065</v>
      </c>
      <c r="H1099" s="4" t="s">
        <v>6207</v>
      </c>
      <c r="I1099" s="4"/>
      <c r="J1099" s="4" t="s">
        <v>4798</v>
      </c>
      <c r="K1099" s="4" t="s">
        <v>57</v>
      </c>
      <c r="L1099" s="4"/>
      <c r="M1099" s="4"/>
    </row>
    <row r="1100" ht="16" customHeight="1" s="4" customFormat="1">
      <c r="A1100" s="4">
        <v>3039</v>
      </c>
      <c r="B1100" s="4" t="s">
        <v>5499</v>
      </c>
      <c r="C1100" s="4" t="s">
        <v>5590</v>
      </c>
      <c r="D1100" s="4" t="s">
        <v>5574</v>
      </c>
      <c r="E1100" s="4" t="s">
        <v>5575</v>
      </c>
      <c r="F1100" s="4" t="s">
        <v>7137</v>
      </c>
      <c r="G1100" s="4" t="s">
        <v>5822</v>
      </c>
      <c r="H1100" s="4" t="s">
        <v>5823</v>
      </c>
      <c r="I1100" s="4"/>
      <c r="J1100" s="4" t="s">
        <v>4798</v>
      </c>
      <c r="K1100" s="4" t="s">
        <v>57</v>
      </c>
      <c r="L1100" s="4"/>
      <c r="M1100" s="4"/>
    </row>
    <row r="1101" ht="16" customHeight="1" s="4" customFormat="1">
      <c r="A1101" s="4">
        <v>3040</v>
      </c>
      <c r="B1101" s="4" t="s">
        <v>5499</v>
      </c>
      <c r="C1101" s="4" t="s">
        <v>5590</v>
      </c>
      <c r="D1101" s="4" t="s">
        <v>5574</v>
      </c>
      <c r="E1101" s="4" t="s">
        <v>5575</v>
      </c>
      <c r="F1101" s="4" t="s">
        <v>7138</v>
      </c>
      <c r="G1101" s="4" t="s">
        <v>5657</v>
      </c>
      <c r="H1101" s="4" t="s">
        <v>7007</v>
      </c>
      <c r="I1101" s="4"/>
      <c r="J1101" s="4" t="s">
        <v>5506</v>
      </c>
      <c r="K1101" s="4" t="s">
        <v>57</v>
      </c>
      <c r="L1101" s="4"/>
      <c r="M1101" s="4"/>
    </row>
    <row r="1102" ht="16" customHeight="1" s="4" customFormat="1">
      <c r="A1102" s="4">
        <v>3041</v>
      </c>
      <c r="B1102" s="4" t="s">
        <v>5499</v>
      </c>
      <c r="C1102" s="4" t="s">
        <v>5590</v>
      </c>
      <c r="D1102" s="4" t="s">
        <v>5574</v>
      </c>
      <c r="E1102" s="4" t="s">
        <v>5575</v>
      </c>
      <c r="F1102" s="4" t="s">
        <v>7139</v>
      </c>
      <c r="G1102" s="4" t="s">
        <v>5686</v>
      </c>
      <c r="H1102" s="4" t="s">
        <v>7140</v>
      </c>
      <c r="I1102" s="4"/>
      <c r="J1102" s="4" t="s">
        <v>4798</v>
      </c>
      <c r="K1102" s="4" t="s">
        <v>57</v>
      </c>
      <c r="L1102" s="4"/>
      <c r="M1102" s="4"/>
    </row>
    <row r="1103" ht="16" customHeight="1" s="4" customFormat="1">
      <c r="A1103" s="4">
        <v>3042</v>
      </c>
      <c r="B1103" s="4" t="s">
        <v>5499</v>
      </c>
      <c r="C1103" s="4" t="s">
        <v>5590</v>
      </c>
      <c r="D1103" s="4" t="s">
        <v>5574</v>
      </c>
      <c r="E1103" s="4" t="s">
        <v>5575</v>
      </c>
      <c r="F1103" s="4" t="s">
        <v>7141</v>
      </c>
      <c r="G1103" s="4" t="s">
        <v>5680</v>
      </c>
      <c r="H1103" s="4" t="s">
        <v>7030</v>
      </c>
      <c r="I1103" s="4"/>
      <c r="J1103" s="4" t="s">
        <v>4798</v>
      </c>
      <c r="K1103" s="4" t="s">
        <v>57</v>
      </c>
      <c r="L1103" s="4"/>
      <c r="M1103" s="4"/>
    </row>
    <row r="1104" ht="16" customHeight="1" s="4" customFormat="1">
      <c r="A1104" s="4">
        <v>3043</v>
      </c>
      <c r="B1104" s="4" t="s">
        <v>5499</v>
      </c>
      <c r="C1104" s="4" t="s">
        <v>5590</v>
      </c>
      <c r="D1104" s="4" t="s">
        <v>5574</v>
      </c>
      <c r="E1104" s="4" t="s">
        <v>5575</v>
      </c>
      <c r="F1104" s="4" t="s">
        <v>7142</v>
      </c>
      <c r="G1104" s="4" t="s">
        <v>5843</v>
      </c>
      <c r="H1104" s="4" t="s">
        <v>7009</v>
      </c>
      <c r="I1104" s="4"/>
      <c r="J1104" s="4" t="s">
        <v>4842</v>
      </c>
      <c r="K1104" s="4" t="s">
        <v>57</v>
      </c>
      <c r="L1104" s="4"/>
      <c r="M1104" s="4"/>
    </row>
    <row r="1105" ht="16" customHeight="1" s="4" customFormat="1">
      <c r="A1105" s="4">
        <v>3044</v>
      </c>
      <c r="B1105" s="4" t="s">
        <v>5499</v>
      </c>
      <c r="C1105" s="4" t="s">
        <v>5590</v>
      </c>
      <c r="D1105" s="4" t="s">
        <v>5574</v>
      </c>
      <c r="E1105" s="4" t="s">
        <v>5575</v>
      </c>
      <c r="F1105" s="4" t="s">
        <v>7143</v>
      </c>
      <c r="G1105" s="4" t="s">
        <v>5716</v>
      </c>
      <c r="H1105" s="4" t="s">
        <v>5823</v>
      </c>
      <c r="I1105" s="4"/>
      <c r="J1105" s="4" t="s">
        <v>4798</v>
      </c>
      <c r="K1105" s="4" t="s">
        <v>57</v>
      </c>
      <c r="L1105" s="4"/>
      <c r="M1105" s="4"/>
    </row>
    <row r="1106" ht="16" customHeight="1" s="4" customFormat="1">
      <c r="A1106" s="4">
        <v>3045</v>
      </c>
      <c r="B1106" s="4" t="s">
        <v>5499</v>
      </c>
      <c r="C1106" s="4" t="s">
        <v>5590</v>
      </c>
      <c r="D1106" s="4" t="s">
        <v>5574</v>
      </c>
      <c r="E1106" s="4" t="s">
        <v>5575</v>
      </c>
      <c r="F1106" s="4" t="s">
        <v>7144</v>
      </c>
      <c r="G1106" s="4" t="s">
        <v>5657</v>
      </c>
      <c r="H1106" s="4" t="s">
        <v>5955</v>
      </c>
      <c r="I1106" s="4"/>
      <c r="J1106" s="4" t="s">
        <v>4842</v>
      </c>
      <c r="K1106" s="4" t="s">
        <v>57</v>
      </c>
      <c r="L1106" s="4"/>
      <c r="M1106" s="4"/>
    </row>
    <row r="1107" ht="16" customHeight="1" s="4" customFormat="1">
      <c r="A1107" s="4">
        <v>3046</v>
      </c>
      <c r="B1107" s="4" t="s">
        <v>5499</v>
      </c>
      <c r="C1107" s="4" t="s">
        <v>5590</v>
      </c>
      <c r="D1107" s="4" t="s">
        <v>5574</v>
      </c>
      <c r="E1107" s="4" t="s">
        <v>5575</v>
      </c>
      <c r="F1107" s="4" t="s">
        <v>7145</v>
      </c>
      <c r="G1107" s="4" t="s">
        <v>5843</v>
      </c>
      <c r="H1107" s="4" t="s">
        <v>5823</v>
      </c>
      <c r="I1107" s="4"/>
      <c r="J1107" s="4" t="s">
        <v>4798</v>
      </c>
      <c r="K1107" s="4" t="s">
        <v>57</v>
      </c>
      <c r="L1107" s="4"/>
      <c r="M1107" s="4"/>
    </row>
    <row r="1108" ht="16" customHeight="1" s="4" customFormat="1">
      <c r="A1108" s="4">
        <v>3047</v>
      </c>
      <c r="B1108" s="4" t="s">
        <v>5499</v>
      </c>
      <c r="C1108" s="4" t="s">
        <v>5590</v>
      </c>
      <c r="D1108" s="4" t="s">
        <v>5574</v>
      </c>
      <c r="E1108" s="4" t="s">
        <v>5575</v>
      </c>
      <c r="F1108" s="4" t="s">
        <v>7146</v>
      </c>
      <c r="G1108" s="4" t="s">
        <v>5657</v>
      </c>
      <c r="H1108" s="4" t="s">
        <v>7038</v>
      </c>
      <c r="I1108" s="4"/>
      <c r="J1108" s="4" t="s">
        <v>5506</v>
      </c>
      <c r="K1108" s="4" t="s">
        <v>57</v>
      </c>
      <c r="L1108" s="4"/>
      <c r="M1108" s="4"/>
    </row>
    <row r="1109" ht="16" customHeight="1" s="4" customFormat="1">
      <c r="A1109" s="4">
        <v>3048</v>
      </c>
      <c r="B1109" s="4" t="s">
        <v>5499</v>
      </c>
      <c r="C1109" s="4" t="s">
        <v>5590</v>
      </c>
      <c r="D1109" s="4" t="s">
        <v>5574</v>
      </c>
      <c r="E1109" s="4" t="s">
        <v>5575</v>
      </c>
      <c r="F1109" s="4" t="s">
        <v>7147</v>
      </c>
      <c r="G1109" s="4" t="s">
        <v>5657</v>
      </c>
      <c r="H1109" s="4" t="s">
        <v>5823</v>
      </c>
      <c r="I1109" s="4"/>
      <c r="J1109" s="4" t="s">
        <v>4798</v>
      </c>
      <c r="K1109" s="4" t="s">
        <v>57</v>
      </c>
      <c r="L1109" s="4"/>
      <c r="M1109" s="4"/>
    </row>
    <row r="1110" ht="16" customHeight="1" s="4" customFormat="1">
      <c r="A1110" s="4">
        <v>3049</v>
      </c>
      <c r="B1110" s="4" t="s">
        <v>5499</v>
      </c>
      <c r="C1110" s="4" t="s">
        <v>5590</v>
      </c>
      <c r="D1110" s="4" t="s">
        <v>5574</v>
      </c>
      <c r="E1110" s="4" t="s">
        <v>5575</v>
      </c>
      <c r="F1110" s="4" t="s">
        <v>7148</v>
      </c>
      <c r="G1110" s="4" t="s">
        <v>5680</v>
      </c>
      <c r="H1110" s="4" t="s">
        <v>7030</v>
      </c>
      <c r="I1110" s="4"/>
      <c r="J1110" s="4" t="s">
        <v>4798</v>
      </c>
      <c r="K1110" s="4" t="s">
        <v>57</v>
      </c>
      <c r="L1110" s="4"/>
      <c r="M1110" s="4"/>
    </row>
    <row r="1111" ht="16" customHeight="1" s="4" customFormat="1">
      <c r="A1111" s="4">
        <v>3050</v>
      </c>
      <c r="B1111" s="4" t="s">
        <v>5499</v>
      </c>
      <c r="C1111" s="4" t="s">
        <v>5590</v>
      </c>
      <c r="D1111" s="4" t="s">
        <v>5574</v>
      </c>
      <c r="E1111" s="4" t="s">
        <v>5575</v>
      </c>
      <c r="F1111" s="4" t="s">
        <v>7149</v>
      </c>
      <c r="G1111" s="4" t="s">
        <v>5716</v>
      </c>
      <c r="H1111" s="4" t="s">
        <v>6211</v>
      </c>
      <c r="I1111" s="4"/>
      <c r="J1111" s="4" t="s">
        <v>4798</v>
      </c>
      <c r="K1111" s="4" t="s">
        <v>57</v>
      </c>
      <c r="L1111" s="4"/>
      <c r="M1111" s="4"/>
    </row>
    <row r="1112" ht="16" customHeight="1" s="4" customFormat="1">
      <c r="A1112" s="4">
        <v>3051</v>
      </c>
      <c r="B1112" s="4" t="s">
        <v>5499</v>
      </c>
      <c r="C1112" s="4" t="s">
        <v>5590</v>
      </c>
      <c r="D1112" s="4" t="s">
        <v>5574</v>
      </c>
      <c r="E1112" s="4" t="s">
        <v>5575</v>
      </c>
      <c r="F1112" s="4" t="s">
        <v>7150</v>
      </c>
      <c r="G1112" s="4" t="s">
        <v>5822</v>
      </c>
      <c r="H1112" s="4" t="s">
        <v>5823</v>
      </c>
      <c r="I1112" s="4"/>
      <c r="J1112" s="4" t="s">
        <v>4798</v>
      </c>
      <c r="K1112" s="4" t="s">
        <v>57</v>
      </c>
      <c r="L1112" s="4"/>
      <c r="M1112" s="4"/>
    </row>
    <row r="1113" ht="16" customHeight="1" s="4" customFormat="1">
      <c r="A1113" s="4">
        <v>3052</v>
      </c>
      <c r="B1113" s="4" t="s">
        <v>5499</v>
      </c>
      <c r="C1113" s="4" t="s">
        <v>5590</v>
      </c>
      <c r="D1113" s="4" t="s">
        <v>5574</v>
      </c>
      <c r="E1113" s="4" t="s">
        <v>5575</v>
      </c>
      <c r="F1113" s="4" t="s">
        <v>7151</v>
      </c>
      <c r="G1113" s="4" t="s">
        <v>5822</v>
      </c>
      <c r="H1113" s="4" t="s">
        <v>5823</v>
      </c>
      <c r="I1113" s="4"/>
      <c r="J1113" s="4" t="s">
        <v>4798</v>
      </c>
      <c r="K1113" s="4" t="s">
        <v>57</v>
      </c>
      <c r="L1113" s="4"/>
      <c r="M1113" s="4"/>
    </row>
    <row r="1114" ht="16" customHeight="1" s="4" customFormat="1">
      <c r="A1114" s="4">
        <v>3053</v>
      </c>
      <c r="B1114" s="4" t="s">
        <v>5499</v>
      </c>
      <c r="C1114" s="4" t="s">
        <v>5590</v>
      </c>
      <c r="D1114" s="4" t="s">
        <v>5574</v>
      </c>
      <c r="E1114" s="4" t="s">
        <v>5575</v>
      </c>
      <c r="F1114" s="4" t="s">
        <v>7152</v>
      </c>
      <c r="G1114" s="4" t="s">
        <v>5680</v>
      </c>
      <c r="H1114" s="4" t="s">
        <v>6207</v>
      </c>
      <c r="I1114" s="4"/>
      <c r="J1114" s="4" t="s">
        <v>4798</v>
      </c>
      <c r="K1114" s="4" t="s">
        <v>57</v>
      </c>
      <c r="L1114" s="4"/>
      <c r="M1114" s="4"/>
    </row>
    <row r="1115" ht="16" customHeight="1" s="4" customFormat="1">
      <c r="A1115" s="4">
        <v>3054</v>
      </c>
      <c r="B1115" s="4" t="s">
        <v>5499</v>
      </c>
      <c r="C1115" s="4" t="s">
        <v>5590</v>
      </c>
      <c r="D1115" s="4" t="s">
        <v>5514</v>
      </c>
      <c r="E1115" s="4" t="s">
        <v>5515</v>
      </c>
      <c r="F1115" s="4" t="s">
        <v>7153</v>
      </c>
      <c r="G1115" s="4" t="s">
        <v>5930</v>
      </c>
      <c r="H1115" s="4" t="s">
        <v>7030</v>
      </c>
      <c r="I1115" s="4"/>
      <c r="J1115" s="4" t="s">
        <v>4798</v>
      </c>
      <c r="K1115" s="4" t="s">
        <v>57</v>
      </c>
      <c r="L1115" s="4"/>
      <c r="M1115" s="4"/>
    </row>
    <row r="1116" ht="16" customHeight="1" s="4" customFormat="1">
      <c r="A1116" s="4">
        <v>3055</v>
      </c>
      <c r="B1116" s="4" t="s">
        <v>5499</v>
      </c>
      <c r="C1116" s="4" t="s">
        <v>5590</v>
      </c>
      <c r="D1116" s="4" t="s">
        <v>5574</v>
      </c>
      <c r="E1116" s="4" t="s">
        <v>5575</v>
      </c>
      <c r="F1116" s="4" t="s">
        <v>7154</v>
      </c>
      <c r="G1116" s="4" t="s">
        <v>5716</v>
      </c>
      <c r="H1116" s="4" t="s">
        <v>5823</v>
      </c>
      <c r="I1116" s="4"/>
      <c r="J1116" s="4" t="s">
        <v>4798</v>
      </c>
      <c r="K1116" s="4" t="s">
        <v>57</v>
      </c>
      <c r="L1116" s="4"/>
      <c r="M1116" s="4"/>
    </row>
    <row r="1117" ht="16" customHeight="1" s="4" customFormat="1">
      <c r="A1117" s="4">
        <v>3056</v>
      </c>
      <c r="B1117" s="4" t="s">
        <v>5499</v>
      </c>
      <c r="C1117" s="4" t="s">
        <v>5590</v>
      </c>
      <c r="D1117" s="4" t="s">
        <v>5574</v>
      </c>
      <c r="E1117" s="4" t="s">
        <v>5575</v>
      </c>
      <c r="F1117" s="4" t="s">
        <v>7155</v>
      </c>
      <c r="G1117" s="4" t="s">
        <v>5657</v>
      </c>
      <c r="H1117" s="4" t="s">
        <v>7038</v>
      </c>
      <c r="I1117" s="4"/>
      <c r="J1117" s="4" t="s">
        <v>5506</v>
      </c>
      <c r="K1117" s="4" t="s">
        <v>57</v>
      </c>
      <c r="L1117" s="4"/>
      <c r="M1117" s="4"/>
    </row>
    <row r="1118" ht="16" customHeight="1" s="4" customFormat="1">
      <c r="A1118" s="4">
        <v>3057</v>
      </c>
      <c r="B1118" s="4" t="s">
        <v>5499</v>
      </c>
      <c r="C1118" s="4" t="s">
        <v>5590</v>
      </c>
      <c r="D1118" s="4" t="s">
        <v>5574</v>
      </c>
      <c r="E1118" s="4" t="s">
        <v>5575</v>
      </c>
      <c r="F1118" s="4" t="s">
        <v>7156</v>
      </c>
      <c r="G1118" s="4" t="s">
        <v>6419</v>
      </c>
      <c r="H1118" s="4" t="s">
        <v>7005</v>
      </c>
      <c r="I1118" s="4"/>
      <c r="J1118" s="4" t="s">
        <v>4798</v>
      </c>
      <c r="K1118" s="4" t="s">
        <v>57</v>
      </c>
      <c r="L1118" s="4"/>
      <c r="M1118" s="4"/>
    </row>
    <row r="1119" ht="16" customHeight="1" s="4" customFormat="1">
      <c r="A1119" s="4">
        <v>3058</v>
      </c>
      <c r="B1119" s="4" t="s">
        <v>5499</v>
      </c>
      <c r="C1119" s="4" t="s">
        <v>5590</v>
      </c>
      <c r="D1119" s="4" t="s">
        <v>5574</v>
      </c>
      <c r="E1119" s="4" t="s">
        <v>5575</v>
      </c>
      <c r="F1119" s="4" t="s">
        <v>7157</v>
      </c>
      <c r="G1119" s="4" t="s">
        <v>4850</v>
      </c>
      <c r="H1119" s="4" t="s">
        <v>7040</v>
      </c>
      <c r="I1119" s="4"/>
      <c r="J1119" s="4" t="s">
        <v>4842</v>
      </c>
      <c r="K1119" s="4" t="s">
        <v>57</v>
      </c>
      <c r="L1119" s="4"/>
      <c r="M1119" s="4"/>
    </row>
    <row r="1120" ht="16" customHeight="1" s="4" customFormat="1">
      <c r="A1120" s="4">
        <v>3059</v>
      </c>
      <c r="B1120" s="4" t="s">
        <v>5499</v>
      </c>
      <c r="C1120" s="4" t="s">
        <v>5590</v>
      </c>
      <c r="D1120" s="4" t="s">
        <v>5574</v>
      </c>
      <c r="E1120" s="4" t="s">
        <v>5575</v>
      </c>
      <c r="F1120" s="4" t="s">
        <v>7158</v>
      </c>
      <c r="G1120" s="4" t="s">
        <v>7112</v>
      </c>
      <c r="H1120" s="4" t="s">
        <v>7113</v>
      </c>
      <c r="I1120" s="4"/>
      <c r="J1120" s="4" t="s">
        <v>4798</v>
      </c>
      <c r="K1120" s="4" t="s">
        <v>57</v>
      </c>
      <c r="L1120" s="4"/>
      <c r="M1120" s="4"/>
    </row>
    <row r="1121" ht="16" customHeight="1" s="4" customFormat="1">
      <c r="A1121" s="4">
        <v>3060</v>
      </c>
      <c r="B1121" s="4" t="s">
        <v>5499</v>
      </c>
      <c r="C1121" s="4" t="s">
        <v>5590</v>
      </c>
      <c r="D1121" s="4" t="s">
        <v>5514</v>
      </c>
      <c r="E1121" s="4" t="s">
        <v>5515</v>
      </c>
      <c r="F1121" s="4" t="s">
        <v>7159</v>
      </c>
      <c r="G1121" s="4" t="s">
        <v>7160</v>
      </c>
      <c r="H1121" s="4" t="s">
        <v>7161</v>
      </c>
      <c r="I1121" s="4"/>
      <c r="J1121" s="4" t="s">
        <v>4798</v>
      </c>
      <c r="K1121" s="4" t="s">
        <v>57</v>
      </c>
      <c r="L1121" s="4"/>
      <c r="M1121" s="4"/>
    </row>
    <row r="1122" ht="16" customHeight="1" s="4" customFormat="1">
      <c r="A1122" s="4">
        <v>3061</v>
      </c>
      <c r="B1122" s="4" t="s">
        <v>5499</v>
      </c>
      <c r="C1122" s="4" t="s">
        <v>5590</v>
      </c>
      <c r="D1122" s="4" t="s">
        <v>5574</v>
      </c>
      <c r="E1122" s="4" t="s">
        <v>5575</v>
      </c>
      <c r="F1122" s="4" t="s">
        <v>7162</v>
      </c>
      <c r="G1122" s="4" t="s">
        <v>7065</v>
      </c>
      <c r="H1122" s="4" t="s">
        <v>6207</v>
      </c>
      <c r="I1122" s="4"/>
      <c r="J1122" s="4" t="s">
        <v>4798</v>
      </c>
      <c r="K1122" s="4" t="s">
        <v>57</v>
      </c>
      <c r="L1122" s="4"/>
      <c r="M1122" s="4"/>
    </row>
    <row r="1123" ht="16" customHeight="1" s="4" customFormat="1">
      <c r="A1123" s="4">
        <v>3062</v>
      </c>
      <c r="B1123" s="4" t="s">
        <v>5499</v>
      </c>
      <c r="C1123" s="4" t="s">
        <v>5590</v>
      </c>
      <c r="D1123" s="4" t="s">
        <v>5574</v>
      </c>
      <c r="E1123" s="4" t="s">
        <v>5575</v>
      </c>
      <c r="F1123" s="4" t="s">
        <v>7163</v>
      </c>
      <c r="G1123" s="4" t="s">
        <v>5716</v>
      </c>
      <c r="H1123" s="4" t="s">
        <v>7012</v>
      </c>
      <c r="I1123" s="4"/>
      <c r="J1123" s="4" t="s">
        <v>4798</v>
      </c>
      <c r="K1123" s="4" t="s">
        <v>57</v>
      </c>
      <c r="L1123" s="4"/>
      <c r="M1123" s="4"/>
    </row>
    <row r="1124" ht="16" customHeight="1" s="4" customFormat="1">
      <c r="A1124" s="4">
        <v>3063</v>
      </c>
      <c r="B1124" s="4" t="s">
        <v>5499</v>
      </c>
      <c r="C1124" s="4" t="s">
        <v>5590</v>
      </c>
      <c r="D1124" s="4" t="s">
        <v>5574</v>
      </c>
      <c r="E1124" s="4" t="s">
        <v>5575</v>
      </c>
      <c r="F1124" s="4" t="s">
        <v>7164</v>
      </c>
      <c r="G1124" s="4" t="s">
        <v>6419</v>
      </c>
      <c r="H1124" s="4" t="s">
        <v>7005</v>
      </c>
      <c r="I1124" s="4"/>
      <c r="J1124" s="4" t="s">
        <v>4798</v>
      </c>
      <c r="K1124" s="4" t="s">
        <v>57</v>
      </c>
      <c r="L1124" s="4"/>
      <c r="M1124" s="4"/>
    </row>
    <row r="1125" ht="16" customHeight="1" s="4" customFormat="1">
      <c r="A1125" s="4">
        <v>3064</v>
      </c>
      <c r="B1125" s="4" t="s">
        <v>5499</v>
      </c>
      <c r="C1125" s="4" t="s">
        <v>5509</v>
      </c>
      <c r="D1125" s="4"/>
      <c r="E1125" s="4"/>
      <c r="F1125" s="4" t="s">
        <v>7165</v>
      </c>
      <c r="G1125" s="4" t="s">
        <v>7166</v>
      </c>
      <c r="H1125" s="4" t="s">
        <v>10</v>
      </c>
      <c r="I1125" s="4"/>
      <c r="J1125" s="4" t="s">
        <v>4798</v>
      </c>
      <c r="K1125" s="4" t="s">
        <v>57</v>
      </c>
      <c r="L1125" s="4"/>
      <c r="M1125" s="4"/>
    </row>
    <row r="1126" ht="16" customHeight="1" s="4" customFormat="1">
      <c r="A1126" s="4">
        <v>3065</v>
      </c>
      <c r="B1126" s="4" t="s">
        <v>5499</v>
      </c>
      <c r="C1126" s="4" t="s">
        <v>7167</v>
      </c>
      <c r="D1126" s="4"/>
      <c r="E1126" s="4" t="s">
        <v>7168</v>
      </c>
      <c r="F1126" s="4" t="s">
        <v>7169</v>
      </c>
      <c r="G1126" s="4" t="s">
        <v>7170</v>
      </c>
      <c r="H1126" s="4" t="s">
        <v>7171</v>
      </c>
      <c r="I1126" s="4"/>
      <c r="J1126" s="4" t="s">
        <v>4798</v>
      </c>
      <c r="K1126" s="4" t="s">
        <v>57</v>
      </c>
      <c r="L1126" s="4"/>
      <c r="M1126" s="4"/>
    </row>
    <row r="1127" ht="16" customHeight="1" s="4" customFormat="1">
      <c r="A1127" s="4">
        <v>3066</v>
      </c>
      <c r="B1127" s="4" t="s">
        <v>5499</v>
      </c>
      <c r="C1127" s="4" t="s">
        <v>5500</v>
      </c>
      <c r="D1127" s="4"/>
      <c r="E1127" s="4" t="s">
        <v>6301</v>
      </c>
      <c r="F1127" s="4" t="s">
        <v>7172</v>
      </c>
      <c r="G1127" s="4" t="s">
        <v>7173</v>
      </c>
      <c r="H1127" s="4" t="s">
        <v>7174</v>
      </c>
      <c r="I1127" s="4"/>
      <c r="J1127" s="4" t="s">
        <v>4798</v>
      </c>
      <c r="K1127" s="4" t="s">
        <v>57</v>
      </c>
      <c r="L1127" s="4"/>
      <c r="M1127" s="4"/>
    </row>
    <row r="1128" ht="16" customHeight="1" s="4" customFormat="1">
      <c r="A1128" s="4">
        <v>3067</v>
      </c>
      <c r="B1128" s="4" t="s">
        <v>5499</v>
      </c>
      <c r="C1128" s="4" t="s">
        <v>5500</v>
      </c>
      <c r="D1128" s="4" t="s">
        <v>5574</v>
      </c>
      <c r="E1128" s="4" t="s">
        <v>5706</v>
      </c>
      <c r="F1128" s="4" t="s">
        <v>7175</v>
      </c>
      <c r="G1128" s="4" t="s">
        <v>7176</v>
      </c>
      <c r="H1128" s="4" t="s">
        <v>7177</v>
      </c>
      <c r="I1128" s="4"/>
      <c r="J1128" s="4" t="s">
        <v>5506</v>
      </c>
      <c r="K1128" s="4" t="s">
        <v>57</v>
      </c>
      <c r="L1128" s="4"/>
      <c r="M1128" s="4"/>
    </row>
    <row r="1129" ht="16" customHeight="1" s="4" customFormat="1">
      <c r="A1129" s="4">
        <v>3068</v>
      </c>
      <c r="B1129" s="4" t="s">
        <v>5499</v>
      </c>
      <c r="C1129" s="4" t="s">
        <v>5500</v>
      </c>
      <c r="D1129" s="4" t="s">
        <v>5845</v>
      </c>
      <c r="E1129" s="4" t="s">
        <v>6984</v>
      </c>
      <c r="F1129" s="4" t="s">
        <v>7178</v>
      </c>
      <c r="G1129" s="4" t="s">
        <v>7176</v>
      </c>
      <c r="H1129" s="4" t="s">
        <v>7177</v>
      </c>
      <c r="I1129" s="4"/>
      <c r="J1129" s="4" t="s">
        <v>5506</v>
      </c>
      <c r="K1129" s="4" t="s">
        <v>57</v>
      </c>
      <c r="L1129" s="4"/>
      <c r="M1129" s="4"/>
    </row>
    <row r="1130" ht="16" customHeight="1" s="4" customFormat="1">
      <c r="A1130" s="4">
        <v>3069</v>
      </c>
      <c r="B1130" s="4" t="s">
        <v>5499</v>
      </c>
      <c r="C1130" s="4" t="s">
        <v>5500</v>
      </c>
      <c r="D1130" s="4" t="s">
        <v>5574</v>
      </c>
      <c r="E1130" s="4" t="s">
        <v>5575</v>
      </c>
      <c r="F1130" s="4" t="s">
        <v>7179</v>
      </c>
      <c r="G1130" s="4" t="s">
        <v>7180</v>
      </c>
      <c r="H1130" s="4" t="s">
        <v>7181</v>
      </c>
      <c r="I1130" s="4"/>
      <c r="J1130" s="4" t="s">
        <v>5506</v>
      </c>
      <c r="K1130" s="4" t="s">
        <v>57</v>
      </c>
      <c r="L1130" s="4"/>
      <c r="M1130" s="4"/>
    </row>
    <row r="1131" ht="16" customHeight="1" s="4" customFormat="1">
      <c r="A1131" s="4">
        <v>3070</v>
      </c>
      <c r="B1131" s="4" t="s">
        <v>5499</v>
      </c>
      <c r="C1131" s="4" t="s">
        <v>5500</v>
      </c>
      <c r="D1131" s="4" t="s">
        <v>5574</v>
      </c>
      <c r="E1131" s="4" t="s">
        <v>5575</v>
      </c>
      <c r="F1131" s="4" t="s">
        <v>7182</v>
      </c>
      <c r="G1131" s="4" t="s">
        <v>7183</v>
      </c>
      <c r="H1131" s="4" t="s">
        <v>7184</v>
      </c>
      <c r="I1131" s="4"/>
      <c r="J1131" s="4" t="s">
        <v>5506</v>
      </c>
      <c r="K1131" s="4" t="s">
        <v>57</v>
      </c>
      <c r="L1131" s="4"/>
      <c r="M1131" s="4"/>
    </row>
    <row r="1132" ht="16" customHeight="1" s="4" customFormat="1">
      <c r="A1132" s="4">
        <v>3071</v>
      </c>
      <c r="B1132" s="4" t="s">
        <v>5499</v>
      </c>
      <c r="C1132" s="4" t="s">
        <v>5500</v>
      </c>
      <c r="D1132" s="4" t="s">
        <v>5574</v>
      </c>
      <c r="E1132" s="4" t="s">
        <v>5575</v>
      </c>
      <c r="F1132" s="4" t="s">
        <v>7185</v>
      </c>
      <c r="G1132" s="4" t="s">
        <v>7173</v>
      </c>
      <c r="H1132" s="4" t="s">
        <v>7186</v>
      </c>
      <c r="I1132" s="4"/>
      <c r="J1132" s="4" t="s">
        <v>4798</v>
      </c>
      <c r="K1132" s="4" t="s">
        <v>57</v>
      </c>
      <c r="L1132" s="4"/>
      <c r="M1132" s="4"/>
    </row>
    <row r="1133" ht="16" customHeight="1" s="4" customFormat="1">
      <c r="A1133" s="4">
        <v>3072</v>
      </c>
      <c r="B1133" s="4" t="s">
        <v>5499</v>
      </c>
      <c r="C1133" s="4" t="s">
        <v>5500</v>
      </c>
      <c r="D1133" s="4"/>
      <c r="E1133" s="4" t="s">
        <v>6990</v>
      </c>
      <c r="F1133" s="4" t="s">
        <v>7187</v>
      </c>
      <c r="G1133" s="4" t="s">
        <v>7188</v>
      </c>
      <c r="H1133" s="4" t="s">
        <v>7189</v>
      </c>
      <c r="I1133" s="4"/>
      <c r="J1133" s="4" t="s">
        <v>5506</v>
      </c>
      <c r="K1133" s="4" t="s">
        <v>57</v>
      </c>
      <c r="L1133" s="4"/>
      <c r="M1133" s="4"/>
    </row>
    <row r="1134" ht="16" customHeight="1" s="4" customFormat="1">
      <c r="A1134" s="4">
        <v>3073</v>
      </c>
      <c r="B1134" s="4" t="s">
        <v>5499</v>
      </c>
      <c r="C1134" s="4" t="s">
        <v>5702</v>
      </c>
      <c r="D1134" s="4" t="s">
        <v>5501</v>
      </c>
      <c r="E1134" s="4" t="s">
        <v>5502</v>
      </c>
      <c r="F1134" s="4" t="s">
        <v>7190</v>
      </c>
      <c r="G1134" s="4" t="s">
        <v>4850</v>
      </c>
      <c r="H1134" s="4" t="s">
        <v>7009</v>
      </c>
      <c r="I1134" s="4"/>
      <c r="J1134" s="4" t="s">
        <v>5506</v>
      </c>
      <c r="K1134" s="4" t="s">
        <v>57</v>
      </c>
      <c r="L1134" s="4"/>
      <c r="M1134" s="4"/>
    </row>
    <row r="1135" ht="16" customHeight="1" s="4" customFormat="1">
      <c r="A1135" s="4">
        <v>3074</v>
      </c>
      <c r="B1135" s="4" t="s">
        <v>5499</v>
      </c>
      <c r="C1135" s="4" t="s">
        <v>5702</v>
      </c>
      <c r="D1135" s="4" t="s">
        <v>5501</v>
      </c>
      <c r="E1135" s="4" t="s">
        <v>5502</v>
      </c>
      <c r="F1135" s="4" t="s">
        <v>7191</v>
      </c>
      <c r="G1135" s="4" t="s">
        <v>4850</v>
      </c>
      <c r="H1135" s="4" t="s">
        <v>7009</v>
      </c>
      <c r="I1135" s="4"/>
      <c r="J1135" s="4" t="s">
        <v>5506</v>
      </c>
      <c r="K1135" s="4" t="s">
        <v>57</v>
      </c>
      <c r="L1135" s="4"/>
      <c r="M1135" s="4"/>
    </row>
    <row r="1136" ht="16" customHeight="1" s="4" customFormat="1">
      <c r="A1136" s="4">
        <v>3075</v>
      </c>
      <c r="B1136" s="4" t="s">
        <v>5499</v>
      </c>
      <c r="C1136" s="4" t="s">
        <v>5702</v>
      </c>
      <c r="D1136" s="4" t="s">
        <v>5501</v>
      </c>
      <c r="E1136" s="4" t="s">
        <v>5502</v>
      </c>
      <c r="F1136" s="4" t="s">
        <v>7192</v>
      </c>
      <c r="G1136" s="4" t="s">
        <v>4850</v>
      </c>
      <c r="H1136" s="4" t="s">
        <v>7009</v>
      </c>
      <c r="I1136" s="4"/>
      <c r="J1136" s="4" t="s">
        <v>5506</v>
      </c>
      <c r="K1136" s="4" t="s">
        <v>57</v>
      </c>
      <c r="L1136" s="4"/>
      <c r="M1136" s="4"/>
    </row>
    <row r="1137" ht="16" customHeight="1" s="4" customFormat="1">
      <c r="A1137" s="4">
        <v>3076</v>
      </c>
      <c r="B1137" s="4" t="s">
        <v>5499</v>
      </c>
      <c r="C1137" s="4" t="s">
        <v>5590</v>
      </c>
      <c r="D1137" s="4" t="s">
        <v>5574</v>
      </c>
      <c r="E1137" s="4" t="s">
        <v>5575</v>
      </c>
      <c r="F1137" s="4" t="s">
        <v>7193</v>
      </c>
      <c r="G1137" s="4" t="s">
        <v>6431</v>
      </c>
      <c r="H1137" s="4" t="s">
        <v>7194</v>
      </c>
      <c r="I1137" s="4"/>
      <c r="J1137" s="4" t="s">
        <v>5506</v>
      </c>
      <c r="K1137" s="4" t="s">
        <v>57</v>
      </c>
      <c r="L1137" s="4"/>
      <c r="M1137" s="4"/>
    </row>
    <row r="1138" ht="16" customHeight="1" s="4" customFormat="1">
      <c r="A1138" s="4">
        <v>3077</v>
      </c>
      <c r="B1138" s="4" t="s">
        <v>5499</v>
      </c>
      <c r="C1138" s="4" t="s">
        <v>7167</v>
      </c>
      <c r="D1138" s="4"/>
      <c r="E1138" s="4" t="s">
        <v>7195</v>
      </c>
      <c r="F1138" s="4" t="s">
        <v>7196</v>
      </c>
      <c r="G1138" s="4" t="s">
        <v>4850</v>
      </c>
      <c r="H1138" s="4" t="s">
        <v>7197</v>
      </c>
      <c r="I1138" s="4"/>
      <c r="J1138" s="4" t="s">
        <v>4798</v>
      </c>
      <c r="K1138" s="4" t="s">
        <v>57</v>
      </c>
      <c r="L1138" s="4"/>
      <c r="M1138" s="4"/>
    </row>
    <row r="1139" ht="16" customHeight="1" s="4" customFormat="1">
      <c r="A1139" s="4">
        <v>3078</v>
      </c>
      <c r="B1139" s="4" t="s">
        <v>5499</v>
      </c>
      <c r="C1139" s="4" t="s">
        <v>5590</v>
      </c>
      <c r="D1139" s="4" t="s">
        <v>5574</v>
      </c>
      <c r="E1139" s="4" t="s">
        <v>5575</v>
      </c>
      <c r="F1139" s="4" t="s">
        <v>7198</v>
      </c>
      <c r="G1139" s="4" t="s">
        <v>7199</v>
      </c>
      <c r="H1139" s="4" t="s">
        <v>7200</v>
      </c>
      <c r="I1139" s="4"/>
      <c r="J1139" s="4" t="s">
        <v>5506</v>
      </c>
      <c r="K1139" s="4" t="s">
        <v>57</v>
      </c>
      <c r="L1139" s="4"/>
      <c r="M1139" s="4"/>
    </row>
    <row r="1140" ht="16" customHeight="1" s="4" customFormat="1">
      <c r="A1140" s="4">
        <v>3079</v>
      </c>
      <c r="B1140" s="4" t="s">
        <v>5499</v>
      </c>
      <c r="C1140" s="4" t="s">
        <v>7201</v>
      </c>
      <c r="D1140" s="4"/>
      <c r="E1140" s="4" t="s">
        <v>7202</v>
      </c>
      <c r="F1140" s="4" t="s">
        <v>7203</v>
      </c>
      <c r="G1140" s="4" t="s">
        <v>4850</v>
      </c>
      <c r="H1140" s="4" t="s">
        <v>7204</v>
      </c>
      <c r="I1140" s="4"/>
      <c r="J1140" s="4" t="s">
        <v>5506</v>
      </c>
      <c r="K1140" s="4" t="s">
        <v>57</v>
      </c>
      <c r="L1140" s="4"/>
      <c r="M1140" s="4"/>
    </row>
    <row r="1141" ht="16" customHeight="1" s="4" customFormat="1">
      <c r="A1141" s="4">
        <v>3080</v>
      </c>
      <c r="B1141" s="4" t="s">
        <v>5499</v>
      </c>
      <c r="C1141" s="4" t="s">
        <v>5590</v>
      </c>
      <c r="D1141" s="4" t="s">
        <v>5574</v>
      </c>
      <c r="E1141" s="4" t="s">
        <v>5575</v>
      </c>
      <c r="F1141" s="4" t="s">
        <v>7205</v>
      </c>
      <c r="G1141" s="4" t="s">
        <v>7014</v>
      </c>
      <c r="H1141" s="4" t="s">
        <v>7206</v>
      </c>
      <c r="I1141" s="4"/>
      <c r="J1141" s="4" t="s">
        <v>5506</v>
      </c>
      <c r="K1141" s="4" t="s">
        <v>57</v>
      </c>
      <c r="L1141" s="4"/>
      <c r="M1141" s="4"/>
    </row>
    <row r="1142" ht="16" customHeight="1" s="4" customFormat="1">
      <c r="A1142" s="4">
        <v>3081</v>
      </c>
      <c r="B1142" s="4" t="s">
        <v>5499</v>
      </c>
      <c r="C1142" s="4" t="s">
        <v>5590</v>
      </c>
      <c r="D1142" s="4" t="s">
        <v>5574</v>
      </c>
      <c r="E1142" s="4" t="s">
        <v>5575</v>
      </c>
      <c r="F1142" s="4" t="s">
        <v>7207</v>
      </c>
      <c r="G1142" s="4" t="s">
        <v>7014</v>
      </c>
      <c r="H1142" s="4" t="s">
        <v>7206</v>
      </c>
      <c r="I1142" s="4"/>
      <c r="J1142" s="4" t="s">
        <v>5506</v>
      </c>
      <c r="K1142" s="4" t="s">
        <v>57</v>
      </c>
      <c r="L1142" s="4"/>
      <c r="M1142" s="4"/>
    </row>
    <row r="1143" ht="16" customHeight="1" s="4" customFormat="1">
      <c r="A1143" s="4">
        <v>3082</v>
      </c>
      <c r="B1143" s="4" t="s">
        <v>5499</v>
      </c>
      <c r="C1143" s="4" t="s">
        <v>7201</v>
      </c>
      <c r="D1143" s="4"/>
      <c r="E1143" s="4" t="s">
        <v>7202</v>
      </c>
      <c r="F1143" s="4" t="s">
        <v>7208</v>
      </c>
      <c r="G1143" s="4" t="s">
        <v>7209</v>
      </c>
      <c r="H1143" s="4" t="s">
        <v>7210</v>
      </c>
      <c r="I1143" s="4"/>
      <c r="J1143" s="4" t="s">
        <v>5506</v>
      </c>
      <c r="K1143" s="4" t="s">
        <v>57</v>
      </c>
      <c r="L1143" s="4"/>
      <c r="M1143" s="4"/>
    </row>
    <row r="1144" ht="16" customHeight="1" s="4" customFormat="1">
      <c r="A1144" s="4">
        <v>3083</v>
      </c>
      <c r="B1144" s="4" t="s">
        <v>5499</v>
      </c>
      <c r="C1144" s="4" t="s">
        <v>7211</v>
      </c>
      <c r="D1144" s="4"/>
      <c r="E1144" s="4" t="s">
        <v>7212</v>
      </c>
      <c r="F1144" s="4" t="s">
        <v>7213</v>
      </c>
      <c r="G1144" s="4" t="s">
        <v>7214</v>
      </c>
      <c r="H1144" s="4" t="s">
        <v>7215</v>
      </c>
      <c r="I1144" s="4"/>
      <c r="J1144" s="4" t="s">
        <v>4842</v>
      </c>
      <c r="K1144" s="4" t="s">
        <v>57</v>
      </c>
      <c r="L1144" s="4"/>
      <c r="M1144" s="4"/>
    </row>
    <row r="1145" ht="16" customHeight="1" s="4" customFormat="1">
      <c r="A1145" s="4">
        <v>3084</v>
      </c>
      <c r="B1145" s="4" t="s">
        <v>5499</v>
      </c>
      <c r="C1145" s="4" t="s">
        <v>7211</v>
      </c>
      <c r="D1145" s="4"/>
      <c r="E1145" s="4" t="s">
        <v>7212</v>
      </c>
      <c r="F1145" s="4" t="s">
        <v>7216</v>
      </c>
      <c r="G1145" s="4" t="s">
        <v>7214</v>
      </c>
      <c r="H1145" s="4" t="s">
        <v>7215</v>
      </c>
      <c r="I1145" s="4"/>
      <c r="J1145" s="4" t="s">
        <v>4842</v>
      </c>
      <c r="K1145" s="4" t="s">
        <v>57</v>
      </c>
      <c r="L1145" s="4"/>
      <c r="M1145" s="4"/>
    </row>
    <row r="1146" ht="16" customHeight="1" s="4" customFormat="1">
      <c r="A1146" s="4">
        <v>3085</v>
      </c>
      <c r="B1146" s="4" t="s">
        <v>5499</v>
      </c>
      <c r="C1146" s="4" t="s">
        <v>7211</v>
      </c>
      <c r="D1146" s="4"/>
      <c r="E1146" s="4" t="s">
        <v>7212</v>
      </c>
      <c r="F1146" s="4" t="s">
        <v>7217</v>
      </c>
      <c r="G1146" s="4" t="s">
        <v>10</v>
      </c>
      <c r="H1146" s="4" t="s">
        <v>7218</v>
      </c>
      <c r="I1146" s="4"/>
      <c r="J1146" s="4" t="s">
        <v>4842</v>
      </c>
      <c r="K1146" s="4" t="s">
        <v>57</v>
      </c>
      <c r="L1146" s="4"/>
      <c r="M1146" s="4"/>
    </row>
    <row r="1147" ht="16" customHeight="1" s="4" customFormat="1">
      <c r="A1147" s="4">
        <v>3086</v>
      </c>
      <c r="B1147" s="4" t="s">
        <v>5499</v>
      </c>
      <c r="C1147" s="4" t="s">
        <v>7211</v>
      </c>
      <c r="D1147" s="4"/>
      <c r="E1147" s="4" t="s">
        <v>7212</v>
      </c>
      <c r="F1147" s="4" t="s">
        <v>7219</v>
      </c>
      <c r="G1147" s="4" t="s">
        <v>10</v>
      </c>
      <c r="H1147" s="4" t="s">
        <v>7218</v>
      </c>
      <c r="I1147" s="4"/>
      <c r="J1147" s="4" t="s">
        <v>4842</v>
      </c>
      <c r="K1147" s="4" t="s">
        <v>57</v>
      </c>
      <c r="L1147" s="4"/>
      <c r="M1147" s="4"/>
    </row>
    <row r="1148" ht="16" customHeight="1" s="4" customFormat="1">
      <c r="A1148" s="4">
        <v>3087</v>
      </c>
      <c r="B1148" s="4" t="s">
        <v>5499</v>
      </c>
      <c r="C1148" s="4" t="s">
        <v>7220</v>
      </c>
      <c r="D1148" s="4" t="s">
        <v>5574</v>
      </c>
      <c r="E1148" s="4" t="s">
        <v>5575</v>
      </c>
      <c r="F1148" s="4" t="s">
        <v>7221</v>
      </c>
      <c r="G1148" s="4" t="s">
        <v>7222</v>
      </c>
      <c r="H1148" s="4" t="s">
        <v>7223</v>
      </c>
      <c r="I1148" s="4"/>
      <c r="J1148" s="4" t="s">
        <v>4798</v>
      </c>
      <c r="K1148" s="4" t="s">
        <v>57</v>
      </c>
      <c r="L1148" s="4"/>
      <c r="M1148" s="4"/>
    </row>
    <row r="1149" ht="16" customHeight="1" s="4" customFormat="1">
      <c r="A1149" s="4">
        <v>3088</v>
      </c>
      <c r="B1149" s="4" t="s">
        <v>5499</v>
      </c>
      <c r="C1149" s="4" t="s">
        <v>5500</v>
      </c>
      <c r="D1149" s="4" t="s">
        <v>5574</v>
      </c>
      <c r="E1149" s="4" t="s">
        <v>5575</v>
      </c>
      <c r="F1149" s="4" t="s">
        <v>7224</v>
      </c>
      <c r="G1149" s="4" t="s">
        <v>6422</v>
      </c>
      <c r="H1149" s="4" t="s">
        <v>7225</v>
      </c>
      <c r="I1149" s="4"/>
      <c r="J1149" s="4" t="s">
        <v>4798</v>
      </c>
      <c r="K1149" s="4" t="s">
        <v>57</v>
      </c>
      <c r="L1149" s="4"/>
      <c r="M1149" s="4"/>
    </row>
    <row r="1150" ht="16" customHeight="1" s="4" customFormat="1">
      <c r="A1150" s="4">
        <v>3089</v>
      </c>
      <c r="B1150" s="4" t="s">
        <v>5499</v>
      </c>
      <c r="C1150" s="4" t="s">
        <v>7201</v>
      </c>
      <c r="D1150" s="4"/>
      <c r="E1150" s="4" t="s">
        <v>7202</v>
      </c>
      <c r="F1150" s="4" t="s">
        <v>7226</v>
      </c>
      <c r="G1150" s="4" t="s">
        <v>7227</v>
      </c>
      <c r="H1150" s="4" t="s">
        <v>6431</v>
      </c>
      <c r="I1150" s="4"/>
      <c r="J1150" s="4" t="s">
        <v>5506</v>
      </c>
      <c r="K1150" s="4" t="s">
        <v>57</v>
      </c>
      <c r="L1150" s="4"/>
      <c r="M1150" s="4"/>
    </row>
    <row r="1151" ht="16" customHeight="1" s="4" customFormat="1">
      <c r="A1151" s="4">
        <v>3090</v>
      </c>
      <c r="B1151" s="4" t="s">
        <v>5499</v>
      </c>
      <c r="C1151" s="4" t="s">
        <v>7201</v>
      </c>
      <c r="D1151" s="4"/>
      <c r="E1151" s="4" t="s">
        <v>7202</v>
      </c>
      <c r="F1151" s="4" t="s">
        <v>7228</v>
      </c>
      <c r="G1151" s="4" t="s">
        <v>7227</v>
      </c>
      <c r="H1151" s="4" t="s">
        <v>7229</v>
      </c>
      <c r="I1151" s="4"/>
      <c r="J1151" s="4" t="s">
        <v>4798</v>
      </c>
      <c r="K1151" s="4" t="s">
        <v>57</v>
      </c>
      <c r="L1151" s="4"/>
      <c r="M1151" s="4"/>
    </row>
    <row r="1152" ht="16" customHeight="1" s="4" customFormat="1">
      <c r="A1152" s="4">
        <v>3091</v>
      </c>
      <c r="B1152" s="4" t="s">
        <v>5499</v>
      </c>
      <c r="C1152" s="4" t="s">
        <v>5590</v>
      </c>
      <c r="D1152" s="4" t="s">
        <v>5574</v>
      </c>
      <c r="E1152" s="4" t="s">
        <v>5575</v>
      </c>
      <c r="F1152" s="4" t="s">
        <v>7230</v>
      </c>
      <c r="G1152" s="4" t="s">
        <v>4850</v>
      </c>
      <c r="H1152" s="4" t="s">
        <v>7113</v>
      </c>
      <c r="I1152" s="4"/>
      <c r="J1152" s="4" t="s">
        <v>5506</v>
      </c>
      <c r="K1152" s="4" t="s">
        <v>57</v>
      </c>
      <c r="L1152" s="4"/>
      <c r="M1152" s="4"/>
    </row>
    <row r="1153" ht="16" customHeight="1" s="4" customFormat="1">
      <c r="A1153" s="4">
        <v>3092</v>
      </c>
      <c r="B1153" s="4" t="s">
        <v>5499</v>
      </c>
      <c r="C1153" s="4" t="s">
        <v>5590</v>
      </c>
      <c r="D1153" s="4" t="s">
        <v>5574</v>
      </c>
      <c r="E1153" s="4" t="s">
        <v>5575</v>
      </c>
      <c r="F1153" s="4" t="s">
        <v>7231</v>
      </c>
      <c r="G1153" s="4" t="s">
        <v>5716</v>
      </c>
      <c r="H1153" s="4" t="s">
        <v>7107</v>
      </c>
      <c r="I1153" s="4"/>
      <c r="J1153" s="4" t="s">
        <v>4798</v>
      </c>
      <c r="K1153" s="4" t="s">
        <v>57</v>
      </c>
      <c r="L1153" s="4"/>
      <c r="M1153" s="4"/>
    </row>
    <row r="1154" ht="16" customHeight="1" s="4" customFormat="1">
      <c r="A1154" s="4">
        <v>3093</v>
      </c>
      <c r="B1154" s="4" t="s">
        <v>5499</v>
      </c>
      <c r="C1154" s="4" t="s">
        <v>7201</v>
      </c>
      <c r="D1154" s="4"/>
      <c r="E1154" s="4" t="s">
        <v>7202</v>
      </c>
      <c r="F1154" s="4" t="s">
        <v>7232</v>
      </c>
      <c r="G1154" s="4" t="s">
        <v>7227</v>
      </c>
      <c r="H1154" s="4" t="s">
        <v>7229</v>
      </c>
      <c r="I1154" s="4"/>
      <c r="J1154" s="4" t="s">
        <v>5506</v>
      </c>
      <c r="K1154" s="4" t="s">
        <v>57</v>
      </c>
      <c r="L1154" s="4"/>
      <c r="M1154" s="4"/>
    </row>
    <row r="1155" ht="16" customHeight="1" s="4" customFormat="1">
      <c r="A1155" s="4">
        <v>3094</v>
      </c>
      <c r="B1155" s="4" t="s">
        <v>5499</v>
      </c>
      <c r="C1155" s="4" t="s">
        <v>7211</v>
      </c>
      <c r="D1155" s="4"/>
      <c r="E1155" s="4" t="s">
        <v>7212</v>
      </c>
      <c r="F1155" s="4" t="s">
        <v>7233</v>
      </c>
      <c r="G1155" s="4" t="s">
        <v>7234</v>
      </c>
      <c r="H1155" s="4" t="s">
        <v>5791</v>
      </c>
      <c r="I1155" s="4"/>
      <c r="J1155" s="4" t="s">
        <v>4842</v>
      </c>
      <c r="K1155" s="4" t="s">
        <v>57</v>
      </c>
      <c r="L1155" s="4"/>
      <c r="M1155" s="4"/>
    </row>
    <row r="1156" ht="16" customHeight="1" s="4" customFormat="1">
      <c r="A1156" s="4">
        <v>3095</v>
      </c>
      <c r="B1156" s="4" t="s">
        <v>5499</v>
      </c>
      <c r="C1156" s="4" t="s">
        <v>7211</v>
      </c>
      <c r="D1156" s="4"/>
      <c r="E1156" s="4" t="s">
        <v>7212</v>
      </c>
      <c r="F1156" s="4" t="s">
        <v>7235</v>
      </c>
      <c r="G1156" s="4" t="s">
        <v>7234</v>
      </c>
      <c r="H1156" s="4" t="s">
        <v>5791</v>
      </c>
      <c r="I1156" s="4"/>
      <c r="J1156" s="4" t="s">
        <v>4842</v>
      </c>
      <c r="K1156" s="4" t="s">
        <v>57</v>
      </c>
      <c r="L1156" s="4"/>
      <c r="M1156" s="4"/>
    </row>
    <row r="1157" ht="16" customHeight="1" s="4" customFormat="1">
      <c r="A1157" s="4">
        <v>3096</v>
      </c>
      <c r="B1157" s="4" t="s">
        <v>5499</v>
      </c>
      <c r="C1157" s="4" t="s">
        <v>7211</v>
      </c>
      <c r="D1157" s="4"/>
      <c r="E1157" s="4" t="s">
        <v>7212</v>
      </c>
      <c r="F1157" s="4" t="s">
        <v>7236</v>
      </c>
      <c r="G1157" s="4" t="s">
        <v>7234</v>
      </c>
      <c r="H1157" s="4" t="s">
        <v>7237</v>
      </c>
      <c r="I1157" s="4"/>
      <c r="J1157" s="4" t="s">
        <v>4842</v>
      </c>
      <c r="K1157" s="4" t="s">
        <v>57</v>
      </c>
      <c r="L1157" s="4"/>
      <c r="M1157" s="4"/>
    </row>
    <row r="1158" ht="16" customHeight="1" s="4" customFormat="1">
      <c r="A1158" s="4">
        <v>3097</v>
      </c>
      <c r="B1158" s="4" t="s">
        <v>5499</v>
      </c>
      <c r="C1158" s="4" t="s">
        <v>7211</v>
      </c>
      <c r="D1158" s="4"/>
      <c r="E1158" s="4" t="s">
        <v>7212</v>
      </c>
      <c r="F1158" s="4" t="s">
        <v>7238</v>
      </c>
      <c r="G1158" s="4" t="s">
        <v>7234</v>
      </c>
      <c r="H1158" s="4" t="s">
        <v>7237</v>
      </c>
      <c r="I1158" s="4"/>
      <c r="J1158" s="4" t="s">
        <v>4842</v>
      </c>
      <c r="K1158" s="4" t="s">
        <v>57</v>
      </c>
      <c r="L1158" s="4"/>
      <c r="M1158" s="4"/>
    </row>
    <row r="1159" ht="16" customHeight="1" s="4" customFormat="1">
      <c r="A1159" s="4">
        <v>3098</v>
      </c>
      <c r="B1159" s="4" t="s">
        <v>5499</v>
      </c>
      <c r="C1159" s="4" t="s">
        <v>5702</v>
      </c>
      <c r="D1159" s="4" t="s">
        <v>5574</v>
      </c>
      <c r="E1159" s="4" t="s">
        <v>5575</v>
      </c>
      <c r="F1159" s="4" t="s">
        <v>7239</v>
      </c>
      <c r="G1159" s="4" t="s">
        <v>7240</v>
      </c>
      <c r="H1159" s="4" t="s">
        <v>7241</v>
      </c>
      <c r="I1159" s="4"/>
      <c r="J1159" s="4" t="s">
        <v>5506</v>
      </c>
      <c r="K1159" s="4" t="s">
        <v>57</v>
      </c>
      <c r="L1159" s="4"/>
      <c r="M1159" s="4"/>
    </row>
    <row r="1160" ht="16" customHeight="1" s="4" customFormat="1">
      <c r="A1160" s="4">
        <v>3099</v>
      </c>
      <c r="B1160" s="4" t="s">
        <v>5499</v>
      </c>
      <c r="C1160" s="4" t="s">
        <v>5509</v>
      </c>
      <c r="D1160" s="4"/>
      <c r="E1160" s="4"/>
      <c r="F1160" s="4" t="s">
        <v>7242</v>
      </c>
      <c r="G1160" s="4" t="s">
        <v>5771</v>
      </c>
      <c r="H1160" s="4" t="s">
        <v>7243</v>
      </c>
      <c r="I1160" s="4"/>
      <c r="J1160" s="4" t="s">
        <v>4798</v>
      </c>
      <c r="K1160" s="4" t="s">
        <v>57</v>
      </c>
      <c r="L1160" s="4"/>
      <c r="M1160" s="4"/>
    </row>
    <row r="1161" ht="16" customHeight="1" s="4" customFormat="1">
      <c r="A1161" s="4">
        <v>3100</v>
      </c>
      <c r="B1161" s="4" t="s">
        <v>5499</v>
      </c>
      <c r="C1161" s="4" t="s">
        <v>5702</v>
      </c>
      <c r="D1161" s="4" t="s">
        <v>5574</v>
      </c>
      <c r="E1161" s="4" t="s">
        <v>5575</v>
      </c>
      <c r="F1161" s="4" t="s">
        <v>7244</v>
      </c>
      <c r="G1161" s="4" t="s">
        <v>7245</v>
      </c>
      <c r="H1161" s="4" t="s">
        <v>7009</v>
      </c>
      <c r="I1161" s="4"/>
      <c r="J1161" s="4" t="s">
        <v>5506</v>
      </c>
      <c r="K1161" s="4" t="s">
        <v>57</v>
      </c>
      <c r="L1161" s="4"/>
      <c r="M1161" s="4"/>
    </row>
    <row r="1162" ht="16" customHeight="1" s="4" customFormat="1">
      <c r="A1162" s="4">
        <v>3101</v>
      </c>
      <c r="B1162" s="4" t="s">
        <v>5499</v>
      </c>
      <c r="C1162" s="4" t="s">
        <v>5573</v>
      </c>
      <c r="D1162" s="4" t="s">
        <v>5574</v>
      </c>
      <c r="E1162" s="4" t="s">
        <v>5575</v>
      </c>
      <c r="F1162" s="4" t="s">
        <v>7246</v>
      </c>
      <c r="G1162" s="4" t="s">
        <v>7247</v>
      </c>
      <c r="H1162" s="4" t="s">
        <v>7248</v>
      </c>
      <c r="I1162" s="4"/>
      <c r="J1162" s="4" t="s">
        <v>5506</v>
      </c>
      <c r="K1162" s="4" t="s">
        <v>57</v>
      </c>
      <c r="L1162" s="4"/>
      <c r="M1162" s="4"/>
    </row>
    <row r="1163" ht="16" customHeight="1" s="4" customFormat="1">
      <c r="A1163" s="4">
        <v>3102</v>
      </c>
      <c r="B1163" s="4" t="s">
        <v>7249</v>
      </c>
      <c r="C1163" s="4" t="s">
        <v>7249</v>
      </c>
      <c r="D1163" s="4"/>
      <c r="E1163" s="4" t="s">
        <v>5645</v>
      </c>
      <c r="F1163" s="4" t="s">
        <v>7250</v>
      </c>
      <c r="G1163" s="4" t="s">
        <v>7251</v>
      </c>
      <c r="H1163" s="4" t="s">
        <v>7052</v>
      </c>
      <c r="I1163" s="4"/>
      <c r="J1163" s="4" t="s">
        <v>4842</v>
      </c>
      <c r="K1163" s="4" t="s">
        <v>57</v>
      </c>
      <c r="L1163" s="4"/>
      <c r="M1163" s="4"/>
    </row>
    <row r="1164" ht="16" customHeight="1" s="4" customFormat="1">
      <c r="A1164" s="4">
        <v>3103</v>
      </c>
      <c r="B1164" s="4" t="s">
        <v>7249</v>
      </c>
      <c r="C1164" s="4" t="s">
        <v>7249</v>
      </c>
      <c r="D1164" s="4"/>
      <c r="E1164" s="4" t="s">
        <v>5520</v>
      </c>
      <c r="F1164" s="4" t="s">
        <v>7252</v>
      </c>
      <c r="G1164" s="4" t="s">
        <v>7253</v>
      </c>
      <c r="H1164" s="4" t="s">
        <v>6989</v>
      </c>
      <c r="I1164" s="4"/>
      <c r="J1164" s="4" t="s">
        <v>4842</v>
      </c>
      <c r="K1164" s="4" t="s">
        <v>57</v>
      </c>
      <c r="L1164" s="4"/>
      <c r="M1164" s="4"/>
    </row>
    <row r="1165" ht="16" customHeight="1" s="4" customFormat="1">
      <c r="A1165" s="4">
        <v>3104</v>
      </c>
      <c r="B1165" s="4" t="s">
        <v>7249</v>
      </c>
      <c r="C1165" s="4" t="s">
        <v>7249</v>
      </c>
      <c r="D1165" s="4"/>
      <c r="E1165" s="4" t="s">
        <v>5520</v>
      </c>
      <c r="F1165" s="4" t="s">
        <v>6987</v>
      </c>
      <c r="G1165" s="4" t="s">
        <v>6988</v>
      </c>
      <c r="H1165" s="4" t="s">
        <v>6989</v>
      </c>
      <c r="I1165" s="4"/>
      <c r="J1165" s="4" t="s">
        <v>4842</v>
      </c>
      <c r="K1165" s="4" t="s">
        <v>57</v>
      </c>
      <c r="L1165" s="4"/>
      <c r="M1165" s="4"/>
    </row>
    <row r="1166" ht="16" customHeight="1" s="4" customFormat="1">
      <c r="A1166" s="4">
        <v>3105</v>
      </c>
      <c r="B1166" s="4" t="s">
        <v>5499</v>
      </c>
      <c r="C1166" s="4" t="s">
        <v>5500</v>
      </c>
      <c r="D1166" s="4" t="s">
        <v>5514</v>
      </c>
      <c r="E1166" s="4" t="s">
        <v>5515</v>
      </c>
      <c r="F1166" s="4" t="s">
        <v>7250</v>
      </c>
      <c r="G1166" s="4" t="s">
        <v>7251</v>
      </c>
      <c r="H1166" s="4" t="s">
        <v>7052</v>
      </c>
      <c r="I1166" s="4"/>
      <c r="J1166" s="4" t="s">
        <v>5506</v>
      </c>
      <c r="K1166" s="4" t="s">
        <v>57</v>
      </c>
      <c r="L1166" s="4"/>
      <c r="M1166" s="4"/>
    </row>
    <row r="1167" ht="16" customHeight="1" s="4" customFormat="1">
      <c r="A1167" s="4">
        <v>3106</v>
      </c>
      <c r="B1167" s="4" t="s">
        <v>5499</v>
      </c>
      <c r="C1167" s="4" t="s">
        <v>5509</v>
      </c>
      <c r="D1167" s="4"/>
      <c r="E1167" s="4"/>
      <c r="F1167" s="4" t="s">
        <v>7254</v>
      </c>
      <c r="G1167" s="4" t="s">
        <v>10</v>
      </c>
      <c r="H1167" s="4" t="s">
        <v>7255</v>
      </c>
      <c r="I1167" s="4"/>
      <c r="J1167" s="4" t="s">
        <v>4842</v>
      </c>
      <c r="K1167" s="4" t="s">
        <v>57</v>
      </c>
      <c r="L1167" s="4"/>
      <c r="M1167" s="4"/>
    </row>
    <row r="1168" ht="16" customHeight="1" s="4" customFormat="1">
      <c r="A1168" s="4">
        <v>3107</v>
      </c>
      <c r="B1168" s="4" t="s">
        <v>7249</v>
      </c>
      <c r="C1168" s="4" t="s">
        <v>7249</v>
      </c>
      <c r="D1168" s="4"/>
      <c r="E1168" s="4" t="s">
        <v>5676</v>
      </c>
      <c r="F1168" s="4" t="s">
        <v>7256</v>
      </c>
      <c r="G1168" s="4" t="s">
        <v>5657</v>
      </c>
      <c r="H1168" s="4" t="s">
        <v>7257</v>
      </c>
      <c r="I1168" s="4"/>
      <c r="J1168" s="4" t="s">
        <v>4842</v>
      </c>
      <c r="K1168" s="4" t="s">
        <v>57</v>
      </c>
      <c r="L1168" s="4"/>
      <c r="M1168" s="4"/>
    </row>
    <row r="1169" ht="16" customHeight="1" s="4" customFormat="1">
      <c r="A1169" s="4">
        <v>3108</v>
      </c>
      <c r="B1169" s="4" t="s">
        <v>7249</v>
      </c>
      <c r="C1169" s="4" t="s">
        <v>7249</v>
      </c>
      <c r="D1169" s="4"/>
      <c r="E1169" s="4" t="s">
        <v>7258</v>
      </c>
      <c r="F1169" s="4" t="s">
        <v>7259</v>
      </c>
      <c r="G1169" s="4" t="s">
        <v>7260</v>
      </c>
      <c r="H1169" s="4" t="s">
        <v>7261</v>
      </c>
      <c r="I1169" s="4"/>
      <c r="J1169" s="4" t="s">
        <v>4842</v>
      </c>
      <c r="K1169" s="4" t="s">
        <v>57</v>
      </c>
      <c r="L1169" s="4"/>
      <c r="M1169" s="4"/>
    </row>
    <row r="1170" ht="16" customHeight="1" s="4" customFormat="1">
      <c r="A1170" s="4">
        <v>3109</v>
      </c>
      <c r="B1170" s="4" t="s">
        <v>5499</v>
      </c>
      <c r="C1170" s="4" t="s">
        <v>5500</v>
      </c>
      <c r="D1170" s="4"/>
      <c r="E1170" s="4" t="s">
        <v>7258</v>
      </c>
      <c r="F1170" s="4" t="s">
        <v>7259</v>
      </c>
      <c r="G1170" s="4" t="s">
        <v>7260</v>
      </c>
      <c r="H1170" s="4" t="s">
        <v>7261</v>
      </c>
      <c r="I1170" s="4"/>
      <c r="J1170" s="4" t="s">
        <v>5506</v>
      </c>
      <c r="K1170" s="4" t="s">
        <v>57</v>
      </c>
      <c r="L1170" s="4"/>
      <c r="M1170" s="4"/>
    </row>
    <row r="1171" ht="16" customHeight="1" s="4" customFormat="1">
      <c r="A1171" s="4">
        <v>3110</v>
      </c>
      <c r="B1171" s="4" t="s">
        <v>5499</v>
      </c>
      <c r="C1171" s="4" t="s">
        <v>5509</v>
      </c>
      <c r="D1171" s="4"/>
      <c r="E1171" s="4"/>
      <c r="F1171" s="4" t="s">
        <v>7262</v>
      </c>
      <c r="G1171" s="4" t="s">
        <v>7263</v>
      </c>
      <c r="H1171" s="4" t="s">
        <v>5771</v>
      </c>
      <c r="I1171" s="4"/>
      <c r="J1171" s="4" t="s">
        <v>4798</v>
      </c>
      <c r="K1171" s="4" t="s">
        <v>57</v>
      </c>
      <c r="L1171" s="4"/>
      <c r="M1171" s="4"/>
    </row>
    <row r="1172" ht="16" customHeight="1" s="4" customFormat="1">
      <c r="A1172" s="4">
        <v>3111</v>
      </c>
      <c r="B1172" s="4" t="s">
        <v>5499</v>
      </c>
      <c r="C1172" s="4" t="s">
        <v>5500</v>
      </c>
      <c r="D1172" s="4" t="s">
        <v>5845</v>
      </c>
      <c r="E1172" s="4" t="s">
        <v>6984</v>
      </c>
      <c r="F1172" s="4" t="s">
        <v>7264</v>
      </c>
      <c r="G1172" s="4" t="s">
        <v>7265</v>
      </c>
      <c r="H1172" s="4" t="s">
        <v>7266</v>
      </c>
      <c r="I1172" s="4"/>
      <c r="J1172" s="4" t="s">
        <v>5506</v>
      </c>
      <c r="K1172" s="4" t="s">
        <v>57</v>
      </c>
      <c r="L1172" s="4"/>
      <c r="M1172" s="4"/>
    </row>
    <row r="1173" ht="16" customHeight="1" s="4" customFormat="1">
      <c r="A1173" s="4">
        <v>3112</v>
      </c>
      <c r="B1173" s="4" t="s">
        <v>5499</v>
      </c>
      <c r="C1173" s="4" t="s">
        <v>5500</v>
      </c>
      <c r="D1173" s="4" t="s">
        <v>5845</v>
      </c>
      <c r="E1173" s="4" t="s">
        <v>6984</v>
      </c>
      <c r="F1173" s="4" t="s">
        <v>7267</v>
      </c>
      <c r="G1173" s="4" t="s">
        <v>7268</v>
      </c>
      <c r="H1173" s="4" t="s">
        <v>7269</v>
      </c>
      <c r="I1173" s="4"/>
      <c r="J1173" s="4" t="s">
        <v>5506</v>
      </c>
      <c r="K1173" s="4" t="s">
        <v>57</v>
      </c>
      <c r="L1173" s="4"/>
      <c r="M1173" s="4"/>
    </row>
    <row r="1174" ht="16" customHeight="1" s="4" customFormat="1">
      <c r="A1174" s="4">
        <v>3113</v>
      </c>
      <c r="B1174" s="4" t="s">
        <v>5499</v>
      </c>
      <c r="C1174" s="4" t="s">
        <v>5500</v>
      </c>
      <c r="D1174" s="4" t="s">
        <v>5845</v>
      </c>
      <c r="E1174" s="4" t="s">
        <v>6984</v>
      </c>
      <c r="F1174" s="4" t="s">
        <v>7270</v>
      </c>
      <c r="G1174" s="4" t="s">
        <v>7271</v>
      </c>
      <c r="H1174" s="4" t="s">
        <v>7272</v>
      </c>
      <c r="I1174" s="4"/>
      <c r="J1174" s="4" t="s">
        <v>4798</v>
      </c>
      <c r="K1174" s="4" t="s">
        <v>57</v>
      </c>
      <c r="L1174" s="4"/>
      <c r="M1174" s="4"/>
    </row>
    <row r="1175" ht="16" customHeight="1" s="4" customFormat="1">
      <c r="A1175" s="4">
        <v>3114</v>
      </c>
      <c r="B1175" s="4" t="s">
        <v>5499</v>
      </c>
      <c r="C1175" s="4" t="s">
        <v>5500</v>
      </c>
      <c r="D1175" s="4"/>
      <c r="E1175" s="4" t="s">
        <v>6990</v>
      </c>
      <c r="F1175" s="4" t="s">
        <v>7273</v>
      </c>
      <c r="G1175" s="4" t="s">
        <v>7274</v>
      </c>
      <c r="H1175" s="4" t="s">
        <v>7275</v>
      </c>
      <c r="I1175" s="4"/>
      <c r="J1175" s="4" t="s">
        <v>5506</v>
      </c>
      <c r="K1175" s="4" t="s">
        <v>57</v>
      </c>
      <c r="L1175" s="4"/>
      <c r="M1175" s="4"/>
    </row>
    <row r="1176" ht="16" customHeight="1" s="4" customFormat="1">
      <c r="A1176" s="4">
        <v>3115</v>
      </c>
      <c r="B1176" s="4" t="s">
        <v>5499</v>
      </c>
      <c r="C1176" s="4" t="s">
        <v>5500</v>
      </c>
      <c r="D1176" s="4" t="s">
        <v>5574</v>
      </c>
      <c r="E1176" s="4" t="s">
        <v>5575</v>
      </c>
      <c r="F1176" s="4" t="s">
        <v>7276</v>
      </c>
      <c r="G1176" s="4" t="s">
        <v>7277</v>
      </c>
      <c r="H1176" s="4" t="s">
        <v>7278</v>
      </c>
      <c r="I1176" s="4"/>
      <c r="J1176" s="4" t="s">
        <v>5506</v>
      </c>
      <c r="K1176" s="4" t="s">
        <v>57</v>
      </c>
      <c r="L1176" s="4"/>
      <c r="M1176" s="4"/>
    </row>
    <row r="1177" ht="16" customHeight="1" s="4" customFormat="1">
      <c r="A1177" s="4">
        <v>3116</v>
      </c>
      <c r="B1177" s="4" t="s">
        <v>5499</v>
      </c>
      <c r="C1177" s="4" t="s">
        <v>5509</v>
      </c>
      <c r="D1177" s="4"/>
      <c r="E1177" s="4"/>
      <c r="F1177" s="4" t="s">
        <v>7279</v>
      </c>
      <c r="G1177" s="4" t="s">
        <v>10</v>
      </c>
      <c r="H1177" s="4" t="s">
        <v>7280</v>
      </c>
      <c r="I1177" s="4"/>
      <c r="J1177" s="4" t="s">
        <v>4798</v>
      </c>
      <c r="K1177" s="4" t="s">
        <v>57</v>
      </c>
      <c r="L1177" s="4"/>
      <c r="M1177" s="4"/>
    </row>
    <row r="1178" ht="16" customHeight="1" s="4" customFormat="1">
      <c r="A1178" s="4">
        <v>690</v>
      </c>
      <c r="B1178" s="4" t="s">
        <v>5600</v>
      </c>
      <c r="C1178" s="4" t="s">
        <v>5600</v>
      </c>
      <c r="D1178" s="4"/>
      <c r="E1178" s="4" t="s">
        <v>7281</v>
      </c>
      <c r="F1178" s="4" t="s">
        <v>7282</v>
      </c>
      <c r="G1178" s="4" t="s">
        <v>7283</v>
      </c>
      <c r="H1178" s="4" t="s">
        <v>7284</v>
      </c>
      <c r="I1178" s="5">
        <v>43654</v>
      </c>
      <c r="J1178" s="4" t="s">
        <v>4798</v>
      </c>
      <c r="K1178" s="4" t="s">
        <v>57</v>
      </c>
      <c r="L1178" s="4"/>
      <c r="M1178" s="4"/>
    </row>
    <row r="1179" ht="16" customHeight="1" s="4" customFormat="1">
      <c r="A1179" s="4">
        <v>691</v>
      </c>
      <c r="B1179" s="4" t="s">
        <v>5499</v>
      </c>
      <c r="C1179" s="4" t="s">
        <v>5702</v>
      </c>
      <c r="D1179" s="4" t="s">
        <v>5574</v>
      </c>
      <c r="E1179" s="4" t="s">
        <v>5575</v>
      </c>
      <c r="F1179" s="4" t="s">
        <v>7285</v>
      </c>
      <c r="G1179" s="4" t="s">
        <v>7286</v>
      </c>
      <c r="H1179" s="4" t="s">
        <v>7287</v>
      </c>
      <c r="I1179" s="5">
        <v>43654</v>
      </c>
      <c r="J1179" s="4" t="s">
        <v>4798</v>
      </c>
      <c r="K1179" s="4" t="s">
        <v>57</v>
      </c>
      <c r="L1179" s="4"/>
      <c r="M1179" s="4"/>
    </row>
    <row r="1180" ht="16" customHeight="1" s="4" customFormat="1">
      <c r="A1180" s="4">
        <v>692</v>
      </c>
      <c r="B1180" s="4" t="s">
        <v>5499</v>
      </c>
      <c r="C1180" s="4" t="s">
        <v>5519</v>
      </c>
      <c r="D1180" s="4"/>
      <c r="E1180" s="4" t="s">
        <v>7288</v>
      </c>
      <c r="F1180" s="4" t="s">
        <v>7289</v>
      </c>
      <c r="G1180" s="4" t="s">
        <v>7290</v>
      </c>
      <c r="H1180" s="4" t="s">
        <v>7291</v>
      </c>
      <c r="I1180" s="5">
        <v>43654</v>
      </c>
      <c r="J1180" s="4" t="s">
        <v>4798</v>
      </c>
      <c r="K1180" s="4" t="s">
        <v>57</v>
      </c>
      <c r="L1180" s="4"/>
      <c r="M1180" s="4"/>
    </row>
    <row r="1181" ht="16" customHeight="1" s="4" customFormat="1">
      <c r="A1181" s="4">
        <v>693</v>
      </c>
      <c r="B1181" s="4" t="s">
        <v>5499</v>
      </c>
      <c r="C1181" s="4" t="s">
        <v>5519</v>
      </c>
      <c r="D1181" s="4"/>
      <c r="E1181" s="4" t="s">
        <v>7292</v>
      </c>
      <c r="F1181" s="4" t="s">
        <v>7293</v>
      </c>
      <c r="G1181" s="4" t="s">
        <v>7294</v>
      </c>
      <c r="H1181" s="4" t="s">
        <v>7295</v>
      </c>
      <c r="I1181" s="5">
        <v>43654</v>
      </c>
      <c r="J1181" s="4" t="s">
        <v>4842</v>
      </c>
      <c r="K1181" s="4" t="s">
        <v>57</v>
      </c>
      <c r="L1181" s="4"/>
      <c r="M1181" s="4"/>
    </row>
    <row r="1182" ht="16" customHeight="1" s="4" customFormat="1">
      <c r="A1182" s="4">
        <v>694</v>
      </c>
      <c r="B1182" s="4" t="s">
        <v>5534</v>
      </c>
      <c r="C1182" s="4" t="s">
        <v>5773</v>
      </c>
      <c r="D1182" s="4"/>
      <c r="E1182" s="4"/>
      <c r="F1182" s="4" t="s">
        <v>7296</v>
      </c>
      <c r="G1182" s="4" t="s">
        <v>10</v>
      </c>
      <c r="H1182" s="4" t="s">
        <v>7297</v>
      </c>
      <c r="I1182" s="5">
        <v>43651</v>
      </c>
      <c r="J1182" s="4" t="s">
        <v>4798</v>
      </c>
      <c r="K1182" s="4" t="s">
        <v>57</v>
      </c>
      <c r="L1182" s="4"/>
      <c r="M1182" s="4"/>
    </row>
    <row r="1183" ht="16" customHeight="1" s="4" customFormat="1">
      <c r="A1183" s="4">
        <v>695</v>
      </c>
      <c r="B1183" s="4" t="s">
        <v>5600</v>
      </c>
      <c r="C1183" s="4" t="s">
        <v>5600</v>
      </c>
      <c r="D1183" s="4"/>
      <c r="E1183" s="4" t="s">
        <v>7298</v>
      </c>
      <c r="F1183" s="4" t="s">
        <v>7299</v>
      </c>
      <c r="G1183" s="4" t="s">
        <v>6885</v>
      </c>
      <c r="H1183" s="4" t="s">
        <v>7300</v>
      </c>
      <c r="I1183" s="5">
        <v>43650</v>
      </c>
      <c r="J1183" s="4" t="s">
        <v>4798</v>
      </c>
      <c r="K1183" s="4" t="s">
        <v>57</v>
      </c>
      <c r="L1183" s="4"/>
      <c r="M1183" s="4"/>
    </row>
    <row r="1184" ht="16" customHeight="1" s="4" customFormat="1">
      <c r="A1184" s="4">
        <v>696</v>
      </c>
      <c r="B1184" s="4" t="s">
        <v>5600</v>
      </c>
      <c r="C1184" s="4" t="s">
        <v>5600</v>
      </c>
      <c r="D1184" s="4"/>
      <c r="E1184" s="4" t="s">
        <v>7298</v>
      </c>
      <c r="F1184" s="4" t="s">
        <v>7301</v>
      </c>
      <c r="G1184" s="4" t="s">
        <v>7302</v>
      </c>
      <c r="H1184" s="4" t="s">
        <v>7303</v>
      </c>
      <c r="I1184" s="5">
        <v>43650</v>
      </c>
      <c r="J1184" s="4" t="s">
        <v>4798</v>
      </c>
      <c r="K1184" s="4" t="s">
        <v>57</v>
      </c>
      <c r="L1184" s="4"/>
      <c r="M1184" s="4"/>
    </row>
    <row r="1185" ht="16" customHeight="1" s="4" customFormat="1">
      <c r="A1185" s="4">
        <v>697</v>
      </c>
      <c r="B1185" s="4" t="s">
        <v>5534</v>
      </c>
      <c r="C1185" s="4" t="s">
        <v>5631</v>
      </c>
      <c r="D1185" s="4"/>
      <c r="E1185" s="4"/>
      <c r="F1185" s="4" t="s">
        <v>7304</v>
      </c>
      <c r="G1185" s="4" t="s">
        <v>7305</v>
      </c>
      <c r="H1185" s="4" t="s">
        <v>7306</v>
      </c>
      <c r="I1185" s="5">
        <v>43647</v>
      </c>
      <c r="J1185" s="4" t="s">
        <v>4798</v>
      </c>
      <c r="K1185" s="4" t="s">
        <v>57</v>
      </c>
      <c r="L1185" s="4"/>
      <c r="M1185" s="4"/>
    </row>
    <row r="1186" ht="16" customHeight="1" s="4" customFormat="1">
      <c r="A1186" s="4">
        <v>698</v>
      </c>
      <c r="B1186" s="4" t="s">
        <v>5600</v>
      </c>
      <c r="C1186" s="4" t="s">
        <v>5600</v>
      </c>
      <c r="D1186" s="4"/>
      <c r="E1186" s="4" t="s">
        <v>7307</v>
      </c>
      <c r="F1186" s="4" t="s">
        <v>7308</v>
      </c>
      <c r="G1186" s="4" t="s">
        <v>6000</v>
      </c>
      <c r="H1186" s="4" t="s">
        <v>5511</v>
      </c>
      <c r="I1186" s="5">
        <v>43647</v>
      </c>
      <c r="J1186" s="4" t="s">
        <v>4842</v>
      </c>
      <c r="K1186" s="4" t="s">
        <v>57</v>
      </c>
      <c r="L1186" s="4"/>
      <c r="M1186" s="4"/>
    </row>
    <row r="1187" ht="16" customHeight="1" s="4" customFormat="1">
      <c r="A1187" s="4">
        <v>699</v>
      </c>
      <c r="B1187" s="4" t="s">
        <v>5600</v>
      </c>
      <c r="C1187" s="4" t="s">
        <v>5600</v>
      </c>
      <c r="D1187" s="4"/>
      <c r="E1187" s="4" t="s">
        <v>7307</v>
      </c>
      <c r="F1187" s="4" t="s">
        <v>7309</v>
      </c>
      <c r="G1187" s="4" t="s">
        <v>7310</v>
      </c>
      <c r="H1187" s="4" t="s">
        <v>5511</v>
      </c>
      <c r="I1187" s="5">
        <v>43647</v>
      </c>
      <c r="J1187" s="4" t="s">
        <v>4842</v>
      </c>
      <c r="K1187" s="4" t="s">
        <v>57</v>
      </c>
      <c r="L1187" s="4"/>
      <c r="M1187" s="4"/>
    </row>
    <row r="1188" ht="16" customHeight="1" s="4" customFormat="1">
      <c r="A1188" s="4">
        <v>700</v>
      </c>
      <c r="B1188" s="4" t="s">
        <v>5499</v>
      </c>
      <c r="C1188" s="4" t="s">
        <v>5590</v>
      </c>
      <c r="D1188" s="4" t="s">
        <v>5574</v>
      </c>
      <c r="E1188" s="4" t="s">
        <v>5575</v>
      </c>
      <c r="F1188" s="4" t="s">
        <v>7311</v>
      </c>
      <c r="G1188" s="4" t="s">
        <v>5826</v>
      </c>
      <c r="H1188" s="4" t="s">
        <v>5827</v>
      </c>
      <c r="I1188" s="5">
        <v>43643</v>
      </c>
      <c r="J1188" s="4" t="s">
        <v>4798</v>
      </c>
      <c r="K1188" s="4" t="s">
        <v>57</v>
      </c>
      <c r="L1188" s="4"/>
      <c r="M1188" s="4"/>
    </row>
    <row r="1189" ht="16" customHeight="1" s="4" customFormat="1">
      <c r="A1189" s="4">
        <v>701</v>
      </c>
      <c r="B1189" s="4" t="s">
        <v>5499</v>
      </c>
      <c r="C1189" s="4" t="s">
        <v>5590</v>
      </c>
      <c r="D1189" s="4"/>
      <c r="E1189" s="4" t="s">
        <v>5952</v>
      </c>
      <c r="F1189" s="4" t="s">
        <v>7312</v>
      </c>
      <c r="G1189" s="4" t="s">
        <v>7313</v>
      </c>
      <c r="H1189" s="4" t="s">
        <v>7014</v>
      </c>
      <c r="I1189" s="5">
        <v>43636</v>
      </c>
      <c r="J1189" s="4" t="s">
        <v>4798</v>
      </c>
      <c r="K1189" s="4" t="s">
        <v>57</v>
      </c>
      <c r="L1189" s="4"/>
      <c r="M1189" s="4"/>
    </row>
    <row r="1190" ht="16" customHeight="1" s="4" customFormat="1">
      <c r="A1190" s="4">
        <v>702</v>
      </c>
      <c r="B1190" s="4" t="s">
        <v>5499</v>
      </c>
      <c r="C1190" s="4" t="s">
        <v>5590</v>
      </c>
      <c r="D1190" s="4" t="s">
        <v>5574</v>
      </c>
      <c r="E1190" s="4" t="s">
        <v>5575</v>
      </c>
      <c r="F1190" s="4" t="s">
        <v>7314</v>
      </c>
      <c r="G1190" s="4" t="s">
        <v>7315</v>
      </c>
      <c r="H1190" s="4" t="s">
        <v>7161</v>
      </c>
      <c r="I1190" s="5">
        <v>43636</v>
      </c>
      <c r="J1190" s="4" t="s">
        <v>4798</v>
      </c>
      <c r="K1190" s="4" t="s">
        <v>57</v>
      </c>
      <c r="L1190" s="4"/>
      <c r="M1190" s="4"/>
    </row>
    <row r="1191" ht="16" customHeight="1" s="4" customFormat="1">
      <c r="A1191" s="4">
        <v>703</v>
      </c>
      <c r="B1191" s="4" t="s">
        <v>6161</v>
      </c>
      <c r="C1191" s="4" t="s">
        <v>6618</v>
      </c>
      <c r="D1191" s="4"/>
      <c r="E1191" s="4"/>
      <c r="F1191" s="4" t="s">
        <v>7316</v>
      </c>
      <c r="G1191" s="4" t="s">
        <v>7317</v>
      </c>
      <c r="H1191" s="4" t="s">
        <v>7318</v>
      </c>
      <c r="I1191" s="5">
        <v>43629</v>
      </c>
      <c r="J1191" s="4" t="s">
        <v>4842</v>
      </c>
      <c r="K1191" s="4" t="s">
        <v>57</v>
      </c>
      <c r="L1191" s="4"/>
      <c r="M1191" s="4"/>
    </row>
    <row r="1192" ht="16" customHeight="1" s="4" customFormat="1">
      <c r="A1192" s="4">
        <v>704</v>
      </c>
      <c r="B1192" s="4" t="s">
        <v>5499</v>
      </c>
      <c r="C1192" s="4" t="s">
        <v>5590</v>
      </c>
      <c r="D1192" s="4"/>
      <c r="E1192" s="4" t="s">
        <v>5952</v>
      </c>
      <c r="F1192" s="4" t="s">
        <v>7319</v>
      </c>
      <c r="G1192" s="4" t="s">
        <v>7320</v>
      </c>
      <c r="H1192" s="4" t="s">
        <v>7014</v>
      </c>
      <c r="I1192" s="5">
        <v>43628</v>
      </c>
      <c r="J1192" s="4" t="s">
        <v>4798</v>
      </c>
      <c r="K1192" s="4" t="s">
        <v>57</v>
      </c>
      <c r="L1192" s="4"/>
      <c r="M1192" s="4"/>
    </row>
    <row r="1193" ht="16" customHeight="1" s="4" customFormat="1">
      <c r="A1193" s="4">
        <v>705</v>
      </c>
      <c r="B1193" s="4" t="s">
        <v>5499</v>
      </c>
      <c r="C1193" s="4" t="s">
        <v>5590</v>
      </c>
      <c r="D1193" s="4"/>
      <c r="E1193" s="4" t="s">
        <v>5952</v>
      </c>
      <c r="F1193" s="4" t="s">
        <v>7321</v>
      </c>
      <c r="G1193" s="4" t="s">
        <v>7320</v>
      </c>
      <c r="H1193" s="4" t="s">
        <v>7014</v>
      </c>
      <c r="I1193" s="5">
        <v>43628</v>
      </c>
      <c r="J1193" s="4" t="s">
        <v>4798</v>
      </c>
      <c r="K1193" s="4" t="s">
        <v>57</v>
      </c>
      <c r="L1193" s="4"/>
      <c r="M1193" s="4"/>
    </row>
    <row r="1194" ht="16" customHeight="1" s="4" customFormat="1">
      <c r="A1194" s="4">
        <v>706</v>
      </c>
      <c r="B1194" s="4" t="s">
        <v>5499</v>
      </c>
      <c r="C1194" s="4" t="s">
        <v>5590</v>
      </c>
      <c r="D1194" s="4"/>
      <c r="E1194" s="4" t="s">
        <v>5952</v>
      </c>
      <c r="F1194" s="4" t="s">
        <v>7322</v>
      </c>
      <c r="G1194" s="4" t="s">
        <v>7323</v>
      </c>
      <c r="H1194" s="4" t="s">
        <v>7014</v>
      </c>
      <c r="I1194" s="5">
        <v>43628</v>
      </c>
      <c r="J1194" s="4" t="s">
        <v>4798</v>
      </c>
      <c r="K1194" s="4" t="s">
        <v>57</v>
      </c>
      <c r="L1194" s="4"/>
      <c r="M1194" s="4"/>
    </row>
    <row r="1195" ht="16" customHeight="1" s="4" customFormat="1">
      <c r="A1195" s="4">
        <v>707</v>
      </c>
      <c r="B1195" s="4" t="s">
        <v>5499</v>
      </c>
      <c r="C1195" s="4" t="s">
        <v>5590</v>
      </c>
      <c r="D1195" s="4"/>
      <c r="E1195" s="4" t="s">
        <v>5952</v>
      </c>
      <c r="F1195" s="4" t="s">
        <v>7324</v>
      </c>
      <c r="G1195" s="4" t="s">
        <v>7325</v>
      </c>
      <c r="H1195" s="4" t="s">
        <v>7014</v>
      </c>
      <c r="I1195" s="5">
        <v>43628</v>
      </c>
      <c r="J1195" s="4" t="s">
        <v>5506</v>
      </c>
      <c r="K1195" s="4" t="s">
        <v>57</v>
      </c>
      <c r="L1195" s="4"/>
      <c r="M1195" s="4"/>
    </row>
    <row r="1196" ht="16" customHeight="1" s="4" customFormat="1">
      <c r="A1196" s="4">
        <v>708</v>
      </c>
      <c r="B1196" s="4" t="s">
        <v>5499</v>
      </c>
      <c r="C1196" s="4" t="s">
        <v>5590</v>
      </c>
      <c r="D1196" s="4"/>
      <c r="E1196" s="4" t="s">
        <v>5952</v>
      </c>
      <c r="F1196" s="4" t="s">
        <v>7326</v>
      </c>
      <c r="G1196" s="4" t="s">
        <v>7325</v>
      </c>
      <c r="H1196" s="4" t="s">
        <v>7014</v>
      </c>
      <c r="I1196" s="5">
        <v>43628</v>
      </c>
      <c r="J1196" s="4" t="s">
        <v>4798</v>
      </c>
      <c r="K1196" s="4" t="s">
        <v>57</v>
      </c>
      <c r="L1196" s="4"/>
      <c r="M1196" s="4"/>
    </row>
    <row r="1197" ht="16" customHeight="1" s="4" customFormat="1">
      <c r="A1197" s="4">
        <v>709</v>
      </c>
      <c r="B1197" s="4" t="s">
        <v>5499</v>
      </c>
      <c r="C1197" s="4" t="s">
        <v>5590</v>
      </c>
      <c r="D1197" s="4"/>
      <c r="E1197" s="4" t="s">
        <v>5952</v>
      </c>
      <c r="F1197" s="4" t="s">
        <v>7327</v>
      </c>
      <c r="G1197" s="4" t="s">
        <v>7325</v>
      </c>
      <c r="H1197" s="4" t="s">
        <v>7014</v>
      </c>
      <c r="I1197" s="5">
        <v>43628</v>
      </c>
      <c r="J1197" s="4" t="s">
        <v>4798</v>
      </c>
      <c r="K1197" s="4" t="s">
        <v>57</v>
      </c>
      <c r="L1197" s="4"/>
      <c r="M1197" s="4"/>
    </row>
    <row r="1198" ht="16" customHeight="1" s="4" customFormat="1">
      <c r="A1198" s="4">
        <v>710</v>
      </c>
      <c r="B1198" s="4" t="s">
        <v>5499</v>
      </c>
      <c r="C1198" s="4" t="s">
        <v>5590</v>
      </c>
      <c r="D1198" s="4"/>
      <c r="E1198" s="4" t="s">
        <v>5952</v>
      </c>
      <c r="F1198" s="4" t="s">
        <v>7328</v>
      </c>
      <c r="G1198" s="4" t="s">
        <v>7325</v>
      </c>
      <c r="H1198" s="4" t="s">
        <v>7014</v>
      </c>
      <c r="I1198" s="5">
        <v>43628</v>
      </c>
      <c r="J1198" s="4" t="s">
        <v>5506</v>
      </c>
      <c r="K1198" s="4" t="s">
        <v>57</v>
      </c>
      <c r="L1198" s="4"/>
      <c r="M1198" s="4"/>
    </row>
    <row r="1199" ht="16" customHeight="1" s="4" customFormat="1">
      <c r="A1199" s="4">
        <v>711</v>
      </c>
      <c r="B1199" s="4" t="s">
        <v>5499</v>
      </c>
      <c r="C1199" s="4" t="s">
        <v>5590</v>
      </c>
      <c r="D1199" s="4"/>
      <c r="E1199" s="4" t="s">
        <v>5952</v>
      </c>
      <c r="F1199" s="4" t="s">
        <v>7329</v>
      </c>
      <c r="G1199" s="4" t="s">
        <v>7325</v>
      </c>
      <c r="H1199" s="4" t="s">
        <v>7014</v>
      </c>
      <c r="I1199" s="5">
        <v>43628</v>
      </c>
      <c r="J1199" s="4" t="s">
        <v>5506</v>
      </c>
      <c r="K1199" s="4" t="s">
        <v>57</v>
      </c>
      <c r="L1199" s="4"/>
      <c r="M1199" s="4"/>
    </row>
    <row r="1200" ht="16" customHeight="1" s="4" customFormat="1">
      <c r="A1200" s="4">
        <v>712</v>
      </c>
      <c r="B1200" s="4" t="s">
        <v>5499</v>
      </c>
      <c r="C1200" s="4" t="s">
        <v>5590</v>
      </c>
      <c r="D1200" s="4"/>
      <c r="E1200" s="4" t="s">
        <v>5952</v>
      </c>
      <c r="F1200" s="4" t="s">
        <v>7330</v>
      </c>
      <c r="G1200" s="4" t="s">
        <v>7331</v>
      </c>
      <c r="H1200" s="4" t="s">
        <v>7014</v>
      </c>
      <c r="I1200" s="5">
        <v>43628</v>
      </c>
      <c r="J1200" s="4" t="s">
        <v>4798</v>
      </c>
      <c r="K1200" s="4" t="s">
        <v>57</v>
      </c>
      <c r="L1200" s="4"/>
      <c r="M1200" s="4"/>
    </row>
    <row r="1201" ht="16" customHeight="1" s="4" customFormat="1">
      <c r="A1201" s="4">
        <v>713</v>
      </c>
      <c r="B1201" s="4" t="s">
        <v>5499</v>
      </c>
      <c r="C1201" s="4" t="s">
        <v>5590</v>
      </c>
      <c r="D1201" s="4"/>
      <c r="E1201" s="4" t="s">
        <v>5952</v>
      </c>
      <c r="F1201" s="4" t="s">
        <v>7332</v>
      </c>
      <c r="G1201" s="4" t="s">
        <v>7331</v>
      </c>
      <c r="H1201" s="4" t="s">
        <v>7014</v>
      </c>
      <c r="I1201" s="5">
        <v>43628</v>
      </c>
      <c r="J1201" s="4" t="s">
        <v>4798</v>
      </c>
      <c r="K1201" s="4" t="s">
        <v>57</v>
      </c>
      <c r="L1201" s="4"/>
      <c r="M1201" s="4"/>
    </row>
    <row r="1202" ht="16" customHeight="1" s="4" customFormat="1">
      <c r="A1202" s="4">
        <v>714</v>
      </c>
      <c r="B1202" s="4" t="s">
        <v>5499</v>
      </c>
      <c r="C1202" s="4" t="s">
        <v>5590</v>
      </c>
      <c r="D1202" s="4"/>
      <c r="E1202" s="4" t="s">
        <v>5952</v>
      </c>
      <c r="F1202" s="4" t="s">
        <v>7333</v>
      </c>
      <c r="G1202" s="4" t="s">
        <v>7331</v>
      </c>
      <c r="H1202" s="4" t="s">
        <v>4850</v>
      </c>
      <c r="I1202" s="5">
        <v>43628</v>
      </c>
      <c r="J1202" s="4" t="s">
        <v>4798</v>
      </c>
      <c r="K1202" s="4" t="s">
        <v>57</v>
      </c>
      <c r="L1202" s="4"/>
      <c r="M1202" s="4"/>
    </row>
    <row r="1203" ht="16" customHeight="1" s="4" customFormat="1">
      <c r="A1203" s="4">
        <v>715</v>
      </c>
      <c r="B1203" s="4" t="s">
        <v>5499</v>
      </c>
      <c r="C1203" s="4" t="s">
        <v>5590</v>
      </c>
      <c r="D1203" s="4"/>
      <c r="E1203" s="4" t="s">
        <v>5952</v>
      </c>
      <c r="F1203" s="4" t="s">
        <v>7334</v>
      </c>
      <c r="G1203" s="4" t="s">
        <v>7331</v>
      </c>
      <c r="H1203" s="4" t="s">
        <v>7014</v>
      </c>
      <c r="I1203" s="5">
        <v>43628</v>
      </c>
      <c r="J1203" s="4" t="s">
        <v>4798</v>
      </c>
      <c r="K1203" s="4" t="s">
        <v>57</v>
      </c>
      <c r="L1203" s="4"/>
      <c r="M1203" s="4"/>
    </row>
    <row r="1204" ht="16" customHeight="1" s="4" customFormat="1">
      <c r="A1204" s="4">
        <v>716</v>
      </c>
      <c r="B1204" s="4" t="s">
        <v>5499</v>
      </c>
      <c r="C1204" s="4" t="s">
        <v>5590</v>
      </c>
      <c r="D1204" s="4"/>
      <c r="E1204" s="4" t="s">
        <v>5952</v>
      </c>
      <c r="F1204" s="4" t="s">
        <v>7335</v>
      </c>
      <c r="G1204" s="4" t="s">
        <v>7331</v>
      </c>
      <c r="H1204" s="4" t="s">
        <v>7014</v>
      </c>
      <c r="I1204" s="5">
        <v>43628</v>
      </c>
      <c r="J1204" s="4" t="s">
        <v>5506</v>
      </c>
      <c r="K1204" s="4" t="s">
        <v>57</v>
      </c>
      <c r="L1204" s="4"/>
      <c r="M1204" s="4"/>
    </row>
    <row r="1205" ht="16" customHeight="1" s="4" customFormat="1">
      <c r="A1205" s="4">
        <v>717</v>
      </c>
      <c r="B1205" s="4" t="s">
        <v>5499</v>
      </c>
      <c r="C1205" s="4" t="s">
        <v>5590</v>
      </c>
      <c r="D1205" s="4"/>
      <c r="E1205" s="4" t="s">
        <v>5952</v>
      </c>
      <c r="F1205" s="4" t="s">
        <v>7336</v>
      </c>
      <c r="G1205" s="4" t="s">
        <v>7337</v>
      </c>
      <c r="H1205" s="4" t="s">
        <v>7014</v>
      </c>
      <c r="I1205" s="5">
        <v>43628</v>
      </c>
      <c r="J1205" s="4" t="s">
        <v>5506</v>
      </c>
      <c r="K1205" s="4" t="s">
        <v>57</v>
      </c>
      <c r="L1205" s="4"/>
      <c r="M1205" s="4"/>
    </row>
    <row r="1206" ht="16" customHeight="1" s="4" customFormat="1">
      <c r="A1206" s="4">
        <v>718</v>
      </c>
      <c r="B1206" s="4" t="s">
        <v>5499</v>
      </c>
      <c r="C1206" s="4" t="s">
        <v>5590</v>
      </c>
      <c r="D1206" s="4"/>
      <c r="E1206" s="4" t="s">
        <v>5952</v>
      </c>
      <c r="F1206" s="4" t="s">
        <v>7338</v>
      </c>
      <c r="G1206" s="4" t="s">
        <v>7337</v>
      </c>
      <c r="H1206" s="4" t="s">
        <v>7014</v>
      </c>
      <c r="I1206" s="5">
        <v>43628</v>
      </c>
      <c r="J1206" s="4" t="s">
        <v>4798</v>
      </c>
      <c r="K1206" s="4" t="s">
        <v>57</v>
      </c>
      <c r="L1206" s="4"/>
      <c r="M1206" s="4"/>
    </row>
    <row r="1207" ht="16" customHeight="1" s="4" customFormat="1">
      <c r="A1207" s="4">
        <v>719</v>
      </c>
      <c r="B1207" s="4" t="s">
        <v>5499</v>
      </c>
      <c r="C1207" s="4" t="s">
        <v>5590</v>
      </c>
      <c r="D1207" s="4"/>
      <c r="E1207" s="4" t="s">
        <v>5952</v>
      </c>
      <c r="F1207" s="4" t="s">
        <v>7339</v>
      </c>
      <c r="G1207" s="4" t="s">
        <v>7337</v>
      </c>
      <c r="H1207" s="4" t="s">
        <v>7014</v>
      </c>
      <c r="I1207" s="5">
        <v>43628</v>
      </c>
      <c r="J1207" s="4" t="s">
        <v>4798</v>
      </c>
      <c r="K1207" s="4" t="s">
        <v>57</v>
      </c>
      <c r="L1207" s="4"/>
      <c r="M1207" s="4"/>
    </row>
    <row r="1208" ht="16" customHeight="1" s="4" customFormat="1">
      <c r="A1208" s="4">
        <v>720</v>
      </c>
      <c r="B1208" s="4" t="s">
        <v>5499</v>
      </c>
      <c r="C1208" s="4" t="s">
        <v>5590</v>
      </c>
      <c r="D1208" s="4"/>
      <c r="E1208" s="4" t="s">
        <v>5952</v>
      </c>
      <c r="F1208" s="4" t="s">
        <v>7340</v>
      </c>
      <c r="G1208" s="4" t="s">
        <v>7337</v>
      </c>
      <c r="H1208" s="4" t="s">
        <v>7014</v>
      </c>
      <c r="I1208" s="5">
        <v>43628</v>
      </c>
      <c r="J1208" s="4" t="s">
        <v>4798</v>
      </c>
      <c r="K1208" s="4" t="s">
        <v>57</v>
      </c>
      <c r="L1208" s="4"/>
      <c r="M1208" s="4"/>
    </row>
    <row r="1209" ht="16" customHeight="1" s="4" customFormat="1">
      <c r="A1209" s="4">
        <v>721</v>
      </c>
      <c r="B1209" s="4" t="s">
        <v>5499</v>
      </c>
      <c r="C1209" s="4" t="s">
        <v>5590</v>
      </c>
      <c r="D1209" s="4"/>
      <c r="E1209" s="4" t="s">
        <v>5952</v>
      </c>
      <c r="F1209" s="4" t="s">
        <v>7341</v>
      </c>
      <c r="G1209" s="4" t="s">
        <v>7337</v>
      </c>
      <c r="H1209" s="4" t="s">
        <v>7014</v>
      </c>
      <c r="I1209" s="5">
        <v>43628</v>
      </c>
      <c r="J1209" s="4" t="s">
        <v>4798</v>
      </c>
      <c r="K1209" s="4" t="s">
        <v>57</v>
      </c>
      <c r="L1209" s="4"/>
      <c r="M1209" s="4"/>
    </row>
    <row r="1210" ht="16" customHeight="1" s="4" customFormat="1">
      <c r="A1210" s="4">
        <v>722</v>
      </c>
      <c r="B1210" s="4" t="s">
        <v>5499</v>
      </c>
      <c r="C1210" s="4" t="s">
        <v>5590</v>
      </c>
      <c r="D1210" s="4"/>
      <c r="E1210" s="4" t="s">
        <v>5952</v>
      </c>
      <c r="F1210" s="4" t="s">
        <v>7342</v>
      </c>
      <c r="G1210" s="4" t="s">
        <v>7343</v>
      </c>
      <c r="H1210" s="4" t="s">
        <v>7014</v>
      </c>
      <c r="I1210" s="5">
        <v>43628</v>
      </c>
      <c r="J1210" s="4" t="s">
        <v>4798</v>
      </c>
      <c r="K1210" s="4" t="s">
        <v>57</v>
      </c>
      <c r="L1210" s="4"/>
      <c r="M1210" s="4"/>
    </row>
    <row r="1211" ht="16" customHeight="1" s="4" customFormat="1">
      <c r="A1211" s="4">
        <v>723</v>
      </c>
      <c r="B1211" s="4" t="s">
        <v>5499</v>
      </c>
      <c r="C1211" s="4" t="s">
        <v>5590</v>
      </c>
      <c r="D1211" s="4"/>
      <c r="E1211" s="4" t="s">
        <v>5952</v>
      </c>
      <c r="F1211" s="4" t="s">
        <v>7344</v>
      </c>
      <c r="G1211" s="4" t="s">
        <v>7343</v>
      </c>
      <c r="H1211" s="4" t="s">
        <v>7014</v>
      </c>
      <c r="I1211" s="5">
        <v>43628</v>
      </c>
      <c r="J1211" s="4" t="s">
        <v>4798</v>
      </c>
      <c r="K1211" s="4" t="s">
        <v>57</v>
      </c>
      <c r="L1211" s="4"/>
      <c r="M1211" s="4"/>
    </row>
    <row r="1212" ht="16" customHeight="1" s="4" customFormat="1">
      <c r="A1212" s="4">
        <v>724</v>
      </c>
      <c r="B1212" s="4" t="s">
        <v>5499</v>
      </c>
      <c r="C1212" s="4" t="s">
        <v>5590</v>
      </c>
      <c r="D1212" s="4"/>
      <c r="E1212" s="4" t="s">
        <v>5952</v>
      </c>
      <c r="F1212" s="4" t="s">
        <v>7345</v>
      </c>
      <c r="G1212" s="4" t="s">
        <v>7343</v>
      </c>
      <c r="H1212" s="4" t="s">
        <v>7014</v>
      </c>
      <c r="I1212" s="5">
        <v>43628</v>
      </c>
      <c r="J1212" s="4" t="s">
        <v>4798</v>
      </c>
      <c r="K1212" s="4" t="s">
        <v>57</v>
      </c>
      <c r="L1212" s="4"/>
      <c r="M1212" s="4"/>
    </row>
    <row r="1213" ht="16" customHeight="1" s="4" customFormat="1">
      <c r="A1213" s="4">
        <v>725</v>
      </c>
      <c r="B1213" s="4" t="s">
        <v>5499</v>
      </c>
      <c r="C1213" s="4" t="s">
        <v>5590</v>
      </c>
      <c r="D1213" s="4"/>
      <c r="E1213" s="4" t="s">
        <v>5952</v>
      </c>
      <c r="F1213" s="4" t="s">
        <v>7346</v>
      </c>
      <c r="G1213" s="4" t="s">
        <v>7343</v>
      </c>
      <c r="H1213" s="4" t="s">
        <v>7014</v>
      </c>
      <c r="I1213" s="5">
        <v>43628</v>
      </c>
      <c r="J1213" s="4" t="s">
        <v>4798</v>
      </c>
      <c r="K1213" s="4" t="s">
        <v>57</v>
      </c>
      <c r="L1213" s="4"/>
      <c r="M1213" s="4"/>
    </row>
    <row r="1214" ht="16" customHeight="1" s="4" customFormat="1">
      <c r="A1214" s="4">
        <v>726</v>
      </c>
      <c r="B1214" s="4" t="s">
        <v>5499</v>
      </c>
      <c r="C1214" s="4" t="s">
        <v>5590</v>
      </c>
      <c r="D1214" s="4"/>
      <c r="E1214" s="4" t="s">
        <v>5952</v>
      </c>
      <c r="F1214" s="4" t="s">
        <v>7347</v>
      </c>
      <c r="G1214" s="4" t="s">
        <v>7343</v>
      </c>
      <c r="H1214" s="4" t="s">
        <v>7014</v>
      </c>
      <c r="I1214" s="5">
        <v>43628</v>
      </c>
      <c r="J1214" s="4" t="s">
        <v>4798</v>
      </c>
      <c r="K1214" s="4" t="s">
        <v>57</v>
      </c>
      <c r="L1214" s="4"/>
      <c r="M1214" s="4"/>
    </row>
    <row r="1215" ht="16" customHeight="1" s="4" customFormat="1">
      <c r="A1215" s="4">
        <v>727</v>
      </c>
      <c r="B1215" s="4" t="s">
        <v>5499</v>
      </c>
      <c r="C1215" s="4" t="s">
        <v>5590</v>
      </c>
      <c r="D1215" s="4"/>
      <c r="E1215" s="4" t="s">
        <v>5952</v>
      </c>
      <c r="F1215" s="4" t="s">
        <v>7348</v>
      </c>
      <c r="G1215" s="4" t="s">
        <v>7349</v>
      </c>
      <c r="H1215" s="4" t="s">
        <v>7014</v>
      </c>
      <c r="I1215" s="5">
        <v>43628</v>
      </c>
      <c r="J1215" s="4" t="s">
        <v>4798</v>
      </c>
      <c r="K1215" s="4" t="s">
        <v>57</v>
      </c>
      <c r="L1215" s="4"/>
      <c r="M1215" s="4"/>
    </row>
    <row r="1216" ht="16" customHeight="1" s="4" customFormat="1">
      <c r="A1216" s="4">
        <v>728</v>
      </c>
      <c r="B1216" s="4" t="s">
        <v>5499</v>
      </c>
      <c r="C1216" s="4" t="s">
        <v>5590</v>
      </c>
      <c r="D1216" s="4"/>
      <c r="E1216" s="4" t="s">
        <v>5952</v>
      </c>
      <c r="F1216" s="4" t="s">
        <v>7350</v>
      </c>
      <c r="G1216" s="4" t="s">
        <v>7351</v>
      </c>
      <c r="H1216" s="4" t="s">
        <v>7014</v>
      </c>
      <c r="I1216" s="5">
        <v>43628</v>
      </c>
      <c r="J1216" s="4" t="s">
        <v>4798</v>
      </c>
      <c r="K1216" s="4" t="s">
        <v>57</v>
      </c>
      <c r="L1216" s="4"/>
      <c r="M1216" s="4"/>
    </row>
    <row r="1217" ht="16" customHeight="1" s="4" customFormat="1">
      <c r="A1217" s="4">
        <v>729</v>
      </c>
      <c r="B1217" s="4" t="s">
        <v>5499</v>
      </c>
      <c r="C1217" s="4" t="s">
        <v>5590</v>
      </c>
      <c r="D1217" s="4"/>
      <c r="E1217" s="4" t="s">
        <v>5952</v>
      </c>
      <c r="F1217" s="4" t="s">
        <v>7352</v>
      </c>
      <c r="G1217" s="4" t="s">
        <v>7320</v>
      </c>
      <c r="H1217" s="4" t="s">
        <v>7014</v>
      </c>
      <c r="I1217" s="5">
        <v>43628</v>
      </c>
      <c r="J1217" s="4" t="s">
        <v>4798</v>
      </c>
      <c r="K1217" s="4" t="s">
        <v>57</v>
      </c>
      <c r="L1217" s="4"/>
      <c r="M1217" s="4"/>
    </row>
    <row r="1218" ht="16" customHeight="1" s="4" customFormat="1">
      <c r="A1218" s="4">
        <v>730</v>
      </c>
      <c r="B1218" s="4" t="s">
        <v>5499</v>
      </c>
      <c r="C1218" s="4" t="s">
        <v>5590</v>
      </c>
      <c r="D1218" s="4"/>
      <c r="E1218" s="4" t="s">
        <v>5952</v>
      </c>
      <c r="F1218" s="4" t="s">
        <v>7353</v>
      </c>
      <c r="G1218" s="4" t="s">
        <v>7040</v>
      </c>
      <c r="H1218" s="4" t="s">
        <v>7014</v>
      </c>
      <c r="I1218" s="5">
        <v>43628</v>
      </c>
      <c r="J1218" s="4" t="s">
        <v>4798</v>
      </c>
      <c r="K1218" s="4" t="s">
        <v>57</v>
      </c>
      <c r="L1218" s="4"/>
      <c r="M1218" s="4"/>
    </row>
    <row r="1219" ht="16" customHeight="1" s="4" customFormat="1">
      <c r="A1219" s="4">
        <v>731</v>
      </c>
      <c r="B1219" s="4" t="s">
        <v>5499</v>
      </c>
      <c r="C1219" s="4" t="s">
        <v>5590</v>
      </c>
      <c r="D1219" s="4"/>
      <c r="E1219" s="4" t="s">
        <v>5952</v>
      </c>
      <c r="F1219" s="4" t="s">
        <v>7354</v>
      </c>
      <c r="G1219" s="4" t="s">
        <v>7355</v>
      </c>
      <c r="H1219" s="4" t="s">
        <v>7014</v>
      </c>
      <c r="I1219" s="5">
        <v>43628</v>
      </c>
      <c r="J1219" s="4" t="s">
        <v>4798</v>
      </c>
      <c r="K1219" s="4" t="s">
        <v>57</v>
      </c>
      <c r="L1219" s="4"/>
      <c r="M1219" s="4"/>
    </row>
    <row r="1220" ht="16" customHeight="1" s="4" customFormat="1">
      <c r="A1220" s="4">
        <v>732</v>
      </c>
      <c r="B1220" s="4" t="s">
        <v>5499</v>
      </c>
      <c r="C1220" s="4" t="s">
        <v>5590</v>
      </c>
      <c r="D1220" s="4"/>
      <c r="E1220" s="4" t="s">
        <v>5952</v>
      </c>
      <c r="F1220" s="4" t="s">
        <v>7356</v>
      </c>
      <c r="G1220" s="4" t="s">
        <v>7355</v>
      </c>
      <c r="H1220" s="4" t="s">
        <v>7014</v>
      </c>
      <c r="I1220" s="5">
        <v>43628</v>
      </c>
      <c r="J1220" s="4" t="s">
        <v>4798</v>
      </c>
      <c r="K1220" s="4" t="s">
        <v>57</v>
      </c>
      <c r="L1220" s="4"/>
      <c r="M1220" s="4"/>
    </row>
    <row r="1221" ht="16" customHeight="1" s="4" customFormat="1">
      <c r="A1221" s="4">
        <v>733</v>
      </c>
      <c r="B1221" s="4" t="s">
        <v>5499</v>
      </c>
      <c r="C1221" s="4" t="s">
        <v>5590</v>
      </c>
      <c r="D1221" s="4"/>
      <c r="E1221" s="4" t="s">
        <v>5952</v>
      </c>
      <c r="F1221" s="4" t="s">
        <v>7357</v>
      </c>
      <c r="G1221" s="4" t="s">
        <v>7355</v>
      </c>
      <c r="H1221" s="4" t="s">
        <v>7014</v>
      </c>
      <c r="I1221" s="5">
        <v>43628</v>
      </c>
      <c r="J1221" s="4" t="s">
        <v>4798</v>
      </c>
      <c r="K1221" s="4" t="s">
        <v>57</v>
      </c>
      <c r="L1221" s="4"/>
      <c r="M1221" s="4"/>
    </row>
    <row r="1222" ht="16" customHeight="1" s="4" customFormat="1">
      <c r="A1222" s="4">
        <v>734</v>
      </c>
      <c r="B1222" s="4" t="s">
        <v>5499</v>
      </c>
      <c r="C1222" s="4" t="s">
        <v>5590</v>
      </c>
      <c r="D1222" s="4"/>
      <c r="E1222" s="4" t="s">
        <v>5952</v>
      </c>
      <c r="F1222" s="4" t="s">
        <v>7358</v>
      </c>
      <c r="G1222" s="4" t="s">
        <v>7355</v>
      </c>
      <c r="H1222" s="4" t="s">
        <v>7014</v>
      </c>
      <c r="I1222" s="5">
        <v>43628</v>
      </c>
      <c r="J1222" s="4" t="s">
        <v>4798</v>
      </c>
      <c r="K1222" s="4" t="s">
        <v>57</v>
      </c>
      <c r="L1222" s="4"/>
      <c r="M1222" s="4"/>
    </row>
    <row r="1223" ht="16" customHeight="1" s="4" customFormat="1">
      <c r="A1223" s="4">
        <v>735</v>
      </c>
      <c r="B1223" s="4" t="s">
        <v>5499</v>
      </c>
      <c r="C1223" s="4" t="s">
        <v>5590</v>
      </c>
      <c r="D1223" s="4"/>
      <c r="E1223" s="4" t="s">
        <v>5952</v>
      </c>
      <c r="F1223" s="4" t="s">
        <v>7359</v>
      </c>
      <c r="G1223" s="4" t="s">
        <v>7360</v>
      </c>
      <c r="H1223" s="4" t="s">
        <v>7014</v>
      </c>
      <c r="I1223" s="5">
        <v>43628</v>
      </c>
      <c r="J1223" s="4" t="s">
        <v>4798</v>
      </c>
      <c r="K1223" s="4" t="s">
        <v>57</v>
      </c>
      <c r="L1223" s="4"/>
      <c r="M1223" s="4"/>
    </row>
    <row r="1224" ht="16" customHeight="1" s="4" customFormat="1">
      <c r="A1224" s="4">
        <v>736</v>
      </c>
      <c r="B1224" s="4" t="s">
        <v>5499</v>
      </c>
      <c r="C1224" s="4" t="s">
        <v>5590</v>
      </c>
      <c r="D1224" s="4"/>
      <c r="E1224" s="4" t="s">
        <v>5952</v>
      </c>
      <c r="F1224" s="4" t="s">
        <v>7361</v>
      </c>
      <c r="G1224" s="4" t="s">
        <v>7360</v>
      </c>
      <c r="H1224" s="4" t="s">
        <v>7014</v>
      </c>
      <c r="I1224" s="5">
        <v>43628</v>
      </c>
      <c r="J1224" s="4" t="s">
        <v>4798</v>
      </c>
      <c r="K1224" s="4" t="s">
        <v>57</v>
      </c>
      <c r="L1224" s="4"/>
      <c r="M1224" s="4"/>
    </row>
    <row r="1225" ht="16" customHeight="1" s="4" customFormat="1">
      <c r="A1225" s="4">
        <v>737</v>
      </c>
      <c r="B1225" s="4" t="s">
        <v>5499</v>
      </c>
      <c r="C1225" s="4" t="s">
        <v>5590</v>
      </c>
      <c r="D1225" s="4"/>
      <c r="E1225" s="4" t="s">
        <v>5952</v>
      </c>
      <c r="F1225" s="4" t="s">
        <v>7362</v>
      </c>
      <c r="G1225" s="4" t="s">
        <v>7360</v>
      </c>
      <c r="H1225" s="4" t="s">
        <v>7014</v>
      </c>
      <c r="I1225" s="5">
        <v>43628</v>
      </c>
      <c r="J1225" s="4" t="s">
        <v>4798</v>
      </c>
      <c r="K1225" s="4" t="s">
        <v>57</v>
      </c>
      <c r="L1225" s="4"/>
      <c r="M1225" s="4"/>
    </row>
    <row r="1226" ht="16" customHeight="1" s="4" customFormat="1">
      <c r="A1226" s="4">
        <v>738</v>
      </c>
      <c r="B1226" s="4" t="s">
        <v>5499</v>
      </c>
      <c r="C1226" s="4" t="s">
        <v>5590</v>
      </c>
      <c r="D1226" s="4"/>
      <c r="E1226" s="4" t="s">
        <v>5952</v>
      </c>
      <c r="F1226" s="4" t="s">
        <v>7363</v>
      </c>
      <c r="G1226" s="4" t="s">
        <v>7360</v>
      </c>
      <c r="H1226" s="4" t="s">
        <v>7014</v>
      </c>
      <c r="I1226" s="5">
        <v>43628</v>
      </c>
      <c r="J1226" s="4" t="s">
        <v>4798</v>
      </c>
      <c r="K1226" s="4" t="s">
        <v>57</v>
      </c>
      <c r="L1226" s="4"/>
      <c r="M1226" s="4"/>
    </row>
    <row r="1227" ht="16" customHeight="1" s="4" customFormat="1">
      <c r="A1227" s="4">
        <v>739</v>
      </c>
      <c r="B1227" s="4" t="s">
        <v>5499</v>
      </c>
      <c r="C1227" s="4" t="s">
        <v>5590</v>
      </c>
      <c r="D1227" s="4"/>
      <c r="E1227" s="4" t="s">
        <v>5952</v>
      </c>
      <c r="F1227" s="4" t="s">
        <v>7364</v>
      </c>
      <c r="G1227" s="4" t="s">
        <v>7360</v>
      </c>
      <c r="H1227" s="4" t="s">
        <v>7014</v>
      </c>
      <c r="I1227" s="5">
        <v>43628</v>
      </c>
      <c r="J1227" s="4" t="s">
        <v>5506</v>
      </c>
      <c r="K1227" s="4" t="s">
        <v>57</v>
      </c>
      <c r="L1227" s="4"/>
      <c r="M1227" s="4"/>
    </row>
    <row r="1228" ht="16" customHeight="1" s="4" customFormat="1">
      <c r="A1228" s="4">
        <v>740</v>
      </c>
      <c r="B1228" s="4" t="s">
        <v>5499</v>
      </c>
      <c r="C1228" s="4" t="s">
        <v>5590</v>
      </c>
      <c r="D1228" s="4"/>
      <c r="E1228" s="4" t="s">
        <v>5952</v>
      </c>
      <c r="F1228" s="4" t="s">
        <v>7365</v>
      </c>
      <c r="G1228" s="4" t="s">
        <v>7014</v>
      </c>
      <c r="H1228" s="4" t="s">
        <v>7366</v>
      </c>
      <c r="I1228" s="5">
        <v>43628</v>
      </c>
      <c r="J1228" s="4" t="s">
        <v>5506</v>
      </c>
      <c r="K1228" s="4" t="s">
        <v>57</v>
      </c>
      <c r="L1228" s="4"/>
      <c r="M1228" s="4"/>
    </row>
    <row r="1229" ht="16" customHeight="1" s="4" customFormat="1">
      <c r="A1229" s="4">
        <v>741</v>
      </c>
      <c r="B1229" s="4" t="s">
        <v>5499</v>
      </c>
      <c r="C1229" s="4" t="s">
        <v>5590</v>
      </c>
      <c r="D1229" s="4"/>
      <c r="E1229" s="4" t="s">
        <v>5952</v>
      </c>
      <c r="F1229" s="4" t="s">
        <v>7367</v>
      </c>
      <c r="G1229" s="4" t="s">
        <v>7014</v>
      </c>
      <c r="H1229" s="4" t="s">
        <v>7366</v>
      </c>
      <c r="I1229" s="5">
        <v>43628</v>
      </c>
      <c r="J1229" s="4" t="s">
        <v>4798</v>
      </c>
      <c r="K1229" s="4" t="s">
        <v>57</v>
      </c>
      <c r="L1229" s="4"/>
      <c r="M1229" s="4"/>
    </row>
    <row r="1230" ht="16" customHeight="1" s="4" customFormat="1">
      <c r="A1230" s="4">
        <v>742</v>
      </c>
      <c r="B1230" s="4" t="s">
        <v>5499</v>
      </c>
      <c r="C1230" s="4" t="s">
        <v>5590</v>
      </c>
      <c r="D1230" s="4"/>
      <c r="E1230" s="4" t="s">
        <v>5952</v>
      </c>
      <c r="F1230" s="4" t="s">
        <v>7368</v>
      </c>
      <c r="G1230" s="4" t="s">
        <v>7014</v>
      </c>
      <c r="H1230" s="4" t="s">
        <v>7366</v>
      </c>
      <c r="I1230" s="5">
        <v>43628</v>
      </c>
      <c r="J1230" s="4" t="s">
        <v>5506</v>
      </c>
      <c r="K1230" s="4" t="s">
        <v>57</v>
      </c>
      <c r="L1230" s="4"/>
      <c r="M1230" s="4"/>
    </row>
    <row r="1231" ht="16" customHeight="1" s="4" customFormat="1">
      <c r="A1231" s="4">
        <v>743</v>
      </c>
      <c r="B1231" s="4" t="s">
        <v>5499</v>
      </c>
      <c r="C1231" s="4" t="s">
        <v>5590</v>
      </c>
      <c r="D1231" s="4"/>
      <c r="E1231" s="4" t="s">
        <v>5952</v>
      </c>
      <c r="F1231" s="4" t="s">
        <v>7369</v>
      </c>
      <c r="G1231" s="4" t="s">
        <v>7014</v>
      </c>
      <c r="H1231" s="4" t="s">
        <v>7366</v>
      </c>
      <c r="I1231" s="5">
        <v>43628</v>
      </c>
      <c r="J1231" s="4" t="s">
        <v>5506</v>
      </c>
      <c r="K1231" s="4" t="s">
        <v>57</v>
      </c>
      <c r="L1231" s="4"/>
      <c r="M1231" s="4"/>
    </row>
    <row r="1232" ht="16" customHeight="1" s="4" customFormat="1">
      <c r="A1232" s="4">
        <v>744</v>
      </c>
      <c r="B1232" s="4" t="s">
        <v>5499</v>
      </c>
      <c r="C1232" s="4" t="s">
        <v>5590</v>
      </c>
      <c r="D1232" s="4"/>
      <c r="E1232" s="4" t="s">
        <v>5952</v>
      </c>
      <c r="F1232" s="4" t="s">
        <v>7370</v>
      </c>
      <c r="G1232" s="4" t="s">
        <v>7014</v>
      </c>
      <c r="H1232" s="4" t="s">
        <v>7366</v>
      </c>
      <c r="I1232" s="5">
        <v>43628</v>
      </c>
      <c r="J1232" s="4" t="s">
        <v>5506</v>
      </c>
      <c r="K1232" s="4" t="s">
        <v>57</v>
      </c>
      <c r="L1232" s="4"/>
      <c r="M1232" s="4"/>
    </row>
    <row r="1233" ht="16" customHeight="1" s="4" customFormat="1">
      <c r="A1233" s="4">
        <v>745</v>
      </c>
      <c r="B1233" s="4" t="s">
        <v>5499</v>
      </c>
      <c r="C1233" s="4" t="s">
        <v>5590</v>
      </c>
      <c r="D1233" s="4"/>
      <c r="E1233" s="4" t="s">
        <v>5952</v>
      </c>
      <c r="F1233" s="4" t="s">
        <v>7371</v>
      </c>
      <c r="G1233" s="4" t="s">
        <v>7014</v>
      </c>
      <c r="H1233" s="4" t="s">
        <v>7366</v>
      </c>
      <c r="I1233" s="5">
        <v>43628</v>
      </c>
      <c r="J1233" s="4" t="s">
        <v>4798</v>
      </c>
      <c r="K1233" s="4" t="s">
        <v>57</v>
      </c>
      <c r="L1233" s="4"/>
      <c r="M1233" s="4"/>
    </row>
    <row r="1234" ht="16" customHeight="1" s="4" customFormat="1">
      <c r="A1234" s="4">
        <v>746</v>
      </c>
      <c r="B1234" s="4" t="s">
        <v>5499</v>
      </c>
      <c r="C1234" s="4" t="s">
        <v>5590</v>
      </c>
      <c r="D1234" s="4"/>
      <c r="E1234" s="4" t="s">
        <v>5952</v>
      </c>
      <c r="F1234" s="4" t="s">
        <v>7372</v>
      </c>
      <c r="G1234" s="4" t="s">
        <v>7373</v>
      </c>
      <c r="H1234" s="4" t="s">
        <v>7014</v>
      </c>
      <c r="I1234" s="5">
        <v>43628</v>
      </c>
      <c r="J1234" s="4" t="s">
        <v>4798</v>
      </c>
      <c r="K1234" s="4" t="s">
        <v>57</v>
      </c>
      <c r="L1234" s="4"/>
      <c r="M1234" s="4"/>
    </row>
    <row r="1235" ht="16" customHeight="1" s="4" customFormat="1">
      <c r="A1235" s="4">
        <v>747</v>
      </c>
      <c r="B1235" s="4" t="s">
        <v>5499</v>
      </c>
      <c r="C1235" s="4" t="s">
        <v>5590</v>
      </c>
      <c r="D1235" s="4"/>
      <c r="E1235" s="4" t="s">
        <v>5952</v>
      </c>
      <c r="F1235" s="4" t="s">
        <v>7374</v>
      </c>
      <c r="G1235" s="4" t="s">
        <v>7375</v>
      </c>
      <c r="H1235" s="4" t="s">
        <v>7014</v>
      </c>
      <c r="I1235" s="5">
        <v>43628</v>
      </c>
      <c r="J1235" s="4" t="s">
        <v>4798</v>
      </c>
      <c r="K1235" s="4" t="s">
        <v>57</v>
      </c>
      <c r="L1235" s="4"/>
      <c r="M1235" s="4"/>
    </row>
    <row r="1236" ht="16" customHeight="1" s="4" customFormat="1">
      <c r="A1236" s="4">
        <v>748</v>
      </c>
      <c r="B1236" s="4" t="s">
        <v>5499</v>
      </c>
      <c r="C1236" s="4" t="s">
        <v>5590</v>
      </c>
      <c r="D1236" s="4"/>
      <c r="E1236" s="4" t="s">
        <v>5952</v>
      </c>
      <c r="F1236" s="4" t="s">
        <v>7376</v>
      </c>
      <c r="G1236" s="4" t="s">
        <v>7375</v>
      </c>
      <c r="H1236" s="4" t="s">
        <v>7014</v>
      </c>
      <c r="I1236" s="5">
        <v>43628</v>
      </c>
      <c r="J1236" s="4" t="s">
        <v>4798</v>
      </c>
      <c r="K1236" s="4" t="s">
        <v>57</v>
      </c>
      <c r="L1236" s="4"/>
      <c r="M1236" s="4"/>
    </row>
    <row r="1237" ht="16" customHeight="1" s="4" customFormat="1">
      <c r="A1237" s="4">
        <v>749</v>
      </c>
      <c r="B1237" s="4" t="s">
        <v>5499</v>
      </c>
      <c r="C1237" s="4" t="s">
        <v>5590</v>
      </c>
      <c r="D1237" s="4"/>
      <c r="E1237" s="4" t="s">
        <v>5952</v>
      </c>
      <c r="F1237" s="4" t="s">
        <v>7377</v>
      </c>
      <c r="G1237" s="4" t="s">
        <v>7375</v>
      </c>
      <c r="H1237" s="4" t="s">
        <v>7014</v>
      </c>
      <c r="I1237" s="5">
        <v>43628</v>
      </c>
      <c r="J1237" s="4" t="s">
        <v>4798</v>
      </c>
      <c r="K1237" s="4" t="s">
        <v>57</v>
      </c>
      <c r="L1237" s="4"/>
      <c r="M1237" s="4"/>
    </row>
    <row r="1238" ht="16" customHeight="1" s="4" customFormat="1">
      <c r="A1238" s="4">
        <v>750</v>
      </c>
      <c r="B1238" s="4" t="s">
        <v>5499</v>
      </c>
      <c r="C1238" s="4" t="s">
        <v>5590</v>
      </c>
      <c r="D1238" s="4"/>
      <c r="E1238" s="4" t="s">
        <v>5952</v>
      </c>
      <c r="F1238" s="4" t="s">
        <v>7378</v>
      </c>
      <c r="G1238" s="4" t="s">
        <v>7375</v>
      </c>
      <c r="H1238" s="4" t="s">
        <v>7014</v>
      </c>
      <c r="I1238" s="5">
        <v>43628</v>
      </c>
      <c r="J1238" s="4" t="s">
        <v>4798</v>
      </c>
      <c r="K1238" s="4" t="s">
        <v>57</v>
      </c>
      <c r="L1238" s="4"/>
      <c r="M1238" s="4"/>
    </row>
    <row r="1239" ht="16" customHeight="1" s="4" customFormat="1">
      <c r="A1239" s="4">
        <v>751</v>
      </c>
      <c r="B1239" s="4" t="s">
        <v>5499</v>
      </c>
      <c r="C1239" s="4" t="s">
        <v>5590</v>
      </c>
      <c r="D1239" s="4"/>
      <c r="E1239" s="4" t="s">
        <v>5952</v>
      </c>
      <c r="F1239" s="4" t="s">
        <v>7379</v>
      </c>
      <c r="G1239" s="4" t="s">
        <v>7375</v>
      </c>
      <c r="H1239" s="4" t="s">
        <v>7014</v>
      </c>
      <c r="I1239" s="5">
        <v>43628</v>
      </c>
      <c r="J1239" s="4" t="s">
        <v>4798</v>
      </c>
      <c r="K1239" s="4" t="s">
        <v>57</v>
      </c>
      <c r="L1239" s="4"/>
      <c r="M1239" s="4"/>
    </row>
    <row r="1240" ht="16" customHeight="1" s="4" customFormat="1">
      <c r="A1240" s="4">
        <v>752</v>
      </c>
      <c r="B1240" s="4" t="s">
        <v>5499</v>
      </c>
      <c r="C1240" s="4" t="s">
        <v>5590</v>
      </c>
      <c r="D1240" s="4"/>
      <c r="E1240" s="4" t="s">
        <v>5952</v>
      </c>
      <c r="F1240" s="4" t="s">
        <v>7380</v>
      </c>
      <c r="G1240" s="4" t="s">
        <v>7375</v>
      </c>
      <c r="H1240" s="4" t="s">
        <v>7014</v>
      </c>
      <c r="I1240" s="5">
        <v>43628</v>
      </c>
      <c r="J1240" s="4" t="s">
        <v>4798</v>
      </c>
      <c r="K1240" s="4" t="s">
        <v>57</v>
      </c>
      <c r="L1240" s="4"/>
      <c r="M1240" s="4"/>
    </row>
    <row r="1241" ht="16" customHeight="1" s="4" customFormat="1">
      <c r="A1241" s="4">
        <v>753</v>
      </c>
      <c r="B1241" s="4" t="s">
        <v>5499</v>
      </c>
      <c r="C1241" s="4" t="s">
        <v>5590</v>
      </c>
      <c r="D1241" s="4"/>
      <c r="E1241" s="4" t="s">
        <v>5952</v>
      </c>
      <c r="F1241" s="4" t="s">
        <v>7381</v>
      </c>
      <c r="G1241" s="4" t="s">
        <v>7382</v>
      </c>
      <c r="H1241" s="4" t="s">
        <v>7014</v>
      </c>
      <c r="I1241" s="5">
        <v>43628</v>
      </c>
      <c r="J1241" s="4" t="s">
        <v>4798</v>
      </c>
      <c r="K1241" s="4" t="s">
        <v>57</v>
      </c>
      <c r="L1241" s="4"/>
      <c r="M1241" s="4"/>
    </row>
    <row r="1242" ht="16" customHeight="1" s="4" customFormat="1">
      <c r="A1242" s="4">
        <v>754</v>
      </c>
      <c r="B1242" s="4" t="s">
        <v>5499</v>
      </c>
      <c r="C1242" s="4" t="s">
        <v>5590</v>
      </c>
      <c r="D1242" s="4"/>
      <c r="E1242" s="4" t="s">
        <v>5952</v>
      </c>
      <c r="F1242" s="4" t="s">
        <v>7383</v>
      </c>
      <c r="G1242" s="4" t="s">
        <v>7382</v>
      </c>
      <c r="H1242" s="4" t="s">
        <v>7014</v>
      </c>
      <c r="I1242" s="5">
        <v>43628</v>
      </c>
      <c r="J1242" s="4" t="s">
        <v>4798</v>
      </c>
      <c r="K1242" s="4" t="s">
        <v>57</v>
      </c>
      <c r="L1242" s="4"/>
      <c r="M1242" s="4"/>
    </row>
    <row r="1243" ht="16" customHeight="1" s="4" customFormat="1">
      <c r="A1243" s="4">
        <v>755</v>
      </c>
      <c r="B1243" s="4" t="s">
        <v>5499</v>
      </c>
      <c r="C1243" s="4" t="s">
        <v>5590</v>
      </c>
      <c r="D1243" s="4"/>
      <c r="E1243" s="4" t="s">
        <v>5952</v>
      </c>
      <c r="F1243" s="4" t="s">
        <v>7384</v>
      </c>
      <c r="G1243" s="4" t="s">
        <v>7382</v>
      </c>
      <c r="H1243" s="4" t="s">
        <v>7014</v>
      </c>
      <c r="I1243" s="5">
        <v>43628</v>
      </c>
      <c r="J1243" s="4" t="s">
        <v>4798</v>
      </c>
      <c r="K1243" s="4" t="s">
        <v>57</v>
      </c>
      <c r="L1243" s="4"/>
      <c r="M1243" s="4"/>
    </row>
    <row r="1244" ht="16" customHeight="1" s="4" customFormat="1">
      <c r="A1244" s="4">
        <v>756</v>
      </c>
      <c r="B1244" s="4" t="s">
        <v>5499</v>
      </c>
      <c r="C1244" s="4" t="s">
        <v>5590</v>
      </c>
      <c r="D1244" s="4"/>
      <c r="E1244" s="4" t="s">
        <v>5952</v>
      </c>
      <c r="F1244" s="4" t="s">
        <v>7385</v>
      </c>
      <c r="G1244" s="4" t="s">
        <v>7386</v>
      </c>
      <c r="H1244" s="4" t="s">
        <v>7014</v>
      </c>
      <c r="I1244" s="5">
        <v>43628</v>
      </c>
      <c r="J1244" s="4" t="s">
        <v>4798</v>
      </c>
      <c r="K1244" s="4" t="s">
        <v>57</v>
      </c>
      <c r="L1244" s="4"/>
      <c r="M1244" s="4"/>
    </row>
    <row r="1245" ht="16" customHeight="1" s="4" customFormat="1">
      <c r="A1245" s="4">
        <v>757</v>
      </c>
      <c r="B1245" s="4" t="s">
        <v>5499</v>
      </c>
      <c r="C1245" s="4" t="s">
        <v>5590</v>
      </c>
      <c r="D1245" s="4"/>
      <c r="E1245" s="4" t="s">
        <v>5952</v>
      </c>
      <c r="F1245" s="4" t="s">
        <v>7387</v>
      </c>
      <c r="G1245" s="4" t="s">
        <v>7386</v>
      </c>
      <c r="H1245" s="4" t="s">
        <v>7014</v>
      </c>
      <c r="I1245" s="5">
        <v>43628</v>
      </c>
      <c r="J1245" s="4" t="s">
        <v>4798</v>
      </c>
      <c r="K1245" s="4" t="s">
        <v>57</v>
      </c>
      <c r="L1245" s="4"/>
      <c r="M1245" s="4"/>
    </row>
    <row r="1246" ht="16" customHeight="1" s="4" customFormat="1">
      <c r="A1246" s="4">
        <v>758</v>
      </c>
      <c r="B1246" s="4" t="s">
        <v>5499</v>
      </c>
      <c r="C1246" s="4" t="s">
        <v>5590</v>
      </c>
      <c r="D1246" s="4"/>
      <c r="E1246" s="4" t="s">
        <v>5952</v>
      </c>
      <c r="F1246" s="4" t="s">
        <v>7388</v>
      </c>
      <c r="G1246" s="4" t="s">
        <v>7389</v>
      </c>
      <c r="H1246" s="4" t="s">
        <v>7014</v>
      </c>
      <c r="I1246" s="5">
        <v>43628</v>
      </c>
      <c r="J1246" s="4" t="s">
        <v>4798</v>
      </c>
      <c r="K1246" s="4" t="s">
        <v>57</v>
      </c>
      <c r="L1246" s="4"/>
      <c r="M1246" s="4"/>
    </row>
    <row r="1247" ht="16" customHeight="1" s="4" customFormat="1">
      <c r="A1247" s="4">
        <v>759</v>
      </c>
      <c r="B1247" s="4" t="s">
        <v>5499</v>
      </c>
      <c r="C1247" s="4" t="s">
        <v>5590</v>
      </c>
      <c r="D1247" s="4"/>
      <c r="E1247" s="4" t="s">
        <v>5952</v>
      </c>
      <c r="F1247" s="4" t="s">
        <v>7390</v>
      </c>
      <c r="G1247" s="4" t="s">
        <v>7391</v>
      </c>
      <c r="H1247" s="4" t="s">
        <v>7014</v>
      </c>
      <c r="I1247" s="5">
        <v>43628</v>
      </c>
      <c r="J1247" s="4" t="s">
        <v>4798</v>
      </c>
      <c r="K1247" s="4" t="s">
        <v>57</v>
      </c>
      <c r="L1247" s="4"/>
      <c r="M1247" s="4"/>
    </row>
    <row r="1248" ht="16" customHeight="1" s="4" customFormat="1">
      <c r="A1248" s="4">
        <v>760</v>
      </c>
      <c r="B1248" s="4" t="s">
        <v>5499</v>
      </c>
      <c r="C1248" s="4" t="s">
        <v>5590</v>
      </c>
      <c r="D1248" s="4"/>
      <c r="E1248" s="4" t="s">
        <v>5952</v>
      </c>
      <c r="F1248" s="4" t="s">
        <v>7392</v>
      </c>
      <c r="G1248" s="4" t="s">
        <v>7393</v>
      </c>
      <c r="H1248" s="4" t="s">
        <v>7014</v>
      </c>
      <c r="I1248" s="5">
        <v>43628</v>
      </c>
      <c r="J1248" s="4" t="s">
        <v>4798</v>
      </c>
      <c r="K1248" s="4" t="s">
        <v>57</v>
      </c>
      <c r="L1248" s="4"/>
      <c r="M1248" s="4"/>
    </row>
    <row r="1249" ht="16" customHeight="1" s="4" customFormat="1">
      <c r="A1249" s="4">
        <v>761</v>
      </c>
      <c r="B1249" s="4" t="s">
        <v>5499</v>
      </c>
      <c r="C1249" s="4" t="s">
        <v>5590</v>
      </c>
      <c r="D1249" s="4"/>
      <c r="E1249" s="4" t="s">
        <v>5952</v>
      </c>
      <c r="F1249" s="4" t="s">
        <v>7394</v>
      </c>
      <c r="G1249" s="4" t="s">
        <v>7395</v>
      </c>
      <c r="H1249" s="4" t="s">
        <v>7014</v>
      </c>
      <c r="I1249" s="5">
        <v>43628</v>
      </c>
      <c r="J1249" s="4" t="s">
        <v>4798</v>
      </c>
      <c r="K1249" s="4" t="s">
        <v>57</v>
      </c>
      <c r="L1249" s="4"/>
      <c r="M1249" s="4"/>
    </row>
    <row r="1250" ht="16" customHeight="1" s="4" customFormat="1">
      <c r="A1250" s="4">
        <v>762</v>
      </c>
      <c r="B1250" s="4" t="s">
        <v>5499</v>
      </c>
      <c r="C1250" s="4" t="s">
        <v>5590</v>
      </c>
      <c r="D1250" s="4"/>
      <c r="E1250" s="4" t="s">
        <v>5952</v>
      </c>
      <c r="F1250" s="4" t="s">
        <v>7396</v>
      </c>
      <c r="G1250" s="4" t="s">
        <v>7397</v>
      </c>
      <c r="H1250" s="4" t="s">
        <v>7014</v>
      </c>
      <c r="I1250" s="5">
        <v>43628</v>
      </c>
      <c r="J1250" s="4" t="s">
        <v>4798</v>
      </c>
      <c r="K1250" s="4" t="s">
        <v>57</v>
      </c>
      <c r="L1250" s="4"/>
      <c r="M1250" s="4"/>
    </row>
    <row r="1251" ht="16" customHeight="1" s="4" customFormat="1">
      <c r="A1251" s="4">
        <v>763</v>
      </c>
      <c r="B1251" s="4" t="s">
        <v>5499</v>
      </c>
      <c r="C1251" s="4" t="s">
        <v>5590</v>
      </c>
      <c r="D1251" s="4"/>
      <c r="E1251" s="4" t="s">
        <v>5952</v>
      </c>
      <c r="F1251" s="4" t="s">
        <v>7398</v>
      </c>
      <c r="G1251" s="4" t="s">
        <v>7393</v>
      </c>
      <c r="H1251" s="4" t="s">
        <v>7014</v>
      </c>
      <c r="I1251" s="5">
        <v>43628</v>
      </c>
      <c r="J1251" s="4" t="s">
        <v>4798</v>
      </c>
      <c r="K1251" s="4" t="s">
        <v>57</v>
      </c>
      <c r="L1251" s="4"/>
      <c r="M1251" s="4"/>
    </row>
    <row r="1252" ht="16" customHeight="1" s="4" customFormat="1">
      <c r="A1252" s="4">
        <v>764</v>
      </c>
      <c r="B1252" s="4" t="s">
        <v>5499</v>
      </c>
      <c r="C1252" s="4" t="s">
        <v>5590</v>
      </c>
      <c r="D1252" s="4"/>
      <c r="E1252" s="4" t="s">
        <v>5952</v>
      </c>
      <c r="F1252" s="4" t="s">
        <v>7399</v>
      </c>
      <c r="G1252" s="4" t="s">
        <v>7395</v>
      </c>
      <c r="H1252" s="4" t="s">
        <v>7014</v>
      </c>
      <c r="I1252" s="5">
        <v>43628</v>
      </c>
      <c r="J1252" s="4" t="s">
        <v>4798</v>
      </c>
      <c r="K1252" s="4" t="s">
        <v>57</v>
      </c>
      <c r="L1252" s="4"/>
      <c r="M1252" s="4"/>
    </row>
    <row r="1253" ht="16" customHeight="1" s="4" customFormat="1">
      <c r="A1253" s="4">
        <v>765</v>
      </c>
      <c r="B1253" s="4" t="s">
        <v>5499</v>
      </c>
      <c r="C1253" s="4" t="s">
        <v>5590</v>
      </c>
      <c r="D1253" s="4"/>
      <c r="E1253" s="4" t="s">
        <v>5952</v>
      </c>
      <c r="F1253" s="4" t="s">
        <v>7400</v>
      </c>
      <c r="G1253" s="4" t="s">
        <v>7401</v>
      </c>
      <c r="H1253" s="4" t="s">
        <v>7014</v>
      </c>
      <c r="I1253" s="5">
        <v>43628</v>
      </c>
      <c r="J1253" s="4" t="s">
        <v>4798</v>
      </c>
      <c r="K1253" s="4" t="s">
        <v>57</v>
      </c>
      <c r="L1253" s="4"/>
      <c r="M1253" s="4"/>
    </row>
    <row r="1254" ht="16" customHeight="1" s="4" customFormat="1">
      <c r="A1254" s="4">
        <v>766</v>
      </c>
      <c r="B1254" s="4" t="s">
        <v>5499</v>
      </c>
      <c r="C1254" s="4" t="s">
        <v>5590</v>
      </c>
      <c r="D1254" s="4"/>
      <c r="E1254" s="4" t="s">
        <v>5952</v>
      </c>
      <c r="F1254" s="4" t="s">
        <v>7402</v>
      </c>
      <c r="G1254" s="4" t="s">
        <v>7389</v>
      </c>
      <c r="H1254" s="4" t="s">
        <v>7014</v>
      </c>
      <c r="I1254" s="5">
        <v>43628</v>
      </c>
      <c r="J1254" s="4" t="s">
        <v>4798</v>
      </c>
      <c r="K1254" s="4" t="s">
        <v>57</v>
      </c>
      <c r="L1254" s="4"/>
      <c r="M1254" s="4"/>
    </row>
    <row r="1255" ht="16" customHeight="1" s="4" customFormat="1">
      <c r="A1255" s="4">
        <v>767</v>
      </c>
      <c r="B1255" s="4" t="s">
        <v>5499</v>
      </c>
      <c r="C1255" s="4" t="s">
        <v>5590</v>
      </c>
      <c r="D1255" s="4"/>
      <c r="E1255" s="4" t="s">
        <v>5952</v>
      </c>
      <c r="F1255" s="4" t="s">
        <v>7403</v>
      </c>
      <c r="G1255" s="4" t="s">
        <v>7397</v>
      </c>
      <c r="H1255" s="4" t="s">
        <v>7014</v>
      </c>
      <c r="I1255" s="5">
        <v>43628</v>
      </c>
      <c r="J1255" s="4" t="s">
        <v>4798</v>
      </c>
      <c r="K1255" s="4" t="s">
        <v>57</v>
      </c>
      <c r="L1255" s="4"/>
      <c r="M1255" s="4"/>
    </row>
    <row r="1256" ht="16" customHeight="1" s="4" customFormat="1">
      <c r="A1256" s="4">
        <v>768</v>
      </c>
      <c r="B1256" s="4" t="s">
        <v>5499</v>
      </c>
      <c r="C1256" s="4" t="s">
        <v>5590</v>
      </c>
      <c r="D1256" s="4"/>
      <c r="E1256" s="4" t="s">
        <v>5952</v>
      </c>
      <c r="F1256" s="4" t="s">
        <v>7404</v>
      </c>
      <c r="G1256" s="4" t="s">
        <v>7395</v>
      </c>
      <c r="H1256" s="4" t="s">
        <v>7014</v>
      </c>
      <c r="I1256" s="5">
        <v>43628</v>
      </c>
      <c r="J1256" s="4" t="s">
        <v>4798</v>
      </c>
      <c r="K1256" s="4" t="s">
        <v>57</v>
      </c>
      <c r="L1256" s="4"/>
      <c r="M1256" s="4"/>
    </row>
    <row r="1257" ht="16" customHeight="1" s="4" customFormat="1">
      <c r="A1257" s="4">
        <v>769</v>
      </c>
      <c r="B1257" s="4" t="s">
        <v>5499</v>
      </c>
      <c r="C1257" s="4" t="s">
        <v>5590</v>
      </c>
      <c r="D1257" s="4"/>
      <c r="E1257" s="4" t="s">
        <v>5952</v>
      </c>
      <c r="F1257" s="4" t="s">
        <v>7405</v>
      </c>
      <c r="G1257" s="4" t="s">
        <v>7401</v>
      </c>
      <c r="H1257" s="4" t="s">
        <v>7014</v>
      </c>
      <c r="I1257" s="5">
        <v>43628</v>
      </c>
      <c r="J1257" s="4" t="s">
        <v>4798</v>
      </c>
      <c r="K1257" s="4" t="s">
        <v>57</v>
      </c>
      <c r="L1257" s="4"/>
      <c r="M1257" s="4"/>
    </row>
    <row r="1258" ht="16" customHeight="1" s="4" customFormat="1">
      <c r="A1258" s="4">
        <v>770</v>
      </c>
      <c r="B1258" s="4" t="s">
        <v>5499</v>
      </c>
      <c r="C1258" s="4" t="s">
        <v>5590</v>
      </c>
      <c r="D1258" s="4"/>
      <c r="E1258" s="4" t="s">
        <v>5952</v>
      </c>
      <c r="F1258" s="4" t="s">
        <v>7406</v>
      </c>
      <c r="G1258" s="4" t="s">
        <v>7397</v>
      </c>
      <c r="H1258" s="4" t="s">
        <v>7014</v>
      </c>
      <c r="I1258" s="5">
        <v>43628</v>
      </c>
      <c r="J1258" s="4" t="s">
        <v>4798</v>
      </c>
      <c r="K1258" s="4" t="s">
        <v>57</v>
      </c>
      <c r="L1258" s="4"/>
      <c r="M1258" s="4"/>
    </row>
    <row r="1259" ht="16" customHeight="1" s="4" customFormat="1">
      <c r="A1259" s="4">
        <v>771</v>
      </c>
      <c r="B1259" s="4" t="s">
        <v>5499</v>
      </c>
      <c r="C1259" s="4" t="s">
        <v>5590</v>
      </c>
      <c r="D1259" s="4"/>
      <c r="E1259" s="4" t="s">
        <v>5952</v>
      </c>
      <c r="F1259" s="4" t="s">
        <v>7407</v>
      </c>
      <c r="G1259" s="4" t="s">
        <v>7395</v>
      </c>
      <c r="H1259" s="4" t="s">
        <v>7014</v>
      </c>
      <c r="I1259" s="5">
        <v>43628</v>
      </c>
      <c r="J1259" s="4" t="s">
        <v>4798</v>
      </c>
      <c r="K1259" s="4" t="s">
        <v>57</v>
      </c>
      <c r="L1259" s="4"/>
      <c r="M1259" s="4"/>
    </row>
    <row r="1260" ht="16" customHeight="1" s="4" customFormat="1">
      <c r="A1260" s="4">
        <v>772</v>
      </c>
      <c r="B1260" s="4" t="s">
        <v>5499</v>
      </c>
      <c r="C1260" s="4" t="s">
        <v>5590</v>
      </c>
      <c r="D1260" s="4"/>
      <c r="E1260" s="4" t="s">
        <v>5952</v>
      </c>
      <c r="F1260" s="4" t="s">
        <v>7408</v>
      </c>
      <c r="G1260" s="4" t="s">
        <v>7409</v>
      </c>
      <c r="H1260" s="4" t="s">
        <v>7014</v>
      </c>
      <c r="I1260" s="5">
        <v>43628</v>
      </c>
      <c r="J1260" s="4" t="s">
        <v>4798</v>
      </c>
      <c r="K1260" s="4" t="s">
        <v>57</v>
      </c>
      <c r="L1260" s="4"/>
      <c r="M1260" s="4"/>
    </row>
    <row r="1261" ht="16" customHeight="1" s="4" customFormat="1">
      <c r="A1261" s="4">
        <v>773</v>
      </c>
      <c r="B1261" s="4" t="s">
        <v>5499</v>
      </c>
      <c r="C1261" s="4" t="s">
        <v>5590</v>
      </c>
      <c r="D1261" s="4"/>
      <c r="E1261" s="4" t="s">
        <v>5952</v>
      </c>
      <c r="F1261" s="4" t="s">
        <v>7410</v>
      </c>
      <c r="G1261" s="4" t="s">
        <v>7389</v>
      </c>
      <c r="H1261" s="4" t="s">
        <v>7014</v>
      </c>
      <c r="I1261" s="5">
        <v>43628</v>
      </c>
      <c r="J1261" s="4" t="s">
        <v>4798</v>
      </c>
      <c r="K1261" s="4" t="s">
        <v>57</v>
      </c>
      <c r="L1261" s="4"/>
      <c r="M1261" s="4"/>
    </row>
    <row r="1262" ht="16" customHeight="1" s="4" customFormat="1">
      <c r="A1262" s="4">
        <v>774</v>
      </c>
      <c r="B1262" s="4" t="s">
        <v>5499</v>
      </c>
      <c r="C1262" s="4" t="s">
        <v>5590</v>
      </c>
      <c r="D1262" s="4"/>
      <c r="E1262" s="4" t="s">
        <v>5952</v>
      </c>
      <c r="F1262" s="4" t="s">
        <v>7411</v>
      </c>
      <c r="G1262" s="4" t="s">
        <v>7391</v>
      </c>
      <c r="H1262" s="4" t="s">
        <v>7014</v>
      </c>
      <c r="I1262" s="5">
        <v>43628</v>
      </c>
      <c r="J1262" s="4" t="s">
        <v>4798</v>
      </c>
      <c r="K1262" s="4" t="s">
        <v>57</v>
      </c>
      <c r="L1262" s="4"/>
      <c r="M1262" s="4"/>
    </row>
    <row r="1263" ht="16" customHeight="1" s="4" customFormat="1">
      <c r="A1263" s="4">
        <v>775</v>
      </c>
      <c r="B1263" s="4" t="s">
        <v>5499</v>
      </c>
      <c r="C1263" s="4" t="s">
        <v>5590</v>
      </c>
      <c r="D1263" s="4"/>
      <c r="E1263" s="4" t="s">
        <v>5952</v>
      </c>
      <c r="F1263" s="4" t="s">
        <v>7412</v>
      </c>
      <c r="G1263" s="4" t="s">
        <v>7389</v>
      </c>
      <c r="H1263" s="4" t="s">
        <v>7014</v>
      </c>
      <c r="I1263" s="5">
        <v>43628</v>
      </c>
      <c r="J1263" s="4" t="s">
        <v>4798</v>
      </c>
      <c r="K1263" s="4" t="s">
        <v>57</v>
      </c>
      <c r="L1263" s="4"/>
      <c r="M1263" s="4"/>
    </row>
    <row r="1264" ht="16" customHeight="1" s="4" customFormat="1">
      <c r="A1264" s="4">
        <v>776</v>
      </c>
      <c r="B1264" s="4" t="s">
        <v>5499</v>
      </c>
      <c r="C1264" s="4" t="s">
        <v>5590</v>
      </c>
      <c r="D1264" s="4"/>
      <c r="E1264" s="4" t="s">
        <v>5952</v>
      </c>
      <c r="F1264" s="4" t="s">
        <v>7413</v>
      </c>
      <c r="G1264" s="4" t="s">
        <v>7395</v>
      </c>
      <c r="H1264" s="4" t="s">
        <v>7014</v>
      </c>
      <c r="I1264" s="5">
        <v>43628</v>
      </c>
      <c r="J1264" s="4" t="s">
        <v>4798</v>
      </c>
      <c r="K1264" s="4" t="s">
        <v>57</v>
      </c>
      <c r="L1264" s="4"/>
      <c r="M1264" s="4"/>
    </row>
    <row r="1265" ht="16" customHeight="1" s="4" customFormat="1">
      <c r="A1265" s="4">
        <v>777</v>
      </c>
      <c r="B1265" s="4" t="s">
        <v>5499</v>
      </c>
      <c r="C1265" s="4" t="s">
        <v>5590</v>
      </c>
      <c r="D1265" s="4"/>
      <c r="E1265" s="4" t="s">
        <v>5952</v>
      </c>
      <c r="F1265" s="4" t="s">
        <v>7414</v>
      </c>
      <c r="G1265" s="4" t="s">
        <v>7401</v>
      </c>
      <c r="H1265" s="4" t="s">
        <v>7014</v>
      </c>
      <c r="I1265" s="5">
        <v>43628</v>
      </c>
      <c r="J1265" s="4" t="s">
        <v>4798</v>
      </c>
      <c r="K1265" s="4" t="s">
        <v>57</v>
      </c>
      <c r="L1265" s="4"/>
      <c r="M1265" s="4"/>
    </row>
    <row r="1266" ht="16" customHeight="1" s="4" customFormat="1">
      <c r="A1266" s="4">
        <v>778</v>
      </c>
      <c r="B1266" s="4" t="s">
        <v>5499</v>
      </c>
      <c r="C1266" s="4" t="s">
        <v>5590</v>
      </c>
      <c r="D1266" s="4"/>
      <c r="E1266" s="4" t="s">
        <v>5952</v>
      </c>
      <c r="F1266" s="4" t="s">
        <v>7415</v>
      </c>
      <c r="G1266" s="4" t="s">
        <v>7397</v>
      </c>
      <c r="H1266" s="4" t="s">
        <v>7014</v>
      </c>
      <c r="I1266" s="5">
        <v>43628</v>
      </c>
      <c r="J1266" s="4" t="s">
        <v>4798</v>
      </c>
      <c r="K1266" s="4" t="s">
        <v>57</v>
      </c>
      <c r="L1266" s="4"/>
      <c r="M1266" s="4"/>
    </row>
    <row r="1267" ht="16" customHeight="1" s="4" customFormat="1">
      <c r="A1267" s="4">
        <v>779</v>
      </c>
      <c r="B1267" s="4" t="s">
        <v>5499</v>
      </c>
      <c r="C1267" s="4" t="s">
        <v>5590</v>
      </c>
      <c r="D1267" s="4"/>
      <c r="E1267" s="4" t="s">
        <v>5952</v>
      </c>
      <c r="F1267" s="4" t="s">
        <v>7416</v>
      </c>
      <c r="G1267" s="4" t="s">
        <v>7386</v>
      </c>
      <c r="H1267" s="4" t="s">
        <v>7014</v>
      </c>
      <c r="I1267" s="5">
        <v>43628</v>
      </c>
      <c r="J1267" s="4" t="s">
        <v>4798</v>
      </c>
      <c r="K1267" s="4" t="s">
        <v>57</v>
      </c>
      <c r="L1267" s="4"/>
      <c r="M1267" s="4"/>
    </row>
    <row r="1268" ht="16" customHeight="1" s="4" customFormat="1">
      <c r="A1268" s="4">
        <v>780</v>
      </c>
      <c r="B1268" s="4" t="s">
        <v>5499</v>
      </c>
      <c r="C1268" s="4" t="s">
        <v>5590</v>
      </c>
      <c r="D1268" s="4"/>
      <c r="E1268" s="4" t="s">
        <v>5952</v>
      </c>
      <c r="F1268" s="4" t="s">
        <v>7417</v>
      </c>
      <c r="G1268" s="4" t="s">
        <v>7389</v>
      </c>
      <c r="H1268" s="4" t="s">
        <v>7014</v>
      </c>
      <c r="I1268" s="5">
        <v>43628</v>
      </c>
      <c r="J1268" s="4" t="s">
        <v>5506</v>
      </c>
      <c r="K1268" s="4" t="s">
        <v>57</v>
      </c>
      <c r="L1268" s="4"/>
      <c r="M1268" s="4"/>
    </row>
    <row r="1269" ht="16" customHeight="1" s="4" customFormat="1">
      <c r="A1269" s="4">
        <v>781</v>
      </c>
      <c r="B1269" s="4" t="s">
        <v>5499</v>
      </c>
      <c r="C1269" s="4" t="s">
        <v>5590</v>
      </c>
      <c r="D1269" s="4"/>
      <c r="E1269" s="4" t="s">
        <v>5952</v>
      </c>
      <c r="F1269" s="4" t="s">
        <v>7418</v>
      </c>
      <c r="G1269" s="4" t="s">
        <v>7391</v>
      </c>
      <c r="H1269" s="4" t="s">
        <v>7014</v>
      </c>
      <c r="I1269" s="5">
        <v>43628</v>
      </c>
      <c r="J1269" s="4" t="s">
        <v>4798</v>
      </c>
      <c r="K1269" s="4" t="s">
        <v>57</v>
      </c>
      <c r="L1269" s="4"/>
      <c r="M1269" s="4"/>
    </row>
    <row r="1270" ht="16" customHeight="1" s="4" customFormat="1">
      <c r="A1270" s="4">
        <v>782</v>
      </c>
      <c r="B1270" s="4" t="s">
        <v>5499</v>
      </c>
      <c r="C1270" s="4" t="s">
        <v>5590</v>
      </c>
      <c r="D1270" s="4"/>
      <c r="E1270" s="4" t="s">
        <v>5952</v>
      </c>
      <c r="F1270" s="4" t="s">
        <v>7419</v>
      </c>
      <c r="G1270" s="4" t="s">
        <v>7397</v>
      </c>
      <c r="H1270" s="4" t="s">
        <v>7014</v>
      </c>
      <c r="I1270" s="5">
        <v>43628</v>
      </c>
      <c r="J1270" s="4" t="s">
        <v>4798</v>
      </c>
      <c r="K1270" s="4" t="s">
        <v>57</v>
      </c>
      <c r="L1270" s="4"/>
      <c r="M1270" s="4"/>
    </row>
    <row r="1271" ht="16" customHeight="1" s="4" customFormat="1">
      <c r="A1271" s="4">
        <v>783</v>
      </c>
      <c r="B1271" s="4" t="s">
        <v>5499</v>
      </c>
      <c r="C1271" s="4" t="s">
        <v>5590</v>
      </c>
      <c r="D1271" s="4"/>
      <c r="E1271" s="4" t="s">
        <v>5952</v>
      </c>
      <c r="F1271" s="4" t="s">
        <v>7420</v>
      </c>
      <c r="G1271" s="4" t="s">
        <v>7395</v>
      </c>
      <c r="H1271" s="4" t="s">
        <v>7014</v>
      </c>
      <c r="I1271" s="5">
        <v>43628</v>
      </c>
      <c r="J1271" s="4" t="s">
        <v>4798</v>
      </c>
      <c r="K1271" s="4" t="s">
        <v>57</v>
      </c>
      <c r="L1271" s="4"/>
      <c r="M1271" s="4"/>
    </row>
    <row r="1272" ht="16" customHeight="1" s="4" customFormat="1">
      <c r="A1272" s="4">
        <v>784</v>
      </c>
      <c r="B1272" s="4" t="s">
        <v>5499</v>
      </c>
      <c r="C1272" s="4" t="s">
        <v>5590</v>
      </c>
      <c r="D1272" s="4"/>
      <c r="E1272" s="4" t="s">
        <v>5952</v>
      </c>
      <c r="F1272" s="4" t="s">
        <v>7421</v>
      </c>
      <c r="G1272" s="4" t="s">
        <v>7401</v>
      </c>
      <c r="H1272" s="4" t="s">
        <v>7014</v>
      </c>
      <c r="I1272" s="5">
        <v>43628</v>
      </c>
      <c r="J1272" s="4" t="s">
        <v>4798</v>
      </c>
      <c r="K1272" s="4" t="s">
        <v>57</v>
      </c>
      <c r="L1272" s="4"/>
      <c r="M1272" s="4"/>
    </row>
    <row r="1273" ht="16" customHeight="1" s="4" customFormat="1">
      <c r="A1273" s="4">
        <v>785</v>
      </c>
      <c r="B1273" s="4" t="s">
        <v>5499</v>
      </c>
      <c r="C1273" s="4" t="s">
        <v>5590</v>
      </c>
      <c r="D1273" s="4"/>
      <c r="E1273" s="4" t="s">
        <v>5952</v>
      </c>
      <c r="F1273" s="4" t="s">
        <v>7422</v>
      </c>
      <c r="G1273" s="4" t="s">
        <v>7386</v>
      </c>
      <c r="H1273" s="4" t="s">
        <v>7014</v>
      </c>
      <c r="I1273" s="5">
        <v>43628</v>
      </c>
      <c r="J1273" s="4" t="s">
        <v>4798</v>
      </c>
      <c r="K1273" s="4" t="s">
        <v>57</v>
      </c>
      <c r="L1273" s="4"/>
      <c r="M1273" s="4"/>
    </row>
    <row r="1274" ht="16" customHeight="1" s="4" customFormat="1">
      <c r="A1274" s="4">
        <v>786</v>
      </c>
      <c r="B1274" s="4" t="s">
        <v>5499</v>
      </c>
      <c r="C1274" s="4" t="s">
        <v>5590</v>
      </c>
      <c r="D1274" s="4"/>
      <c r="E1274" s="4" t="s">
        <v>5952</v>
      </c>
      <c r="F1274" s="4" t="s">
        <v>7423</v>
      </c>
      <c r="G1274" s="4" t="s">
        <v>7391</v>
      </c>
      <c r="H1274" s="4" t="s">
        <v>7014</v>
      </c>
      <c r="I1274" s="5">
        <v>43628</v>
      </c>
      <c r="J1274" s="4" t="s">
        <v>4798</v>
      </c>
      <c r="K1274" s="4" t="s">
        <v>57</v>
      </c>
      <c r="L1274" s="4"/>
      <c r="M1274" s="4"/>
    </row>
    <row r="1275" ht="16" customHeight="1" s="4" customFormat="1">
      <c r="A1275" s="4">
        <v>787</v>
      </c>
      <c r="B1275" s="4" t="s">
        <v>5499</v>
      </c>
      <c r="C1275" s="4" t="s">
        <v>5590</v>
      </c>
      <c r="D1275" s="4"/>
      <c r="E1275" s="4" t="s">
        <v>5952</v>
      </c>
      <c r="F1275" s="4" t="s">
        <v>7424</v>
      </c>
      <c r="G1275" s="4" t="s">
        <v>7389</v>
      </c>
      <c r="H1275" s="4" t="s">
        <v>7014</v>
      </c>
      <c r="I1275" s="5">
        <v>43628</v>
      </c>
      <c r="J1275" s="4" t="s">
        <v>4798</v>
      </c>
      <c r="K1275" s="4" t="s">
        <v>57</v>
      </c>
      <c r="L1275" s="4"/>
      <c r="M1275" s="4"/>
    </row>
    <row r="1276" ht="16" customHeight="1" s="4" customFormat="1">
      <c r="A1276" s="4">
        <v>788</v>
      </c>
      <c r="B1276" s="4" t="s">
        <v>5499</v>
      </c>
      <c r="C1276" s="4" t="s">
        <v>5590</v>
      </c>
      <c r="D1276" s="4"/>
      <c r="E1276" s="4" t="s">
        <v>5952</v>
      </c>
      <c r="F1276" s="4" t="s">
        <v>7425</v>
      </c>
      <c r="G1276" s="4" t="s">
        <v>7391</v>
      </c>
      <c r="H1276" s="4" t="s">
        <v>7014</v>
      </c>
      <c r="I1276" s="5">
        <v>43628</v>
      </c>
      <c r="J1276" s="4" t="s">
        <v>4798</v>
      </c>
      <c r="K1276" s="4" t="s">
        <v>57</v>
      </c>
      <c r="L1276" s="4"/>
      <c r="M1276" s="4"/>
    </row>
    <row r="1277" ht="16" customHeight="1" s="4" customFormat="1">
      <c r="A1277" s="4">
        <v>789</v>
      </c>
      <c r="B1277" s="4" t="s">
        <v>5499</v>
      </c>
      <c r="C1277" s="4" t="s">
        <v>5590</v>
      </c>
      <c r="D1277" s="4"/>
      <c r="E1277" s="4" t="s">
        <v>5952</v>
      </c>
      <c r="F1277" s="4" t="s">
        <v>7426</v>
      </c>
      <c r="G1277" s="4" t="s">
        <v>7427</v>
      </c>
      <c r="H1277" s="4" t="s">
        <v>7014</v>
      </c>
      <c r="I1277" s="5">
        <v>43628</v>
      </c>
      <c r="J1277" s="4" t="s">
        <v>4798</v>
      </c>
      <c r="K1277" s="4" t="s">
        <v>57</v>
      </c>
      <c r="L1277" s="4"/>
      <c r="M1277" s="4"/>
    </row>
    <row r="1278" ht="16" customHeight="1" s="4" customFormat="1">
      <c r="A1278" s="4">
        <v>790</v>
      </c>
      <c r="B1278" s="4" t="s">
        <v>5499</v>
      </c>
      <c r="C1278" s="4" t="s">
        <v>5590</v>
      </c>
      <c r="D1278" s="4"/>
      <c r="E1278" s="4" t="s">
        <v>5952</v>
      </c>
      <c r="F1278" s="4" t="s">
        <v>7428</v>
      </c>
      <c r="G1278" s="4" t="s">
        <v>7401</v>
      </c>
      <c r="H1278" s="4" t="s">
        <v>7014</v>
      </c>
      <c r="I1278" s="5">
        <v>43628</v>
      </c>
      <c r="J1278" s="4" t="s">
        <v>4798</v>
      </c>
      <c r="K1278" s="4" t="s">
        <v>57</v>
      </c>
      <c r="L1278" s="4"/>
      <c r="M1278" s="4"/>
    </row>
    <row r="1279" ht="16" customHeight="1" s="4" customFormat="1">
      <c r="A1279" s="4">
        <v>791</v>
      </c>
      <c r="B1279" s="4" t="s">
        <v>5499</v>
      </c>
      <c r="C1279" s="4" t="s">
        <v>5590</v>
      </c>
      <c r="D1279" s="4"/>
      <c r="E1279" s="4" t="s">
        <v>5952</v>
      </c>
      <c r="F1279" s="4" t="s">
        <v>7429</v>
      </c>
      <c r="G1279" s="4" t="s">
        <v>7395</v>
      </c>
      <c r="H1279" s="4" t="s">
        <v>7014</v>
      </c>
      <c r="I1279" s="5">
        <v>43628</v>
      </c>
      <c r="J1279" s="4" t="s">
        <v>4798</v>
      </c>
      <c r="K1279" s="4" t="s">
        <v>57</v>
      </c>
      <c r="L1279" s="4"/>
      <c r="M1279" s="4"/>
    </row>
    <row r="1280" ht="16" customHeight="1" s="4" customFormat="1">
      <c r="A1280" s="4">
        <v>792</v>
      </c>
      <c r="B1280" s="4" t="s">
        <v>5499</v>
      </c>
      <c r="C1280" s="4" t="s">
        <v>5590</v>
      </c>
      <c r="D1280" s="4"/>
      <c r="E1280" s="4" t="s">
        <v>5952</v>
      </c>
      <c r="F1280" s="4" t="s">
        <v>7430</v>
      </c>
      <c r="G1280" s="4" t="s">
        <v>7401</v>
      </c>
      <c r="H1280" s="4" t="s">
        <v>7014</v>
      </c>
      <c r="I1280" s="5">
        <v>43628</v>
      </c>
      <c r="J1280" s="4" t="s">
        <v>4798</v>
      </c>
      <c r="K1280" s="4" t="s">
        <v>57</v>
      </c>
      <c r="L1280" s="4"/>
      <c r="M1280" s="4"/>
    </row>
    <row r="1281" ht="16" customHeight="1" s="4" customFormat="1">
      <c r="A1281" s="4">
        <v>793</v>
      </c>
      <c r="B1281" s="4" t="s">
        <v>5499</v>
      </c>
      <c r="C1281" s="4" t="s">
        <v>5590</v>
      </c>
      <c r="D1281" s="4"/>
      <c r="E1281" s="4" t="s">
        <v>5952</v>
      </c>
      <c r="F1281" s="4" t="s">
        <v>7431</v>
      </c>
      <c r="G1281" s="4" t="s">
        <v>7432</v>
      </c>
      <c r="H1281" s="4" t="s">
        <v>7014</v>
      </c>
      <c r="I1281" s="5">
        <v>43628</v>
      </c>
      <c r="J1281" s="4" t="s">
        <v>4798</v>
      </c>
      <c r="K1281" s="4" t="s">
        <v>57</v>
      </c>
      <c r="L1281" s="4"/>
      <c r="M1281" s="4"/>
    </row>
    <row r="1282" ht="16" customHeight="1" s="4" customFormat="1">
      <c r="A1282" s="4">
        <v>794</v>
      </c>
      <c r="B1282" s="4" t="s">
        <v>5499</v>
      </c>
      <c r="C1282" s="4" t="s">
        <v>5590</v>
      </c>
      <c r="D1282" s="4"/>
      <c r="E1282" s="4" t="s">
        <v>5952</v>
      </c>
      <c r="F1282" s="4" t="s">
        <v>7433</v>
      </c>
      <c r="G1282" s="4" t="s">
        <v>7320</v>
      </c>
      <c r="H1282" s="4" t="s">
        <v>7014</v>
      </c>
      <c r="I1282" s="5">
        <v>43628</v>
      </c>
      <c r="J1282" s="4" t="s">
        <v>4798</v>
      </c>
      <c r="K1282" s="4" t="s">
        <v>57</v>
      </c>
      <c r="L1282" s="4"/>
      <c r="M1282" s="4"/>
    </row>
    <row r="1283" ht="16" customHeight="1" s="4" customFormat="1">
      <c r="A1283" s="4">
        <v>795</v>
      </c>
      <c r="B1283" s="4" t="s">
        <v>5499</v>
      </c>
      <c r="C1283" s="4" t="s">
        <v>5590</v>
      </c>
      <c r="D1283" s="4"/>
      <c r="E1283" s="4" t="s">
        <v>5952</v>
      </c>
      <c r="F1283" s="4" t="s">
        <v>7434</v>
      </c>
      <c r="G1283" s="4" t="s">
        <v>7320</v>
      </c>
      <c r="H1283" s="4" t="s">
        <v>7014</v>
      </c>
      <c r="I1283" s="5">
        <v>43628</v>
      </c>
      <c r="J1283" s="4" t="s">
        <v>4798</v>
      </c>
      <c r="K1283" s="4" t="s">
        <v>57</v>
      </c>
      <c r="L1283" s="4"/>
      <c r="M1283" s="4"/>
    </row>
    <row r="1284" ht="16" customHeight="1" s="4" customFormat="1">
      <c r="A1284" s="4">
        <v>796</v>
      </c>
      <c r="B1284" s="4" t="s">
        <v>5499</v>
      </c>
      <c r="C1284" s="4" t="s">
        <v>5590</v>
      </c>
      <c r="D1284" s="4"/>
      <c r="E1284" s="4" t="s">
        <v>5952</v>
      </c>
      <c r="F1284" s="4" t="s">
        <v>7435</v>
      </c>
      <c r="G1284" s="4" t="s">
        <v>7325</v>
      </c>
      <c r="H1284" s="4" t="s">
        <v>7014</v>
      </c>
      <c r="I1284" s="5">
        <v>43628</v>
      </c>
      <c r="J1284" s="4" t="s">
        <v>4798</v>
      </c>
      <c r="K1284" s="4" t="s">
        <v>57</v>
      </c>
      <c r="L1284" s="4"/>
      <c r="M1284" s="4"/>
    </row>
    <row r="1285" ht="16" customHeight="1" s="4" customFormat="1">
      <c r="A1285" s="4">
        <v>797</v>
      </c>
      <c r="B1285" s="4" t="s">
        <v>5499</v>
      </c>
      <c r="C1285" s="4" t="s">
        <v>5590</v>
      </c>
      <c r="D1285" s="4"/>
      <c r="E1285" s="4" t="s">
        <v>5952</v>
      </c>
      <c r="F1285" s="4" t="s">
        <v>7436</v>
      </c>
      <c r="G1285" s="4" t="s">
        <v>7325</v>
      </c>
      <c r="H1285" s="4" t="s">
        <v>7014</v>
      </c>
      <c r="I1285" s="5">
        <v>43628</v>
      </c>
      <c r="J1285" s="4" t="s">
        <v>5506</v>
      </c>
      <c r="K1285" s="4" t="s">
        <v>57</v>
      </c>
      <c r="L1285" s="4"/>
      <c r="M1285" s="4"/>
    </row>
    <row r="1286" ht="16" customHeight="1" s="4" customFormat="1">
      <c r="A1286" s="4">
        <v>798</v>
      </c>
      <c r="B1286" s="4" t="s">
        <v>5499</v>
      </c>
      <c r="C1286" s="4" t="s">
        <v>5590</v>
      </c>
      <c r="D1286" s="4"/>
      <c r="E1286" s="4" t="s">
        <v>5952</v>
      </c>
      <c r="F1286" s="4" t="s">
        <v>7437</v>
      </c>
      <c r="G1286" s="4" t="s">
        <v>7325</v>
      </c>
      <c r="H1286" s="4" t="s">
        <v>7014</v>
      </c>
      <c r="I1286" s="5">
        <v>43628</v>
      </c>
      <c r="J1286" s="4" t="s">
        <v>4798</v>
      </c>
      <c r="K1286" s="4" t="s">
        <v>57</v>
      </c>
      <c r="L1286" s="4"/>
      <c r="M1286" s="4"/>
    </row>
    <row r="1287" ht="16" customHeight="1" s="4" customFormat="1">
      <c r="A1287" s="4">
        <v>799</v>
      </c>
      <c r="B1287" s="4" t="s">
        <v>5499</v>
      </c>
      <c r="C1287" s="4" t="s">
        <v>5590</v>
      </c>
      <c r="D1287" s="4"/>
      <c r="E1287" s="4" t="s">
        <v>5952</v>
      </c>
      <c r="F1287" s="4" t="s">
        <v>7438</v>
      </c>
      <c r="G1287" s="4" t="s">
        <v>7325</v>
      </c>
      <c r="H1287" s="4" t="s">
        <v>7014</v>
      </c>
      <c r="I1287" s="5">
        <v>43628</v>
      </c>
      <c r="J1287" s="4" t="s">
        <v>5506</v>
      </c>
      <c r="K1287" s="4" t="s">
        <v>57</v>
      </c>
      <c r="L1287" s="4"/>
      <c r="M1287" s="4"/>
    </row>
    <row r="1288" ht="16" customHeight="1" s="4" customFormat="1">
      <c r="A1288" s="4">
        <v>800</v>
      </c>
      <c r="B1288" s="4" t="s">
        <v>5499</v>
      </c>
      <c r="C1288" s="4" t="s">
        <v>5590</v>
      </c>
      <c r="D1288" s="4"/>
      <c r="E1288" s="4" t="s">
        <v>5952</v>
      </c>
      <c r="F1288" s="4" t="s">
        <v>7439</v>
      </c>
      <c r="G1288" s="4" t="s">
        <v>7331</v>
      </c>
      <c r="H1288" s="4" t="s">
        <v>7014</v>
      </c>
      <c r="I1288" s="5">
        <v>43628</v>
      </c>
      <c r="J1288" s="4" t="s">
        <v>4798</v>
      </c>
      <c r="K1288" s="4" t="s">
        <v>57</v>
      </c>
      <c r="L1288" s="4"/>
      <c r="M1288" s="4"/>
    </row>
    <row r="1289" ht="16" customHeight="1" s="4" customFormat="1">
      <c r="A1289" s="4">
        <v>801</v>
      </c>
      <c r="B1289" s="4" t="s">
        <v>5499</v>
      </c>
      <c r="C1289" s="4" t="s">
        <v>5590</v>
      </c>
      <c r="D1289" s="4"/>
      <c r="E1289" s="4" t="s">
        <v>5952</v>
      </c>
      <c r="F1289" s="4" t="s">
        <v>7440</v>
      </c>
      <c r="G1289" s="4" t="s">
        <v>7331</v>
      </c>
      <c r="H1289" s="4" t="s">
        <v>7014</v>
      </c>
      <c r="I1289" s="5">
        <v>43628</v>
      </c>
      <c r="J1289" s="4" t="s">
        <v>4798</v>
      </c>
      <c r="K1289" s="4" t="s">
        <v>57</v>
      </c>
      <c r="L1289" s="4"/>
      <c r="M1289" s="4"/>
    </row>
    <row r="1290" ht="16" customHeight="1" s="4" customFormat="1">
      <c r="A1290" s="4">
        <v>802</v>
      </c>
      <c r="B1290" s="4" t="s">
        <v>5499</v>
      </c>
      <c r="C1290" s="4" t="s">
        <v>5590</v>
      </c>
      <c r="D1290" s="4"/>
      <c r="E1290" s="4" t="s">
        <v>5952</v>
      </c>
      <c r="F1290" s="4" t="s">
        <v>7441</v>
      </c>
      <c r="G1290" s="4" t="s">
        <v>7331</v>
      </c>
      <c r="H1290" s="4" t="s">
        <v>7014</v>
      </c>
      <c r="I1290" s="5">
        <v>43628</v>
      </c>
      <c r="J1290" s="4" t="s">
        <v>4798</v>
      </c>
      <c r="K1290" s="4" t="s">
        <v>57</v>
      </c>
      <c r="L1290" s="4"/>
      <c r="M1290" s="4"/>
    </row>
    <row r="1291" ht="16" customHeight="1" s="4" customFormat="1">
      <c r="A1291" s="4">
        <v>803</v>
      </c>
      <c r="B1291" s="4" t="s">
        <v>5499</v>
      </c>
      <c r="C1291" s="4" t="s">
        <v>5590</v>
      </c>
      <c r="D1291" s="4"/>
      <c r="E1291" s="4" t="s">
        <v>5952</v>
      </c>
      <c r="F1291" s="4" t="s">
        <v>7442</v>
      </c>
      <c r="G1291" s="4" t="s">
        <v>7331</v>
      </c>
      <c r="H1291" s="4" t="s">
        <v>7014</v>
      </c>
      <c r="I1291" s="5">
        <v>43628</v>
      </c>
      <c r="J1291" s="4" t="s">
        <v>4798</v>
      </c>
      <c r="K1291" s="4" t="s">
        <v>57</v>
      </c>
      <c r="L1291" s="4"/>
      <c r="M1291" s="4"/>
    </row>
    <row r="1292" ht="16" customHeight="1" s="4" customFormat="1">
      <c r="A1292" s="4">
        <v>804</v>
      </c>
      <c r="B1292" s="4" t="s">
        <v>5499</v>
      </c>
      <c r="C1292" s="4" t="s">
        <v>5590</v>
      </c>
      <c r="D1292" s="4"/>
      <c r="E1292" s="4" t="s">
        <v>5952</v>
      </c>
      <c r="F1292" s="4" t="s">
        <v>7443</v>
      </c>
      <c r="G1292" s="4" t="s">
        <v>7331</v>
      </c>
      <c r="H1292" s="4" t="s">
        <v>7014</v>
      </c>
      <c r="I1292" s="5">
        <v>43628</v>
      </c>
      <c r="J1292" s="4" t="s">
        <v>4798</v>
      </c>
      <c r="K1292" s="4" t="s">
        <v>57</v>
      </c>
      <c r="L1292" s="4"/>
      <c r="M1292" s="4"/>
    </row>
    <row r="1293" ht="16" customHeight="1" s="4" customFormat="1">
      <c r="A1293" s="4">
        <v>805</v>
      </c>
      <c r="B1293" s="4" t="s">
        <v>5499</v>
      </c>
      <c r="C1293" s="4" t="s">
        <v>5590</v>
      </c>
      <c r="D1293" s="4"/>
      <c r="E1293" s="4" t="s">
        <v>5952</v>
      </c>
      <c r="F1293" s="4" t="s">
        <v>7444</v>
      </c>
      <c r="G1293" s="4" t="s">
        <v>7337</v>
      </c>
      <c r="H1293" s="4" t="s">
        <v>7014</v>
      </c>
      <c r="I1293" s="5">
        <v>43628</v>
      </c>
      <c r="J1293" s="4" t="s">
        <v>4798</v>
      </c>
      <c r="K1293" s="4" t="s">
        <v>57</v>
      </c>
      <c r="L1293" s="4"/>
      <c r="M1293" s="4"/>
    </row>
    <row r="1294" ht="16" customHeight="1" s="4" customFormat="1">
      <c r="A1294" s="4">
        <v>806</v>
      </c>
      <c r="B1294" s="4" t="s">
        <v>5499</v>
      </c>
      <c r="C1294" s="4" t="s">
        <v>5590</v>
      </c>
      <c r="D1294" s="4"/>
      <c r="E1294" s="4" t="s">
        <v>5952</v>
      </c>
      <c r="F1294" s="4" t="s">
        <v>7445</v>
      </c>
      <c r="G1294" s="4" t="s">
        <v>7337</v>
      </c>
      <c r="H1294" s="4" t="s">
        <v>7014</v>
      </c>
      <c r="I1294" s="5">
        <v>43628</v>
      </c>
      <c r="J1294" s="4" t="s">
        <v>4798</v>
      </c>
      <c r="K1294" s="4" t="s">
        <v>57</v>
      </c>
      <c r="L1294" s="4"/>
      <c r="M1294" s="4"/>
    </row>
    <row r="1295" ht="16" customHeight="1" s="4" customFormat="1">
      <c r="A1295" s="4">
        <v>807</v>
      </c>
      <c r="B1295" s="4" t="s">
        <v>5499</v>
      </c>
      <c r="C1295" s="4" t="s">
        <v>5590</v>
      </c>
      <c r="D1295" s="4"/>
      <c r="E1295" s="4" t="s">
        <v>5952</v>
      </c>
      <c r="F1295" s="4" t="s">
        <v>7446</v>
      </c>
      <c r="G1295" s="4" t="s">
        <v>7337</v>
      </c>
      <c r="H1295" s="4" t="s">
        <v>7014</v>
      </c>
      <c r="I1295" s="5">
        <v>43628</v>
      </c>
      <c r="J1295" s="4" t="s">
        <v>4798</v>
      </c>
      <c r="K1295" s="4" t="s">
        <v>57</v>
      </c>
      <c r="L1295" s="4"/>
      <c r="M1295" s="4"/>
    </row>
    <row r="1296" ht="16" customHeight="1" s="4" customFormat="1">
      <c r="A1296" s="4">
        <v>808</v>
      </c>
      <c r="B1296" s="4" t="s">
        <v>5499</v>
      </c>
      <c r="C1296" s="4" t="s">
        <v>5590</v>
      </c>
      <c r="D1296" s="4"/>
      <c r="E1296" s="4" t="s">
        <v>5952</v>
      </c>
      <c r="F1296" s="4" t="s">
        <v>7447</v>
      </c>
      <c r="G1296" s="4" t="s">
        <v>7337</v>
      </c>
      <c r="H1296" s="4" t="s">
        <v>7014</v>
      </c>
      <c r="I1296" s="5">
        <v>43628</v>
      </c>
      <c r="J1296" s="4" t="s">
        <v>4798</v>
      </c>
      <c r="K1296" s="4" t="s">
        <v>57</v>
      </c>
      <c r="L1296" s="4"/>
      <c r="M1296" s="4"/>
    </row>
    <row r="1297" ht="16" customHeight="1" s="4" customFormat="1">
      <c r="A1297" s="4">
        <v>809</v>
      </c>
      <c r="B1297" s="4" t="s">
        <v>5499</v>
      </c>
      <c r="C1297" s="4" t="s">
        <v>5590</v>
      </c>
      <c r="D1297" s="4"/>
      <c r="E1297" s="4" t="s">
        <v>5952</v>
      </c>
      <c r="F1297" s="4" t="s">
        <v>7448</v>
      </c>
      <c r="G1297" s="4" t="s">
        <v>7337</v>
      </c>
      <c r="H1297" s="4" t="s">
        <v>7014</v>
      </c>
      <c r="I1297" s="5">
        <v>43628</v>
      </c>
      <c r="J1297" s="4" t="s">
        <v>4798</v>
      </c>
      <c r="K1297" s="4" t="s">
        <v>57</v>
      </c>
      <c r="L1297" s="4"/>
      <c r="M1297" s="4"/>
    </row>
    <row r="1298" ht="16" customHeight="1" s="4" customFormat="1">
      <c r="A1298" s="4">
        <v>810</v>
      </c>
      <c r="B1298" s="4" t="s">
        <v>5499</v>
      </c>
      <c r="C1298" s="4" t="s">
        <v>5590</v>
      </c>
      <c r="D1298" s="4"/>
      <c r="E1298" s="4" t="s">
        <v>5952</v>
      </c>
      <c r="F1298" s="4" t="s">
        <v>7449</v>
      </c>
      <c r="G1298" s="4" t="s">
        <v>7450</v>
      </c>
      <c r="H1298" s="4" t="s">
        <v>7014</v>
      </c>
      <c r="I1298" s="5">
        <v>43628</v>
      </c>
      <c r="J1298" s="4" t="s">
        <v>4798</v>
      </c>
      <c r="K1298" s="4" t="s">
        <v>57</v>
      </c>
      <c r="L1298" s="4"/>
      <c r="M1298" s="4"/>
    </row>
    <row r="1299" ht="16" customHeight="1" s="4" customFormat="1">
      <c r="A1299" s="4">
        <v>811</v>
      </c>
      <c r="B1299" s="4" t="s">
        <v>5499</v>
      </c>
      <c r="C1299" s="4" t="s">
        <v>5590</v>
      </c>
      <c r="D1299" s="4"/>
      <c r="E1299" s="4" t="s">
        <v>5952</v>
      </c>
      <c r="F1299" s="4" t="s">
        <v>7451</v>
      </c>
      <c r="G1299" s="4" t="s">
        <v>7343</v>
      </c>
      <c r="H1299" s="4" t="s">
        <v>7014</v>
      </c>
      <c r="I1299" s="5">
        <v>43628</v>
      </c>
      <c r="J1299" s="4" t="s">
        <v>4798</v>
      </c>
      <c r="K1299" s="4" t="s">
        <v>57</v>
      </c>
      <c r="L1299" s="4"/>
      <c r="M1299" s="4"/>
    </row>
    <row r="1300" ht="16" customHeight="1" s="4" customFormat="1">
      <c r="A1300" s="4">
        <v>812</v>
      </c>
      <c r="B1300" s="4" t="s">
        <v>5499</v>
      </c>
      <c r="C1300" s="4" t="s">
        <v>5590</v>
      </c>
      <c r="D1300" s="4"/>
      <c r="E1300" s="4" t="s">
        <v>5952</v>
      </c>
      <c r="F1300" s="4" t="s">
        <v>7452</v>
      </c>
      <c r="G1300" s="4" t="s">
        <v>7343</v>
      </c>
      <c r="H1300" s="4" t="s">
        <v>7014</v>
      </c>
      <c r="I1300" s="5">
        <v>43628</v>
      </c>
      <c r="J1300" s="4" t="s">
        <v>4798</v>
      </c>
      <c r="K1300" s="4" t="s">
        <v>57</v>
      </c>
      <c r="L1300" s="4"/>
      <c r="M1300" s="4"/>
    </row>
    <row r="1301" ht="16" customHeight="1" s="4" customFormat="1">
      <c r="A1301" s="4">
        <v>813</v>
      </c>
      <c r="B1301" s="4" t="s">
        <v>5499</v>
      </c>
      <c r="C1301" s="4" t="s">
        <v>5590</v>
      </c>
      <c r="D1301" s="4"/>
      <c r="E1301" s="4" t="s">
        <v>5952</v>
      </c>
      <c r="F1301" s="4" t="s">
        <v>7453</v>
      </c>
      <c r="G1301" s="4" t="s">
        <v>7343</v>
      </c>
      <c r="H1301" s="4" t="s">
        <v>7014</v>
      </c>
      <c r="I1301" s="5">
        <v>43628</v>
      </c>
      <c r="J1301" s="4" t="s">
        <v>4798</v>
      </c>
      <c r="K1301" s="4" t="s">
        <v>57</v>
      </c>
      <c r="L1301" s="4"/>
      <c r="M1301" s="4"/>
    </row>
    <row r="1302" ht="16" customHeight="1" s="4" customFormat="1">
      <c r="A1302" s="4">
        <v>814</v>
      </c>
      <c r="B1302" s="4" t="s">
        <v>5499</v>
      </c>
      <c r="C1302" s="4" t="s">
        <v>5590</v>
      </c>
      <c r="D1302" s="4"/>
      <c r="E1302" s="4" t="s">
        <v>5952</v>
      </c>
      <c r="F1302" s="4" t="s">
        <v>7454</v>
      </c>
      <c r="G1302" s="4" t="s">
        <v>7343</v>
      </c>
      <c r="H1302" s="4" t="s">
        <v>7014</v>
      </c>
      <c r="I1302" s="5">
        <v>43628</v>
      </c>
      <c r="J1302" s="4" t="s">
        <v>4798</v>
      </c>
      <c r="K1302" s="4" t="s">
        <v>57</v>
      </c>
      <c r="L1302" s="4"/>
      <c r="M1302" s="4"/>
    </row>
    <row r="1303" ht="16" customHeight="1" s="4" customFormat="1">
      <c r="A1303" s="4">
        <v>815</v>
      </c>
      <c r="B1303" s="4" t="s">
        <v>5499</v>
      </c>
      <c r="C1303" s="4" t="s">
        <v>5590</v>
      </c>
      <c r="D1303" s="4"/>
      <c r="E1303" s="4" t="s">
        <v>5952</v>
      </c>
      <c r="F1303" s="4" t="s">
        <v>7455</v>
      </c>
      <c r="G1303" s="4" t="s">
        <v>7343</v>
      </c>
      <c r="H1303" s="4" t="s">
        <v>7014</v>
      </c>
      <c r="I1303" s="5">
        <v>43628</v>
      </c>
      <c r="J1303" s="4" t="s">
        <v>4798</v>
      </c>
      <c r="K1303" s="4" t="s">
        <v>57</v>
      </c>
      <c r="L1303" s="4"/>
      <c r="M1303" s="4"/>
    </row>
    <row r="1304" ht="16" customHeight="1" s="4" customFormat="1">
      <c r="A1304" s="4">
        <v>816</v>
      </c>
      <c r="B1304" s="4" t="s">
        <v>5499</v>
      </c>
      <c r="C1304" s="4" t="s">
        <v>5590</v>
      </c>
      <c r="D1304" s="4"/>
      <c r="E1304" s="4" t="s">
        <v>5952</v>
      </c>
      <c r="F1304" s="4" t="s">
        <v>7456</v>
      </c>
      <c r="G1304" s="4" t="s">
        <v>7349</v>
      </c>
      <c r="H1304" s="4" t="s">
        <v>7014</v>
      </c>
      <c r="I1304" s="5">
        <v>43628</v>
      </c>
      <c r="J1304" s="4" t="s">
        <v>5506</v>
      </c>
      <c r="K1304" s="4" t="s">
        <v>57</v>
      </c>
      <c r="L1304" s="4"/>
      <c r="M1304" s="4"/>
    </row>
    <row r="1305" ht="16" customHeight="1" s="4" customFormat="1">
      <c r="A1305" s="4">
        <v>817</v>
      </c>
      <c r="B1305" s="4" t="s">
        <v>5499</v>
      </c>
      <c r="C1305" s="4" t="s">
        <v>5590</v>
      </c>
      <c r="D1305" s="4"/>
      <c r="E1305" s="4" t="s">
        <v>5952</v>
      </c>
      <c r="F1305" s="4" t="s">
        <v>7457</v>
      </c>
      <c r="G1305" s="4" t="s">
        <v>7351</v>
      </c>
      <c r="H1305" s="4" t="s">
        <v>7014</v>
      </c>
      <c r="I1305" s="5">
        <v>43628</v>
      </c>
      <c r="J1305" s="4" t="s">
        <v>4798</v>
      </c>
      <c r="K1305" s="4" t="s">
        <v>57</v>
      </c>
      <c r="L1305" s="4"/>
      <c r="M1305" s="4"/>
    </row>
    <row r="1306" ht="16" customHeight="1" s="4" customFormat="1">
      <c r="A1306" s="4">
        <v>818</v>
      </c>
      <c r="B1306" s="4" t="s">
        <v>5499</v>
      </c>
      <c r="C1306" s="4" t="s">
        <v>5590</v>
      </c>
      <c r="D1306" s="4"/>
      <c r="E1306" s="4" t="s">
        <v>5952</v>
      </c>
      <c r="F1306" s="4" t="s">
        <v>7458</v>
      </c>
      <c r="G1306" s="4" t="s">
        <v>7320</v>
      </c>
      <c r="H1306" s="4" t="s">
        <v>7014</v>
      </c>
      <c r="I1306" s="5">
        <v>43628</v>
      </c>
      <c r="J1306" s="4" t="s">
        <v>4798</v>
      </c>
      <c r="K1306" s="4" t="s">
        <v>57</v>
      </c>
      <c r="L1306" s="4"/>
      <c r="M1306" s="4"/>
    </row>
    <row r="1307" ht="16" customHeight="1" s="4" customFormat="1">
      <c r="A1307" s="4">
        <v>819</v>
      </c>
      <c r="B1307" s="4" t="s">
        <v>5499</v>
      </c>
      <c r="C1307" s="4" t="s">
        <v>5590</v>
      </c>
      <c r="D1307" s="4"/>
      <c r="E1307" s="4" t="s">
        <v>5952</v>
      </c>
      <c r="F1307" s="4" t="s">
        <v>7459</v>
      </c>
      <c r="G1307" s="4" t="s">
        <v>7320</v>
      </c>
      <c r="H1307" s="4" t="s">
        <v>7014</v>
      </c>
      <c r="I1307" s="5">
        <v>43628</v>
      </c>
      <c r="J1307" s="4" t="s">
        <v>4798</v>
      </c>
      <c r="K1307" s="4" t="s">
        <v>57</v>
      </c>
      <c r="L1307" s="4"/>
      <c r="M1307" s="4"/>
    </row>
    <row r="1308" ht="16" customHeight="1" s="4" customFormat="1">
      <c r="A1308" s="4">
        <v>820</v>
      </c>
      <c r="B1308" s="4" t="s">
        <v>5499</v>
      </c>
      <c r="C1308" s="4" t="s">
        <v>5590</v>
      </c>
      <c r="D1308" s="4"/>
      <c r="E1308" s="4" t="s">
        <v>5952</v>
      </c>
      <c r="F1308" s="4" t="s">
        <v>7460</v>
      </c>
      <c r="G1308" s="4" t="s">
        <v>7320</v>
      </c>
      <c r="H1308" s="4" t="s">
        <v>7014</v>
      </c>
      <c r="I1308" s="5">
        <v>43628</v>
      </c>
      <c r="J1308" s="4" t="s">
        <v>4798</v>
      </c>
      <c r="K1308" s="4" t="s">
        <v>57</v>
      </c>
      <c r="L1308" s="4"/>
      <c r="M1308" s="4"/>
    </row>
    <row r="1309" ht="16" customHeight="1" s="4" customFormat="1">
      <c r="A1309" s="4">
        <v>821</v>
      </c>
      <c r="B1309" s="4" t="s">
        <v>5499</v>
      </c>
      <c r="C1309" s="4" t="s">
        <v>5590</v>
      </c>
      <c r="D1309" s="4"/>
      <c r="E1309" s="4" t="s">
        <v>5952</v>
      </c>
      <c r="F1309" s="4" t="s">
        <v>7461</v>
      </c>
      <c r="G1309" s="4" t="s">
        <v>7355</v>
      </c>
      <c r="H1309" s="4" t="s">
        <v>7014</v>
      </c>
      <c r="I1309" s="5">
        <v>43628</v>
      </c>
      <c r="J1309" s="4" t="s">
        <v>5506</v>
      </c>
      <c r="K1309" s="4" t="s">
        <v>57</v>
      </c>
      <c r="L1309" s="4"/>
      <c r="M1309" s="4"/>
    </row>
    <row r="1310" ht="16" customHeight="1" s="4" customFormat="1">
      <c r="A1310" s="4">
        <v>822</v>
      </c>
      <c r="B1310" s="4" t="s">
        <v>5499</v>
      </c>
      <c r="C1310" s="4" t="s">
        <v>5590</v>
      </c>
      <c r="D1310" s="4"/>
      <c r="E1310" s="4" t="s">
        <v>5952</v>
      </c>
      <c r="F1310" s="4" t="s">
        <v>7462</v>
      </c>
      <c r="G1310" s="4" t="s">
        <v>7355</v>
      </c>
      <c r="H1310" s="4" t="s">
        <v>7014</v>
      </c>
      <c r="I1310" s="5">
        <v>43628</v>
      </c>
      <c r="J1310" s="4" t="s">
        <v>4798</v>
      </c>
      <c r="K1310" s="4" t="s">
        <v>57</v>
      </c>
      <c r="L1310" s="4"/>
      <c r="M1310" s="4"/>
    </row>
    <row r="1311" ht="16" customHeight="1" s="4" customFormat="1">
      <c r="A1311" s="4">
        <v>823</v>
      </c>
      <c r="B1311" s="4" t="s">
        <v>5499</v>
      </c>
      <c r="C1311" s="4" t="s">
        <v>5590</v>
      </c>
      <c r="D1311" s="4"/>
      <c r="E1311" s="4" t="s">
        <v>5952</v>
      </c>
      <c r="F1311" s="4" t="s">
        <v>7463</v>
      </c>
      <c r="G1311" s="4" t="s">
        <v>7355</v>
      </c>
      <c r="H1311" s="4" t="s">
        <v>7014</v>
      </c>
      <c r="I1311" s="5">
        <v>43628</v>
      </c>
      <c r="J1311" s="4" t="s">
        <v>4798</v>
      </c>
      <c r="K1311" s="4" t="s">
        <v>57</v>
      </c>
      <c r="L1311" s="4"/>
      <c r="M1311" s="4"/>
    </row>
    <row r="1312" ht="16" customHeight="1" s="4" customFormat="1">
      <c r="A1312" s="4">
        <v>824</v>
      </c>
      <c r="B1312" s="4" t="s">
        <v>5499</v>
      </c>
      <c r="C1312" s="4" t="s">
        <v>5590</v>
      </c>
      <c r="D1312" s="4"/>
      <c r="E1312" s="4" t="s">
        <v>5952</v>
      </c>
      <c r="F1312" s="4" t="s">
        <v>7464</v>
      </c>
      <c r="G1312" s="4" t="s">
        <v>7355</v>
      </c>
      <c r="H1312" s="4" t="s">
        <v>7014</v>
      </c>
      <c r="I1312" s="5">
        <v>43628</v>
      </c>
      <c r="J1312" s="4" t="s">
        <v>4798</v>
      </c>
      <c r="K1312" s="4" t="s">
        <v>57</v>
      </c>
      <c r="L1312" s="4"/>
      <c r="M1312" s="4"/>
    </row>
    <row r="1313" ht="16" customHeight="1" s="4" customFormat="1">
      <c r="A1313" s="4">
        <v>825</v>
      </c>
      <c r="B1313" s="4" t="s">
        <v>5499</v>
      </c>
      <c r="C1313" s="4" t="s">
        <v>5590</v>
      </c>
      <c r="D1313" s="4"/>
      <c r="E1313" s="4" t="s">
        <v>5952</v>
      </c>
      <c r="F1313" s="4" t="s">
        <v>7465</v>
      </c>
      <c r="G1313" s="4" t="s">
        <v>7355</v>
      </c>
      <c r="H1313" s="4" t="s">
        <v>7014</v>
      </c>
      <c r="I1313" s="5">
        <v>43628</v>
      </c>
      <c r="J1313" s="4" t="s">
        <v>4798</v>
      </c>
      <c r="K1313" s="4" t="s">
        <v>57</v>
      </c>
      <c r="L1313" s="4"/>
      <c r="M1313" s="4"/>
    </row>
    <row r="1314" ht="16" customHeight="1" s="4" customFormat="1">
      <c r="A1314" s="4">
        <v>826</v>
      </c>
      <c r="B1314" s="4" t="s">
        <v>5499</v>
      </c>
      <c r="C1314" s="4" t="s">
        <v>5590</v>
      </c>
      <c r="D1314" s="4"/>
      <c r="E1314" s="4" t="s">
        <v>5952</v>
      </c>
      <c r="F1314" s="4" t="s">
        <v>7466</v>
      </c>
      <c r="G1314" s="4" t="s">
        <v>7360</v>
      </c>
      <c r="H1314" s="4" t="s">
        <v>7014</v>
      </c>
      <c r="I1314" s="5">
        <v>43628</v>
      </c>
      <c r="J1314" s="4" t="s">
        <v>4798</v>
      </c>
      <c r="K1314" s="4" t="s">
        <v>57</v>
      </c>
      <c r="L1314" s="4"/>
      <c r="M1314" s="4"/>
    </row>
    <row r="1315" ht="16" customHeight="1" s="4" customFormat="1">
      <c r="A1315" s="4">
        <v>827</v>
      </c>
      <c r="B1315" s="4" t="s">
        <v>5499</v>
      </c>
      <c r="C1315" s="4" t="s">
        <v>5590</v>
      </c>
      <c r="D1315" s="4"/>
      <c r="E1315" s="4" t="s">
        <v>5952</v>
      </c>
      <c r="F1315" s="4" t="s">
        <v>7467</v>
      </c>
      <c r="G1315" s="4" t="s">
        <v>7360</v>
      </c>
      <c r="H1315" s="4" t="s">
        <v>7014</v>
      </c>
      <c r="I1315" s="5">
        <v>43628</v>
      </c>
      <c r="J1315" s="4" t="s">
        <v>4798</v>
      </c>
      <c r="K1315" s="4" t="s">
        <v>57</v>
      </c>
      <c r="L1315" s="4"/>
      <c r="M1315" s="4"/>
    </row>
    <row r="1316" ht="16" customHeight="1" s="4" customFormat="1">
      <c r="A1316" s="4">
        <v>828</v>
      </c>
      <c r="B1316" s="4" t="s">
        <v>5499</v>
      </c>
      <c r="C1316" s="4" t="s">
        <v>5590</v>
      </c>
      <c r="D1316" s="4"/>
      <c r="E1316" s="4" t="s">
        <v>5952</v>
      </c>
      <c r="F1316" s="4" t="s">
        <v>7468</v>
      </c>
      <c r="G1316" s="4" t="s">
        <v>7360</v>
      </c>
      <c r="H1316" s="4" t="s">
        <v>7014</v>
      </c>
      <c r="I1316" s="5">
        <v>43628</v>
      </c>
      <c r="J1316" s="4" t="s">
        <v>4798</v>
      </c>
      <c r="K1316" s="4" t="s">
        <v>57</v>
      </c>
      <c r="L1316" s="4"/>
      <c r="M1316" s="4"/>
    </row>
    <row r="1317" ht="16" customHeight="1" s="4" customFormat="1">
      <c r="A1317" s="4">
        <v>829</v>
      </c>
      <c r="B1317" s="4" t="s">
        <v>5499</v>
      </c>
      <c r="C1317" s="4" t="s">
        <v>5590</v>
      </c>
      <c r="D1317" s="4"/>
      <c r="E1317" s="4" t="s">
        <v>5952</v>
      </c>
      <c r="F1317" s="4" t="s">
        <v>7469</v>
      </c>
      <c r="G1317" s="4" t="s">
        <v>7360</v>
      </c>
      <c r="H1317" s="4" t="s">
        <v>7014</v>
      </c>
      <c r="I1317" s="5">
        <v>43628</v>
      </c>
      <c r="J1317" s="4" t="s">
        <v>5506</v>
      </c>
      <c r="K1317" s="4" t="s">
        <v>57</v>
      </c>
      <c r="L1317" s="4"/>
      <c r="M1317" s="4"/>
    </row>
    <row r="1318" ht="16" customHeight="1" s="4" customFormat="1">
      <c r="A1318" s="4">
        <v>830</v>
      </c>
      <c r="B1318" s="4" t="s">
        <v>5499</v>
      </c>
      <c r="C1318" s="4" t="s">
        <v>5590</v>
      </c>
      <c r="D1318" s="4"/>
      <c r="E1318" s="4" t="s">
        <v>5952</v>
      </c>
      <c r="F1318" s="4" t="s">
        <v>7470</v>
      </c>
      <c r="G1318" s="4" t="s">
        <v>7360</v>
      </c>
      <c r="H1318" s="4" t="s">
        <v>7014</v>
      </c>
      <c r="I1318" s="5">
        <v>43628</v>
      </c>
      <c r="J1318" s="4" t="s">
        <v>4798</v>
      </c>
      <c r="K1318" s="4" t="s">
        <v>57</v>
      </c>
      <c r="L1318" s="4"/>
      <c r="M1318" s="4"/>
    </row>
    <row r="1319" ht="16" customHeight="1" s="4" customFormat="1">
      <c r="A1319" s="4">
        <v>831</v>
      </c>
      <c r="B1319" s="4" t="s">
        <v>5499</v>
      </c>
      <c r="C1319" s="4" t="s">
        <v>5590</v>
      </c>
      <c r="D1319" s="4"/>
      <c r="E1319" s="4" t="s">
        <v>5952</v>
      </c>
      <c r="F1319" s="4" t="s">
        <v>7471</v>
      </c>
      <c r="G1319" s="4" t="s">
        <v>7014</v>
      </c>
      <c r="H1319" s="4" t="s">
        <v>7366</v>
      </c>
      <c r="I1319" s="5">
        <v>43628</v>
      </c>
      <c r="J1319" s="4" t="s">
        <v>4798</v>
      </c>
      <c r="K1319" s="4" t="s">
        <v>57</v>
      </c>
      <c r="L1319" s="4"/>
      <c r="M1319" s="4"/>
    </row>
    <row r="1320" ht="16" customHeight="1" s="4" customFormat="1">
      <c r="A1320" s="4">
        <v>832</v>
      </c>
      <c r="B1320" s="4" t="s">
        <v>5499</v>
      </c>
      <c r="C1320" s="4" t="s">
        <v>5590</v>
      </c>
      <c r="D1320" s="4"/>
      <c r="E1320" s="4" t="s">
        <v>5952</v>
      </c>
      <c r="F1320" s="4" t="s">
        <v>7472</v>
      </c>
      <c r="G1320" s="4" t="s">
        <v>7014</v>
      </c>
      <c r="H1320" s="4" t="s">
        <v>7366</v>
      </c>
      <c r="I1320" s="5">
        <v>43628</v>
      </c>
      <c r="J1320" s="4" t="s">
        <v>4798</v>
      </c>
      <c r="K1320" s="4" t="s">
        <v>57</v>
      </c>
      <c r="L1320" s="4"/>
      <c r="M1320" s="4"/>
    </row>
    <row r="1321" ht="16" customHeight="1" s="4" customFormat="1">
      <c r="A1321" s="4">
        <v>833</v>
      </c>
      <c r="B1321" s="4" t="s">
        <v>5499</v>
      </c>
      <c r="C1321" s="4" t="s">
        <v>5590</v>
      </c>
      <c r="D1321" s="4"/>
      <c r="E1321" s="4" t="s">
        <v>5952</v>
      </c>
      <c r="F1321" s="4" t="s">
        <v>7473</v>
      </c>
      <c r="G1321" s="4" t="s">
        <v>7375</v>
      </c>
      <c r="H1321" s="4" t="s">
        <v>7014</v>
      </c>
      <c r="I1321" s="5">
        <v>43628</v>
      </c>
      <c r="J1321" s="4" t="s">
        <v>4798</v>
      </c>
      <c r="K1321" s="4" t="s">
        <v>57</v>
      </c>
      <c r="L1321" s="4"/>
      <c r="M1321" s="4"/>
    </row>
    <row r="1322" ht="16" customHeight="1" s="4" customFormat="1">
      <c r="A1322" s="4">
        <v>834</v>
      </c>
      <c r="B1322" s="4" t="s">
        <v>5499</v>
      </c>
      <c r="C1322" s="4" t="s">
        <v>5590</v>
      </c>
      <c r="D1322" s="4"/>
      <c r="E1322" s="4" t="s">
        <v>5952</v>
      </c>
      <c r="F1322" s="4" t="s">
        <v>7474</v>
      </c>
      <c r="G1322" s="4" t="s">
        <v>7475</v>
      </c>
      <c r="H1322" s="4" t="s">
        <v>7014</v>
      </c>
      <c r="I1322" s="5">
        <v>43628</v>
      </c>
      <c r="J1322" s="4" t="s">
        <v>4798</v>
      </c>
      <c r="K1322" s="4" t="s">
        <v>57</v>
      </c>
      <c r="L1322" s="4"/>
      <c r="M1322" s="4"/>
    </row>
    <row r="1323" ht="16" customHeight="1" s="4" customFormat="1">
      <c r="A1323" s="4">
        <v>835</v>
      </c>
      <c r="B1323" s="4" t="s">
        <v>5499</v>
      </c>
      <c r="C1323" s="4" t="s">
        <v>5590</v>
      </c>
      <c r="D1323" s="4"/>
      <c r="E1323" s="4" t="s">
        <v>5952</v>
      </c>
      <c r="F1323" s="4" t="s">
        <v>7476</v>
      </c>
      <c r="G1323" s="4" t="s">
        <v>7475</v>
      </c>
      <c r="H1323" s="4" t="s">
        <v>7014</v>
      </c>
      <c r="I1323" s="5">
        <v>43628</v>
      </c>
      <c r="J1323" s="4" t="s">
        <v>4798</v>
      </c>
      <c r="K1323" s="4" t="s">
        <v>57</v>
      </c>
      <c r="L1323" s="4"/>
      <c r="M1323" s="4"/>
    </row>
    <row r="1324" ht="16" customHeight="1" s="4" customFormat="1">
      <c r="A1324" s="4">
        <v>836</v>
      </c>
      <c r="B1324" s="4" t="s">
        <v>5499</v>
      </c>
      <c r="C1324" s="4" t="s">
        <v>5590</v>
      </c>
      <c r="D1324" s="4"/>
      <c r="E1324" s="4" t="s">
        <v>5952</v>
      </c>
      <c r="F1324" s="4" t="s">
        <v>7477</v>
      </c>
      <c r="G1324" s="4" t="s">
        <v>7475</v>
      </c>
      <c r="H1324" s="4" t="s">
        <v>7014</v>
      </c>
      <c r="I1324" s="5">
        <v>43628</v>
      </c>
      <c r="J1324" s="4" t="s">
        <v>4798</v>
      </c>
      <c r="K1324" s="4" t="s">
        <v>57</v>
      </c>
      <c r="L1324" s="4"/>
      <c r="M1324" s="4"/>
    </row>
    <row r="1325" ht="16" customHeight="1" s="4" customFormat="1">
      <c r="A1325" s="4">
        <v>837</v>
      </c>
      <c r="B1325" s="4" t="s">
        <v>5499</v>
      </c>
      <c r="C1325" s="4" t="s">
        <v>5590</v>
      </c>
      <c r="D1325" s="4"/>
      <c r="E1325" s="4" t="s">
        <v>5952</v>
      </c>
      <c r="F1325" s="4" t="s">
        <v>7478</v>
      </c>
      <c r="G1325" s="4" t="s">
        <v>7375</v>
      </c>
      <c r="H1325" s="4" t="s">
        <v>7014</v>
      </c>
      <c r="I1325" s="5">
        <v>43628</v>
      </c>
      <c r="J1325" s="4" t="s">
        <v>4798</v>
      </c>
      <c r="K1325" s="4" t="s">
        <v>57</v>
      </c>
      <c r="L1325" s="4"/>
      <c r="M1325" s="4"/>
    </row>
    <row r="1326" ht="16" customHeight="1" s="4" customFormat="1">
      <c r="A1326" s="4">
        <v>838</v>
      </c>
      <c r="B1326" s="4" t="s">
        <v>5499</v>
      </c>
      <c r="C1326" s="4" t="s">
        <v>5590</v>
      </c>
      <c r="D1326" s="4"/>
      <c r="E1326" s="4" t="s">
        <v>5952</v>
      </c>
      <c r="F1326" s="4" t="s">
        <v>7479</v>
      </c>
      <c r="G1326" s="4" t="s">
        <v>7373</v>
      </c>
      <c r="H1326" s="4" t="s">
        <v>7014</v>
      </c>
      <c r="I1326" s="5">
        <v>43628</v>
      </c>
      <c r="J1326" s="4" t="s">
        <v>4798</v>
      </c>
      <c r="K1326" s="4" t="s">
        <v>57</v>
      </c>
      <c r="L1326" s="4"/>
      <c r="M1326" s="4"/>
    </row>
    <row r="1327" ht="16" customHeight="1" s="4" customFormat="1">
      <c r="A1327" s="4">
        <v>839</v>
      </c>
      <c r="B1327" s="4" t="s">
        <v>5499</v>
      </c>
      <c r="C1327" s="4" t="s">
        <v>5590</v>
      </c>
      <c r="D1327" s="4"/>
      <c r="E1327" s="4" t="s">
        <v>5952</v>
      </c>
      <c r="F1327" s="4" t="s">
        <v>7480</v>
      </c>
      <c r="G1327" s="4" t="s">
        <v>7375</v>
      </c>
      <c r="H1327" s="4" t="s">
        <v>7014</v>
      </c>
      <c r="I1327" s="5">
        <v>43628</v>
      </c>
      <c r="J1327" s="4" t="s">
        <v>4798</v>
      </c>
      <c r="K1327" s="4" t="s">
        <v>57</v>
      </c>
      <c r="L1327" s="4"/>
      <c r="M1327" s="4"/>
    </row>
    <row r="1328" ht="16" customHeight="1" s="4" customFormat="1">
      <c r="A1328" s="4">
        <v>840</v>
      </c>
      <c r="B1328" s="4" t="s">
        <v>5499</v>
      </c>
      <c r="C1328" s="4" t="s">
        <v>5590</v>
      </c>
      <c r="D1328" s="4"/>
      <c r="E1328" s="4" t="s">
        <v>5952</v>
      </c>
      <c r="F1328" s="4" t="s">
        <v>7481</v>
      </c>
      <c r="G1328" s="4" t="s">
        <v>7375</v>
      </c>
      <c r="H1328" s="4" t="s">
        <v>7014</v>
      </c>
      <c r="I1328" s="5">
        <v>43628</v>
      </c>
      <c r="J1328" s="4" t="s">
        <v>4798</v>
      </c>
      <c r="K1328" s="4" t="s">
        <v>57</v>
      </c>
      <c r="L1328" s="4"/>
      <c r="M1328" s="4"/>
    </row>
    <row r="1329" ht="16" customHeight="1" s="4" customFormat="1">
      <c r="A1329" s="4">
        <v>841</v>
      </c>
      <c r="B1329" s="4" t="s">
        <v>5499</v>
      </c>
      <c r="C1329" s="4" t="s">
        <v>5590</v>
      </c>
      <c r="D1329" s="4"/>
      <c r="E1329" s="4" t="s">
        <v>5952</v>
      </c>
      <c r="F1329" s="4" t="s">
        <v>7482</v>
      </c>
      <c r="G1329" s="4" t="s">
        <v>7382</v>
      </c>
      <c r="H1329" s="4" t="s">
        <v>7014</v>
      </c>
      <c r="I1329" s="5">
        <v>43628</v>
      </c>
      <c r="J1329" s="4" t="s">
        <v>4798</v>
      </c>
      <c r="K1329" s="4" t="s">
        <v>57</v>
      </c>
      <c r="L1329" s="4"/>
      <c r="M1329" s="4"/>
    </row>
    <row r="1330" ht="16" customHeight="1" s="4" customFormat="1">
      <c r="A1330" s="4">
        <v>842</v>
      </c>
      <c r="B1330" s="4" t="s">
        <v>5499</v>
      </c>
      <c r="C1330" s="4" t="s">
        <v>5590</v>
      </c>
      <c r="D1330" s="4"/>
      <c r="E1330" s="4" t="s">
        <v>5952</v>
      </c>
      <c r="F1330" s="4" t="s">
        <v>7483</v>
      </c>
      <c r="G1330" s="4" t="s">
        <v>7382</v>
      </c>
      <c r="H1330" s="4" t="s">
        <v>7014</v>
      </c>
      <c r="I1330" s="5">
        <v>43628</v>
      </c>
      <c r="J1330" s="4" t="s">
        <v>4798</v>
      </c>
      <c r="K1330" s="4" t="s">
        <v>57</v>
      </c>
      <c r="L1330" s="4"/>
      <c r="M1330" s="4"/>
    </row>
    <row r="1331" ht="16" customHeight="1" s="4" customFormat="1">
      <c r="A1331" s="4">
        <v>843</v>
      </c>
      <c r="B1331" s="4" t="s">
        <v>5499</v>
      </c>
      <c r="C1331" s="4" t="s">
        <v>5590</v>
      </c>
      <c r="D1331" s="4"/>
      <c r="E1331" s="4" t="s">
        <v>5952</v>
      </c>
      <c r="F1331" s="4" t="s">
        <v>7484</v>
      </c>
      <c r="G1331" s="4" t="s">
        <v>7389</v>
      </c>
      <c r="H1331" s="4" t="s">
        <v>7014</v>
      </c>
      <c r="I1331" s="5">
        <v>43628</v>
      </c>
      <c r="J1331" s="4" t="s">
        <v>4798</v>
      </c>
      <c r="K1331" s="4" t="s">
        <v>57</v>
      </c>
      <c r="L1331" s="4"/>
      <c r="M1331" s="4"/>
    </row>
    <row r="1332" ht="16" customHeight="1" s="4" customFormat="1">
      <c r="A1332" s="4">
        <v>844</v>
      </c>
      <c r="B1332" s="4" t="s">
        <v>5499</v>
      </c>
      <c r="C1332" s="4" t="s">
        <v>5590</v>
      </c>
      <c r="D1332" s="4"/>
      <c r="E1332" s="4" t="s">
        <v>5952</v>
      </c>
      <c r="F1332" s="4" t="s">
        <v>7485</v>
      </c>
      <c r="G1332" s="4" t="s">
        <v>7427</v>
      </c>
      <c r="H1332" s="4" t="s">
        <v>7014</v>
      </c>
      <c r="I1332" s="5">
        <v>43628</v>
      </c>
      <c r="J1332" s="4" t="s">
        <v>4798</v>
      </c>
      <c r="K1332" s="4" t="s">
        <v>57</v>
      </c>
      <c r="L1332" s="4"/>
      <c r="M1332" s="4"/>
    </row>
    <row r="1333" ht="16" customHeight="1" s="4" customFormat="1">
      <c r="A1333" s="4">
        <v>845</v>
      </c>
      <c r="B1333" s="4" t="s">
        <v>5499</v>
      </c>
      <c r="C1333" s="4" t="s">
        <v>5590</v>
      </c>
      <c r="D1333" s="4"/>
      <c r="E1333" s="4" t="s">
        <v>5952</v>
      </c>
      <c r="F1333" s="4" t="s">
        <v>7486</v>
      </c>
      <c r="G1333" s="4" t="s">
        <v>7401</v>
      </c>
      <c r="H1333" s="4" t="s">
        <v>7014</v>
      </c>
      <c r="I1333" s="5">
        <v>43628</v>
      </c>
      <c r="J1333" s="4" t="s">
        <v>4798</v>
      </c>
      <c r="K1333" s="4" t="s">
        <v>57</v>
      </c>
      <c r="L1333" s="4"/>
      <c r="M1333" s="4"/>
    </row>
    <row r="1334" ht="16" customHeight="1" s="4" customFormat="1">
      <c r="A1334" s="4">
        <v>846</v>
      </c>
      <c r="B1334" s="4" t="s">
        <v>5499</v>
      </c>
      <c r="C1334" s="4" t="s">
        <v>5590</v>
      </c>
      <c r="D1334" s="4"/>
      <c r="E1334" s="4" t="s">
        <v>5952</v>
      </c>
      <c r="F1334" s="4" t="s">
        <v>7487</v>
      </c>
      <c r="G1334" s="4" t="s">
        <v>7397</v>
      </c>
      <c r="H1334" s="4" t="s">
        <v>7014</v>
      </c>
      <c r="I1334" s="5">
        <v>43628</v>
      </c>
      <c r="J1334" s="4" t="s">
        <v>4798</v>
      </c>
      <c r="K1334" s="4" t="s">
        <v>57</v>
      </c>
      <c r="L1334" s="4"/>
      <c r="M1334" s="4"/>
    </row>
    <row r="1335" ht="16" customHeight="1" s="4" customFormat="1">
      <c r="A1335" s="4">
        <v>847</v>
      </c>
      <c r="B1335" s="4" t="s">
        <v>5499</v>
      </c>
      <c r="C1335" s="4" t="s">
        <v>5590</v>
      </c>
      <c r="D1335" s="4"/>
      <c r="E1335" s="4" t="s">
        <v>5952</v>
      </c>
      <c r="F1335" s="4" t="s">
        <v>7488</v>
      </c>
      <c r="G1335" s="4" t="s">
        <v>7386</v>
      </c>
      <c r="H1335" s="4" t="s">
        <v>7014</v>
      </c>
      <c r="I1335" s="5">
        <v>43628</v>
      </c>
      <c r="J1335" s="4" t="s">
        <v>4798</v>
      </c>
      <c r="K1335" s="4" t="s">
        <v>57</v>
      </c>
      <c r="L1335" s="4"/>
      <c r="M1335" s="4"/>
    </row>
    <row r="1336" ht="16" customHeight="1" s="4" customFormat="1">
      <c r="A1336" s="4">
        <v>848</v>
      </c>
      <c r="B1336" s="4" t="s">
        <v>5499</v>
      </c>
      <c r="C1336" s="4" t="s">
        <v>5590</v>
      </c>
      <c r="D1336" s="4"/>
      <c r="E1336" s="4" t="s">
        <v>5952</v>
      </c>
      <c r="F1336" s="4" t="s">
        <v>7489</v>
      </c>
      <c r="G1336" s="4" t="s">
        <v>7389</v>
      </c>
      <c r="H1336" s="4" t="s">
        <v>7014</v>
      </c>
      <c r="I1336" s="5">
        <v>43628</v>
      </c>
      <c r="J1336" s="4" t="s">
        <v>4798</v>
      </c>
      <c r="K1336" s="4" t="s">
        <v>57</v>
      </c>
      <c r="L1336" s="4"/>
      <c r="M1336" s="4"/>
    </row>
    <row r="1337" ht="16" customHeight="1" s="4" customFormat="1">
      <c r="A1337" s="4">
        <v>849</v>
      </c>
      <c r="B1337" s="4" t="s">
        <v>5499</v>
      </c>
      <c r="C1337" s="4" t="s">
        <v>5590</v>
      </c>
      <c r="D1337" s="4"/>
      <c r="E1337" s="4" t="s">
        <v>5952</v>
      </c>
      <c r="F1337" s="4" t="s">
        <v>7490</v>
      </c>
      <c r="G1337" s="4" t="s">
        <v>7391</v>
      </c>
      <c r="H1337" s="4" t="s">
        <v>7014</v>
      </c>
      <c r="I1337" s="5">
        <v>43628</v>
      </c>
      <c r="J1337" s="4" t="s">
        <v>4798</v>
      </c>
      <c r="K1337" s="4" t="s">
        <v>57</v>
      </c>
      <c r="L1337" s="4"/>
      <c r="M1337" s="4"/>
    </row>
    <row r="1338" ht="16" customHeight="1" s="4" customFormat="1">
      <c r="A1338" s="4">
        <v>850</v>
      </c>
      <c r="B1338" s="4" t="s">
        <v>5499</v>
      </c>
      <c r="C1338" s="4" t="s">
        <v>5590</v>
      </c>
      <c r="D1338" s="4"/>
      <c r="E1338" s="4" t="s">
        <v>5952</v>
      </c>
      <c r="F1338" s="4" t="s">
        <v>7491</v>
      </c>
      <c r="G1338" s="4" t="s">
        <v>7427</v>
      </c>
      <c r="H1338" s="4" t="s">
        <v>7014</v>
      </c>
      <c r="I1338" s="5">
        <v>43628</v>
      </c>
      <c r="J1338" s="4" t="s">
        <v>4798</v>
      </c>
      <c r="K1338" s="4" t="s">
        <v>57</v>
      </c>
      <c r="L1338" s="4"/>
      <c r="M1338" s="4"/>
    </row>
    <row r="1339" ht="16" customHeight="1" s="4" customFormat="1">
      <c r="A1339" s="4">
        <v>851</v>
      </c>
      <c r="B1339" s="4" t="s">
        <v>5499</v>
      </c>
      <c r="C1339" s="4" t="s">
        <v>5590</v>
      </c>
      <c r="D1339" s="4"/>
      <c r="E1339" s="4" t="s">
        <v>5952</v>
      </c>
      <c r="F1339" s="4" t="s">
        <v>7492</v>
      </c>
      <c r="G1339" s="4" t="s">
        <v>7401</v>
      </c>
      <c r="H1339" s="4" t="s">
        <v>7014</v>
      </c>
      <c r="I1339" s="5">
        <v>43628</v>
      </c>
      <c r="J1339" s="4" t="s">
        <v>4798</v>
      </c>
      <c r="K1339" s="4" t="s">
        <v>57</v>
      </c>
      <c r="L1339" s="4"/>
      <c r="M1339" s="4"/>
    </row>
    <row r="1340" ht="16" customHeight="1" s="4" customFormat="1">
      <c r="A1340" s="4">
        <v>852</v>
      </c>
      <c r="B1340" s="4" t="s">
        <v>5499</v>
      </c>
      <c r="C1340" s="4" t="s">
        <v>5590</v>
      </c>
      <c r="D1340" s="4"/>
      <c r="E1340" s="4" t="s">
        <v>5952</v>
      </c>
      <c r="F1340" s="4" t="s">
        <v>7493</v>
      </c>
      <c r="G1340" s="4" t="s">
        <v>7427</v>
      </c>
      <c r="H1340" s="4" t="s">
        <v>7014</v>
      </c>
      <c r="I1340" s="5">
        <v>43628</v>
      </c>
      <c r="J1340" s="4" t="s">
        <v>4798</v>
      </c>
      <c r="K1340" s="4" t="s">
        <v>57</v>
      </c>
      <c r="L1340" s="4"/>
      <c r="M1340" s="4"/>
    </row>
    <row r="1341" ht="16" customHeight="1" s="4" customFormat="1">
      <c r="A1341" s="4">
        <v>853</v>
      </c>
      <c r="B1341" s="4" t="s">
        <v>5499</v>
      </c>
      <c r="C1341" s="4" t="s">
        <v>5590</v>
      </c>
      <c r="D1341" s="4"/>
      <c r="E1341" s="4" t="s">
        <v>5952</v>
      </c>
      <c r="F1341" s="4" t="s">
        <v>7494</v>
      </c>
      <c r="G1341" s="4" t="s">
        <v>7386</v>
      </c>
      <c r="H1341" s="4" t="s">
        <v>7014</v>
      </c>
      <c r="I1341" s="5">
        <v>43628</v>
      </c>
      <c r="J1341" s="4" t="s">
        <v>4798</v>
      </c>
      <c r="K1341" s="4" t="s">
        <v>57</v>
      </c>
      <c r="L1341" s="4"/>
      <c r="M1341" s="4"/>
    </row>
    <row r="1342" ht="16" customHeight="1" s="4" customFormat="1">
      <c r="A1342" s="4">
        <v>854</v>
      </c>
      <c r="B1342" s="4" t="s">
        <v>5499</v>
      </c>
      <c r="C1342" s="4" t="s">
        <v>5590</v>
      </c>
      <c r="D1342" s="4"/>
      <c r="E1342" s="4" t="s">
        <v>5952</v>
      </c>
      <c r="F1342" s="4" t="s">
        <v>7495</v>
      </c>
      <c r="G1342" s="4" t="s">
        <v>7391</v>
      </c>
      <c r="H1342" s="4" t="s">
        <v>7014</v>
      </c>
      <c r="I1342" s="5">
        <v>43628</v>
      </c>
      <c r="J1342" s="4" t="s">
        <v>4798</v>
      </c>
      <c r="K1342" s="4" t="s">
        <v>57</v>
      </c>
      <c r="L1342" s="4"/>
      <c r="M1342" s="4"/>
    </row>
    <row r="1343" ht="16" customHeight="1" s="4" customFormat="1">
      <c r="A1343" s="4">
        <v>855</v>
      </c>
      <c r="B1343" s="4" t="s">
        <v>5499</v>
      </c>
      <c r="C1343" s="4" t="s">
        <v>5590</v>
      </c>
      <c r="D1343" s="4"/>
      <c r="E1343" s="4" t="s">
        <v>5952</v>
      </c>
      <c r="F1343" s="4" t="s">
        <v>7496</v>
      </c>
      <c r="G1343" s="4" t="s">
        <v>7393</v>
      </c>
      <c r="H1343" s="4" t="s">
        <v>7014</v>
      </c>
      <c r="I1343" s="5">
        <v>43628</v>
      </c>
      <c r="J1343" s="4" t="s">
        <v>4798</v>
      </c>
      <c r="K1343" s="4" t="s">
        <v>57</v>
      </c>
      <c r="L1343" s="4"/>
      <c r="M1343" s="4"/>
    </row>
    <row r="1344" ht="16" customHeight="1" s="4" customFormat="1">
      <c r="A1344" s="4">
        <v>856</v>
      </c>
      <c r="B1344" s="4" t="s">
        <v>5499</v>
      </c>
      <c r="C1344" s="4" t="s">
        <v>5590</v>
      </c>
      <c r="D1344" s="4"/>
      <c r="E1344" s="4" t="s">
        <v>5952</v>
      </c>
      <c r="F1344" s="4" t="s">
        <v>7497</v>
      </c>
      <c r="G1344" s="4" t="s">
        <v>7427</v>
      </c>
      <c r="H1344" s="4" t="s">
        <v>7014</v>
      </c>
      <c r="I1344" s="5">
        <v>43628</v>
      </c>
      <c r="J1344" s="4" t="s">
        <v>4798</v>
      </c>
      <c r="K1344" s="4" t="s">
        <v>57</v>
      </c>
      <c r="L1344" s="4"/>
      <c r="M1344" s="4"/>
    </row>
    <row r="1345" ht="16" customHeight="1" s="4" customFormat="1">
      <c r="A1345" s="4">
        <v>857</v>
      </c>
      <c r="B1345" s="4" t="s">
        <v>5499</v>
      </c>
      <c r="C1345" s="4" t="s">
        <v>5590</v>
      </c>
      <c r="D1345" s="4"/>
      <c r="E1345" s="4" t="s">
        <v>5952</v>
      </c>
      <c r="F1345" s="4" t="s">
        <v>7498</v>
      </c>
      <c r="G1345" s="4" t="s">
        <v>7386</v>
      </c>
      <c r="H1345" s="4" t="s">
        <v>7014</v>
      </c>
      <c r="I1345" s="5">
        <v>43628</v>
      </c>
      <c r="J1345" s="4" t="s">
        <v>4798</v>
      </c>
      <c r="K1345" s="4" t="s">
        <v>57</v>
      </c>
      <c r="L1345" s="4"/>
      <c r="M1345" s="4"/>
    </row>
    <row r="1346" ht="16" customHeight="1" s="4" customFormat="1">
      <c r="A1346" s="4">
        <v>858</v>
      </c>
      <c r="B1346" s="4" t="s">
        <v>5499</v>
      </c>
      <c r="C1346" s="4" t="s">
        <v>5590</v>
      </c>
      <c r="D1346" s="4"/>
      <c r="E1346" s="4" t="s">
        <v>5952</v>
      </c>
      <c r="F1346" s="4" t="s">
        <v>7499</v>
      </c>
      <c r="G1346" s="4" t="s">
        <v>7391</v>
      </c>
      <c r="H1346" s="4" t="s">
        <v>7014</v>
      </c>
      <c r="I1346" s="5">
        <v>43628</v>
      </c>
      <c r="J1346" s="4" t="s">
        <v>4798</v>
      </c>
      <c r="K1346" s="4" t="s">
        <v>57</v>
      </c>
      <c r="L1346" s="4"/>
      <c r="M1346" s="4"/>
    </row>
    <row r="1347" ht="16" customHeight="1" s="4" customFormat="1">
      <c r="A1347" s="4">
        <v>859</v>
      </c>
      <c r="B1347" s="4" t="s">
        <v>5499</v>
      </c>
      <c r="C1347" s="4" t="s">
        <v>5590</v>
      </c>
      <c r="D1347" s="4"/>
      <c r="E1347" s="4" t="s">
        <v>5952</v>
      </c>
      <c r="F1347" s="4" t="s">
        <v>7500</v>
      </c>
      <c r="G1347" s="4" t="s">
        <v>7393</v>
      </c>
      <c r="H1347" s="4" t="s">
        <v>7014</v>
      </c>
      <c r="I1347" s="5">
        <v>43628</v>
      </c>
      <c r="J1347" s="4" t="s">
        <v>4798</v>
      </c>
      <c r="K1347" s="4" t="s">
        <v>57</v>
      </c>
      <c r="L1347" s="4"/>
      <c r="M1347" s="4"/>
    </row>
    <row r="1348" ht="16" customHeight="1" s="4" customFormat="1">
      <c r="A1348" s="4">
        <v>860</v>
      </c>
      <c r="B1348" s="4" t="s">
        <v>5499</v>
      </c>
      <c r="C1348" s="4" t="s">
        <v>5590</v>
      </c>
      <c r="D1348" s="4"/>
      <c r="E1348" s="4" t="s">
        <v>5952</v>
      </c>
      <c r="F1348" s="4" t="s">
        <v>7501</v>
      </c>
      <c r="G1348" s="4" t="s">
        <v>7427</v>
      </c>
      <c r="H1348" s="4" t="s">
        <v>7014</v>
      </c>
      <c r="I1348" s="5">
        <v>43628</v>
      </c>
      <c r="J1348" s="4" t="s">
        <v>4798</v>
      </c>
      <c r="K1348" s="4" t="s">
        <v>57</v>
      </c>
      <c r="L1348" s="4"/>
      <c r="M1348" s="4"/>
    </row>
    <row r="1349" ht="16" customHeight="1" s="4" customFormat="1">
      <c r="A1349" s="4">
        <v>861</v>
      </c>
      <c r="B1349" s="4" t="s">
        <v>5499</v>
      </c>
      <c r="C1349" s="4" t="s">
        <v>5590</v>
      </c>
      <c r="D1349" s="4"/>
      <c r="E1349" s="4" t="s">
        <v>5952</v>
      </c>
      <c r="F1349" s="4" t="s">
        <v>7502</v>
      </c>
      <c r="G1349" s="4" t="s">
        <v>7386</v>
      </c>
      <c r="H1349" s="4" t="s">
        <v>7014</v>
      </c>
      <c r="I1349" s="5">
        <v>43628</v>
      </c>
      <c r="J1349" s="4" t="s">
        <v>4798</v>
      </c>
      <c r="K1349" s="4" t="s">
        <v>57</v>
      </c>
      <c r="L1349" s="4"/>
      <c r="M1349" s="4"/>
    </row>
    <row r="1350" ht="16" customHeight="1" s="4" customFormat="1">
      <c r="A1350" s="4">
        <v>862</v>
      </c>
      <c r="B1350" s="4" t="s">
        <v>5499</v>
      </c>
      <c r="C1350" s="4" t="s">
        <v>5590</v>
      </c>
      <c r="D1350" s="4"/>
      <c r="E1350" s="4" t="s">
        <v>5952</v>
      </c>
      <c r="F1350" s="4" t="s">
        <v>7503</v>
      </c>
      <c r="G1350" s="4" t="s">
        <v>7386</v>
      </c>
      <c r="H1350" s="4" t="s">
        <v>7014</v>
      </c>
      <c r="I1350" s="5">
        <v>43628</v>
      </c>
      <c r="J1350" s="4" t="s">
        <v>4798</v>
      </c>
      <c r="K1350" s="4" t="s">
        <v>57</v>
      </c>
      <c r="L1350" s="4"/>
      <c r="M1350" s="4"/>
    </row>
    <row r="1351" ht="16" customHeight="1" s="4" customFormat="1">
      <c r="A1351" s="4">
        <v>863</v>
      </c>
      <c r="B1351" s="4" t="s">
        <v>5499</v>
      </c>
      <c r="C1351" s="4" t="s">
        <v>5590</v>
      </c>
      <c r="D1351" s="4"/>
      <c r="E1351" s="4" t="s">
        <v>5952</v>
      </c>
      <c r="F1351" s="4" t="s">
        <v>7504</v>
      </c>
      <c r="G1351" s="4" t="s">
        <v>7397</v>
      </c>
      <c r="H1351" s="4" t="s">
        <v>7014</v>
      </c>
      <c r="I1351" s="5">
        <v>43628</v>
      </c>
      <c r="J1351" s="4" t="s">
        <v>4798</v>
      </c>
      <c r="K1351" s="4" t="s">
        <v>57</v>
      </c>
      <c r="L1351" s="4"/>
      <c r="M1351" s="4"/>
    </row>
    <row r="1352" ht="16" customHeight="1" s="4" customFormat="1">
      <c r="A1352" s="4">
        <v>864</v>
      </c>
      <c r="B1352" s="4" t="s">
        <v>5499</v>
      </c>
      <c r="C1352" s="4" t="s">
        <v>5590</v>
      </c>
      <c r="D1352" s="4"/>
      <c r="E1352" s="4" t="s">
        <v>5952</v>
      </c>
      <c r="F1352" s="4" t="s">
        <v>7505</v>
      </c>
      <c r="G1352" s="4" t="s">
        <v>7427</v>
      </c>
      <c r="H1352" s="4" t="s">
        <v>7014</v>
      </c>
      <c r="I1352" s="5">
        <v>43628</v>
      </c>
      <c r="J1352" s="4" t="s">
        <v>5506</v>
      </c>
      <c r="K1352" s="4" t="s">
        <v>57</v>
      </c>
      <c r="L1352" s="4"/>
      <c r="M1352" s="4"/>
    </row>
    <row r="1353" ht="16" customHeight="1" s="4" customFormat="1">
      <c r="A1353" s="4">
        <v>865</v>
      </c>
      <c r="B1353" s="4" t="s">
        <v>5499</v>
      </c>
      <c r="C1353" s="4" t="s">
        <v>5590</v>
      </c>
      <c r="D1353" s="4"/>
      <c r="E1353" s="4" t="s">
        <v>5952</v>
      </c>
      <c r="F1353" s="4" t="s">
        <v>7506</v>
      </c>
      <c r="G1353" s="4" t="s">
        <v>7391</v>
      </c>
      <c r="H1353" s="4" t="s">
        <v>7014</v>
      </c>
      <c r="I1353" s="5">
        <v>43628</v>
      </c>
      <c r="J1353" s="4" t="s">
        <v>4798</v>
      </c>
      <c r="K1353" s="4" t="s">
        <v>57</v>
      </c>
      <c r="L1353" s="4"/>
      <c r="M1353" s="4"/>
    </row>
    <row r="1354" ht="16" customHeight="1" s="4" customFormat="1">
      <c r="A1354" s="4">
        <v>866</v>
      </c>
      <c r="B1354" s="4" t="s">
        <v>5499</v>
      </c>
      <c r="C1354" s="4" t="s">
        <v>5590</v>
      </c>
      <c r="D1354" s="4"/>
      <c r="E1354" s="4" t="s">
        <v>5952</v>
      </c>
      <c r="F1354" s="4" t="s">
        <v>7507</v>
      </c>
      <c r="G1354" s="4" t="s">
        <v>7393</v>
      </c>
      <c r="H1354" s="4" t="s">
        <v>7014</v>
      </c>
      <c r="I1354" s="5">
        <v>43628</v>
      </c>
      <c r="J1354" s="4" t="s">
        <v>4798</v>
      </c>
      <c r="K1354" s="4" t="s">
        <v>57</v>
      </c>
      <c r="L1354" s="4"/>
      <c r="M1354" s="4"/>
    </row>
    <row r="1355" ht="16" customHeight="1" s="4" customFormat="1">
      <c r="A1355" s="4">
        <v>867</v>
      </c>
      <c r="B1355" s="4" t="s">
        <v>5499</v>
      </c>
      <c r="C1355" s="4" t="s">
        <v>5590</v>
      </c>
      <c r="D1355" s="4"/>
      <c r="E1355" s="4" t="s">
        <v>5952</v>
      </c>
      <c r="F1355" s="4" t="s">
        <v>7508</v>
      </c>
      <c r="G1355" s="4" t="s">
        <v>7395</v>
      </c>
      <c r="H1355" s="4" t="s">
        <v>7014</v>
      </c>
      <c r="I1355" s="5">
        <v>43628</v>
      </c>
      <c r="J1355" s="4" t="s">
        <v>4798</v>
      </c>
      <c r="K1355" s="4" t="s">
        <v>57</v>
      </c>
      <c r="L1355" s="4"/>
      <c r="M1355" s="4"/>
    </row>
    <row r="1356" ht="16" customHeight="1" s="4" customFormat="1">
      <c r="A1356" s="4">
        <v>868</v>
      </c>
      <c r="B1356" s="4" t="s">
        <v>5499</v>
      </c>
      <c r="C1356" s="4" t="s">
        <v>5590</v>
      </c>
      <c r="D1356" s="4"/>
      <c r="E1356" s="4" t="s">
        <v>5952</v>
      </c>
      <c r="F1356" s="4" t="s">
        <v>7509</v>
      </c>
      <c r="G1356" s="4" t="s">
        <v>7427</v>
      </c>
      <c r="H1356" s="4" t="s">
        <v>7014</v>
      </c>
      <c r="I1356" s="5">
        <v>43628</v>
      </c>
      <c r="J1356" s="4" t="s">
        <v>4798</v>
      </c>
      <c r="K1356" s="4" t="s">
        <v>57</v>
      </c>
      <c r="L1356" s="4"/>
      <c r="M1356" s="4"/>
    </row>
    <row r="1357" ht="16" customHeight="1" s="4" customFormat="1">
      <c r="A1357" s="4">
        <v>869</v>
      </c>
      <c r="B1357" s="4" t="s">
        <v>5499</v>
      </c>
      <c r="C1357" s="4" t="s">
        <v>5590</v>
      </c>
      <c r="D1357" s="4"/>
      <c r="E1357" s="4" t="s">
        <v>5952</v>
      </c>
      <c r="F1357" s="4" t="s">
        <v>7510</v>
      </c>
      <c r="G1357" s="4" t="s">
        <v>7401</v>
      </c>
      <c r="H1357" s="4" t="s">
        <v>7014</v>
      </c>
      <c r="I1357" s="5">
        <v>43628</v>
      </c>
      <c r="J1357" s="4" t="s">
        <v>4798</v>
      </c>
      <c r="K1357" s="4" t="s">
        <v>57</v>
      </c>
      <c r="L1357" s="4"/>
      <c r="M1357" s="4"/>
    </row>
    <row r="1358" ht="16" customHeight="1" s="4" customFormat="1">
      <c r="A1358" s="4">
        <v>870</v>
      </c>
      <c r="B1358" s="4" t="s">
        <v>5499</v>
      </c>
      <c r="C1358" s="4" t="s">
        <v>5590</v>
      </c>
      <c r="D1358" s="4"/>
      <c r="E1358" s="4" t="s">
        <v>5952</v>
      </c>
      <c r="F1358" s="4" t="s">
        <v>7511</v>
      </c>
      <c r="G1358" s="4" t="s">
        <v>7393</v>
      </c>
      <c r="H1358" s="4" t="s">
        <v>7014</v>
      </c>
      <c r="I1358" s="5">
        <v>43628</v>
      </c>
      <c r="J1358" s="4" t="s">
        <v>5506</v>
      </c>
      <c r="K1358" s="4" t="s">
        <v>57</v>
      </c>
      <c r="L1358" s="4"/>
      <c r="M1358" s="4"/>
    </row>
    <row r="1359" ht="16" customHeight="1" s="4" customFormat="1">
      <c r="A1359" s="4">
        <v>871</v>
      </c>
      <c r="B1359" s="4" t="s">
        <v>5499</v>
      </c>
      <c r="C1359" s="4" t="s">
        <v>5590</v>
      </c>
      <c r="D1359" s="4"/>
      <c r="E1359" s="4" t="s">
        <v>5952</v>
      </c>
      <c r="F1359" s="4" t="s">
        <v>7512</v>
      </c>
      <c r="G1359" s="4" t="s">
        <v>7427</v>
      </c>
      <c r="H1359" s="4" t="s">
        <v>7014</v>
      </c>
      <c r="I1359" s="5">
        <v>43628</v>
      </c>
      <c r="J1359" s="4" t="s">
        <v>4798</v>
      </c>
      <c r="K1359" s="4" t="s">
        <v>57</v>
      </c>
      <c r="L1359" s="4"/>
      <c r="M1359" s="4"/>
    </row>
    <row r="1360" ht="16" customHeight="1" s="4" customFormat="1">
      <c r="A1360" s="4">
        <v>872</v>
      </c>
      <c r="B1360" s="4" t="s">
        <v>5499</v>
      </c>
      <c r="C1360" s="4" t="s">
        <v>5590</v>
      </c>
      <c r="D1360" s="4"/>
      <c r="E1360" s="4" t="s">
        <v>5952</v>
      </c>
      <c r="F1360" s="4" t="s">
        <v>7513</v>
      </c>
      <c r="G1360" s="4" t="s">
        <v>7386</v>
      </c>
      <c r="H1360" s="4" t="s">
        <v>7014</v>
      </c>
      <c r="I1360" s="5">
        <v>43628</v>
      </c>
      <c r="J1360" s="4" t="s">
        <v>4798</v>
      </c>
      <c r="K1360" s="4" t="s">
        <v>57</v>
      </c>
      <c r="L1360" s="4"/>
      <c r="M1360" s="4"/>
    </row>
    <row r="1361" ht="16" customHeight="1" s="4" customFormat="1">
      <c r="A1361" s="4">
        <v>873</v>
      </c>
      <c r="B1361" s="4" t="s">
        <v>5499</v>
      </c>
      <c r="C1361" s="4" t="s">
        <v>5590</v>
      </c>
      <c r="D1361" s="4"/>
      <c r="E1361" s="4" t="s">
        <v>5952</v>
      </c>
      <c r="F1361" s="4" t="s">
        <v>7514</v>
      </c>
      <c r="G1361" s="4" t="s">
        <v>7389</v>
      </c>
      <c r="H1361" s="4" t="s">
        <v>7014</v>
      </c>
      <c r="I1361" s="5">
        <v>43628</v>
      </c>
      <c r="J1361" s="4" t="s">
        <v>4798</v>
      </c>
      <c r="K1361" s="4" t="s">
        <v>57</v>
      </c>
      <c r="L1361" s="4"/>
      <c r="M1361" s="4"/>
    </row>
    <row r="1362" ht="16" customHeight="1" s="4" customFormat="1">
      <c r="A1362" s="4">
        <v>874</v>
      </c>
      <c r="B1362" s="4" t="s">
        <v>5499</v>
      </c>
      <c r="C1362" s="4" t="s">
        <v>5590</v>
      </c>
      <c r="D1362" s="4"/>
      <c r="E1362" s="4" t="s">
        <v>5952</v>
      </c>
      <c r="F1362" s="4" t="s">
        <v>7515</v>
      </c>
      <c r="G1362" s="4" t="s">
        <v>7397</v>
      </c>
      <c r="H1362" s="4" t="s">
        <v>7014</v>
      </c>
      <c r="I1362" s="5">
        <v>43628</v>
      </c>
      <c r="J1362" s="4" t="s">
        <v>4798</v>
      </c>
      <c r="K1362" s="4" t="s">
        <v>57</v>
      </c>
      <c r="L1362" s="4"/>
      <c r="M1362" s="4"/>
    </row>
    <row r="1363" ht="16" customHeight="1" s="4" customFormat="1">
      <c r="A1363" s="4">
        <v>875</v>
      </c>
      <c r="B1363" s="4" t="s">
        <v>5499</v>
      </c>
      <c r="C1363" s="4" t="s">
        <v>5590</v>
      </c>
      <c r="D1363" s="4"/>
      <c r="E1363" s="4" t="s">
        <v>5952</v>
      </c>
      <c r="F1363" s="4" t="s">
        <v>7516</v>
      </c>
      <c r="G1363" s="4" t="s">
        <v>7393</v>
      </c>
      <c r="H1363" s="4" t="s">
        <v>7014</v>
      </c>
      <c r="I1363" s="5">
        <v>43628</v>
      </c>
      <c r="J1363" s="4" t="s">
        <v>4798</v>
      </c>
      <c r="K1363" s="4" t="s">
        <v>57</v>
      </c>
      <c r="L1363" s="4"/>
      <c r="M1363" s="4"/>
    </row>
    <row r="1364" ht="16" customHeight="1" s="4" customFormat="1">
      <c r="A1364" s="4">
        <v>876</v>
      </c>
      <c r="B1364" s="4" t="s">
        <v>5499</v>
      </c>
      <c r="C1364" s="4" t="s">
        <v>5590</v>
      </c>
      <c r="D1364" s="4"/>
      <c r="E1364" s="4" t="s">
        <v>5952</v>
      </c>
      <c r="F1364" s="4" t="s">
        <v>7517</v>
      </c>
      <c r="G1364" s="4" t="s">
        <v>7395</v>
      </c>
      <c r="H1364" s="4" t="s">
        <v>7014</v>
      </c>
      <c r="I1364" s="5">
        <v>43628</v>
      </c>
      <c r="J1364" s="4" t="s">
        <v>4798</v>
      </c>
      <c r="K1364" s="4" t="s">
        <v>57</v>
      </c>
      <c r="L1364" s="4"/>
      <c r="M1364" s="4"/>
    </row>
    <row r="1365" ht="16" customHeight="1" s="4" customFormat="1">
      <c r="A1365" s="4">
        <v>877</v>
      </c>
      <c r="B1365" s="4" t="s">
        <v>5499</v>
      </c>
      <c r="C1365" s="4" t="s">
        <v>5590</v>
      </c>
      <c r="D1365" s="4"/>
      <c r="E1365" s="4" t="s">
        <v>5952</v>
      </c>
      <c r="F1365" s="4" t="s">
        <v>7518</v>
      </c>
      <c r="G1365" s="4" t="s">
        <v>7397</v>
      </c>
      <c r="H1365" s="4" t="s">
        <v>7014</v>
      </c>
      <c r="I1365" s="5">
        <v>43628</v>
      </c>
      <c r="J1365" s="4" t="s">
        <v>4798</v>
      </c>
      <c r="K1365" s="4" t="s">
        <v>57</v>
      </c>
      <c r="L1365" s="4"/>
      <c r="M1365" s="4"/>
    </row>
    <row r="1366" ht="16" customHeight="1" s="4" customFormat="1">
      <c r="A1366" s="4">
        <v>878</v>
      </c>
      <c r="B1366" s="4" t="s">
        <v>5499</v>
      </c>
      <c r="C1366" s="4" t="s">
        <v>5590</v>
      </c>
      <c r="D1366" s="4"/>
      <c r="E1366" s="4" t="s">
        <v>5952</v>
      </c>
      <c r="F1366" s="4" t="s">
        <v>7519</v>
      </c>
      <c r="G1366" s="4" t="s">
        <v>7393</v>
      </c>
      <c r="H1366" s="4" t="s">
        <v>7014</v>
      </c>
      <c r="I1366" s="5">
        <v>43628</v>
      </c>
      <c r="J1366" s="4" t="s">
        <v>4798</v>
      </c>
      <c r="K1366" s="4" t="s">
        <v>57</v>
      </c>
      <c r="L1366" s="4"/>
      <c r="M1366" s="4"/>
    </row>
    <row r="1367" ht="16" customHeight="1" s="4" customFormat="1">
      <c r="A1367" s="4">
        <v>879</v>
      </c>
      <c r="B1367" s="4" t="s">
        <v>5499</v>
      </c>
      <c r="C1367" s="4" t="s">
        <v>5590</v>
      </c>
      <c r="D1367" s="4"/>
      <c r="E1367" s="4" t="s">
        <v>5952</v>
      </c>
      <c r="F1367" s="4" t="s">
        <v>7520</v>
      </c>
      <c r="G1367" s="4" t="s">
        <v>7427</v>
      </c>
      <c r="H1367" s="4" t="s">
        <v>7014</v>
      </c>
      <c r="I1367" s="5">
        <v>43628</v>
      </c>
      <c r="J1367" s="4" t="s">
        <v>4798</v>
      </c>
      <c r="K1367" s="4" t="s">
        <v>57</v>
      </c>
      <c r="L1367" s="4"/>
      <c r="M1367" s="4"/>
    </row>
    <row r="1368" ht="16" customHeight="1" s="4" customFormat="1">
      <c r="A1368" s="4">
        <v>880</v>
      </c>
      <c r="B1368" s="4" t="s">
        <v>5499</v>
      </c>
      <c r="C1368" s="4" t="s">
        <v>5590</v>
      </c>
      <c r="D1368" s="4"/>
      <c r="E1368" s="4" t="s">
        <v>5952</v>
      </c>
      <c r="F1368" s="4" t="s">
        <v>7521</v>
      </c>
      <c r="G1368" s="4" t="s">
        <v>7522</v>
      </c>
      <c r="H1368" s="4" t="s">
        <v>7014</v>
      </c>
      <c r="I1368" s="5">
        <v>43628</v>
      </c>
      <c r="J1368" s="4" t="s">
        <v>5506</v>
      </c>
      <c r="K1368" s="4" t="s">
        <v>57</v>
      </c>
      <c r="L1368" s="4"/>
      <c r="M1368" s="4"/>
    </row>
    <row r="1369" ht="16" customHeight="1" s="4" customFormat="1">
      <c r="A1369" s="4">
        <v>881</v>
      </c>
      <c r="B1369" s="4" t="s">
        <v>5499</v>
      </c>
      <c r="C1369" s="4" t="s">
        <v>5590</v>
      </c>
      <c r="D1369" s="4"/>
      <c r="E1369" s="4" t="s">
        <v>5952</v>
      </c>
      <c r="F1369" s="4" t="s">
        <v>7523</v>
      </c>
      <c r="G1369" s="4" t="s">
        <v>7349</v>
      </c>
      <c r="H1369" s="4" t="s">
        <v>7014</v>
      </c>
      <c r="I1369" s="5">
        <v>43628</v>
      </c>
      <c r="J1369" s="4" t="s">
        <v>5506</v>
      </c>
      <c r="K1369" s="4" t="s">
        <v>57</v>
      </c>
      <c r="L1369" s="4"/>
      <c r="M1369" s="4"/>
    </row>
    <row r="1370" ht="16" customHeight="1" s="4" customFormat="1">
      <c r="A1370" s="4">
        <v>882</v>
      </c>
      <c r="B1370" s="4" t="s">
        <v>5499</v>
      </c>
      <c r="C1370" s="4" t="s">
        <v>5590</v>
      </c>
      <c r="D1370" s="4"/>
      <c r="E1370" s="4" t="s">
        <v>5952</v>
      </c>
      <c r="F1370" s="4" t="s">
        <v>7524</v>
      </c>
      <c r="G1370" s="4" t="s">
        <v>7393</v>
      </c>
      <c r="H1370" s="4" t="s">
        <v>7014</v>
      </c>
      <c r="I1370" s="5">
        <v>43628</v>
      </c>
      <c r="J1370" s="4" t="s">
        <v>4798</v>
      </c>
      <c r="K1370" s="4" t="s">
        <v>57</v>
      </c>
      <c r="L1370" s="4"/>
      <c r="M1370" s="4"/>
    </row>
    <row r="1371" ht="16" customHeight="1" s="4" customFormat="1">
      <c r="A1371" s="4">
        <v>883</v>
      </c>
      <c r="B1371" s="4" t="s">
        <v>5499</v>
      </c>
      <c r="C1371" s="4" t="s">
        <v>5590</v>
      </c>
      <c r="D1371" s="4"/>
      <c r="E1371" s="4" t="s">
        <v>5952</v>
      </c>
      <c r="F1371" s="4" t="s">
        <v>7525</v>
      </c>
      <c r="G1371" s="4" t="s">
        <v>7014</v>
      </c>
      <c r="H1371" s="4" t="s">
        <v>7366</v>
      </c>
      <c r="I1371" s="5">
        <v>43628</v>
      </c>
      <c r="J1371" s="4" t="s">
        <v>4798</v>
      </c>
      <c r="K1371" s="4" t="s">
        <v>57</v>
      </c>
      <c r="L1371" s="4"/>
      <c r="M1371" s="4"/>
    </row>
    <row r="1372" ht="16" customHeight="1" s="4" customFormat="1">
      <c r="A1372" s="4">
        <v>884</v>
      </c>
      <c r="B1372" s="4" t="s">
        <v>5499</v>
      </c>
      <c r="C1372" s="4" t="s">
        <v>5590</v>
      </c>
      <c r="D1372" s="4"/>
      <c r="E1372" s="4" t="s">
        <v>5952</v>
      </c>
      <c r="F1372" s="4" t="s">
        <v>7526</v>
      </c>
      <c r="G1372" s="4" t="s">
        <v>7320</v>
      </c>
      <c r="H1372" s="4" t="s">
        <v>7014</v>
      </c>
      <c r="I1372" s="5">
        <v>43628</v>
      </c>
      <c r="J1372" s="4" t="s">
        <v>4798</v>
      </c>
      <c r="K1372" s="4" t="s">
        <v>57</v>
      </c>
      <c r="L1372" s="4"/>
      <c r="M1372" s="4"/>
    </row>
    <row r="1373" ht="16" customHeight="1" s="4" customFormat="1">
      <c r="A1373" s="4">
        <v>885</v>
      </c>
      <c r="B1373" s="4" t="s">
        <v>5499</v>
      </c>
      <c r="C1373" s="4" t="s">
        <v>5590</v>
      </c>
      <c r="D1373" s="4"/>
      <c r="E1373" s="4" t="s">
        <v>5952</v>
      </c>
      <c r="F1373" s="4" t="s">
        <v>7527</v>
      </c>
      <c r="G1373" s="4" t="s">
        <v>7355</v>
      </c>
      <c r="H1373" s="4" t="s">
        <v>7014</v>
      </c>
      <c r="I1373" s="5">
        <v>43628</v>
      </c>
      <c r="J1373" s="4" t="s">
        <v>5506</v>
      </c>
      <c r="K1373" s="4" t="s">
        <v>57</v>
      </c>
      <c r="L1373" s="4"/>
      <c r="M1373" s="4"/>
    </row>
    <row r="1374" ht="16" customHeight="1" s="4" customFormat="1">
      <c r="A1374" s="4">
        <v>886</v>
      </c>
      <c r="B1374" s="4" t="s">
        <v>5499</v>
      </c>
      <c r="C1374" s="4" t="s">
        <v>5590</v>
      </c>
      <c r="D1374" s="4"/>
      <c r="E1374" s="4" t="s">
        <v>5952</v>
      </c>
      <c r="F1374" s="4" t="s">
        <v>7528</v>
      </c>
      <c r="G1374" s="4" t="s">
        <v>7397</v>
      </c>
      <c r="H1374" s="4" t="s">
        <v>7014</v>
      </c>
      <c r="I1374" s="5">
        <v>43628</v>
      </c>
      <c r="J1374" s="4" t="s">
        <v>4798</v>
      </c>
      <c r="K1374" s="4" t="s">
        <v>57</v>
      </c>
      <c r="L1374" s="4"/>
      <c r="M1374" s="4"/>
    </row>
    <row r="1375" ht="16" customHeight="1" s="4" customFormat="1">
      <c r="A1375" s="4">
        <v>887</v>
      </c>
      <c r="B1375" s="4" t="s">
        <v>5499</v>
      </c>
      <c r="C1375" s="4" t="s">
        <v>5590</v>
      </c>
      <c r="D1375" s="4"/>
      <c r="E1375" s="4" t="s">
        <v>5952</v>
      </c>
      <c r="F1375" s="4" t="s">
        <v>7529</v>
      </c>
      <c r="G1375" s="4" t="s">
        <v>7389</v>
      </c>
      <c r="H1375" s="4" t="s">
        <v>7014</v>
      </c>
      <c r="I1375" s="5">
        <v>43628</v>
      </c>
      <c r="J1375" s="4" t="s">
        <v>4798</v>
      </c>
      <c r="K1375" s="4" t="s">
        <v>57</v>
      </c>
      <c r="L1375" s="4"/>
      <c r="M1375" s="4"/>
    </row>
    <row r="1376" ht="16" customHeight="1" s="4" customFormat="1">
      <c r="A1376" s="4">
        <v>888</v>
      </c>
      <c r="B1376" s="4" t="s">
        <v>5528</v>
      </c>
      <c r="C1376" s="4" t="s">
        <v>7530</v>
      </c>
      <c r="D1376" s="4" t="s">
        <v>5574</v>
      </c>
      <c r="E1376" s="4" t="s">
        <v>7531</v>
      </c>
      <c r="F1376" s="4" t="s">
        <v>7532</v>
      </c>
      <c r="G1376" s="4" t="s">
        <v>7533</v>
      </c>
      <c r="H1376" s="4" t="s">
        <v>7534</v>
      </c>
      <c r="I1376" s="5">
        <v>43627</v>
      </c>
      <c r="J1376" s="4" t="s">
        <v>4798</v>
      </c>
      <c r="K1376" s="4" t="s">
        <v>57</v>
      </c>
      <c r="L1376" s="4"/>
      <c r="M1376" s="4"/>
    </row>
    <row r="1377" ht="16" customHeight="1" s="4" customFormat="1">
      <c r="A1377" s="4">
        <v>889</v>
      </c>
      <c r="B1377" s="4" t="s">
        <v>5499</v>
      </c>
      <c r="C1377" s="4" t="s">
        <v>5590</v>
      </c>
      <c r="D1377" s="4"/>
      <c r="E1377" s="4" t="s">
        <v>5952</v>
      </c>
      <c r="F1377" s="4" t="s">
        <v>7535</v>
      </c>
      <c r="G1377" s="4" t="s">
        <v>7014</v>
      </c>
      <c r="H1377" s="4" t="s">
        <v>7366</v>
      </c>
      <c r="I1377" s="5">
        <v>43627</v>
      </c>
      <c r="J1377" s="4" t="s">
        <v>5506</v>
      </c>
      <c r="K1377" s="4" t="s">
        <v>57</v>
      </c>
      <c r="L1377" s="4"/>
      <c r="M1377" s="4"/>
    </row>
    <row r="1378" ht="16" customHeight="1" s="4" customFormat="1">
      <c r="A1378" s="4">
        <v>890</v>
      </c>
      <c r="B1378" s="4" t="s">
        <v>5499</v>
      </c>
      <c r="C1378" s="4" t="s">
        <v>5590</v>
      </c>
      <c r="D1378" s="4"/>
      <c r="E1378" s="4" t="s">
        <v>5952</v>
      </c>
      <c r="F1378" s="4" t="s">
        <v>7536</v>
      </c>
      <c r="G1378" s="4" t="s">
        <v>7014</v>
      </c>
      <c r="H1378" s="4" t="s">
        <v>7366</v>
      </c>
      <c r="I1378" s="5">
        <v>43627</v>
      </c>
      <c r="J1378" s="4" t="s">
        <v>5506</v>
      </c>
      <c r="K1378" s="4" t="s">
        <v>57</v>
      </c>
      <c r="L1378" s="4"/>
      <c r="M1378" s="4"/>
    </row>
    <row r="1379" ht="16" customHeight="1" s="4" customFormat="1">
      <c r="A1379" s="4">
        <v>891</v>
      </c>
      <c r="B1379" s="4" t="s">
        <v>5499</v>
      </c>
      <c r="C1379" s="4" t="s">
        <v>5590</v>
      </c>
      <c r="D1379" s="4"/>
      <c r="E1379" s="4" t="s">
        <v>5952</v>
      </c>
      <c r="F1379" s="4" t="s">
        <v>7537</v>
      </c>
      <c r="G1379" s="4" t="s">
        <v>7014</v>
      </c>
      <c r="H1379" s="4" t="s">
        <v>7366</v>
      </c>
      <c r="I1379" s="5">
        <v>43627</v>
      </c>
      <c r="J1379" s="4" t="s">
        <v>5506</v>
      </c>
      <c r="K1379" s="4" t="s">
        <v>57</v>
      </c>
      <c r="L1379" s="4"/>
      <c r="M1379" s="4"/>
    </row>
    <row r="1380" ht="16" customHeight="1" s="4" customFormat="1">
      <c r="A1380" s="4">
        <v>892</v>
      </c>
      <c r="B1380" s="4" t="s">
        <v>5499</v>
      </c>
      <c r="C1380" s="4" t="s">
        <v>5590</v>
      </c>
      <c r="D1380" s="4"/>
      <c r="E1380" s="4" t="s">
        <v>5952</v>
      </c>
      <c r="F1380" s="4" t="s">
        <v>7538</v>
      </c>
      <c r="G1380" s="4" t="s">
        <v>7014</v>
      </c>
      <c r="H1380" s="4" t="s">
        <v>7366</v>
      </c>
      <c r="I1380" s="5">
        <v>43627</v>
      </c>
      <c r="J1380" s="4" t="s">
        <v>5506</v>
      </c>
      <c r="K1380" s="4" t="s">
        <v>57</v>
      </c>
      <c r="L1380" s="4"/>
      <c r="M1380" s="4"/>
    </row>
    <row r="1381" ht="16" customHeight="1" s="4" customFormat="1">
      <c r="A1381" s="4">
        <v>893</v>
      </c>
      <c r="B1381" s="4" t="s">
        <v>5499</v>
      </c>
      <c r="C1381" s="4" t="s">
        <v>5590</v>
      </c>
      <c r="D1381" s="4"/>
      <c r="E1381" s="4" t="s">
        <v>5952</v>
      </c>
      <c r="F1381" s="4" t="s">
        <v>7539</v>
      </c>
      <c r="G1381" s="4" t="s">
        <v>7014</v>
      </c>
      <c r="H1381" s="4" t="s">
        <v>7366</v>
      </c>
      <c r="I1381" s="5">
        <v>43627</v>
      </c>
      <c r="J1381" s="4" t="s">
        <v>5506</v>
      </c>
      <c r="K1381" s="4" t="s">
        <v>57</v>
      </c>
      <c r="L1381" s="4"/>
      <c r="M1381" s="4"/>
    </row>
    <row r="1382" ht="16" customHeight="1" s="4" customFormat="1">
      <c r="A1382" s="4">
        <v>894</v>
      </c>
      <c r="B1382" s="4" t="s">
        <v>5499</v>
      </c>
      <c r="C1382" s="4" t="s">
        <v>5590</v>
      </c>
      <c r="D1382" s="4"/>
      <c r="E1382" s="4" t="s">
        <v>5952</v>
      </c>
      <c r="F1382" s="4" t="s">
        <v>7540</v>
      </c>
      <c r="G1382" s="4" t="s">
        <v>7014</v>
      </c>
      <c r="H1382" s="4" t="s">
        <v>7366</v>
      </c>
      <c r="I1382" s="5">
        <v>43627</v>
      </c>
      <c r="J1382" s="4" t="s">
        <v>5506</v>
      </c>
      <c r="K1382" s="4" t="s">
        <v>57</v>
      </c>
      <c r="L1382" s="4"/>
      <c r="M1382" s="4"/>
    </row>
    <row r="1383" ht="16" customHeight="1" s="4" customFormat="1">
      <c r="A1383" s="4">
        <v>895</v>
      </c>
      <c r="B1383" s="4" t="s">
        <v>5499</v>
      </c>
      <c r="C1383" s="4" t="s">
        <v>5590</v>
      </c>
      <c r="D1383" s="4"/>
      <c r="E1383" s="4" t="s">
        <v>5952</v>
      </c>
      <c r="F1383" s="4" t="s">
        <v>7541</v>
      </c>
      <c r="G1383" s="4" t="s">
        <v>7014</v>
      </c>
      <c r="H1383" s="4" t="s">
        <v>7366</v>
      </c>
      <c r="I1383" s="5">
        <v>43627</v>
      </c>
      <c r="J1383" s="4" t="s">
        <v>5506</v>
      </c>
      <c r="K1383" s="4" t="s">
        <v>57</v>
      </c>
      <c r="L1383" s="4"/>
      <c r="M1383" s="4"/>
    </row>
    <row r="1384" ht="16" customHeight="1" s="4" customFormat="1">
      <c r="A1384" s="4">
        <v>896</v>
      </c>
      <c r="B1384" s="4" t="s">
        <v>5499</v>
      </c>
      <c r="C1384" s="4" t="s">
        <v>5590</v>
      </c>
      <c r="D1384" s="4"/>
      <c r="E1384" s="4" t="s">
        <v>5952</v>
      </c>
      <c r="F1384" s="4" t="s">
        <v>7542</v>
      </c>
      <c r="G1384" s="4" t="s">
        <v>7014</v>
      </c>
      <c r="H1384" s="4" t="s">
        <v>7366</v>
      </c>
      <c r="I1384" s="5">
        <v>43627</v>
      </c>
      <c r="J1384" s="4" t="s">
        <v>5506</v>
      </c>
      <c r="K1384" s="4" t="s">
        <v>57</v>
      </c>
      <c r="L1384" s="4"/>
      <c r="M1384" s="4"/>
    </row>
    <row r="1385" ht="16" customHeight="1" s="4" customFormat="1">
      <c r="A1385" s="4">
        <v>897</v>
      </c>
      <c r="B1385" s="4" t="s">
        <v>5499</v>
      </c>
      <c r="C1385" s="4" t="s">
        <v>5590</v>
      </c>
      <c r="D1385" s="4"/>
      <c r="E1385" s="4" t="s">
        <v>5952</v>
      </c>
      <c r="F1385" s="4" t="s">
        <v>7543</v>
      </c>
      <c r="G1385" s="4" t="s">
        <v>7014</v>
      </c>
      <c r="H1385" s="4" t="s">
        <v>7366</v>
      </c>
      <c r="I1385" s="5">
        <v>43627</v>
      </c>
      <c r="J1385" s="4" t="s">
        <v>5506</v>
      </c>
      <c r="K1385" s="4" t="s">
        <v>57</v>
      </c>
      <c r="L1385" s="4"/>
      <c r="M1385" s="4"/>
    </row>
    <row r="1386" ht="16" customHeight="1" s="4" customFormat="1">
      <c r="A1386" s="4">
        <v>898</v>
      </c>
      <c r="B1386" s="4" t="s">
        <v>5499</v>
      </c>
      <c r="C1386" s="4" t="s">
        <v>5573</v>
      </c>
      <c r="D1386" s="4" t="s">
        <v>5574</v>
      </c>
      <c r="E1386" s="4" t="s">
        <v>5575</v>
      </c>
      <c r="F1386" s="4" t="s">
        <v>7544</v>
      </c>
      <c r="G1386" s="4" t="s">
        <v>4850</v>
      </c>
      <c r="H1386" s="4" t="s">
        <v>7545</v>
      </c>
      <c r="I1386" s="5">
        <v>43626</v>
      </c>
      <c r="J1386" s="4" t="s">
        <v>5506</v>
      </c>
      <c r="K1386" s="4" t="s">
        <v>57</v>
      </c>
      <c r="L1386" s="4"/>
      <c r="M1386" s="4"/>
    </row>
    <row r="1387" ht="16" customHeight="1" s="4" customFormat="1">
      <c r="A1387" s="4">
        <v>899</v>
      </c>
      <c r="B1387" s="4" t="s">
        <v>5499</v>
      </c>
      <c r="C1387" s="4" t="s">
        <v>7546</v>
      </c>
      <c r="D1387" s="4"/>
      <c r="E1387" s="4" t="s">
        <v>7547</v>
      </c>
      <c r="F1387" s="4" t="s">
        <v>7548</v>
      </c>
      <c r="G1387" s="4" t="s">
        <v>7549</v>
      </c>
      <c r="H1387" s="4" t="s">
        <v>7550</v>
      </c>
      <c r="I1387" s="5">
        <v>43595</v>
      </c>
      <c r="J1387" s="4" t="s">
        <v>4798</v>
      </c>
      <c r="K1387" s="4" t="s">
        <v>57</v>
      </c>
      <c r="L1387" s="4"/>
      <c r="M1387" s="4"/>
    </row>
    <row r="1388" ht="16" customHeight="1" s="4" customFormat="1">
      <c r="A1388" s="4">
        <v>900</v>
      </c>
      <c r="B1388" s="4" t="s">
        <v>5499</v>
      </c>
      <c r="C1388" s="4" t="s">
        <v>5702</v>
      </c>
      <c r="D1388" s="4" t="s">
        <v>5574</v>
      </c>
      <c r="E1388" s="4" t="s">
        <v>5575</v>
      </c>
      <c r="F1388" s="4" t="s">
        <v>7551</v>
      </c>
      <c r="G1388" s="4" t="s">
        <v>6431</v>
      </c>
      <c r="H1388" s="4" t="s">
        <v>6425</v>
      </c>
      <c r="I1388" s="5">
        <v>43593</v>
      </c>
      <c r="J1388" s="4" t="s">
        <v>5506</v>
      </c>
      <c r="K1388" s="4" t="s">
        <v>57</v>
      </c>
      <c r="L1388" s="4"/>
      <c r="M1388" s="4"/>
    </row>
    <row r="1389" ht="16" customHeight="1" s="4" customFormat="1">
      <c r="A1389" s="4">
        <v>901</v>
      </c>
      <c r="B1389" s="4" t="s">
        <v>5534</v>
      </c>
      <c r="C1389" s="4" t="s">
        <v>5773</v>
      </c>
      <c r="D1389" s="4"/>
      <c r="E1389" s="4"/>
      <c r="F1389" s="4" t="s">
        <v>7552</v>
      </c>
      <c r="G1389" s="4" t="s">
        <v>10</v>
      </c>
      <c r="H1389" s="4" t="s">
        <v>5853</v>
      </c>
      <c r="I1389" s="5">
        <v>43585</v>
      </c>
      <c r="J1389" s="4" t="s">
        <v>4798</v>
      </c>
      <c r="K1389" s="4" t="s">
        <v>57</v>
      </c>
      <c r="L1389" s="4"/>
      <c r="M1389" s="4"/>
    </row>
    <row r="1390" ht="16" customHeight="1" s="4" customFormat="1">
      <c r="A1390" s="4">
        <v>902</v>
      </c>
      <c r="B1390" s="4" t="s">
        <v>5499</v>
      </c>
      <c r="C1390" s="4" t="s">
        <v>5590</v>
      </c>
      <c r="D1390" s="4" t="s">
        <v>5574</v>
      </c>
      <c r="E1390" s="4" t="s">
        <v>5575</v>
      </c>
      <c r="F1390" s="4" t="s">
        <v>7553</v>
      </c>
      <c r="G1390" s="4" t="s">
        <v>7036</v>
      </c>
      <c r="H1390" s="4" t="s">
        <v>7012</v>
      </c>
      <c r="I1390" s="5">
        <v>43584</v>
      </c>
      <c r="J1390" s="4" t="s">
        <v>4798</v>
      </c>
      <c r="K1390" s="4" t="s">
        <v>57</v>
      </c>
      <c r="L1390" s="4"/>
      <c r="M1390" s="4"/>
    </row>
    <row r="1391" ht="16" customHeight="1" s="4" customFormat="1">
      <c r="A1391" s="4">
        <v>903</v>
      </c>
      <c r="B1391" s="4" t="s">
        <v>5499</v>
      </c>
      <c r="C1391" s="4" t="s">
        <v>5590</v>
      </c>
      <c r="D1391" s="4" t="s">
        <v>5574</v>
      </c>
      <c r="E1391" s="4" t="s">
        <v>5575</v>
      </c>
      <c r="F1391" s="4" t="s">
        <v>7554</v>
      </c>
      <c r="G1391" s="4" t="s">
        <v>7036</v>
      </c>
      <c r="H1391" s="4" t="s">
        <v>7012</v>
      </c>
      <c r="I1391" s="5">
        <v>43584</v>
      </c>
      <c r="J1391" s="4" t="s">
        <v>4798</v>
      </c>
      <c r="K1391" s="4" t="s">
        <v>57</v>
      </c>
      <c r="L1391" s="4"/>
      <c r="M1391" s="4"/>
    </row>
    <row r="1392" ht="16" customHeight="1" s="4" customFormat="1">
      <c r="A1392" s="4">
        <v>904</v>
      </c>
      <c r="B1392" s="4" t="s">
        <v>5600</v>
      </c>
      <c r="C1392" s="4" t="s">
        <v>5600</v>
      </c>
      <c r="D1392" s="4"/>
      <c r="E1392" s="4" t="s">
        <v>7555</v>
      </c>
      <c r="F1392" s="4" t="s">
        <v>7556</v>
      </c>
      <c r="G1392" s="4" t="s">
        <v>10</v>
      </c>
      <c r="H1392" s="4" t="s">
        <v>7557</v>
      </c>
      <c r="I1392" s="5">
        <v>43570</v>
      </c>
      <c r="J1392" s="4" t="s">
        <v>4798</v>
      </c>
      <c r="K1392" s="4" t="s">
        <v>57</v>
      </c>
      <c r="L1392" s="4"/>
      <c r="M1392" s="4"/>
    </row>
    <row r="1393" ht="16" customHeight="1" s="4" customFormat="1">
      <c r="A1393" s="4">
        <v>905</v>
      </c>
      <c r="B1393" s="4" t="s">
        <v>5600</v>
      </c>
      <c r="C1393" s="4" t="s">
        <v>5600</v>
      </c>
      <c r="D1393" s="4"/>
      <c r="E1393" s="4" t="s">
        <v>7558</v>
      </c>
      <c r="F1393" s="4" t="s">
        <v>7559</v>
      </c>
      <c r="G1393" s="4" t="s">
        <v>10</v>
      </c>
      <c r="H1393" s="4" t="s">
        <v>7560</v>
      </c>
      <c r="I1393" s="5">
        <v>43567</v>
      </c>
      <c r="J1393" s="4" t="s">
        <v>4798</v>
      </c>
      <c r="K1393" s="4" t="s">
        <v>57</v>
      </c>
      <c r="L1393" s="4"/>
      <c r="M1393" s="4"/>
    </row>
    <row r="1394" ht="16" customHeight="1" s="4" customFormat="1">
      <c r="A1394" s="4">
        <v>906</v>
      </c>
      <c r="B1394" s="4" t="s">
        <v>5600</v>
      </c>
      <c r="C1394" s="4" t="s">
        <v>5600</v>
      </c>
      <c r="D1394" s="4"/>
      <c r="E1394" s="4"/>
      <c r="F1394" s="4" t="s">
        <v>7561</v>
      </c>
      <c r="G1394" s="4" t="s">
        <v>7562</v>
      </c>
      <c r="H1394" s="4" t="s">
        <v>7563</v>
      </c>
      <c r="I1394" s="5">
        <v>43565</v>
      </c>
      <c r="J1394" s="4" t="s">
        <v>4842</v>
      </c>
      <c r="K1394" s="4" t="s">
        <v>57</v>
      </c>
      <c r="L1394" s="4"/>
      <c r="M1394" s="4"/>
    </row>
    <row r="1395" ht="16" customHeight="1" s="4" customFormat="1">
      <c r="A1395" s="4">
        <v>907</v>
      </c>
      <c r="B1395" s="4" t="s">
        <v>5499</v>
      </c>
      <c r="C1395" s="4" t="s">
        <v>5519</v>
      </c>
      <c r="D1395" s="4"/>
      <c r="E1395" s="4"/>
      <c r="F1395" s="4" t="s">
        <v>7564</v>
      </c>
      <c r="G1395" s="4" t="s">
        <v>7565</v>
      </c>
      <c r="H1395" s="4" t="s">
        <v>7566</v>
      </c>
      <c r="I1395" s="5">
        <v>43560</v>
      </c>
      <c r="J1395" s="4" t="s">
        <v>4842</v>
      </c>
      <c r="K1395" s="4" t="s">
        <v>57</v>
      </c>
      <c r="L1395" s="4"/>
      <c r="M1395" s="4"/>
    </row>
    <row r="1396" ht="16" customHeight="1" s="4" customFormat="1">
      <c r="A1396" s="4">
        <v>908</v>
      </c>
      <c r="B1396" s="4" t="s">
        <v>5499</v>
      </c>
      <c r="C1396" s="4" t="s">
        <v>5519</v>
      </c>
      <c r="D1396" s="4"/>
      <c r="E1396" s="4"/>
      <c r="F1396" s="4" t="s">
        <v>7567</v>
      </c>
      <c r="G1396" s="4" t="s">
        <v>7565</v>
      </c>
      <c r="H1396" s="4" t="s">
        <v>7566</v>
      </c>
      <c r="I1396" s="5">
        <v>43560</v>
      </c>
      <c r="J1396" s="4" t="s">
        <v>4842</v>
      </c>
      <c r="K1396" s="4" t="s">
        <v>57</v>
      </c>
      <c r="L1396" s="4"/>
      <c r="M1396" s="4"/>
    </row>
    <row r="1397" ht="16" customHeight="1" s="4" customFormat="1">
      <c r="A1397" s="4">
        <v>909</v>
      </c>
      <c r="B1397" s="4" t="s">
        <v>5499</v>
      </c>
      <c r="C1397" s="4" t="s">
        <v>5519</v>
      </c>
      <c r="D1397" s="4"/>
      <c r="E1397" s="4" t="s">
        <v>5613</v>
      </c>
      <c r="F1397" s="4" t="s">
        <v>7568</v>
      </c>
      <c r="G1397" s="4" t="s">
        <v>7569</v>
      </c>
      <c r="H1397" s="4" t="s">
        <v>7570</v>
      </c>
      <c r="I1397" s="5">
        <v>43560</v>
      </c>
      <c r="J1397" s="4" t="s">
        <v>4842</v>
      </c>
      <c r="K1397" s="4" t="s">
        <v>57</v>
      </c>
      <c r="L1397" s="4"/>
      <c r="M1397" s="4"/>
    </row>
    <row r="1398" ht="16" customHeight="1" s="4" customFormat="1">
      <c r="A1398" s="4">
        <v>910</v>
      </c>
      <c r="B1398" s="4" t="s">
        <v>5499</v>
      </c>
      <c r="C1398" s="4" t="s">
        <v>5519</v>
      </c>
      <c r="D1398" s="4"/>
      <c r="E1398" s="4"/>
      <c r="F1398" s="4" t="s">
        <v>7571</v>
      </c>
      <c r="G1398" s="4" t="s">
        <v>7569</v>
      </c>
      <c r="H1398" s="4" t="s">
        <v>7570</v>
      </c>
      <c r="I1398" s="5">
        <v>43560</v>
      </c>
      <c r="J1398" s="4" t="s">
        <v>4842</v>
      </c>
      <c r="K1398" s="4" t="s">
        <v>57</v>
      </c>
      <c r="L1398" s="4"/>
      <c r="M1398" s="4"/>
    </row>
    <row r="1399" ht="16" customHeight="1" s="4" customFormat="1">
      <c r="A1399" s="4">
        <v>911</v>
      </c>
      <c r="B1399" s="4" t="s">
        <v>5499</v>
      </c>
      <c r="C1399" s="4" t="s">
        <v>5509</v>
      </c>
      <c r="D1399" s="4"/>
      <c r="E1399" s="4"/>
      <c r="F1399" s="4" t="s">
        <v>7572</v>
      </c>
      <c r="G1399" s="4" t="s">
        <v>7573</v>
      </c>
      <c r="H1399" s="4" t="s">
        <v>7574</v>
      </c>
      <c r="I1399" s="5">
        <v>43557</v>
      </c>
      <c r="J1399" s="4" t="s">
        <v>4798</v>
      </c>
      <c r="K1399" s="4" t="s">
        <v>57</v>
      </c>
      <c r="L1399" s="4"/>
      <c r="M1399" s="4"/>
    </row>
    <row r="1400" ht="16" customHeight="1" s="4" customFormat="1">
      <c r="A1400" s="4">
        <v>912</v>
      </c>
      <c r="B1400" s="4" t="s">
        <v>5534</v>
      </c>
      <c r="C1400" s="4" t="s">
        <v>5773</v>
      </c>
      <c r="D1400" s="4"/>
      <c r="E1400" s="4"/>
      <c r="F1400" s="4" t="s">
        <v>7575</v>
      </c>
      <c r="G1400" s="4" t="s">
        <v>5778</v>
      </c>
      <c r="H1400" s="4" t="s">
        <v>6005</v>
      </c>
      <c r="I1400" s="5">
        <v>43551</v>
      </c>
      <c r="J1400" s="4" t="s">
        <v>4798</v>
      </c>
      <c r="K1400" s="4" t="s">
        <v>57</v>
      </c>
      <c r="L1400" s="4"/>
      <c r="M1400" s="4"/>
    </row>
    <row r="1401" ht="16" customHeight="1" s="4" customFormat="1">
      <c r="A1401" s="4">
        <v>913</v>
      </c>
      <c r="B1401" s="4" t="s">
        <v>5499</v>
      </c>
      <c r="C1401" s="4" t="s">
        <v>5702</v>
      </c>
      <c r="D1401" s="4" t="s">
        <v>5574</v>
      </c>
      <c r="E1401" s="4" t="s">
        <v>5575</v>
      </c>
      <c r="F1401" s="4" t="s">
        <v>7576</v>
      </c>
      <c r="G1401" s="4" t="s">
        <v>5843</v>
      </c>
      <c r="H1401" s="4" t="s">
        <v>7577</v>
      </c>
      <c r="I1401" s="5">
        <v>43550</v>
      </c>
      <c r="J1401" s="4" t="s">
        <v>4798</v>
      </c>
      <c r="K1401" s="4" t="s">
        <v>57</v>
      </c>
      <c r="L1401" s="4"/>
      <c r="M1401" s="4"/>
    </row>
    <row r="1402" ht="16" customHeight="1" s="4" customFormat="1">
      <c r="A1402" s="4">
        <v>914</v>
      </c>
      <c r="B1402" s="4" t="s">
        <v>6161</v>
      </c>
      <c r="C1402" s="4" t="s">
        <v>6618</v>
      </c>
      <c r="D1402" s="4"/>
      <c r="E1402" s="4"/>
      <c r="F1402" s="4" t="s">
        <v>7578</v>
      </c>
      <c r="G1402" s="4" t="s">
        <v>7579</v>
      </c>
      <c r="H1402" s="4" t="s">
        <v>7318</v>
      </c>
      <c r="I1402" s="5">
        <v>43543</v>
      </c>
      <c r="J1402" s="4" t="s">
        <v>7580</v>
      </c>
      <c r="K1402" s="4" t="s">
        <v>57</v>
      </c>
      <c r="L1402" s="4"/>
      <c r="M1402" s="4"/>
    </row>
    <row r="1403" ht="16" customHeight="1" s="4" customFormat="1">
      <c r="A1403" s="4">
        <v>915</v>
      </c>
      <c r="B1403" s="4" t="s">
        <v>6161</v>
      </c>
      <c r="C1403" s="4" t="s">
        <v>6618</v>
      </c>
      <c r="D1403" s="4"/>
      <c r="E1403" s="4"/>
      <c r="F1403" s="4" t="s">
        <v>7581</v>
      </c>
      <c r="G1403" s="4" t="s">
        <v>7579</v>
      </c>
      <c r="H1403" s="4" t="s">
        <v>7318</v>
      </c>
      <c r="I1403" s="5">
        <v>43543</v>
      </c>
      <c r="J1403" s="4" t="s">
        <v>7580</v>
      </c>
      <c r="K1403" s="4" t="s">
        <v>57</v>
      </c>
      <c r="L1403" s="4"/>
      <c r="M1403" s="4"/>
    </row>
    <row r="1404" ht="16" customHeight="1" s="4" customFormat="1">
      <c r="A1404" s="4">
        <v>916</v>
      </c>
      <c r="B1404" s="4" t="s">
        <v>6161</v>
      </c>
      <c r="C1404" s="4" t="s">
        <v>6618</v>
      </c>
      <c r="D1404" s="4"/>
      <c r="E1404" s="4"/>
      <c r="F1404" s="4" t="s">
        <v>7582</v>
      </c>
      <c r="G1404" s="4" t="s">
        <v>7579</v>
      </c>
      <c r="H1404" s="4" t="s">
        <v>7318</v>
      </c>
      <c r="I1404" s="5">
        <v>43543</v>
      </c>
      <c r="J1404" s="4" t="s">
        <v>7580</v>
      </c>
      <c r="K1404" s="4" t="s">
        <v>57</v>
      </c>
      <c r="L1404" s="4"/>
      <c r="M1404" s="4"/>
    </row>
    <row r="1405" ht="16" customHeight="1" s="4" customFormat="1">
      <c r="A1405" s="4">
        <v>917</v>
      </c>
      <c r="B1405" s="4" t="s">
        <v>6161</v>
      </c>
      <c r="C1405" s="4" t="s">
        <v>6618</v>
      </c>
      <c r="D1405" s="4"/>
      <c r="E1405" s="4"/>
      <c r="F1405" s="4" t="s">
        <v>7583</v>
      </c>
      <c r="G1405" s="4" t="s">
        <v>7579</v>
      </c>
      <c r="H1405" s="4" t="s">
        <v>7318</v>
      </c>
      <c r="I1405" s="5">
        <v>43543</v>
      </c>
      <c r="J1405" s="4" t="s">
        <v>7580</v>
      </c>
      <c r="K1405" s="4" t="s">
        <v>57</v>
      </c>
      <c r="L1405" s="4"/>
      <c r="M1405" s="4"/>
    </row>
    <row r="1406" ht="16" customHeight="1" s="4" customFormat="1">
      <c r="A1406" s="4">
        <v>918</v>
      </c>
      <c r="B1406" s="4" t="s">
        <v>6161</v>
      </c>
      <c r="C1406" s="4" t="s">
        <v>6618</v>
      </c>
      <c r="D1406" s="4"/>
      <c r="E1406" s="4"/>
      <c r="F1406" s="4" t="s">
        <v>7584</v>
      </c>
      <c r="G1406" s="4" t="s">
        <v>7579</v>
      </c>
      <c r="H1406" s="4" t="s">
        <v>7318</v>
      </c>
      <c r="I1406" s="5">
        <v>43543</v>
      </c>
      <c r="J1406" s="4" t="s">
        <v>7580</v>
      </c>
      <c r="K1406" s="4" t="s">
        <v>57</v>
      </c>
      <c r="L1406" s="4"/>
      <c r="M1406" s="4"/>
    </row>
    <row r="1407" ht="16" customHeight="1" s="4" customFormat="1">
      <c r="A1407" s="4">
        <v>919</v>
      </c>
      <c r="B1407" s="4" t="s">
        <v>6161</v>
      </c>
      <c r="C1407" s="4" t="s">
        <v>6618</v>
      </c>
      <c r="D1407" s="4"/>
      <c r="E1407" s="4"/>
      <c r="F1407" s="4" t="s">
        <v>7585</v>
      </c>
      <c r="G1407" s="4" t="s">
        <v>7579</v>
      </c>
      <c r="H1407" s="4" t="s">
        <v>7318</v>
      </c>
      <c r="I1407" s="5">
        <v>43543</v>
      </c>
      <c r="J1407" s="4" t="s">
        <v>7580</v>
      </c>
      <c r="K1407" s="4" t="s">
        <v>57</v>
      </c>
      <c r="L1407" s="4"/>
      <c r="M1407" s="4"/>
    </row>
    <row r="1408" ht="16" customHeight="1" s="4" customFormat="1">
      <c r="A1408" s="4">
        <v>920</v>
      </c>
      <c r="B1408" s="4" t="s">
        <v>5499</v>
      </c>
      <c r="C1408" s="4" t="s">
        <v>5702</v>
      </c>
      <c r="D1408" s="4" t="s">
        <v>5574</v>
      </c>
      <c r="E1408" s="4" t="s">
        <v>5575</v>
      </c>
      <c r="F1408" s="4" t="s">
        <v>7586</v>
      </c>
      <c r="G1408" s="4" t="s">
        <v>5704</v>
      </c>
      <c r="H1408" s="4" t="s">
        <v>6425</v>
      </c>
      <c r="I1408" s="5">
        <v>43539</v>
      </c>
      <c r="J1408" s="4" t="s">
        <v>5506</v>
      </c>
      <c r="K1408" s="4" t="s">
        <v>57</v>
      </c>
      <c r="L1408" s="4"/>
      <c r="M1408" s="4"/>
    </row>
    <row r="1409" ht="16" customHeight="1" s="4" customFormat="1">
      <c r="A1409" s="4">
        <v>921</v>
      </c>
      <c r="B1409" s="4" t="s">
        <v>6161</v>
      </c>
      <c r="C1409" s="4" t="s">
        <v>6618</v>
      </c>
      <c r="D1409" s="4"/>
      <c r="E1409" s="4"/>
      <c r="F1409" s="4" t="s">
        <v>7587</v>
      </c>
      <c r="G1409" s="4" t="s">
        <v>7318</v>
      </c>
      <c r="H1409" s="4" t="s">
        <v>7579</v>
      </c>
      <c r="I1409" s="5">
        <v>43537</v>
      </c>
      <c r="J1409" s="4" t="s">
        <v>7580</v>
      </c>
      <c r="K1409" s="4" t="s">
        <v>57</v>
      </c>
      <c r="L1409" s="4"/>
      <c r="M1409" s="4"/>
    </row>
    <row r="1410" ht="16" customHeight="1" s="4" customFormat="1">
      <c r="A1410" s="4">
        <v>922</v>
      </c>
      <c r="B1410" s="4" t="s">
        <v>6161</v>
      </c>
      <c r="C1410" s="4" t="s">
        <v>6618</v>
      </c>
      <c r="D1410" s="4"/>
      <c r="E1410" s="4"/>
      <c r="F1410" s="4" t="s">
        <v>7588</v>
      </c>
      <c r="G1410" s="4" t="s">
        <v>7318</v>
      </c>
      <c r="H1410" s="4" t="s">
        <v>7579</v>
      </c>
      <c r="I1410" s="5">
        <v>43537</v>
      </c>
      <c r="J1410" s="4" t="s">
        <v>7580</v>
      </c>
      <c r="K1410" s="4" t="s">
        <v>57</v>
      </c>
      <c r="L1410" s="4"/>
      <c r="M1410" s="4"/>
    </row>
    <row r="1411" ht="16" customHeight="1" s="4" customFormat="1">
      <c r="A1411" s="4">
        <v>923</v>
      </c>
      <c r="B1411" s="4" t="s">
        <v>6161</v>
      </c>
      <c r="C1411" s="4" t="s">
        <v>6618</v>
      </c>
      <c r="D1411" s="4"/>
      <c r="E1411" s="4"/>
      <c r="F1411" s="4" t="s">
        <v>7589</v>
      </c>
      <c r="G1411" s="4" t="s">
        <v>7318</v>
      </c>
      <c r="H1411" s="4" t="s">
        <v>7590</v>
      </c>
      <c r="I1411" s="5">
        <v>43537</v>
      </c>
      <c r="J1411" s="4" t="s">
        <v>7580</v>
      </c>
      <c r="K1411" s="4" t="s">
        <v>57</v>
      </c>
      <c r="L1411" s="4"/>
      <c r="M1411" s="4"/>
    </row>
    <row r="1412" ht="16" customHeight="1" s="4" customFormat="1">
      <c r="A1412" s="4">
        <v>924</v>
      </c>
      <c r="B1412" s="4" t="s">
        <v>6161</v>
      </c>
      <c r="C1412" s="4" t="s">
        <v>6618</v>
      </c>
      <c r="D1412" s="4"/>
      <c r="E1412" s="4"/>
      <c r="F1412" s="4" t="s">
        <v>7591</v>
      </c>
      <c r="G1412" s="4" t="s">
        <v>7318</v>
      </c>
      <c r="H1412" s="4" t="s">
        <v>7579</v>
      </c>
      <c r="I1412" s="5">
        <v>43537</v>
      </c>
      <c r="J1412" s="4" t="s">
        <v>7580</v>
      </c>
      <c r="K1412" s="4" t="s">
        <v>57</v>
      </c>
      <c r="L1412" s="4"/>
      <c r="M1412" s="4"/>
    </row>
    <row r="1413" ht="16" customHeight="1" s="4" customFormat="1">
      <c r="A1413" s="4">
        <v>925</v>
      </c>
      <c r="B1413" s="4" t="s">
        <v>6161</v>
      </c>
      <c r="C1413" s="4" t="s">
        <v>6618</v>
      </c>
      <c r="D1413" s="4"/>
      <c r="E1413" s="4"/>
      <c r="F1413" s="4" t="s">
        <v>7592</v>
      </c>
      <c r="G1413" s="4" t="s">
        <v>7318</v>
      </c>
      <c r="H1413" s="4" t="s">
        <v>7579</v>
      </c>
      <c r="I1413" s="5">
        <v>43537</v>
      </c>
      <c r="J1413" s="4" t="s">
        <v>7580</v>
      </c>
      <c r="K1413" s="4" t="s">
        <v>57</v>
      </c>
      <c r="L1413" s="4"/>
      <c r="M1413" s="4"/>
    </row>
    <row r="1414" ht="16" customHeight="1" s="4" customFormat="1">
      <c r="A1414" s="4">
        <v>926</v>
      </c>
      <c r="B1414" s="4" t="s">
        <v>5534</v>
      </c>
      <c r="C1414" s="4" t="s">
        <v>7593</v>
      </c>
      <c r="D1414" s="4"/>
      <c r="E1414" s="4"/>
      <c r="F1414" s="4" t="s">
        <v>7594</v>
      </c>
      <c r="G1414" s="4" t="s">
        <v>10</v>
      </c>
      <c r="H1414" s="4"/>
      <c r="I1414" s="5">
        <v>43524</v>
      </c>
      <c r="J1414" s="4" t="s">
        <v>5506</v>
      </c>
      <c r="K1414" s="4" t="s">
        <v>57</v>
      </c>
      <c r="L1414" s="4"/>
      <c r="M1414" s="4"/>
    </row>
    <row r="1415" ht="16" customHeight="1" s="4" customFormat="1">
      <c r="A1415" s="4">
        <v>927</v>
      </c>
      <c r="B1415" s="4" t="s">
        <v>5534</v>
      </c>
      <c r="C1415" s="4" t="s">
        <v>5773</v>
      </c>
      <c r="D1415" s="4"/>
      <c r="E1415" s="4"/>
      <c r="F1415" s="4" t="s">
        <v>7595</v>
      </c>
      <c r="G1415" s="4" t="s">
        <v>10</v>
      </c>
      <c r="H1415" s="4" t="s">
        <v>7297</v>
      </c>
      <c r="I1415" s="5">
        <v>43523</v>
      </c>
      <c r="J1415" s="4" t="s">
        <v>4842</v>
      </c>
      <c r="K1415" s="4" t="s">
        <v>57</v>
      </c>
      <c r="L1415" s="4"/>
      <c r="M1415" s="4"/>
    </row>
    <row r="1416" ht="16" customHeight="1" s="4" customFormat="1">
      <c r="A1416" s="4">
        <v>928</v>
      </c>
      <c r="B1416" s="4" t="s">
        <v>5499</v>
      </c>
      <c r="C1416" s="4" t="s">
        <v>5509</v>
      </c>
      <c r="D1416" s="4"/>
      <c r="E1416" s="4"/>
      <c r="F1416" s="4" t="s">
        <v>7596</v>
      </c>
      <c r="G1416" s="4" t="s">
        <v>7597</v>
      </c>
      <c r="H1416" s="4" t="s">
        <v>7598</v>
      </c>
      <c r="I1416" s="5">
        <v>43518</v>
      </c>
      <c r="J1416" s="4" t="s">
        <v>4842</v>
      </c>
      <c r="K1416" s="4" t="s">
        <v>57</v>
      </c>
      <c r="L1416" s="4"/>
      <c r="M1416" s="4"/>
    </row>
    <row r="1417" ht="16" customHeight="1" s="4" customFormat="1">
      <c r="A1417" s="4">
        <v>929</v>
      </c>
      <c r="B1417" s="4" t="s">
        <v>5534</v>
      </c>
      <c r="C1417" s="4" t="s">
        <v>5773</v>
      </c>
      <c r="D1417" s="4"/>
      <c r="E1417" s="4"/>
      <c r="F1417" s="4" t="s">
        <v>7599</v>
      </c>
      <c r="G1417" s="4" t="s">
        <v>10</v>
      </c>
      <c r="H1417" s="4" t="s">
        <v>7600</v>
      </c>
      <c r="I1417" s="5">
        <v>43518</v>
      </c>
      <c r="J1417" s="4" t="s">
        <v>4842</v>
      </c>
      <c r="K1417" s="4" t="s">
        <v>57</v>
      </c>
      <c r="L1417" s="4"/>
      <c r="M1417" s="4"/>
    </row>
    <row r="1418" ht="16" customHeight="1" s="4" customFormat="1">
      <c r="A1418" s="4">
        <v>930</v>
      </c>
      <c r="B1418" s="4" t="s">
        <v>6161</v>
      </c>
      <c r="C1418" s="4" t="s">
        <v>6618</v>
      </c>
      <c r="D1418" s="4"/>
      <c r="E1418" s="4"/>
      <c r="F1418" s="4" t="s">
        <v>7601</v>
      </c>
      <c r="G1418" s="4" t="s">
        <v>7602</v>
      </c>
      <c r="H1418" s="4" t="s">
        <v>7318</v>
      </c>
      <c r="I1418" s="5">
        <v>43517</v>
      </c>
      <c r="J1418" s="4" t="s">
        <v>5506</v>
      </c>
      <c r="K1418" s="4" t="s">
        <v>57</v>
      </c>
      <c r="L1418" s="4"/>
      <c r="M1418" s="4"/>
    </row>
    <row r="1419" ht="16" customHeight="1" s="4" customFormat="1">
      <c r="A1419" s="4">
        <v>931</v>
      </c>
      <c r="B1419" s="4" t="s">
        <v>5528</v>
      </c>
      <c r="C1419" s="4" t="s">
        <v>7603</v>
      </c>
      <c r="D1419" s="4" t="s">
        <v>5514</v>
      </c>
      <c r="E1419" s="4" t="s">
        <v>5515</v>
      </c>
      <c r="F1419" s="4" t="s">
        <v>7604</v>
      </c>
      <c r="G1419" s="4" t="s">
        <v>4850</v>
      </c>
      <c r="H1419" s="4" t="s">
        <v>7605</v>
      </c>
      <c r="I1419" s="5">
        <v>43517</v>
      </c>
      <c r="J1419" s="4" t="s">
        <v>4798</v>
      </c>
      <c r="K1419" s="4" t="s">
        <v>57</v>
      </c>
      <c r="L1419" s="4"/>
      <c r="M1419" s="4"/>
    </row>
    <row r="1420" ht="16" customHeight="1" s="4" customFormat="1">
      <c r="A1420" s="4">
        <v>932</v>
      </c>
      <c r="B1420" s="4" t="s">
        <v>5600</v>
      </c>
      <c r="C1420" s="4" t="s">
        <v>5600</v>
      </c>
      <c r="D1420" s="4"/>
      <c r="E1420" s="4" t="s">
        <v>5956</v>
      </c>
      <c r="F1420" s="4" t="s">
        <v>7606</v>
      </c>
      <c r="G1420" s="4" t="s">
        <v>7607</v>
      </c>
      <c r="H1420" s="4" t="s">
        <v>7608</v>
      </c>
      <c r="I1420" s="5">
        <v>43514</v>
      </c>
      <c r="J1420" s="4" t="s">
        <v>4798</v>
      </c>
      <c r="K1420" s="4" t="s">
        <v>57</v>
      </c>
      <c r="L1420" s="4"/>
      <c r="M1420" s="4"/>
    </row>
    <row r="1421" ht="16" customHeight="1" s="4" customFormat="1">
      <c r="A1421" s="4">
        <v>933</v>
      </c>
      <c r="B1421" s="4" t="s">
        <v>5600</v>
      </c>
      <c r="C1421" s="4" t="s">
        <v>5600</v>
      </c>
      <c r="D1421" s="4"/>
      <c r="E1421" s="4" t="s">
        <v>7609</v>
      </c>
      <c r="F1421" s="4" t="s">
        <v>7610</v>
      </c>
      <c r="G1421" s="4" t="s">
        <v>7611</v>
      </c>
      <c r="H1421" s="4" t="s">
        <v>10</v>
      </c>
      <c r="I1421" s="5">
        <v>43514</v>
      </c>
      <c r="J1421" s="4" t="s">
        <v>4798</v>
      </c>
      <c r="K1421" s="4" t="s">
        <v>57</v>
      </c>
      <c r="L1421" s="4"/>
      <c r="M1421" s="4"/>
    </row>
    <row r="1422" ht="16" customHeight="1" s="4" customFormat="1">
      <c r="A1422" s="4">
        <v>934</v>
      </c>
      <c r="B1422" s="4" t="s">
        <v>5600</v>
      </c>
      <c r="C1422" s="4" t="s">
        <v>5600</v>
      </c>
      <c r="D1422" s="4"/>
      <c r="E1422" s="4" t="s">
        <v>7281</v>
      </c>
      <c r="F1422" s="4" t="s">
        <v>7612</v>
      </c>
      <c r="G1422" s="4" t="s">
        <v>7613</v>
      </c>
      <c r="H1422" s="4" t="s">
        <v>7614</v>
      </c>
      <c r="I1422" s="5">
        <v>43514</v>
      </c>
      <c r="J1422" s="4" t="s">
        <v>4798</v>
      </c>
      <c r="K1422" s="4" t="s">
        <v>57</v>
      </c>
      <c r="L1422" s="4"/>
      <c r="M1422" s="4"/>
    </row>
    <row r="1423" ht="16" customHeight="1" s="4" customFormat="1">
      <c r="A1423" s="4">
        <v>935</v>
      </c>
      <c r="B1423" s="4" t="s">
        <v>5600</v>
      </c>
      <c r="C1423" s="4" t="s">
        <v>5600</v>
      </c>
      <c r="D1423" s="4"/>
      <c r="E1423" s="4" t="s">
        <v>5956</v>
      </c>
      <c r="F1423" s="4" t="s">
        <v>7615</v>
      </c>
      <c r="G1423" s="4" t="s">
        <v>7607</v>
      </c>
      <c r="H1423" s="4" t="s">
        <v>7608</v>
      </c>
      <c r="I1423" s="5">
        <v>43514</v>
      </c>
      <c r="J1423" s="4" t="s">
        <v>4798</v>
      </c>
      <c r="K1423" s="4" t="s">
        <v>57</v>
      </c>
      <c r="L1423" s="4"/>
      <c r="M1423" s="4"/>
    </row>
    <row r="1424" ht="16" customHeight="1" s="4" customFormat="1">
      <c r="A1424" s="4">
        <v>936</v>
      </c>
      <c r="B1424" s="4" t="s">
        <v>5534</v>
      </c>
      <c r="C1424" s="4" t="s">
        <v>5773</v>
      </c>
      <c r="D1424" s="4"/>
      <c r="E1424" s="4"/>
      <c r="F1424" s="4" t="s">
        <v>7616</v>
      </c>
      <c r="G1424" s="4" t="s">
        <v>10</v>
      </c>
      <c r="H1424" s="4" t="s">
        <v>7617</v>
      </c>
      <c r="I1424" s="5">
        <v>43509</v>
      </c>
      <c r="J1424" s="4" t="s">
        <v>4842</v>
      </c>
      <c r="K1424" s="4" t="s">
        <v>57</v>
      </c>
      <c r="L1424" s="4"/>
      <c r="M1424" s="4"/>
    </row>
    <row r="1425" ht="16" customHeight="1" s="4" customFormat="1">
      <c r="A1425" s="4">
        <v>937</v>
      </c>
      <c r="B1425" s="4" t="s">
        <v>5600</v>
      </c>
      <c r="C1425" s="4" t="s">
        <v>5600</v>
      </c>
      <c r="D1425" s="4"/>
      <c r="E1425" s="4" t="s">
        <v>7618</v>
      </c>
      <c r="F1425" s="4" t="s">
        <v>7619</v>
      </c>
      <c r="G1425" s="4" t="s">
        <v>7620</v>
      </c>
      <c r="H1425" s="4" t="s">
        <v>7621</v>
      </c>
      <c r="I1425" s="5">
        <v>43503</v>
      </c>
      <c r="J1425" s="4" t="s">
        <v>7622</v>
      </c>
      <c r="K1425" s="4" t="s">
        <v>57</v>
      </c>
      <c r="L1425" s="4"/>
      <c r="M1425" s="4"/>
    </row>
    <row r="1426" ht="16" customHeight="1" s="4" customFormat="1">
      <c r="A1426" s="4">
        <v>938</v>
      </c>
      <c r="B1426" s="4" t="s">
        <v>6161</v>
      </c>
      <c r="C1426" s="4" t="s">
        <v>6618</v>
      </c>
      <c r="D1426" s="4"/>
      <c r="E1426" s="4"/>
      <c r="F1426" s="4" t="s">
        <v>7623</v>
      </c>
      <c r="G1426" s="4" t="s">
        <v>7624</v>
      </c>
      <c r="H1426" s="4" t="s">
        <v>7318</v>
      </c>
      <c r="I1426" s="5">
        <v>43500</v>
      </c>
      <c r="J1426" s="4" t="s">
        <v>4798</v>
      </c>
      <c r="K1426" s="4" t="s">
        <v>57</v>
      </c>
      <c r="L1426" s="4"/>
      <c r="M1426" s="4"/>
    </row>
    <row r="1427" ht="16" customHeight="1" s="4" customFormat="1">
      <c r="A1427" s="4">
        <v>939</v>
      </c>
      <c r="B1427" s="4" t="s">
        <v>5499</v>
      </c>
      <c r="C1427" s="4" t="s">
        <v>5500</v>
      </c>
      <c r="D1427" s="4" t="s">
        <v>5574</v>
      </c>
      <c r="E1427" s="4" t="s">
        <v>7625</v>
      </c>
      <c r="F1427" s="4" t="s">
        <v>7626</v>
      </c>
      <c r="G1427" s="4" t="s">
        <v>7627</v>
      </c>
      <c r="H1427" s="4" t="s">
        <v>7628</v>
      </c>
      <c r="I1427" s="5">
        <v>43495</v>
      </c>
      <c r="J1427" s="4" t="s">
        <v>4798</v>
      </c>
      <c r="K1427" s="4" t="s">
        <v>57</v>
      </c>
      <c r="L1427" s="4"/>
      <c r="M1427" s="4"/>
    </row>
    <row r="1428" ht="16" customHeight="1" s="4" customFormat="1">
      <c r="A1428" s="4">
        <v>940</v>
      </c>
      <c r="B1428" s="4" t="s">
        <v>5528</v>
      </c>
      <c r="C1428" s="4" t="s">
        <v>5529</v>
      </c>
      <c r="D1428" s="4"/>
      <c r="E1428" s="4" t="s">
        <v>5570</v>
      </c>
      <c r="F1428" s="4" t="s">
        <v>7629</v>
      </c>
      <c r="G1428" s="4" t="s">
        <v>7630</v>
      </c>
      <c r="H1428" s="4" t="s">
        <v>7631</v>
      </c>
      <c r="I1428" s="5">
        <v>43488</v>
      </c>
      <c r="J1428" s="4" t="s">
        <v>4798</v>
      </c>
      <c r="K1428" s="4" t="s">
        <v>57</v>
      </c>
      <c r="L1428" s="4"/>
      <c r="M1428" s="4"/>
    </row>
    <row r="1429" ht="16" customHeight="1" s="4" customFormat="1">
      <c r="A1429" s="4">
        <v>941</v>
      </c>
      <c r="B1429" s="4" t="s">
        <v>5499</v>
      </c>
      <c r="C1429" s="4" t="s">
        <v>5500</v>
      </c>
      <c r="D1429" s="4" t="s">
        <v>5728</v>
      </c>
      <c r="E1429" s="4" t="s">
        <v>5729</v>
      </c>
      <c r="F1429" s="4" t="s">
        <v>7632</v>
      </c>
      <c r="G1429" s="4" t="s">
        <v>5737</v>
      </c>
      <c r="H1429" s="4" t="s">
        <v>7633</v>
      </c>
      <c r="I1429" s="5">
        <v>43487</v>
      </c>
      <c r="J1429" s="4" t="s">
        <v>4798</v>
      </c>
      <c r="K1429" s="4" t="s">
        <v>57</v>
      </c>
      <c r="L1429" s="4"/>
      <c r="M1429" s="4"/>
    </row>
    <row r="1430" ht="16" customHeight="1" s="4" customFormat="1">
      <c r="A1430" s="4">
        <v>942</v>
      </c>
      <c r="B1430" s="4" t="s">
        <v>5499</v>
      </c>
      <c r="C1430" s="4" t="s">
        <v>5500</v>
      </c>
      <c r="D1430" s="4" t="s">
        <v>5728</v>
      </c>
      <c r="E1430" s="4" t="s">
        <v>5729</v>
      </c>
      <c r="F1430" s="4" t="s">
        <v>7634</v>
      </c>
      <c r="G1430" s="4" t="s">
        <v>5734</v>
      </c>
      <c r="H1430" s="4" t="s">
        <v>5744</v>
      </c>
      <c r="I1430" s="5">
        <v>43486</v>
      </c>
      <c r="J1430" s="4" t="s">
        <v>4798</v>
      </c>
      <c r="K1430" s="4" t="s">
        <v>57</v>
      </c>
      <c r="L1430" s="4"/>
      <c r="M1430" s="4"/>
    </row>
    <row r="1431" ht="16" customHeight="1" s="4" customFormat="1">
      <c r="A1431" s="4">
        <v>943</v>
      </c>
      <c r="B1431" s="4" t="s">
        <v>5499</v>
      </c>
      <c r="C1431" s="4" t="s">
        <v>7635</v>
      </c>
      <c r="D1431" s="4" t="s">
        <v>5574</v>
      </c>
      <c r="E1431" s="4" t="s">
        <v>5575</v>
      </c>
      <c r="F1431" s="4" t="s">
        <v>7636</v>
      </c>
      <c r="G1431" s="4" t="s">
        <v>7637</v>
      </c>
      <c r="H1431" s="4" t="s">
        <v>7638</v>
      </c>
      <c r="I1431" s="5">
        <v>43486</v>
      </c>
      <c r="J1431" s="4" t="s">
        <v>4798</v>
      </c>
      <c r="K1431" s="4" t="s">
        <v>57</v>
      </c>
      <c r="L1431" s="4"/>
      <c r="M1431" s="4"/>
    </row>
    <row r="1432" ht="16" customHeight="1" s="4" customFormat="1">
      <c r="A1432" s="4">
        <v>944</v>
      </c>
      <c r="B1432" s="4" t="s">
        <v>5600</v>
      </c>
      <c r="C1432" s="4" t="s">
        <v>5600</v>
      </c>
      <c r="D1432" s="4"/>
      <c r="E1432" s="4" t="s">
        <v>7639</v>
      </c>
      <c r="F1432" s="4" t="s">
        <v>7640</v>
      </c>
      <c r="G1432" s="4" t="s">
        <v>7641</v>
      </c>
      <c r="H1432" s="4" t="s">
        <v>7642</v>
      </c>
      <c r="I1432" s="5">
        <v>43483</v>
      </c>
      <c r="J1432" s="4" t="s">
        <v>4798</v>
      </c>
      <c r="K1432" s="4" t="s">
        <v>57</v>
      </c>
      <c r="L1432" s="4"/>
      <c r="M1432" s="4"/>
    </row>
    <row r="1433" ht="16" customHeight="1" s="4" customFormat="1">
      <c r="A1433" s="4">
        <v>945</v>
      </c>
      <c r="B1433" s="4" t="s">
        <v>5534</v>
      </c>
      <c r="C1433" s="4" t="s">
        <v>5773</v>
      </c>
      <c r="D1433" s="4"/>
      <c r="E1433" s="4"/>
      <c r="F1433" s="4" t="s">
        <v>7643</v>
      </c>
      <c r="G1433" s="4" t="s">
        <v>10</v>
      </c>
      <c r="H1433" s="4" t="s">
        <v>7644</v>
      </c>
      <c r="I1433" s="5">
        <v>43474</v>
      </c>
      <c r="J1433" s="4" t="s">
        <v>4842</v>
      </c>
      <c r="K1433" s="4" t="s">
        <v>57</v>
      </c>
      <c r="L1433" s="4"/>
      <c r="M1433" s="4"/>
    </row>
    <row r="1434" ht="16" customHeight="1" s="4" customFormat="1">
      <c r="A1434" s="4">
        <v>946</v>
      </c>
      <c r="B1434" s="4" t="s">
        <v>5499</v>
      </c>
      <c r="C1434" s="4" t="s">
        <v>5500</v>
      </c>
      <c r="D1434" s="4" t="s">
        <v>5728</v>
      </c>
      <c r="E1434" s="4" t="s">
        <v>5729</v>
      </c>
      <c r="F1434" s="4" t="s">
        <v>7645</v>
      </c>
      <c r="G1434" s="4" t="s">
        <v>5734</v>
      </c>
      <c r="H1434" s="4" t="s">
        <v>6154</v>
      </c>
      <c r="I1434" s="5">
        <v>43473</v>
      </c>
      <c r="J1434" s="4" t="s">
        <v>4798</v>
      </c>
      <c r="K1434" s="4" t="s">
        <v>57</v>
      </c>
      <c r="L1434" s="4"/>
      <c r="M1434" s="4"/>
    </row>
    <row r="1435" ht="16" customHeight="1" s="4" customFormat="1">
      <c r="A1435" s="4">
        <v>947</v>
      </c>
      <c r="B1435" s="4" t="s">
        <v>5499</v>
      </c>
      <c r="C1435" s="4" t="s">
        <v>5500</v>
      </c>
      <c r="D1435" s="4" t="s">
        <v>5728</v>
      </c>
      <c r="E1435" s="4" t="s">
        <v>5729</v>
      </c>
      <c r="F1435" s="4" t="s">
        <v>7646</v>
      </c>
      <c r="G1435" s="4" t="s">
        <v>5734</v>
      </c>
      <c r="H1435" s="4" t="s">
        <v>5735</v>
      </c>
      <c r="I1435" s="5">
        <v>43473</v>
      </c>
      <c r="J1435" s="4" t="s">
        <v>4798</v>
      </c>
      <c r="K1435" s="4" t="s">
        <v>57</v>
      </c>
      <c r="L1435" s="4"/>
      <c r="M1435" s="4"/>
    </row>
    <row r="1436" ht="16" customHeight="1" s="4" customFormat="1">
      <c r="A1436" s="4">
        <v>948</v>
      </c>
      <c r="B1436" s="4" t="s">
        <v>5499</v>
      </c>
      <c r="C1436" s="4" t="s">
        <v>5500</v>
      </c>
      <c r="D1436" s="4" t="s">
        <v>5728</v>
      </c>
      <c r="E1436" s="4" t="s">
        <v>5729</v>
      </c>
      <c r="F1436" s="4" t="s">
        <v>7647</v>
      </c>
      <c r="G1436" s="4" t="s">
        <v>5731</v>
      </c>
      <c r="H1436" s="4" t="s">
        <v>5732</v>
      </c>
      <c r="I1436" s="5">
        <v>43472</v>
      </c>
      <c r="J1436" s="4" t="s">
        <v>4798</v>
      </c>
      <c r="K1436" s="4" t="s">
        <v>57</v>
      </c>
      <c r="L1436" s="4"/>
      <c r="M1436" s="4"/>
    </row>
    <row r="1437" ht="16" customHeight="1" s="4" customFormat="1">
      <c r="A1437" s="4">
        <v>949</v>
      </c>
      <c r="B1437" s="4" t="s">
        <v>5499</v>
      </c>
      <c r="C1437" s="4" t="s">
        <v>5500</v>
      </c>
      <c r="D1437" s="4" t="s">
        <v>5728</v>
      </c>
      <c r="E1437" s="4" t="s">
        <v>5729</v>
      </c>
      <c r="F1437" s="4" t="s">
        <v>7648</v>
      </c>
      <c r="G1437" s="4" t="s">
        <v>5731</v>
      </c>
      <c r="H1437" s="4" t="s">
        <v>5732</v>
      </c>
      <c r="I1437" s="5">
        <v>43472</v>
      </c>
      <c r="J1437" s="4" t="s">
        <v>4798</v>
      </c>
      <c r="K1437" s="4" t="s">
        <v>57</v>
      </c>
      <c r="L1437" s="4"/>
      <c r="M1437" s="4"/>
    </row>
    <row r="1438" ht="16" customHeight="1" s="4" customFormat="1">
      <c r="A1438" s="4">
        <v>950</v>
      </c>
      <c r="B1438" s="4" t="s">
        <v>5499</v>
      </c>
      <c r="C1438" s="4" t="s">
        <v>5500</v>
      </c>
      <c r="D1438" s="4" t="s">
        <v>5728</v>
      </c>
      <c r="E1438" s="4" t="s">
        <v>5729</v>
      </c>
      <c r="F1438" s="4" t="s">
        <v>7649</v>
      </c>
      <c r="G1438" s="4" t="s">
        <v>5734</v>
      </c>
      <c r="H1438" s="4" t="s">
        <v>7650</v>
      </c>
      <c r="I1438" s="5">
        <v>43472</v>
      </c>
      <c r="J1438" s="4" t="s">
        <v>4798</v>
      </c>
      <c r="K1438" s="4" t="s">
        <v>57</v>
      </c>
      <c r="L1438" s="4"/>
      <c r="M1438" s="4"/>
    </row>
    <row r="1439" ht="16" customHeight="1" s="4" customFormat="1">
      <c r="A1439" s="4">
        <v>951</v>
      </c>
      <c r="B1439" s="4" t="s">
        <v>5600</v>
      </c>
      <c r="C1439" s="4" t="s">
        <v>5600</v>
      </c>
      <c r="D1439" s="4"/>
      <c r="E1439" s="4" t="s">
        <v>7609</v>
      </c>
      <c r="F1439" s="4" t="s">
        <v>7651</v>
      </c>
      <c r="G1439" s="4" t="s">
        <v>7652</v>
      </c>
      <c r="H1439" s="4" t="s">
        <v>7653</v>
      </c>
      <c r="I1439" s="5">
        <v>43472</v>
      </c>
      <c r="J1439" s="4" t="s">
        <v>4798</v>
      </c>
      <c r="K1439" s="4" t="s">
        <v>57</v>
      </c>
      <c r="L1439" s="4"/>
      <c r="M1439" s="4"/>
    </row>
    <row r="1440" ht="16" customHeight="1" s="4" customFormat="1">
      <c r="A1440" s="4">
        <v>952</v>
      </c>
      <c r="B1440" s="4" t="s">
        <v>5499</v>
      </c>
      <c r="C1440" s="4" t="s">
        <v>5500</v>
      </c>
      <c r="D1440" s="4"/>
      <c r="E1440" s="4"/>
      <c r="F1440" s="4" t="s">
        <v>7654</v>
      </c>
      <c r="G1440" s="4" t="s">
        <v>6005</v>
      </c>
      <c r="H1440" s="4" t="s">
        <v>6000</v>
      </c>
      <c r="I1440" s="5">
        <v>43451</v>
      </c>
      <c r="J1440" s="4" t="s">
        <v>4842</v>
      </c>
      <c r="K1440" s="4" t="s">
        <v>57</v>
      </c>
      <c r="L1440" s="4"/>
      <c r="M1440" s="4"/>
    </row>
    <row r="1441" ht="16" customHeight="1" s="4" customFormat="1">
      <c r="A1441" s="4">
        <v>953</v>
      </c>
      <c r="B1441" s="4" t="s">
        <v>5534</v>
      </c>
      <c r="C1441" s="4" t="s">
        <v>5631</v>
      </c>
      <c r="D1441" s="4"/>
      <c r="E1441" s="4"/>
      <c r="F1441" s="4" t="s">
        <v>7655</v>
      </c>
      <c r="G1441" s="4" t="s">
        <v>10</v>
      </c>
      <c r="H1441" s="4" t="s">
        <v>7656</v>
      </c>
      <c r="I1441" s="5">
        <v>43449</v>
      </c>
      <c r="J1441" s="4" t="s">
        <v>4798</v>
      </c>
      <c r="K1441" s="4" t="s">
        <v>57</v>
      </c>
      <c r="L1441" s="4"/>
      <c r="M1441" s="4"/>
    </row>
    <row r="1442" ht="16" customHeight="1" s="4" customFormat="1">
      <c r="A1442" s="4">
        <v>954</v>
      </c>
      <c r="B1442" s="4" t="s">
        <v>5534</v>
      </c>
      <c r="C1442" s="4" t="s">
        <v>5773</v>
      </c>
      <c r="D1442" s="4"/>
      <c r="E1442" s="4"/>
      <c r="F1442" s="4" t="s">
        <v>7657</v>
      </c>
      <c r="G1442" s="4" t="s">
        <v>5791</v>
      </c>
      <c r="H1442" s="4" t="s">
        <v>6765</v>
      </c>
      <c r="I1442" s="5">
        <v>43448</v>
      </c>
      <c r="J1442" s="4" t="s">
        <v>4842</v>
      </c>
      <c r="K1442" s="4" t="s">
        <v>57</v>
      </c>
      <c r="L1442" s="4"/>
      <c r="M1442" s="4"/>
    </row>
    <row r="1443" ht="16" customHeight="1" s="4" customFormat="1">
      <c r="A1443" s="4">
        <v>955</v>
      </c>
      <c r="B1443" s="4" t="s">
        <v>5499</v>
      </c>
      <c r="C1443" s="4" t="s">
        <v>5702</v>
      </c>
      <c r="D1443" s="4" t="s">
        <v>5574</v>
      </c>
      <c r="E1443" s="4" t="s">
        <v>5575</v>
      </c>
      <c r="F1443" s="4" t="s">
        <v>7658</v>
      </c>
      <c r="G1443" s="4" t="s">
        <v>6422</v>
      </c>
      <c r="H1443" s="4" t="s">
        <v>7659</v>
      </c>
      <c r="I1443" s="5">
        <v>43446</v>
      </c>
      <c r="J1443" s="4" t="s">
        <v>4798</v>
      </c>
      <c r="K1443" s="4" t="s">
        <v>57</v>
      </c>
      <c r="L1443" s="4"/>
      <c r="M1443" s="4"/>
    </row>
    <row r="1444" ht="16" customHeight="1" s="4" customFormat="1">
      <c r="A1444" s="4">
        <v>982</v>
      </c>
      <c r="B1444" s="4" t="s">
        <v>5499</v>
      </c>
      <c r="C1444" s="4" t="s">
        <v>5714</v>
      </c>
      <c r="D1444" s="4"/>
      <c r="E1444" s="4" t="s">
        <v>7660</v>
      </c>
      <c r="F1444" s="4" t="s">
        <v>7661</v>
      </c>
      <c r="G1444" s="4" t="s">
        <v>7662</v>
      </c>
      <c r="H1444" s="4" t="s">
        <v>7663</v>
      </c>
      <c r="I1444" s="5">
        <v>43378</v>
      </c>
      <c r="J1444" s="4" t="s">
        <v>4842</v>
      </c>
      <c r="K1444" s="4" t="s">
        <v>57</v>
      </c>
      <c r="L1444" s="4"/>
      <c r="M1444" s="4"/>
    </row>
    <row r="1445" ht="16" customHeight="1" s="4" customFormat="1">
      <c r="A1445" s="4">
        <v>3117</v>
      </c>
      <c r="B1445" s="4" t="s">
        <v>5499</v>
      </c>
      <c r="C1445" s="4" t="s">
        <v>5500</v>
      </c>
      <c r="D1445" s="4"/>
      <c r="E1445" s="4" t="s">
        <v>7664</v>
      </c>
      <c r="F1445" s="4" t="s">
        <v>7665</v>
      </c>
      <c r="G1445" s="4" t="s">
        <v>7666</v>
      </c>
      <c r="H1445" s="4" t="s">
        <v>7181</v>
      </c>
      <c r="I1445" s="4"/>
      <c r="J1445" s="4" t="s">
        <v>5506</v>
      </c>
      <c r="K1445" s="4" t="s">
        <v>57</v>
      </c>
      <c r="L1445" s="4"/>
      <c r="M1445" s="4"/>
    </row>
    <row r="1446" ht="16" customHeight="1" s="4" customFormat="1">
      <c r="A1446" s="4">
        <v>3118</v>
      </c>
      <c r="B1446" s="4" t="s">
        <v>5499</v>
      </c>
      <c r="C1446" s="4" t="s">
        <v>5500</v>
      </c>
      <c r="D1446" s="4" t="s">
        <v>5574</v>
      </c>
      <c r="E1446" s="4" t="s">
        <v>5575</v>
      </c>
      <c r="F1446" s="4" t="s">
        <v>7667</v>
      </c>
      <c r="G1446" s="4" t="s">
        <v>7668</v>
      </c>
      <c r="H1446" s="4" t="s">
        <v>7669</v>
      </c>
      <c r="I1446" s="4"/>
      <c r="J1446" s="4" t="s">
        <v>5506</v>
      </c>
      <c r="K1446" s="4" t="s">
        <v>57</v>
      </c>
      <c r="L1446" s="4"/>
      <c r="M1446" s="4"/>
    </row>
    <row r="1447" ht="16" customHeight="1" s="4" customFormat="1">
      <c r="A1447" s="4">
        <v>3119</v>
      </c>
      <c r="B1447" s="4" t="s">
        <v>5499</v>
      </c>
      <c r="C1447" s="4" t="s">
        <v>5500</v>
      </c>
      <c r="D1447" s="4" t="s">
        <v>5574</v>
      </c>
      <c r="E1447" s="4" t="s">
        <v>5575</v>
      </c>
      <c r="F1447" s="4" t="s">
        <v>7670</v>
      </c>
      <c r="G1447" s="4" t="s">
        <v>7671</v>
      </c>
      <c r="H1447" s="4" t="s">
        <v>7672</v>
      </c>
      <c r="I1447" s="4"/>
      <c r="J1447" s="4" t="s">
        <v>5506</v>
      </c>
      <c r="K1447" s="4" t="s">
        <v>57</v>
      </c>
      <c r="L1447" s="4"/>
      <c r="M1447" s="4"/>
    </row>
    <row r="1448" ht="16" customHeight="1" s="4" customFormat="1">
      <c r="A1448" s="4">
        <v>3120</v>
      </c>
      <c r="B1448" s="4" t="s">
        <v>5499</v>
      </c>
      <c r="C1448" s="4" t="s">
        <v>5513</v>
      </c>
      <c r="D1448" s="4" t="s">
        <v>5574</v>
      </c>
      <c r="E1448" s="4" t="s">
        <v>5575</v>
      </c>
      <c r="F1448" s="4" t="s">
        <v>7673</v>
      </c>
      <c r="G1448" s="4" t="s">
        <v>4850</v>
      </c>
      <c r="H1448" s="4" t="s">
        <v>7674</v>
      </c>
      <c r="I1448" s="4"/>
      <c r="J1448" s="4" t="s">
        <v>4798</v>
      </c>
      <c r="K1448" s="4" t="s">
        <v>57</v>
      </c>
      <c r="L1448" s="4"/>
      <c r="M1448" s="4"/>
    </row>
    <row r="1449" ht="16" customHeight="1" s="4" customFormat="1">
      <c r="A1449" s="4">
        <v>3121</v>
      </c>
      <c r="B1449" s="4" t="s">
        <v>5499</v>
      </c>
      <c r="C1449" s="4" t="s">
        <v>5590</v>
      </c>
      <c r="D1449" s="4" t="s">
        <v>5574</v>
      </c>
      <c r="E1449" s="4" t="s">
        <v>5575</v>
      </c>
      <c r="F1449" s="4" t="s">
        <v>7675</v>
      </c>
      <c r="G1449" s="4" t="s">
        <v>4850</v>
      </c>
      <c r="H1449" s="4" t="s">
        <v>7113</v>
      </c>
      <c r="I1449" s="4"/>
      <c r="J1449" s="4" t="s">
        <v>5506</v>
      </c>
      <c r="K1449" s="4" t="s">
        <v>57</v>
      </c>
      <c r="L1449" s="4"/>
      <c r="M1449" s="4"/>
    </row>
    <row r="1450" ht="16" customHeight="1" s="4" customFormat="1">
      <c r="A1450" s="4">
        <v>3122</v>
      </c>
      <c r="B1450" s="4" t="s">
        <v>5499</v>
      </c>
      <c r="C1450" s="4" t="s">
        <v>5702</v>
      </c>
      <c r="D1450" s="4" t="s">
        <v>5574</v>
      </c>
      <c r="E1450" s="4" t="s">
        <v>5575</v>
      </c>
      <c r="F1450" s="4" t="s">
        <v>7676</v>
      </c>
      <c r="G1450" s="4" t="s">
        <v>7677</v>
      </c>
      <c r="H1450" s="4" t="s">
        <v>7241</v>
      </c>
      <c r="I1450" s="4"/>
      <c r="J1450" s="4" t="s">
        <v>4798</v>
      </c>
      <c r="K1450" s="4" t="s">
        <v>57</v>
      </c>
      <c r="L1450" s="4"/>
      <c r="M1450" s="4"/>
    </row>
    <row r="1451" ht="16" customHeight="1" s="4" customFormat="1">
      <c r="A1451" s="4">
        <v>3123</v>
      </c>
      <c r="B1451" s="4" t="s">
        <v>5499</v>
      </c>
      <c r="C1451" s="4" t="s">
        <v>5702</v>
      </c>
      <c r="D1451" s="4" t="s">
        <v>5574</v>
      </c>
      <c r="E1451" s="4" t="s">
        <v>5575</v>
      </c>
      <c r="F1451" s="4" t="s">
        <v>7678</v>
      </c>
      <c r="G1451" s="4" t="s">
        <v>7679</v>
      </c>
      <c r="H1451" s="4" t="s">
        <v>7241</v>
      </c>
      <c r="I1451" s="4"/>
      <c r="J1451" s="4" t="s">
        <v>4798</v>
      </c>
      <c r="K1451" s="4" t="s">
        <v>57</v>
      </c>
      <c r="L1451" s="4"/>
      <c r="M1451" s="4"/>
    </row>
    <row r="1452" ht="16" customHeight="1" s="4" customFormat="1">
      <c r="A1452" s="4">
        <v>3124</v>
      </c>
      <c r="B1452" s="4" t="s">
        <v>5499</v>
      </c>
      <c r="C1452" s="4" t="s">
        <v>5702</v>
      </c>
      <c r="D1452" s="4" t="s">
        <v>5574</v>
      </c>
      <c r="E1452" s="4" t="s">
        <v>5575</v>
      </c>
      <c r="F1452" s="4" t="s">
        <v>7680</v>
      </c>
      <c r="G1452" s="4" t="s">
        <v>7681</v>
      </c>
      <c r="H1452" s="4" t="s">
        <v>7241</v>
      </c>
      <c r="I1452" s="4"/>
      <c r="J1452" s="4" t="s">
        <v>4798</v>
      </c>
      <c r="K1452" s="4" t="s">
        <v>57</v>
      </c>
      <c r="L1452" s="4"/>
      <c r="M1452" s="4"/>
    </row>
    <row r="1453" ht="16" customHeight="1" s="4" customFormat="1">
      <c r="A1453" s="4">
        <v>3125</v>
      </c>
      <c r="B1453" s="4" t="s">
        <v>5499</v>
      </c>
      <c r="C1453" s="4" t="s">
        <v>7045</v>
      </c>
      <c r="D1453" s="4" t="s">
        <v>5574</v>
      </c>
      <c r="E1453" s="4" t="s">
        <v>7046</v>
      </c>
      <c r="F1453" s="4" t="s">
        <v>7682</v>
      </c>
      <c r="G1453" s="4" t="s">
        <v>7026</v>
      </c>
      <c r="H1453" s="4" t="s">
        <v>7072</v>
      </c>
      <c r="I1453" s="4"/>
      <c r="J1453" s="4" t="s">
        <v>5506</v>
      </c>
      <c r="K1453" s="4" t="s">
        <v>57</v>
      </c>
      <c r="L1453" s="4"/>
      <c r="M1453" s="4"/>
    </row>
    <row r="1454" ht="16" customHeight="1" s="4" customFormat="1">
      <c r="A1454" s="4">
        <v>3126</v>
      </c>
      <c r="B1454" s="4" t="s">
        <v>5499</v>
      </c>
      <c r="C1454" s="4" t="s">
        <v>5702</v>
      </c>
      <c r="D1454" s="4" t="s">
        <v>5574</v>
      </c>
      <c r="E1454" s="4" t="s">
        <v>5575</v>
      </c>
      <c r="F1454" s="4" t="s">
        <v>7683</v>
      </c>
      <c r="G1454" s="4" t="s">
        <v>7684</v>
      </c>
      <c r="H1454" s="4" t="s">
        <v>7241</v>
      </c>
      <c r="I1454" s="4"/>
      <c r="J1454" s="4" t="s">
        <v>4798</v>
      </c>
      <c r="K1454" s="4" t="s">
        <v>57</v>
      </c>
      <c r="L1454" s="4"/>
      <c r="M1454" s="4"/>
    </row>
    <row r="1455" ht="16" customHeight="1" s="4" customFormat="1">
      <c r="A1455" s="4">
        <v>3127</v>
      </c>
      <c r="B1455" s="4" t="s">
        <v>5499</v>
      </c>
      <c r="C1455" s="4" t="s">
        <v>5573</v>
      </c>
      <c r="D1455" s="4" t="s">
        <v>5574</v>
      </c>
      <c r="E1455" s="4" t="s">
        <v>5575</v>
      </c>
      <c r="F1455" s="4" t="s">
        <v>7685</v>
      </c>
      <c r="G1455" s="4" t="s">
        <v>4850</v>
      </c>
      <c r="H1455" s="4" t="s">
        <v>7000</v>
      </c>
      <c r="I1455" s="4"/>
      <c r="J1455" s="4" t="s">
        <v>4842</v>
      </c>
      <c r="K1455" s="4" t="s">
        <v>57</v>
      </c>
      <c r="L1455" s="4"/>
      <c r="M1455" s="4"/>
    </row>
    <row r="1456" ht="16" customHeight="1" s="4" customFormat="1">
      <c r="A1456" s="4">
        <v>3128</v>
      </c>
      <c r="B1456" s="4" t="s">
        <v>5499</v>
      </c>
      <c r="C1456" s="4" t="s">
        <v>5590</v>
      </c>
      <c r="D1456" s="4"/>
      <c r="E1456" s="4" t="s">
        <v>5952</v>
      </c>
      <c r="F1456" s="4" t="s">
        <v>7686</v>
      </c>
      <c r="G1456" s="4" t="s">
        <v>4850</v>
      </c>
      <c r="H1456" s="4" t="s">
        <v>7113</v>
      </c>
      <c r="I1456" s="4"/>
      <c r="J1456" s="4" t="s">
        <v>5506</v>
      </c>
      <c r="K1456" s="4" t="s">
        <v>57</v>
      </c>
      <c r="L1456" s="4"/>
      <c r="M1456" s="4"/>
    </row>
    <row r="1457" ht="16" customHeight="1" s="4" customFormat="1">
      <c r="A1457" s="4">
        <v>3129</v>
      </c>
      <c r="B1457" s="4" t="s">
        <v>5499</v>
      </c>
      <c r="C1457" s="4" t="s">
        <v>5500</v>
      </c>
      <c r="D1457" s="4" t="s">
        <v>5574</v>
      </c>
      <c r="E1457" s="4" t="s">
        <v>5706</v>
      </c>
      <c r="F1457" s="4" t="s">
        <v>7687</v>
      </c>
      <c r="G1457" s="4" t="s">
        <v>7627</v>
      </c>
      <c r="H1457" s="4" t="s">
        <v>7628</v>
      </c>
      <c r="I1457" s="4"/>
      <c r="J1457" s="4" t="s">
        <v>4842</v>
      </c>
      <c r="K1457" s="4" t="s">
        <v>57</v>
      </c>
      <c r="L1457" s="4"/>
      <c r="M1457" s="4"/>
    </row>
    <row r="1458" ht="16" customHeight="1" s="4" customFormat="1">
      <c r="A1458" s="4">
        <v>3130</v>
      </c>
      <c r="B1458" s="4" t="s">
        <v>5499</v>
      </c>
      <c r="C1458" s="4" t="s">
        <v>5702</v>
      </c>
      <c r="D1458" s="4" t="s">
        <v>5728</v>
      </c>
      <c r="E1458" s="4" t="s">
        <v>5515</v>
      </c>
      <c r="F1458" s="4" t="s">
        <v>7688</v>
      </c>
      <c r="G1458" s="4" t="s">
        <v>7689</v>
      </c>
      <c r="H1458" s="4" t="s">
        <v>7026</v>
      </c>
      <c r="I1458" s="4"/>
      <c r="J1458" s="4" t="s">
        <v>5506</v>
      </c>
      <c r="K1458" s="4" t="s">
        <v>57</v>
      </c>
      <c r="L1458" s="4"/>
      <c r="M1458" s="4"/>
    </row>
    <row r="1459" ht="16" customHeight="1" s="4" customFormat="1">
      <c r="A1459" s="4">
        <v>3131</v>
      </c>
      <c r="B1459" s="4" t="s">
        <v>5499</v>
      </c>
      <c r="C1459" s="4" t="s">
        <v>5573</v>
      </c>
      <c r="D1459" s="4" t="s">
        <v>5574</v>
      </c>
      <c r="E1459" s="4" t="s">
        <v>5575</v>
      </c>
      <c r="F1459" s="4" t="s">
        <v>7690</v>
      </c>
      <c r="G1459" s="4" t="s">
        <v>7533</v>
      </c>
      <c r="H1459" s="4" t="s">
        <v>7009</v>
      </c>
      <c r="I1459" s="4"/>
      <c r="J1459" s="4" t="s">
        <v>4798</v>
      </c>
      <c r="K1459" s="4" t="s">
        <v>57</v>
      </c>
      <c r="L1459" s="4"/>
      <c r="M1459" s="4"/>
    </row>
    <row r="1460" ht="16" customHeight="1" s="4" customFormat="1">
      <c r="A1460" s="4">
        <v>3132</v>
      </c>
      <c r="B1460" s="4" t="s">
        <v>5499</v>
      </c>
      <c r="C1460" s="4" t="s">
        <v>5509</v>
      </c>
      <c r="D1460" s="4"/>
      <c r="E1460" s="4"/>
      <c r="F1460" s="4" t="s">
        <v>7691</v>
      </c>
      <c r="G1460" s="4" t="s">
        <v>5835</v>
      </c>
      <c r="H1460" s="4" t="s">
        <v>5837</v>
      </c>
      <c r="I1460" s="4"/>
      <c r="J1460" s="4" t="s">
        <v>4842</v>
      </c>
      <c r="K1460" s="4" t="s">
        <v>57</v>
      </c>
      <c r="L1460" s="4"/>
      <c r="M1460" s="4"/>
    </row>
    <row r="1461" ht="16" customHeight="1" s="4" customFormat="1">
      <c r="A1461" s="4">
        <v>3133</v>
      </c>
      <c r="B1461" s="4" t="s">
        <v>5528</v>
      </c>
      <c r="C1461" s="4" t="s">
        <v>7692</v>
      </c>
      <c r="D1461" s="4"/>
      <c r="E1461" s="4" t="s">
        <v>7693</v>
      </c>
      <c r="F1461" s="4" t="s">
        <v>7694</v>
      </c>
      <c r="G1461" s="4" t="s">
        <v>7533</v>
      </c>
      <c r="H1461" s="4" t="s">
        <v>7695</v>
      </c>
      <c r="I1461" s="4"/>
      <c r="J1461" s="4" t="s">
        <v>4842</v>
      </c>
      <c r="K1461" s="4" t="s">
        <v>57</v>
      </c>
      <c r="L1461" s="4"/>
      <c r="M1461" s="4"/>
    </row>
    <row r="1462" ht="16" customHeight="1" s="4" customFormat="1">
      <c r="A1462" s="4">
        <v>3134</v>
      </c>
      <c r="B1462" s="4" t="s">
        <v>5499</v>
      </c>
      <c r="C1462" s="4" t="s">
        <v>5500</v>
      </c>
      <c r="D1462" s="4" t="s">
        <v>5574</v>
      </c>
      <c r="E1462" s="4" t="s">
        <v>7696</v>
      </c>
      <c r="F1462" s="4" t="s">
        <v>7697</v>
      </c>
      <c r="G1462" s="4" t="s">
        <v>7698</v>
      </c>
      <c r="H1462" s="4" t="s">
        <v>7699</v>
      </c>
      <c r="I1462" s="4"/>
      <c r="J1462" s="4" t="s">
        <v>4798</v>
      </c>
      <c r="K1462" s="4" t="s">
        <v>57</v>
      </c>
      <c r="L1462" s="4"/>
      <c r="M1462" s="4"/>
    </row>
    <row r="1463" ht="16" customHeight="1" s="4" customFormat="1">
      <c r="A1463" s="4">
        <v>3135</v>
      </c>
      <c r="B1463" s="4" t="s">
        <v>5499</v>
      </c>
      <c r="C1463" s="4" t="s">
        <v>5500</v>
      </c>
      <c r="D1463" s="4" t="s">
        <v>5845</v>
      </c>
      <c r="E1463" s="4" t="s">
        <v>6984</v>
      </c>
      <c r="F1463" s="4" t="s">
        <v>7700</v>
      </c>
      <c r="G1463" s="4" t="s">
        <v>7701</v>
      </c>
      <c r="H1463" s="4" t="s">
        <v>7702</v>
      </c>
      <c r="I1463" s="4"/>
      <c r="J1463" s="4" t="s">
        <v>5506</v>
      </c>
      <c r="K1463" s="4" t="s">
        <v>57</v>
      </c>
      <c r="L1463" s="4"/>
      <c r="M1463" s="4"/>
    </row>
    <row r="1464" ht="16" customHeight="1" s="4" customFormat="1">
      <c r="A1464" s="4">
        <v>3136</v>
      </c>
      <c r="B1464" s="4" t="s">
        <v>5499</v>
      </c>
      <c r="C1464" s="4" t="s">
        <v>5500</v>
      </c>
      <c r="D1464" s="4" t="s">
        <v>5845</v>
      </c>
      <c r="E1464" s="4" t="s">
        <v>6984</v>
      </c>
      <c r="F1464" s="4" t="s">
        <v>7703</v>
      </c>
      <c r="G1464" s="4" t="s">
        <v>7701</v>
      </c>
      <c r="H1464" s="4" t="s">
        <v>7702</v>
      </c>
      <c r="I1464" s="4"/>
      <c r="J1464" s="4" t="s">
        <v>5506</v>
      </c>
      <c r="K1464" s="4" t="s">
        <v>57</v>
      </c>
      <c r="L1464" s="4"/>
      <c r="M1464" s="4"/>
    </row>
    <row r="1465" ht="16" customHeight="1" s="4" customFormat="1">
      <c r="A1465" s="4">
        <v>3137</v>
      </c>
      <c r="B1465" s="4" t="s">
        <v>5499</v>
      </c>
      <c r="C1465" s="4" t="s">
        <v>5500</v>
      </c>
      <c r="D1465" s="4"/>
      <c r="E1465" s="4" t="s">
        <v>6990</v>
      </c>
      <c r="F1465" s="4" t="s">
        <v>7704</v>
      </c>
      <c r="G1465" s="4" t="s">
        <v>7705</v>
      </c>
      <c r="H1465" s="4" t="s">
        <v>7706</v>
      </c>
      <c r="I1465" s="4"/>
      <c r="J1465" s="4" t="s">
        <v>5506</v>
      </c>
      <c r="K1465" s="4" t="s">
        <v>57</v>
      </c>
      <c r="L1465" s="4"/>
      <c r="M1465" s="4"/>
    </row>
    <row r="1466" ht="16" customHeight="1" s="4" customFormat="1">
      <c r="A1466" s="4">
        <v>3138</v>
      </c>
      <c r="B1466" s="4" t="s">
        <v>5499</v>
      </c>
      <c r="C1466" s="4" t="s">
        <v>5500</v>
      </c>
      <c r="D1466" s="4" t="s">
        <v>5574</v>
      </c>
      <c r="E1466" s="4" t="s">
        <v>5575</v>
      </c>
      <c r="F1466" s="4" t="s">
        <v>7707</v>
      </c>
      <c r="G1466" s="4" t="s">
        <v>7708</v>
      </c>
      <c r="H1466" s="4" t="s">
        <v>7709</v>
      </c>
      <c r="I1466" s="4"/>
      <c r="J1466" s="4" t="s">
        <v>4798</v>
      </c>
      <c r="K1466" s="4" t="s">
        <v>57</v>
      </c>
      <c r="L1466" s="4"/>
      <c r="M1466" s="4"/>
    </row>
    <row r="1467" ht="16" customHeight="1" s="4" customFormat="1">
      <c r="A1467" s="4">
        <v>3139</v>
      </c>
      <c r="B1467" s="4" t="s">
        <v>5528</v>
      </c>
      <c r="C1467" s="4" t="s">
        <v>7692</v>
      </c>
      <c r="D1467" s="4"/>
      <c r="E1467" s="4" t="s">
        <v>7710</v>
      </c>
      <c r="F1467" s="4" t="s">
        <v>7711</v>
      </c>
      <c r="G1467" s="4" t="s">
        <v>4850</v>
      </c>
      <c r="H1467" s="4" t="s">
        <v>7712</v>
      </c>
      <c r="I1467" s="4"/>
      <c r="J1467" s="4" t="s">
        <v>4842</v>
      </c>
      <c r="K1467" s="4" t="s">
        <v>57</v>
      </c>
      <c r="L1467" s="4"/>
      <c r="M1467" s="4"/>
    </row>
    <row r="1468" ht="16" customHeight="1" s="4" customFormat="1">
      <c r="A1468" s="4">
        <v>3140</v>
      </c>
      <c r="B1468" s="4" t="s">
        <v>5528</v>
      </c>
      <c r="C1468" s="4" t="s">
        <v>5529</v>
      </c>
      <c r="D1468" s="4"/>
      <c r="E1468" s="4" t="s">
        <v>7713</v>
      </c>
      <c r="F1468" s="4" t="s">
        <v>7714</v>
      </c>
      <c r="G1468" s="4" t="s">
        <v>7715</v>
      </c>
      <c r="H1468" s="4" t="s">
        <v>5680</v>
      </c>
      <c r="I1468" s="4"/>
      <c r="J1468" s="4" t="s">
        <v>4842</v>
      </c>
      <c r="K1468" s="4" t="s">
        <v>57</v>
      </c>
      <c r="L1468" s="4"/>
      <c r="M1468" s="4"/>
    </row>
    <row r="1469" ht="16" customHeight="1" s="4" customFormat="1">
      <c r="A1469" s="4">
        <v>3141</v>
      </c>
      <c r="B1469" s="4" t="s">
        <v>5528</v>
      </c>
      <c r="C1469" s="4" t="s">
        <v>7692</v>
      </c>
      <c r="D1469" s="4"/>
      <c r="E1469" s="4" t="s">
        <v>7716</v>
      </c>
      <c r="F1469" s="4" t="s">
        <v>7717</v>
      </c>
      <c r="G1469" s="4" t="s">
        <v>7718</v>
      </c>
      <c r="H1469" s="4" t="s">
        <v>7719</v>
      </c>
      <c r="I1469" s="4"/>
      <c r="J1469" s="4" t="s">
        <v>4842</v>
      </c>
      <c r="K1469" s="4" t="s">
        <v>57</v>
      </c>
      <c r="L1469" s="4"/>
      <c r="M1469" s="4"/>
    </row>
    <row r="1470" ht="16" customHeight="1" s="4" customFormat="1">
      <c r="A1470" s="4">
        <v>3142</v>
      </c>
      <c r="B1470" s="4" t="s">
        <v>5499</v>
      </c>
      <c r="C1470" s="4" t="s">
        <v>7220</v>
      </c>
      <c r="D1470" s="4"/>
      <c r="E1470" s="4" t="s">
        <v>7720</v>
      </c>
      <c r="F1470" s="4" t="s">
        <v>7721</v>
      </c>
      <c r="G1470" s="4" t="s">
        <v>7722</v>
      </c>
      <c r="H1470" s="4" t="s">
        <v>7723</v>
      </c>
      <c r="I1470" s="4"/>
      <c r="J1470" s="4" t="s">
        <v>5506</v>
      </c>
      <c r="K1470" s="4" t="s">
        <v>57</v>
      </c>
      <c r="L1470" s="4"/>
      <c r="M1470" s="4"/>
    </row>
    <row r="1471" ht="16" customHeight="1" s="4" customFormat="1">
      <c r="A1471" s="4">
        <v>3143</v>
      </c>
      <c r="B1471" s="4" t="s">
        <v>5499</v>
      </c>
      <c r="C1471" s="4" t="s">
        <v>7220</v>
      </c>
      <c r="D1471" s="4"/>
      <c r="E1471" s="4" t="s">
        <v>7724</v>
      </c>
      <c r="F1471" s="4" t="s">
        <v>7725</v>
      </c>
      <c r="G1471" s="4" t="s">
        <v>7014</v>
      </c>
      <c r="H1471" s="4" t="s">
        <v>7726</v>
      </c>
      <c r="I1471" s="4"/>
      <c r="J1471" s="4" t="s">
        <v>5506</v>
      </c>
      <c r="K1471" s="4" t="s">
        <v>57</v>
      </c>
      <c r="L1471" s="4"/>
      <c r="M1471" s="4"/>
    </row>
    <row r="1472" ht="16" customHeight="1" s="4" customFormat="1">
      <c r="A1472" s="4">
        <v>3144</v>
      </c>
      <c r="B1472" s="4" t="s">
        <v>5499</v>
      </c>
      <c r="C1472" s="4" t="s">
        <v>5509</v>
      </c>
      <c r="D1472" s="4"/>
      <c r="E1472" s="4"/>
      <c r="F1472" s="4" t="s">
        <v>7727</v>
      </c>
      <c r="G1472" s="4" t="s">
        <v>7728</v>
      </c>
      <c r="H1472" s="4" t="s">
        <v>10</v>
      </c>
      <c r="I1472" s="4"/>
      <c r="J1472" s="4" t="s">
        <v>7729</v>
      </c>
      <c r="K1472" s="4" t="s">
        <v>57</v>
      </c>
      <c r="L1472" s="4"/>
      <c r="M1472" s="4"/>
    </row>
    <row r="1473" ht="16" customHeight="1" s="4" customFormat="1">
      <c r="A1473" s="4">
        <v>3145</v>
      </c>
      <c r="B1473" s="4" t="s">
        <v>5499</v>
      </c>
      <c r="C1473" s="4" t="s">
        <v>5509</v>
      </c>
      <c r="D1473" s="4"/>
      <c r="E1473" s="4"/>
      <c r="F1473" s="4" t="s">
        <v>7730</v>
      </c>
      <c r="G1473" s="4" t="s">
        <v>7731</v>
      </c>
      <c r="H1473" s="4" t="s">
        <v>6308</v>
      </c>
      <c r="I1473" s="4"/>
      <c r="J1473" s="4" t="s">
        <v>7729</v>
      </c>
      <c r="K1473" s="4" t="s">
        <v>57</v>
      </c>
      <c r="L1473" s="4"/>
      <c r="M1473" s="4"/>
    </row>
    <row r="1474" ht="16" customHeight="1" s="4" customFormat="1">
      <c r="A1474" s="4">
        <v>3146</v>
      </c>
      <c r="B1474" s="4" t="s">
        <v>5499</v>
      </c>
      <c r="C1474" s="4" t="s">
        <v>5509</v>
      </c>
      <c r="D1474" s="4"/>
      <c r="E1474" s="4"/>
      <c r="F1474" s="4" t="s">
        <v>7732</v>
      </c>
      <c r="G1474" s="4" t="s">
        <v>7733</v>
      </c>
      <c r="H1474" s="4" t="s">
        <v>10</v>
      </c>
      <c r="I1474" s="4"/>
      <c r="J1474" s="4" t="s">
        <v>7729</v>
      </c>
      <c r="K1474" s="4" t="s">
        <v>57</v>
      </c>
      <c r="L1474" s="4"/>
      <c r="M1474" s="4"/>
    </row>
    <row r="1475" ht="16" customHeight="1" s="4" customFormat="1">
      <c r="A1475" s="4">
        <v>3147</v>
      </c>
      <c r="B1475" s="4" t="s">
        <v>5499</v>
      </c>
      <c r="C1475" s="4" t="s">
        <v>5509</v>
      </c>
      <c r="D1475" s="4"/>
      <c r="E1475" s="4"/>
      <c r="F1475" s="4" t="s">
        <v>7734</v>
      </c>
      <c r="G1475" s="4" t="s">
        <v>10</v>
      </c>
      <c r="H1475" s="4" t="s">
        <v>7255</v>
      </c>
      <c r="I1475" s="4"/>
      <c r="J1475" s="4" t="s">
        <v>7735</v>
      </c>
      <c r="K1475" s="4" t="s">
        <v>57</v>
      </c>
      <c r="L1475" s="4"/>
      <c r="M1475" s="4"/>
    </row>
    <row r="1476" ht="16" customHeight="1" s="4" customFormat="1">
      <c r="A1476" s="4">
        <v>3148</v>
      </c>
      <c r="B1476" s="4" t="s">
        <v>5499</v>
      </c>
      <c r="C1476" s="4" t="s">
        <v>5509</v>
      </c>
      <c r="D1476" s="4"/>
      <c r="E1476" s="4"/>
      <c r="F1476" s="4" t="s">
        <v>7736</v>
      </c>
      <c r="G1476" s="4" t="s">
        <v>10</v>
      </c>
      <c r="H1476" s="4" t="s">
        <v>7737</v>
      </c>
      <c r="I1476" s="4"/>
      <c r="J1476" s="4" t="s">
        <v>7729</v>
      </c>
      <c r="K1476" s="4" t="s">
        <v>57</v>
      </c>
      <c r="L1476" s="4"/>
      <c r="M1476" s="4"/>
    </row>
    <row r="1477" ht="16" customHeight="1" s="4" customFormat="1">
      <c r="A1477" s="4">
        <v>3149</v>
      </c>
      <c r="B1477" s="4" t="s">
        <v>5499</v>
      </c>
      <c r="C1477" s="4" t="s">
        <v>7211</v>
      </c>
      <c r="D1477" s="4"/>
      <c r="E1477" s="4" t="s">
        <v>7738</v>
      </c>
      <c r="F1477" s="4" t="s">
        <v>7739</v>
      </c>
      <c r="G1477" s="4" t="s">
        <v>7740</v>
      </c>
      <c r="H1477" s="4" t="s">
        <v>7741</v>
      </c>
      <c r="I1477" s="4"/>
      <c r="J1477" s="4" t="s">
        <v>4842</v>
      </c>
      <c r="K1477" s="4" t="s">
        <v>57</v>
      </c>
      <c r="L1477" s="4"/>
      <c r="M1477" s="4"/>
    </row>
    <row r="1478" ht="16" customHeight="1" s="4" customFormat="1">
      <c r="A1478" s="4">
        <v>3150</v>
      </c>
      <c r="B1478" s="4" t="s">
        <v>5499</v>
      </c>
      <c r="C1478" s="4" t="s">
        <v>5509</v>
      </c>
      <c r="D1478" s="4"/>
      <c r="E1478" s="4"/>
      <c r="F1478" s="4" t="s">
        <v>7742</v>
      </c>
      <c r="G1478" s="4" t="s">
        <v>7728</v>
      </c>
      <c r="H1478" s="4" t="s">
        <v>10</v>
      </c>
      <c r="I1478" s="4"/>
      <c r="J1478" s="4" t="s">
        <v>7729</v>
      </c>
      <c r="K1478" s="4" t="s">
        <v>57</v>
      </c>
      <c r="L1478" s="4"/>
      <c r="M1478" s="4"/>
    </row>
    <row r="1479" ht="16" customHeight="1" s="4" customFormat="1">
      <c r="A1479" s="4">
        <v>3151</v>
      </c>
      <c r="B1479" s="4" t="s">
        <v>5499</v>
      </c>
      <c r="C1479" s="4" t="s">
        <v>5509</v>
      </c>
      <c r="D1479" s="4"/>
      <c r="E1479" s="4"/>
      <c r="F1479" s="4" t="s">
        <v>7743</v>
      </c>
      <c r="G1479" s="4" t="s">
        <v>7744</v>
      </c>
      <c r="H1479" s="4" t="s">
        <v>5837</v>
      </c>
      <c r="I1479" s="4"/>
      <c r="J1479" s="4" t="s">
        <v>7735</v>
      </c>
      <c r="K1479" s="4" t="s">
        <v>57</v>
      </c>
      <c r="L1479" s="4"/>
      <c r="M1479" s="4"/>
    </row>
    <row r="1480" ht="16" customHeight="1" s="4" customFormat="1">
      <c r="A1480" s="4">
        <v>3152</v>
      </c>
      <c r="B1480" s="4" t="s">
        <v>5499</v>
      </c>
      <c r="C1480" s="4" t="s">
        <v>5509</v>
      </c>
      <c r="D1480" s="4"/>
      <c r="E1480" s="4"/>
      <c r="F1480" s="4" t="s">
        <v>7745</v>
      </c>
      <c r="G1480" s="4" t="s">
        <v>7746</v>
      </c>
      <c r="H1480" s="4" t="s">
        <v>7747</v>
      </c>
      <c r="I1480" s="4"/>
      <c r="J1480" s="4" t="s">
        <v>7735</v>
      </c>
      <c r="K1480" s="4" t="s">
        <v>57</v>
      </c>
      <c r="L1480" s="4"/>
      <c r="M1480" s="4"/>
    </row>
    <row r="1481" ht="16" customHeight="1" s="4" customFormat="1">
      <c r="A1481" s="4">
        <v>3153</v>
      </c>
      <c r="B1481" s="4" t="s">
        <v>5499</v>
      </c>
      <c r="C1481" s="4" t="s">
        <v>5509</v>
      </c>
      <c r="D1481" s="4"/>
      <c r="E1481" s="4"/>
      <c r="F1481" s="4" t="s">
        <v>7748</v>
      </c>
      <c r="G1481" s="4" t="s">
        <v>7746</v>
      </c>
      <c r="H1481" s="4" t="s">
        <v>7255</v>
      </c>
      <c r="I1481" s="4"/>
      <c r="J1481" s="4" t="s">
        <v>7729</v>
      </c>
      <c r="K1481" s="4" t="s">
        <v>57</v>
      </c>
      <c r="L1481" s="4"/>
      <c r="M1481" s="4"/>
    </row>
    <row r="1482" ht="16" customHeight="1" s="4" customFormat="1">
      <c r="A1482" s="4">
        <v>3154</v>
      </c>
      <c r="B1482" s="4" t="s">
        <v>5499</v>
      </c>
      <c r="C1482" s="4" t="s">
        <v>5509</v>
      </c>
      <c r="D1482" s="4"/>
      <c r="E1482" s="4"/>
      <c r="F1482" s="4" t="s">
        <v>7749</v>
      </c>
      <c r="G1482" s="4" t="s">
        <v>10</v>
      </c>
      <c r="H1482" s="4" t="s">
        <v>7750</v>
      </c>
      <c r="I1482" s="4"/>
      <c r="J1482" s="4" t="s">
        <v>7729</v>
      </c>
      <c r="K1482" s="4" t="s">
        <v>57</v>
      </c>
      <c r="L1482" s="4"/>
      <c r="M1482" s="4"/>
    </row>
    <row r="1483" ht="16" customHeight="1" s="4" customFormat="1">
      <c r="A1483" s="4">
        <v>3155</v>
      </c>
      <c r="B1483" s="4" t="s">
        <v>5499</v>
      </c>
      <c r="C1483" s="4" t="s">
        <v>5702</v>
      </c>
      <c r="D1483" s="4" t="s">
        <v>5574</v>
      </c>
      <c r="E1483" s="4" t="s">
        <v>5575</v>
      </c>
      <c r="F1483" s="4" t="s">
        <v>7751</v>
      </c>
      <c r="G1483" s="4" t="s">
        <v>7752</v>
      </c>
      <c r="H1483" s="4" t="s">
        <v>7009</v>
      </c>
      <c r="I1483" s="4"/>
      <c r="J1483" s="4" t="s">
        <v>5506</v>
      </c>
      <c r="K1483" s="4" t="s">
        <v>57</v>
      </c>
      <c r="L1483" s="4"/>
      <c r="M1483" s="4"/>
    </row>
    <row r="1484" ht="16" customHeight="1" s="4" customFormat="1">
      <c r="A1484" s="4">
        <v>3156</v>
      </c>
      <c r="B1484" s="4" t="s">
        <v>5499</v>
      </c>
      <c r="C1484" s="4" t="s">
        <v>5702</v>
      </c>
      <c r="D1484" s="4" t="s">
        <v>5574</v>
      </c>
      <c r="E1484" s="4" t="s">
        <v>5575</v>
      </c>
      <c r="F1484" s="4" t="s">
        <v>7753</v>
      </c>
      <c r="G1484" s="4" t="s">
        <v>7533</v>
      </c>
      <c r="H1484" s="4" t="s">
        <v>7009</v>
      </c>
      <c r="I1484" s="4"/>
      <c r="J1484" s="4" t="s">
        <v>5506</v>
      </c>
      <c r="K1484" s="4" t="s">
        <v>57</v>
      </c>
      <c r="L1484" s="4"/>
      <c r="M1484" s="4"/>
    </row>
    <row r="1485" ht="16" customHeight="1" s="4" customFormat="1">
      <c r="A1485" s="4">
        <v>3157</v>
      </c>
      <c r="B1485" s="4" t="s">
        <v>5499</v>
      </c>
      <c r="C1485" s="4" t="s">
        <v>5590</v>
      </c>
      <c r="D1485" s="4" t="s">
        <v>5574</v>
      </c>
      <c r="E1485" s="4" t="s">
        <v>5575</v>
      </c>
      <c r="F1485" s="4" t="s">
        <v>7754</v>
      </c>
      <c r="G1485" s="4" t="s">
        <v>7755</v>
      </c>
      <c r="H1485" s="4" t="s">
        <v>5657</v>
      </c>
      <c r="I1485" s="4"/>
      <c r="J1485" s="4" t="s">
        <v>5506</v>
      </c>
      <c r="K1485" s="4" t="s">
        <v>57</v>
      </c>
      <c r="L1485" s="4"/>
      <c r="M1485" s="4"/>
    </row>
    <row r="1486" ht="16" customHeight="1" s="4" customFormat="1">
      <c r="A1486" s="4">
        <v>3158</v>
      </c>
      <c r="B1486" s="4" t="s">
        <v>5499</v>
      </c>
      <c r="C1486" s="4" t="s">
        <v>7045</v>
      </c>
      <c r="D1486" s="4" t="s">
        <v>5574</v>
      </c>
      <c r="E1486" s="4" t="s">
        <v>7046</v>
      </c>
      <c r="F1486" s="4" t="s">
        <v>7756</v>
      </c>
      <c r="G1486" s="4" t="s">
        <v>7757</v>
      </c>
      <c r="H1486" s="4" t="s">
        <v>7758</v>
      </c>
      <c r="I1486" s="4"/>
      <c r="J1486" s="4" t="s">
        <v>5506</v>
      </c>
      <c r="K1486" s="4" t="s">
        <v>57</v>
      </c>
      <c r="L1486" s="4"/>
      <c r="M1486" s="4"/>
    </row>
    <row r="1487" ht="16" customHeight="1" s="4" customFormat="1">
      <c r="A1487" s="4">
        <v>3159</v>
      </c>
      <c r="B1487" s="4" t="s">
        <v>5499</v>
      </c>
      <c r="C1487" s="4" t="s">
        <v>5509</v>
      </c>
      <c r="D1487" s="4"/>
      <c r="E1487" s="4"/>
      <c r="F1487" s="4" t="s">
        <v>7759</v>
      </c>
      <c r="G1487" s="4" t="s">
        <v>7746</v>
      </c>
      <c r="H1487" s="4" t="s">
        <v>7255</v>
      </c>
      <c r="I1487" s="4"/>
      <c r="J1487" s="4" t="s">
        <v>7735</v>
      </c>
      <c r="K1487" s="4" t="s">
        <v>57</v>
      </c>
      <c r="L1487" s="4"/>
      <c r="M1487" s="4"/>
    </row>
    <row r="1488" ht="16" customHeight="1" s="4" customFormat="1">
      <c r="A1488" s="4">
        <v>3160</v>
      </c>
      <c r="B1488" s="4" t="s">
        <v>5499</v>
      </c>
      <c r="C1488" s="4" t="s">
        <v>7045</v>
      </c>
      <c r="D1488" s="4" t="s">
        <v>5574</v>
      </c>
      <c r="E1488" s="4" t="s">
        <v>7046</v>
      </c>
      <c r="F1488" s="4" t="s">
        <v>7760</v>
      </c>
      <c r="G1488" s="4" t="s">
        <v>7761</v>
      </c>
      <c r="H1488" s="4" t="s">
        <v>7072</v>
      </c>
      <c r="I1488" s="4"/>
      <c r="J1488" s="4" t="s">
        <v>5506</v>
      </c>
      <c r="K1488" s="4" t="s">
        <v>57</v>
      </c>
      <c r="L1488" s="4"/>
      <c r="M1488" s="4"/>
    </row>
    <row r="1489" ht="16" customHeight="1" s="4" customFormat="1">
      <c r="A1489" s="4">
        <v>3161</v>
      </c>
      <c r="B1489" s="4" t="s">
        <v>5499</v>
      </c>
      <c r="C1489" s="4" t="s">
        <v>5500</v>
      </c>
      <c r="D1489" s="4"/>
      <c r="E1489" s="4"/>
      <c r="F1489" s="4" t="s">
        <v>7762</v>
      </c>
      <c r="G1489" s="4" t="s">
        <v>7763</v>
      </c>
      <c r="H1489" s="4" t="s">
        <v>7764</v>
      </c>
      <c r="I1489" s="4"/>
      <c r="J1489" s="4" t="s">
        <v>4842</v>
      </c>
      <c r="K1489" s="4" t="s">
        <v>57</v>
      </c>
      <c r="L1489" s="4"/>
      <c r="M1489" s="4"/>
    </row>
    <row r="1490" ht="16" customHeight="1" s="4" customFormat="1">
      <c r="A1490" s="4">
        <v>3162</v>
      </c>
      <c r="B1490" s="4" t="s">
        <v>5499</v>
      </c>
      <c r="C1490" s="4" t="s">
        <v>5509</v>
      </c>
      <c r="D1490" s="4"/>
      <c r="E1490" s="4"/>
      <c r="F1490" s="4" t="s">
        <v>7765</v>
      </c>
      <c r="G1490" s="4" t="s">
        <v>10</v>
      </c>
      <c r="H1490" s="4" t="s">
        <v>7766</v>
      </c>
      <c r="I1490" s="4"/>
      <c r="J1490" s="4" t="s">
        <v>7735</v>
      </c>
      <c r="K1490" s="4" t="s">
        <v>57</v>
      </c>
      <c r="L1490" s="4"/>
      <c r="M1490" s="4"/>
    </row>
    <row r="1491" ht="16" customHeight="1" s="4" customFormat="1">
      <c r="A1491" s="4">
        <v>3163</v>
      </c>
      <c r="B1491" s="4" t="s">
        <v>5499</v>
      </c>
      <c r="C1491" s="4" t="s">
        <v>5509</v>
      </c>
      <c r="D1491" s="4"/>
      <c r="E1491" s="4"/>
      <c r="F1491" s="4" t="s">
        <v>7767</v>
      </c>
      <c r="G1491" s="4" t="s">
        <v>2159</v>
      </c>
      <c r="H1491" s="4" t="s">
        <v>10</v>
      </c>
      <c r="I1491" s="4"/>
      <c r="J1491" s="4" t="s">
        <v>7729</v>
      </c>
      <c r="K1491" s="4" t="s">
        <v>57</v>
      </c>
      <c r="L1491" s="4"/>
      <c r="M1491" s="4"/>
    </row>
    <row r="1492" ht="16" customHeight="1" s="4" customFormat="1">
      <c r="A1492" s="4">
        <v>3164</v>
      </c>
      <c r="B1492" s="4" t="s">
        <v>5499</v>
      </c>
      <c r="C1492" s="4" t="s">
        <v>5509</v>
      </c>
      <c r="D1492" s="4"/>
      <c r="E1492" s="4"/>
      <c r="F1492" s="4" t="s">
        <v>7768</v>
      </c>
      <c r="G1492" s="4" t="s">
        <v>10</v>
      </c>
      <c r="H1492" s="4" t="s">
        <v>6308</v>
      </c>
      <c r="I1492" s="4"/>
      <c r="J1492" s="4" t="s">
        <v>7735</v>
      </c>
      <c r="K1492" s="4" t="s">
        <v>57</v>
      </c>
      <c r="L1492" s="4"/>
      <c r="M1492" s="4"/>
    </row>
    <row r="1493" ht="16" customHeight="1" s="4" customFormat="1">
      <c r="A1493" s="4">
        <v>3165</v>
      </c>
      <c r="B1493" s="4" t="s">
        <v>5499</v>
      </c>
      <c r="C1493" s="4" t="s">
        <v>5590</v>
      </c>
      <c r="D1493" s="4" t="s">
        <v>5574</v>
      </c>
      <c r="E1493" s="4" t="s">
        <v>5575</v>
      </c>
      <c r="F1493" s="4" t="s">
        <v>7769</v>
      </c>
      <c r="G1493" s="4" t="s">
        <v>4850</v>
      </c>
      <c r="H1493" s="4" t="s">
        <v>7770</v>
      </c>
      <c r="I1493" s="4"/>
      <c r="J1493" s="4" t="s">
        <v>5506</v>
      </c>
      <c r="K1493" s="4" t="s">
        <v>57</v>
      </c>
      <c r="L1493" s="4"/>
      <c r="M1493" s="4"/>
    </row>
    <row r="1494" ht="16" customHeight="1" s="4" customFormat="1">
      <c r="A1494" s="4">
        <v>3166</v>
      </c>
      <c r="B1494" s="4" t="s">
        <v>5499</v>
      </c>
      <c r="C1494" s="4" t="s">
        <v>5590</v>
      </c>
      <c r="D1494" s="4"/>
      <c r="E1494" s="4" t="s">
        <v>5952</v>
      </c>
      <c r="F1494" s="4" t="s">
        <v>7771</v>
      </c>
      <c r="G1494" s="4" t="s">
        <v>7772</v>
      </c>
      <c r="H1494" s="4" t="s">
        <v>7014</v>
      </c>
      <c r="I1494" s="4"/>
      <c r="J1494" s="4" t="s">
        <v>5506</v>
      </c>
      <c r="K1494" s="4" t="s">
        <v>57</v>
      </c>
      <c r="L1494" s="4"/>
      <c r="M1494" s="4"/>
    </row>
    <row r="1495" ht="16" customHeight="1" s="4" customFormat="1">
      <c r="A1495" s="4">
        <v>3167</v>
      </c>
      <c r="B1495" s="4" t="s">
        <v>5499</v>
      </c>
      <c r="C1495" s="4" t="s">
        <v>5509</v>
      </c>
      <c r="D1495" s="4"/>
      <c r="E1495" s="4"/>
      <c r="F1495" s="4" t="s">
        <v>7773</v>
      </c>
      <c r="G1495" s="4" t="s">
        <v>7607</v>
      </c>
      <c r="H1495" s="4" t="s">
        <v>7750</v>
      </c>
      <c r="I1495" s="4"/>
      <c r="J1495" s="4" t="s">
        <v>7729</v>
      </c>
      <c r="K1495" s="4" t="s">
        <v>57</v>
      </c>
      <c r="L1495" s="4"/>
      <c r="M1495" s="4"/>
    </row>
    <row r="1496" ht="16" customHeight="1" s="4" customFormat="1">
      <c r="A1496" s="4">
        <v>3168</v>
      </c>
      <c r="B1496" s="4" t="s">
        <v>5499</v>
      </c>
      <c r="C1496" s="4" t="s">
        <v>7201</v>
      </c>
      <c r="D1496" s="4"/>
      <c r="E1496" s="4" t="s">
        <v>7774</v>
      </c>
      <c r="F1496" s="4" t="s">
        <v>7775</v>
      </c>
      <c r="G1496" s="4" t="s">
        <v>7776</v>
      </c>
      <c r="H1496" s="4" t="s">
        <v>7777</v>
      </c>
      <c r="I1496" s="4"/>
      <c r="J1496" s="4" t="s">
        <v>5506</v>
      </c>
      <c r="K1496" s="4" t="s">
        <v>57</v>
      </c>
      <c r="L1496" s="4"/>
      <c r="M1496" s="4"/>
    </row>
    <row r="1497" ht="16" customHeight="1" s="4" customFormat="1">
      <c r="A1497" s="4">
        <v>3169</v>
      </c>
      <c r="B1497" s="4" t="s">
        <v>5499</v>
      </c>
      <c r="C1497" s="4" t="s">
        <v>5509</v>
      </c>
      <c r="D1497" s="4"/>
      <c r="E1497" s="4"/>
      <c r="F1497" s="4" t="s">
        <v>7778</v>
      </c>
      <c r="G1497" s="4" t="s">
        <v>10</v>
      </c>
      <c r="H1497" s="4" t="s">
        <v>7779</v>
      </c>
      <c r="I1497" s="4"/>
      <c r="J1497" s="4" t="s">
        <v>7729</v>
      </c>
      <c r="K1497" s="4" t="s">
        <v>57</v>
      </c>
      <c r="L1497" s="4"/>
      <c r="M1497" s="4"/>
    </row>
    <row r="1498" ht="16" customHeight="1" s="4" customFormat="1">
      <c r="A1498" s="4">
        <v>3170</v>
      </c>
      <c r="B1498" s="4" t="s">
        <v>5499</v>
      </c>
      <c r="C1498" s="4" t="s">
        <v>5509</v>
      </c>
      <c r="D1498" s="4"/>
      <c r="E1498" s="4"/>
      <c r="F1498" s="4" t="s">
        <v>7780</v>
      </c>
      <c r="G1498" s="4" t="s">
        <v>7781</v>
      </c>
      <c r="H1498" s="4" t="s">
        <v>7243</v>
      </c>
      <c r="I1498" s="4"/>
      <c r="J1498" s="4" t="s">
        <v>7735</v>
      </c>
      <c r="K1498" s="4" t="s">
        <v>57</v>
      </c>
      <c r="L1498" s="4"/>
      <c r="M1498" s="4"/>
    </row>
    <row r="1499" ht="16" customHeight="1" s="4" customFormat="1">
      <c r="A1499" s="4">
        <v>956</v>
      </c>
      <c r="B1499" s="4" t="s">
        <v>5499</v>
      </c>
      <c r="C1499" s="4" t="s">
        <v>5500</v>
      </c>
      <c r="D1499" s="4" t="s">
        <v>5728</v>
      </c>
      <c r="E1499" s="4" t="s">
        <v>5729</v>
      </c>
      <c r="F1499" s="4" t="s">
        <v>7782</v>
      </c>
      <c r="G1499" s="4" t="s">
        <v>5737</v>
      </c>
      <c r="H1499" s="4" t="s">
        <v>5732</v>
      </c>
      <c r="I1499" s="5">
        <v>43445</v>
      </c>
      <c r="J1499" s="4" t="s">
        <v>4798</v>
      </c>
      <c r="K1499" s="4" t="s">
        <v>57</v>
      </c>
      <c r="L1499" s="4"/>
      <c r="M1499" s="4"/>
    </row>
    <row r="1500" ht="16" customHeight="1" s="4" customFormat="1">
      <c r="A1500" s="4">
        <v>957</v>
      </c>
      <c r="B1500" s="4" t="s">
        <v>5499</v>
      </c>
      <c r="C1500" s="4" t="s">
        <v>5500</v>
      </c>
      <c r="D1500" s="4" t="s">
        <v>5728</v>
      </c>
      <c r="E1500" s="4" t="s">
        <v>5729</v>
      </c>
      <c r="F1500" s="4" t="s">
        <v>7783</v>
      </c>
      <c r="G1500" s="4" t="s">
        <v>5734</v>
      </c>
      <c r="H1500" s="4" t="s">
        <v>5735</v>
      </c>
      <c r="I1500" s="5">
        <v>43444</v>
      </c>
      <c r="J1500" s="4" t="s">
        <v>4798</v>
      </c>
      <c r="K1500" s="4" t="s">
        <v>57</v>
      </c>
      <c r="L1500" s="4"/>
      <c r="M1500" s="4"/>
    </row>
    <row r="1501" ht="16" customHeight="1" s="4" customFormat="1">
      <c r="A1501" s="4">
        <v>958</v>
      </c>
      <c r="B1501" s="4" t="s">
        <v>6161</v>
      </c>
      <c r="C1501" s="4" t="s">
        <v>6618</v>
      </c>
      <c r="D1501" s="4"/>
      <c r="E1501" s="4"/>
      <c r="F1501" s="4" t="s">
        <v>7784</v>
      </c>
      <c r="G1501" s="4" t="s">
        <v>7624</v>
      </c>
      <c r="H1501" s="4" t="s">
        <v>7318</v>
      </c>
      <c r="I1501" s="5">
        <v>43437</v>
      </c>
      <c r="J1501" s="4" t="s">
        <v>5506</v>
      </c>
      <c r="K1501" s="4" t="s">
        <v>57</v>
      </c>
      <c r="L1501" s="4"/>
      <c r="M1501" s="4"/>
    </row>
    <row r="1502" ht="16" customHeight="1" s="4" customFormat="1">
      <c r="A1502" s="4">
        <v>959</v>
      </c>
      <c r="B1502" s="4" t="s">
        <v>5499</v>
      </c>
      <c r="C1502" s="4" t="s">
        <v>5519</v>
      </c>
      <c r="D1502" s="4"/>
      <c r="E1502" s="4" t="s">
        <v>5690</v>
      </c>
      <c r="F1502" s="4" t="s">
        <v>7785</v>
      </c>
      <c r="G1502" s="4" t="s">
        <v>7786</v>
      </c>
      <c r="H1502" s="4" t="s">
        <v>7787</v>
      </c>
      <c r="I1502" s="5">
        <v>43433</v>
      </c>
      <c r="J1502" s="4" t="s">
        <v>4798</v>
      </c>
      <c r="K1502" s="4" t="s">
        <v>57</v>
      </c>
      <c r="L1502" s="4"/>
      <c r="M1502" s="4"/>
    </row>
    <row r="1503" ht="16" customHeight="1" s="4" customFormat="1">
      <c r="A1503" s="4">
        <v>960</v>
      </c>
      <c r="B1503" s="4" t="s">
        <v>5534</v>
      </c>
      <c r="C1503" s="4" t="s">
        <v>5631</v>
      </c>
      <c r="D1503" s="4"/>
      <c r="E1503" s="4"/>
      <c r="F1503" s="4" t="s">
        <v>7788</v>
      </c>
      <c r="G1503" s="4" t="s">
        <v>10</v>
      </c>
      <c r="H1503" s="4" t="s">
        <v>7789</v>
      </c>
      <c r="I1503" s="5">
        <v>43432</v>
      </c>
      <c r="J1503" s="4" t="s">
        <v>4842</v>
      </c>
      <c r="K1503" s="4" t="s">
        <v>57</v>
      </c>
      <c r="L1503" s="4"/>
      <c r="M1503" s="4"/>
    </row>
    <row r="1504" ht="16" customHeight="1" s="4" customFormat="1">
      <c r="A1504" s="4">
        <v>961</v>
      </c>
      <c r="B1504" s="4" t="s">
        <v>5600</v>
      </c>
      <c r="C1504" s="4" t="s">
        <v>5600</v>
      </c>
      <c r="D1504" s="4"/>
      <c r="E1504" s="4" t="s">
        <v>7639</v>
      </c>
      <c r="F1504" s="4" t="s">
        <v>7790</v>
      </c>
      <c r="G1504" s="4" t="s">
        <v>10</v>
      </c>
      <c r="H1504" s="4" t="s">
        <v>7791</v>
      </c>
      <c r="I1504" s="5">
        <v>43430</v>
      </c>
      <c r="J1504" s="4" t="s">
        <v>7792</v>
      </c>
      <c r="K1504" s="4" t="s">
        <v>57</v>
      </c>
      <c r="L1504" s="4"/>
      <c r="M1504" s="4"/>
    </row>
    <row r="1505" ht="16" customHeight="1" s="4" customFormat="1">
      <c r="A1505" s="4">
        <v>962</v>
      </c>
      <c r="B1505" s="4" t="s">
        <v>5534</v>
      </c>
      <c r="C1505" s="4" t="s">
        <v>5773</v>
      </c>
      <c r="D1505" s="4"/>
      <c r="E1505" s="4"/>
      <c r="F1505" s="4" t="s">
        <v>7793</v>
      </c>
      <c r="G1505" s="4" t="s">
        <v>5791</v>
      </c>
      <c r="H1505" s="4" t="s">
        <v>7617</v>
      </c>
      <c r="I1505" s="5">
        <v>43430</v>
      </c>
      <c r="J1505" s="4" t="s">
        <v>4842</v>
      </c>
      <c r="K1505" s="4" t="s">
        <v>57</v>
      </c>
      <c r="L1505" s="4"/>
      <c r="M1505" s="4"/>
    </row>
    <row r="1506" ht="16" customHeight="1" s="4" customFormat="1">
      <c r="A1506" s="4">
        <v>963</v>
      </c>
      <c r="B1506" s="4" t="s">
        <v>5499</v>
      </c>
      <c r="C1506" s="4" t="s">
        <v>5573</v>
      </c>
      <c r="D1506" s="4" t="s">
        <v>5574</v>
      </c>
      <c r="E1506" s="4" t="s">
        <v>5575</v>
      </c>
      <c r="F1506" s="4" t="s">
        <v>7794</v>
      </c>
      <c r="G1506" s="4" t="s">
        <v>4850</v>
      </c>
      <c r="H1506" s="4" t="s">
        <v>7545</v>
      </c>
      <c r="I1506" s="5">
        <v>43424</v>
      </c>
      <c r="J1506" s="4" t="s">
        <v>4798</v>
      </c>
      <c r="K1506" s="4" t="s">
        <v>57</v>
      </c>
      <c r="L1506" s="4"/>
      <c r="M1506" s="4"/>
    </row>
    <row r="1507" ht="16" customHeight="1" s="4" customFormat="1">
      <c r="A1507" s="4">
        <v>964</v>
      </c>
      <c r="B1507" s="4" t="s">
        <v>5528</v>
      </c>
      <c r="C1507" s="4" t="s">
        <v>5529</v>
      </c>
      <c r="D1507" s="4"/>
      <c r="E1507" s="4" t="s">
        <v>7795</v>
      </c>
      <c r="F1507" s="4" t="s">
        <v>7796</v>
      </c>
      <c r="G1507" s="4" t="s">
        <v>5680</v>
      </c>
      <c r="H1507" s="4" t="s">
        <v>7797</v>
      </c>
      <c r="I1507" s="5">
        <v>43418</v>
      </c>
      <c r="J1507" s="4" t="s">
        <v>4798</v>
      </c>
      <c r="K1507" s="4" t="s">
        <v>57</v>
      </c>
      <c r="L1507" s="4"/>
      <c r="M1507" s="4"/>
    </row>
    <row r="1508" ht="16" customHeight="1" s="4" customFormat="1">
      <c r="A1508" s="4">
        <v>965</v>
      </c>
      <c r="B1508" s="4" t="s">
        <v>5499</v>
      </c>
      <c r="C1508" s="4" t="s">
        <v>5590</v>
      </c>
      <c r="D1508" s="4" t="s">
        <v>5591</v>
      </c>
      <c r="E1508" s="4" t="s">
        <v>5592</v>
      </c>
      <c r="F1508" s="4" t="s">
        <v>7798</v>
      </c>
      <c r="G1508" s="4" t="s">
        <v>4850</v>
      </c>
      <c r="H1508" s="4" t="s">
        <v>7799</v>
      </c>
      <c r="I1508" s="5">
        <v>43418</v>
      </c>
      <c r="J1508" s="4" t="s">
        <v>4798</v>
      </c>
      <c r="K1508" s="4" t="s">
        <v>57</v>
      </c>
      <c r="L1508" s="4"/>
      <c r="M1508" s="4"/>
    </row>
    <row r="1509" ht="16" customHeight="1" s="4" customFormat="1">
      <c r="A1509" s="4">
        <v>966</v>
      </c>
      <c r="B1509" s="4" t="s">
        <v>5534</v>
      </c>
      <c r="C1509" s="4" t="s">
        <v>5773</v>
      </c>
      <c r="D1509" s="4"/>
      <c r="E1509" s="4"/>
      <c r="F1509" s="4" t="s">
        <v>7800</v>
      </c>
      <c r="G1509" s="4" t="s">
        <v>5675</v>
      </c>
      <c r="H1509" s="4" t="s">
        <v>7801</v>
      </c>
      <c r="I1509" s="5">
        <v>43406</v>
      </c>
      <c r="J1509" s="4" t="s">
        <v>4798</v>
      </c>
      <c r="K1509" s="4" t="s">
        <v>57</v>
      </c>
      <c r="L1509" s="4"/>
      <c r="M1509" s="4"/>
    </row>
    <row r="1510" ht="16" customHeight="1" s="4" customFormat="1">
      <c r="A1510" s="4">
        <v>967</v>
      </c>
      <c r="B1510" s="4" t="s">
        <v>5534</v>
      </c>
      <c r="C1510" s="4" t="s">
        <v>5773</v>
      </c>
      <c r="D1510" s="4"/>
      <c r="E1510" s="4"/>
      <c r="F1510" s="4" t="s">
        <v>7802</v>
      </c>
      <c r="G1510" s="4" t="s">
        <v>7801</v>
      </c>
      <c r="H1510" s="4" t="s">
        <v>5675</v>
      </c>
      <c r="I1510" s="5">
        <v>43406</v>
      </c>
      <c r="J1510" s="4" t="s">
        <v>4798</v>
      </c>
      <c r="K1510" s="4" t="s">
        <v>57</v>
      </c>
      <c r="L1510" s="4"/>
      <c r="M1510" s="4"/>
    </row>
    <row r="1511" ht="16" customHeight="1" s="4" customFormat="1">
      <c r="A1511" s="4">
        <v>968</v>
      </c>
      <c r="B1511" s="4" t="s">
        <v>5499</v>
      </c>
      <c r="C1511" s="4" t="s">
        <v>5500</v>
      </c>
      <c r="D1511" s="4" t="s">
        <v>5574</v>
      </c>
      <c r="E1511" s="4" t="s">
        <v>7803</v>
      </c>
      <c r="F1511" s="4" t="s">
        <v>7804</v>
      </c>
      <c r="G1511" s="4" t="s">
        <v>7805</v>
      </c>
      <c r="H1511" s="4" t="s">
        <v>7806</v>
      </c>
      <c r="I1511" s="5">
        <v>43406</v>
      </c>
      <c r="J1511" s="4" t="s">
        <v>4798</v>
      </c>
      <c r="K1511" s="4" t="s">
        <v>57</v>
      </c>
      <c r="L1511" s="4"/>
      <c r="M1511" s="4"/>
    </row>
    <row r="1512" ht="16" customHeight="1" s="4" customFormat="1">
      <c r="A1512" s="4">
        <v>969</v>
      </c>
      <c r="B1512" s="4" t="s">
        <v>5499</v>
      </c>
      <c r="C1512" s="4" t="s">
        <v>5500</v>
      </c>
      <c r="D1512" s="4"/>
      <c r="E1512" s="4" t="s">
        <v>7807</v>
      </c>
      <c r="F1512" s="4" t="s">
        <v>7808</v>
      </c>
      <c r="G1512" s="4" t="s">
        <v>7805</v>
      </c>
      <c r="H1512" s="4" t="s">
        <v>7806</v>
      </c>
      <c r="I1512" s="5">
        <v>43406</v>
      </c>
      <c r="J1512" s="4" t="s">
        <v>4798</v>
      </c>
      <c r="K1512" s="4" t="s">
        <v>57</v>
      </c>
      <c r="L1512" s="4"/>
      <c r="M1512" s="4"/>
    </row>
    <row r="1513" ht="16" customHeight="1" s="4" customFormat="1">
      <c r="A1513" s="4">
        <v>970</v>
      </c>
      <c r="B1513" s="4" t="s">
        <v>5499</v>
      </c>
      <c r="C1513" s="4" t="s">
        <v>5590</v>
      </c>
      <c r="D1513" s="4" t="s">
        <v>5574</v>
      </c>
      <c r="E1513" s="4" t="s">
        <v>5575</v>
      </c>
      <c r="F1513" s="4" t="s">
        <v>7809</v>
      </c>
      <c r="G1513" s="4" t="s">
        <v>5716</v>
      </c>
      <c r="H1513" s="4" t="s">
        <v>7012</v>
      </c>
      <c r="I1513" s="5">
        <v>43402</v>
      </c>
      <c r="J1513" s="4" t="s">
        <v>4798</v>
      </c>
      <c r="K1513" s="4" t="s">
        <v>57</v>
      </c>
      <c r="L1513" s="4"/>
      <c r="M1513" s="4"/>
    </row>
    <row r="1514" ht="16" customHeight="1" s="4" customFormat="1">
      <c r="A1514" s="4">
        <v>971</v>
      </c>
      <c r="B1514" s="4" t="s">
        <v>5528</v>
      </c>
      <c r="C1514" s="4" t="s">
        <v>6140</v>
      </c>
      <c r="D1514" s="4" t="s">
        <v>5574</v>
      </c>
      <c r="E1514" s="4" t="s">
        <v>7531</v>
      </c>
      <c r="F1514" s="4" t="s">
        <v>7810</v>
      </c>
      <c r="G1514" s="4" t="s">
        <v>7811</v>
      </c>
      <c r="H1514" s="4" t="s">
        <v>7812</v>
      </c>
      <c r="I1514" s="5">
        <v>43398</v>
      </c>
      <c r="J1514" s="4" t="s">
        <v>4798</v>
      </c>
      <c r="K1514" s="4" t="s">
        <v>57</v>
      </c>
      <c r="L1514" s="4"/>
      <c r="M1514" s="4"/>
    </row>
    <row r="1515" ht="16" customHeight="1" s="4" customFormat="1">
      <c r="A1515" s="4">
        <v>972</v>
      </c>
      <c r="B1515" s="4" t="s">
        <v>5528</v>
      </c>
      <c r="C1515" s="4" t="s">
        <v>7813</v>
      </c>
      <c r="D1515" s="4" t="s">
        <v>7814</v>
      </c>
      <c r="E1515" s="4" t="s">
        <v>7815</v>
      </c>
      <c r="F1515" s="4" t="s">
        <v>7816</v>
      </c>
      <c r="G1515" s="4" t="s">
        <v>4850</v>
      </c>
      <c r="H1515" s="4" t="s">
        <v>7817</v>
      </c>
      <c r="I1515" s="5">
        <v>43393</v>
      </c>
      <c r="J1515" s="4" t="s">
        <v>4798</v>
      </c>
      <c r="K1515" s="4" t="s">
        <v>57</v>
      </c>
      <c r="L1515" s="4"/>
      <c r="M1515" s="4"/>
    </row>
    <row r="1516" ht="16" customHeight="1" s="4" customFormat="1">
      <c r="A1516" s="4">
        <v>973</v>
      </c>
      <c r="B1516" s="4" t="s">
        <v>5534</v>
      </c>
      <c r="C1516" s="4" t="s">
        <v>5773</v>
      </c>
      <c r="D1516" s="4"/>
      <c r="E1516" s="4"/>
      <c r="F1516" s="4" t="s">
        <v>7818</v>
      </c>
      <c r="G1516" s="4" t="s">
        <v>5791</v>
      </c>
      <c r="H1516" s="4" t="s">
        <v>7819</v>
      </c>
      <c r="I1516" s="5">
        <v>43389</v>
      </c>
      <c r="J1516" s="4" t="s">
        <v>4798</v>
      </c>
      <c r="K1516" s="4" t="s">
        <v>57</v>
      </c>
      <c r="L1516" s="4"/>
      <c r="M1516" s="4"/>
    </row>
    <row r="1517" ht="16" customHeight="1" s="4" customFormat="1">
      <c r="A1517" s="4">
        <v>974</v>
      </c>
      <c r="B1517" s="4" t="s">
        <v>5600</v>
      </c>
      <c r="C1517" s="4" t="s">
        <v>5600</v>
      </c>
      <c r="D1517" s="4"/>
      <c r="E1517" s="4" t="s">
        <v>7555</v>
      </c>
      <c r="F1517" s="4" t="s">
        <v>7820</v>
      </c>
      <c r="G1517" s="4" t="s">
        <v>10</v>
      </c>
      <c r="H1517" s="4" t="s">
        <v>7557</v>
      </c>
      <c r="I1517" s="5">
        <v>43384</v>
      </c>
      <c r="J1517" s="4" t="s">
        <v>4798</v>
      </c>
      <c r="K1517" s="4" t="s">
        <v>57</v>
      </c>
      <c r="L1517" s="4"/>
      <c r="M1517" s="4"/>
    </row>
    <row r="1518" ht="16" customHeight="1" s="4" customFormat="1">
      <c r="A1518" s="4">
        <v>975</v>
      </c>
      <c r="B1518" s="4" t="s">
        <v>5499</v>
      </c>
      <c r="C1518" s="4" t="s">
        <v>5714</v>
      </c>
      <c r="D1518" s="4" t="s">
        <v>5574</v>
      </c>
      <c r="E1518" s="4" t="s">
        <v>5575</v>
      </c>
      <c r="F1518" s="4" t="s">
        <v>7821</v>
      </c>
      <c r="G1518" s="4" t="s">
        <v>7662</v>
      </c>
      <c r="H1518" s="4" t="s">
        <v>7663</v>
      </c>
      <c r="I1518" s="5">
        <v>43378</v>
      </c>
      <c r="J1518" s="4" t="s">
        <v>4842</v>
      </c>
      <c r="K1518" s="4" t="s">
        <v>57</v>
      </c>
      <c r="L1518" s="4"/>
      <c r="M1518" s="4"/>
    </row>
    <row r="1519" ht="16" customHeight="1" s="4" customFormat="1">
      <c r="A1519" s="4">
        <v>976</v>
      </c>
      <c r="B1519" s="4" t="s">
        <v>5499</v>
      </c>
      <c r="C1519" s="4" t="s">
        <v>5714</v>
      </c>
      <c r="D1519" s="4" t="s">
        <v>5574</v>
      </c>
      <c r="E1519" s="4" t="s">
        <v>5575</v>
      </c>
      <c r="F1519" s="4" t="s">
        <v>7822</v>
      </c>
      <c r="G1519" s="4" t="s">
        <v>7662</v>
      </c>
      <c r="H1519" s="4" t="s">
        <v>7663</v>
      </c>
      <c r="I1519" s="5">
        <v>43378</v>
      </c>
      <c r="J1519" s="4" t="s">
        <v>4842</v>
      </c>
      <c r="K1519" s="4" t="s">
        <v>57</v>
      </c>
      <c r="L1519" s="4"/>
      <c r="M1519" s="4"/>
    </row>
    <row r="1520" ht="16" customHeight="1" s="4" customFormat="1">
      <c r="A1520" s="4">
        <v>977</v>
      </c>
      <c r="B1520" s="4" t="s">
        <v>5499</v>
      </c>
      <c r="C1520" s="4" t="s">
        <v>5714</v>
      </c>
      <c r="D1520" s="4" t="s">
        <v>5574</v>
      </c>
      <c r="E1520" s="4" t="s">
        <v>5575</v>
      </c>
      <c r="F1520" s="4" t="s">
        <v>7823</v>
      </c>
      <c r="G1520" s="4" t="s">
        <v>7662</v>
      </c>
      <c r="H1520" s="4" t="s">
        <v>7663</v>
      </c>
      <c r="I1520" s="5">
        <v>43378</v>
      </c>
      <c r="J1520" s="4" t="s">
        <v>4842</v>
      </c>
      <c r="K1520" s="4" t="s">
        <v>57</v>
      </c>
      <c r="L1520" s="4"/>
      <c r="M1520" s="4"/>
    </row>
    <row r="1521" ht="16" customHeight="1" s="4" customFormat="1">
      <c r="A1521" s="4">
        <v>978</v>
      </c>
      <c r="B1521" s="4" t="s">
        <v>5499</v>
      </c>
      <c r="C1521" s="4" t="s">
        <v>5714</v>
      </c>
      <c r="D1521" s="4" t="s">
        <v>5574</v>
      </c>
      <c r="E1521" s="4" t="s">
        <v>5575</v>
      </c>
      <c r="F1521" s="4" t="s">
        <v>7824</v>
      </c>
      <c r="G1521" s="4" t="s">
        <v>7662</v>
      </c>
      <c r="H1521" s="4" t="s">
        <v>7663</v>
      </c>
      <c r="I1521" s="5">
        <v>43378</v>
      </c>
      <c r="J1521" s="4" t="s">
        <v>4842</v>
      </c>
      <c r="K1521" s="4" t="s">
        <v>57</v>
      </c>
      <c r="L1521" s="4"/>
      <c r="M1521" s="4"/>
    </row>
    <row r="1522" ht="16" customHeight="1" s="4" customFormat="1">
      <c r="A1522" s="4">
        <v>979</v>
      </c>
      <c r="B1522" s="4" t="s">
        <v>5499</v>
      </c>
      <c r="C1522" s="4" t="s">
        <v>5714</v>
      </c>
      <c r="D1522" s="4" t="s">
        <v>5574</v>
      </c>
      <c r="E1522" s="4" t="s">
        <v>5575</v>
      </c>
      <c r="F1522" s="4" t="s">
        <v>7825</v>
      </c>
      <c r="G1522" s="4" t="s">
        <v>7662</v>
      </c>
      <c r="H1522" s="4" t="s">
        <v>7663</v>
      </c>
      <c r="I1522" s="5">
        <v>43378</v>
      </c>
      <c r="J1522" s="4" t="s">
        <v>4842</v>
      </c>
      <c r="K1522" s="4" t="s">
        <v>57</v>
      </c>
      <c r="L1522" s="4"/>
      <c r="M1522" s="4"/>
    </row>
    <row r="1523" ht="16" customHeight="1" s="4" customFormat="1">
      <c r="A1523" s="4">
        <v>980</v>
      </c>
      <c r="B1523" s="4" t="s">
        <v>5499</v>
      </c>
      <c r="C1523" s="4" t="s">
        <v>5714</v>
      </c>
      <c r="D1523" s="4" t="s">
        <v>5574</v>
      </c>
      <c r="E1523" s="4" t="s">
        <v>5575</v>
      </c>
      <c r="F1523" s="4" t="s">
        <v>7826</v>
      </c>
      <c r="G1523" s="4" t="s">
        <v>7662</v>
      </c>
      <c r="H1523" s="4" t="s">
        <v>7663</v>
      </c>
      <c r="I1523" s="5">
        <v>43378</v>
      </c>
      <c r="J1523" s="4" t="s">
        <v>4842</v>
      </c>
      <c r="K1523" s="4" t="s">
        <v>57</v>
      </c>
      <c r="L1523" s="4"/>
      <c r="M1523" s="4"/>
    </row>
    <row r="1524" ht="16" customHeight="1" s="4" customFormat="1">
      <c r="A1524" s="4">
        <v>981</v>
      </c>
      <c r="B1524" s="4" t="s">
        <v>5499</v>
      </c>
      <c r="C1524" s="4" t="s">
        <v>5714</v>
      </c>
      <c r="D1524" s="4"/>
      <c r="E1524" s="4" t="s">
        <v>7660</v>
      </c>
      <c r="F1524" s="4" t="s">
        <v>7827</v>
      </c>
      <c r="G1524" s="4" t="s">
        <v>7662</v>
      </c>
      <c r="H1524" s="4" t="s">
        <v>7663</v>
      </c>
      <c r="I1524" s="5">
        <v>43378</v>
      </c>
      <c r="J1524" s="4" t="s">
        <v>4842</v>
      </c>
      <c r="K1524" s="4" t="s">
        <v>57</v>
      </c>
      <c r="L1524" s="4"/>
      <c r="M1524" s="4"/>
    </row>
    <row r="1525" ht="16" customHeight="1" s="4" customFormat="1">
      <c r="A1525" s="4">
        <v>983</v>
      </c>
      <c r="B1525" s="4" t="s">
        <v>5499</v>
      </c>
      <c r="C1525" s="4" t="s">
        <v>5714</v>
      </c>
      <c r="D1525" s="4"/>
      <c r="E1525" s="4" t="s">
        <v>7660</v>
      </c>
      <c r="F1525" s="4" t="s">
        <v>7828</v>
      </c>
      <c r="G1525" s="4" t="s">
        <v>7662</v>
      </c>
      <c r="H1525" s="4" t="s">
        <v>7663</v>
      </c>
      <c r="I1525" s="5">
        <v>43378</v>
      </c>
      <c r="J1525" s="4" t="s">
        <v>4842</v>
      </c>
      <c r="K1525" s="4" t="s">
        <v>57</v>
      </c>
      <c r="L1525" s="4"/>
      <c r="M1525" s="4"/>
    </row>
    <row r="1526" ht="16" customHeight="1" s="4" customFormat="1">
      <c r="A1526" s="4">
        <v>984</v>
      </c>
      <c r="B1526" s="4" t="s">
        <v>5499</v>
      </c>
      <c r="C1526" s="4" t="s">
        <v>5714</v>
      </c>
      <c r="D1526" s="4"/>
      <c r="E1526" s="4" t="s">
        <v>7660</v>
      </c>
      <c r="F1526" s="4" t="s">
        <v>7829</v>
      </c>
      <c r="G1526" s="4" t="s">
        <v>7662</v>
      </c>
      <c r="H1526" s="4" t="s">
        <v>7663</v>
      </c>
      <c r="I1526" s="5">
        <v>43378</v>
      </c>
      <c r="J1526" s="4" t="s">
        <v>4842</v>
      </c>
      <c r="K1526" s="4" t="s">
        <v>57</v>
      </c>
      <c r="L1526" s="4"/>
      <c r="M1526" s="4"/>
    </row>
    <row r="1527" ht="16" customHeight="1" s="4" customFormat="1">
      <c r="A1527" s="4">
        <v>985</v>
      </c>
      <c r="B1527" s="4" t="s">
        <v>5534</v>
      </c>
      <c r="C1527" s="4" t="s">
        <v>5773</v>
      </c>
      <c r="D1527" s="4"/>
      <c r="E1527" s="4"/>
      <c r="F1527" s="4" t="s">
        <v>7830</v>
      </c>
      <c r="G1527" s="4" t="s">
        <v>10</v>
      </c>
      <c r="H1527" s="4" t="s">
        <v>7831</v>
      </c>
      <c r="I1527" s="5">
        <v>43377</v>
      </c>
      <c r="J1527" s="4" t="s">
        <v>4798</v>
      </c>
      <c r="K1527" s="4" t="s">
        <v>57</v>
      </c>
      <c r="L1527" s="4"/>
      <c r="M1527" s="4"/>
    </row>
    <row r="1528" ht="16" customHeight="1" s="4" customFormat="1">
      <c r="A1528" s="4">
        <v>986</v>
      </c>
      <c r="B1528" s="4" t="s">
        <v>5499</v>
      </c>
      <c r="C1528" s="4" t="s">
        <v>5714</v>
      </c>
      <c r="D1528" s="4" t="s">
        <v>5574</v>
      </c>
      <c r="E1528" s="4" t="s">
        <v>5575</v>
      </c>
      <c r="F1528" s="4" t="s">
        <v>7832</v>
      </c>
      <c r="G1528" s="4" t="s">
        <v>10</v>
      </c>
      <c r="H1528" s="4" t="s">
        <v>7833</v>
      </c>
      <c r="I1528" s="5">
        <v>43376</v>
      </c>
      <c r="J1528" s="4" t="s">
        <v>4842</v>
      </c>
      <c r="K1528" s="4" t="s">
        <v>57</v>
      </c>
      <c r="L1528" s="4"/>
      <c r="M1528" s="4"/>
    </row>
    <row r="1529" ht="16" customHeight="1" s="4" customFormat="1">
      <c r="A1529" s="4">
        <v>987</v>
      </c>
      <c r="B1529" s="4" t="s">
        <v>5534</v>
      </c>
      <c r="C1529" s="4" t="s">
        <v>5773</v>
      </c>
      <c r="D1529" s="4"/>
      <c r="E1529" s="4"/>
      <c r="F1529" s="4" t="s">
        <v>7834</v>
      </c>
      <c r="G1529" s="4" t="s">
        <v>5791</v>
      </c>
      <c r="H1529" s="4" t="s">
        <v>7617</v>
      </c>
      <c r="I1529" s="5">
        <v>43374</v>
      </c>
      <c r="J1529" s="4" t="s">
        <v>4842</v>
      </c>
      <c r="K1529" s="4" t="s">
        <v>57</v>
      </c>
      <c r="L1529" s="4"/>
      <c r="M1529" s="4"/>
    </row>
    <row r="1530" ht="16" customHeight="1" s="4" customFormat="1">
      <c r="A1530" s="4">
        <v>988</v>
      </c>
      <c r="B1530" s="4" t="s">
        <v>5499</v>
      </c>
      <c r="C1530" s="4" t="s">
        <v>5509</v>
      </c>
      <c r="D1530" s="4"/>
      <c r="E1530" s="4"/>
      <c r="F1530" s="4" t="s">
        <v>7835</v>
      </c>
      <c r="G1530" s="4" t="s">
        <v>5791</v>
      </c>
      <c r="H1530" s="4" t="s">
        <v>7836</v>
      </c>
      <c r="I1530" s="5">
        <v>43367</v>
      </c>
      <c r="J1530" s="4" t="s">
        <v>4798</v>
      </c>
      <c r="K1530" s="4" t="s">
        <v>57</v>
      </c>
      <c r="L1530" s="4"/>
      <c r="M1530" s="4"/>
    </row>
    <row r="1531" ht="16" customHeight="1" s="4" customFormat="1">
      <c r="A1531" s="4">
        <v>989</v>
      </c>
      <c r="B1531" s="4" t="s">
        <v>5499</v>
      </c>
      <c r="C1531" s="4" t="s">
        <v>5500</v>
      </c>
      <c r="D1531" s="4"/>
      <c r="E1531" s="4" t="s">
        <v>7837</v>
      </c>
      <c r="F1531" s="4" t="s">
        <v>7838</v>
      </c>
      <c r="G1531" s="4" t="s">
        <v>7839</v>
      </c>
      <c r="H1531" s="4" t="s">
        <v>7840</v>
      </c>
      <c r="I1531" s="5">
        <v>43367</v>
      </c>
      <c r="J1531" s="4" t="s">
        <v>4798</v>
      </c>
      <c r="K1531" s="4" t="s">
        <v>57</v>
      </c>
      <c r="L1531" s="4"/>
      <c r="M1531" s="4"/>
    </row>
    <row r="1532" ht="16" customHeight="1" s="4" customFormat="1">
      <c r="A1532" s="4">
        <v>990</v>
      </c>
      <c r="B1532" s="4" t="s">
        <v>5499</v>
      </c>
      <c r="C1532" s="4" t="s">
        <v>5519</v>
      </c>
      <c r="D1532" s="4"/>
      <c r="E1532" s="4" t="s">
        <v>7841</v>
      </c>
      <c r="F1532" s="4" t="s">
        <v>7842</v>
      </c>
      <c r="G1532" s="4" t="s">
        <v>7843</v>
      </c>
      <c r="H1532" s="4" t="s">
        <v>7844</v>
      </c>
      <c r="I1532" s="5">
        <v>43362</v>
      </c>
      <c r="J1532" s="4" t="s">
        <v>4842</v>
      </c>
      <c r="K1532" s="4" t="s">
        <v>57</v>
      </c>
      <c r="L1532" s="4"/>
      <c r="M1532" s="4"/>
    </row>
    <row r="1533" ht="16" customHeight="1" s="4" customFormat="1">
      <c r="A1533" s="4">
        <v>991</v>
      </c>
      <c r="B1533" s="4" t="s">
        <v>5534</v>
      </c>
      <c r="C1533" s="4" t="s">
        <v>5631</v>
      </c>
      <c r="D1533" s="4"/>
      <c r="E1533" s="4"/>
      <c r="F1533" s="4" t="s">
        <v>7845</v>
      </c>
      <c r="G1533" s="4" t="s">
        <v>10</v>
      </c>
      <c r="H1533" s="4" t="s">
        <v>7789</v>
      </c>
      <c r="I1533" s="5">
        <v>43361</v>
      </c>
      <c r="J1533" s="4" t="s">
        <v>4842</v>
      </c>
      <c r="K1533" s="4" t="s">
        <v>57</v>
      </c>
      <c r="L1533" s="4"/>
      <c r="M1533" s="4"/>
    </row>
    <row r="1534" ht="16" customHeight="1" s="4" customFormat="1">
      <c r="A1534" s="4">
        <v>992</v>
      </c>
      <c r="B1534" s="4" t="s">
        <v>5534</v>
      </c>
      <c r="C1534" s="4" t="s">
        <v>5631</v>
      </c>
      <c r="D1534" s="4"/>
      <c r="E1534" s="4"/>
      <c r="F1534" s="4" t="s">
        <v>7846</v>
      </c>
      <c r="G1534" s="4" t="s">
        <v>10</v>
      </c>
      <c r="H1534" s="4" t="s">
        <v>7789</v>
      </c>
      <c r="I1534" s="5">
        <v>43361</v>
      </c>
      <c r="J1534" s="4" t="s">
        <v>4798</v>
      </c>
      <c r="K1534" s="4" t="s">
        <v>57</v>
      </c>
      <c r="L1534" s="4"/>
      <c r="M1534" s="4"/>
    </row>
    <row r="1535" ht="16" customHeight="1" s="4" customFormat="1">
      <c r="A1535" s="4">
        <v>993</v>
      </c>
      <c r="B1535" s="4" t="s">
        <v>5499</v>
      </c>
      <c r="C1535" s="4" t="s">
        <v>5573</v>
      </c>
      <c r="D1535" s="4" t="s">
        <v>5574</v>
      </c>
      <c r="E1535" s="4" t="s">
        <v>5575</v>
      </c>
      <c r="F1535" s="4" t="s">
        <v>7847</v>
      </c>
      <c r="G1535" s="4" t="s">
        <v>4850</v>
      </c>
      <c r="H1535" s="4" t="s">
        <v>7009</v>
      </c>
      <c r="I1535" s="5">
        <v>43360</v>
      </c>
      <c r="J1535" s="4" t="s">
        <v>4798</v>
      </c>
      <c r="K1535" s="4" t="s">
        <v>57</v>
      </c>
      <c r="L1535" s="4"/>
      <c r="M1535" s="4"/>
    </row>
    <row r="1536" ht="16" customHeight="1" s="4" customFormat="1">
      <c r="A1536" s="4">
        <v>994</v>
      </c>
      <c r="B1536" s="4" t="s">
        <v>5499</v>
      </c>
      <c r="C1536" s="4" t="s">
        <v>5590</v>
      </c>
      <c r="D1536" s="4" t="s">
        <v>5574</v>
      </c>
      <c r="E1536" s="4" t="s">
        <v>5575</v>
      </c>
      <c r="F1536" s="4" t="s">
        <v>7848</v>
      </c>
      <c r="G1536" s="4" t="s">
        <v>6419</v>
      </c>
      <c r="H1536" s="4" t="s">
        <v>7849</v>
      </c>
      <c r="I1536" s="5">
        <v>43357</v>
      </c>
      <c r="J1536" s="4" t="s">
        <v>4798</v>
      </c>
      <c r="K1536" s="4" t="s">
        <v>57</v>
      </c>
      <c r="L1536" s="4"/>
      <c r="M1536" s="4"/>
    </row>
    <row r="1537" ht="16" customHeight="1" s="4" customFormat="1">
      <c r="A1537" s="4">
        <v>995</v>
      </c>
      <c r="B1537" s="4" t="s">
        <v>5600</v>
      </c>
      <c r="C1537" s="4" t="s">
        <v>5600</v>
      </c>
      <c r="D1537" s="4"/>
      <c r="E1537" s="4"/>
      <c r="F1537" s="4" t="s">
        <v>7850</v>
      </c>
      <c r="G1537" s="4" t="s">
        <v>7851</v>
      </c>
      <c r="H1537" s="4" t="s">
        <v>10</v>
      </c>
      <c r="I1537" s="5">
        <v>43357</v>
      </c>
      <c r="J1537" s="4" t="s">
        <v>4798</v>
      </c>
      <c r="K1537" s="4" t="s">
        <v>57</v>
      </c>
      <c r="L1537" s="4"/>
      <c r="M1537" s="4"/>
    </row>
    <row r="1538" ht="16" customHeight="1" s="4" customFormat="1">
      <c r="A1538" s="4">
        <v>996</v>
      </c>
      <c r="B1538" s="4" t="s">
        <v>5600</v>
      </c>
      <c r="C1538" s="4" t="s">
        <v>5600</v>
      </c>
      <c r="D1538" s="4"/>
      <c r="E1538" s="4" t="s">
        <v>7609</v>
      </c>
      <c r="F1538" s="4" t="s">
        <v>7852</v>
      </c>
      <c r="G1538" s="4" t="s">
        <v>7853</v>
      </c>
      <c r="H1538" s="4" t="s">
        <v>10</v>
      </c>
      <c r="I1538" s="5">
        <v>43353</v>
      </c>
      <c r="J1538" s="4" t="s">
        <v>4798</v>
      </c>
      <c r="K1538" s="4" t="s">
        <v>57</v>
      </c>
      <c r="L1538" s="4"/>
      <c r="M1538" s="4"/>
    </row>
    <row r="1539" ht="16" customHeight="1" s="4" customFormat="1">
      <c r="A1539" s="4">
        <v>997</v>
      </c>
      <c r="B1539" s="4" t="s">
        <v>5499</v>
      </c>
      <c r="C1539" s="4" t="s">
        <v>5590</v>
      </c>
      <c r="D1539" s="4" t="s">
        <v>5574</v>
      </c>
      <c r="E1539" s="4" t="s">
        <v>5575</v>
      </c>
      <c r="F1539" s="4" t="s">
        <v>7854</v>
      </c>
      <c r="G1539" s="4" t="s">
        <v>5654</v>
      </c>
      <c r="H1539" s="4" t="s">
        <v>7084</v>
      </c>
      <c r="I1539" s="5">
        <v>43343</v>
      </c>
      <c r="J1539" s="4" t="s">
        <v>4798</v>
      </c>
      <c r="K1539" s="4" t="s">
        <v>57</v>
      </c>
      <c r="L1539" s="4"/>
      <c r="M1539" s="4"/>
    </row>
    <row r="1540" ht="16" customHeight="1" s="4" customFormat="1">
      <c r="A1540" s="4">
        <v>998</v>
      </c>
      <c r="B1540" s="4" t="s">
        <v>5499</v>
      </c>
      <c r="C1540" s="4" t="s">
        <v>5590</v>
      </c>
      <c r="D1540" s="4" t="s">
        <v>5514</v>
      </c>
      <c r="E1540" s="4" t="s">
        <v>5515</v>
      </c>
      <c r="F1540" s="4" t="s">
        <v>7855</v>
      </c>
      <c r="G1540" s="4" t="s">
        <v>5654</v>
      </c>
      <c r="H1540" s="4" t="s">
        <v>7084</v>
      </c>
      <c r="I1540" s="5">
        <v>43343</v>
      </c>
      <c r="J1540" s="4" t="s">
        <v>4798</v>
      </c>
      <c r="K1540" s="4" t="s">
        <v>57</v>
      </c>
      <c r="L1540" s="4"/>
      <c r="M1540" s="4"/>
    </row>
    <row r="1541" ht="16" customHeight="1" s="4" customFormat="1">
      <c r="A1541" s="4">
        <v>999</v>
      </c>
      <c r="B1541" s="4" t="s">
        <v>5499</v>
      </c>
      <c r="C1541" s="4" t="s">
        <v>5500</v>
      </c>
      <c r="D1541" s="4"/>
      <c r="E1541" s="4"/>
      <c r="F1541" s="4" t="s">
        <v>7856</v>
      </c>
      <c r="G1541" s="4" t="s">
        <v>5983</v>
      </c>
      <c r="H1541" s="4" t="s">
        <v>5768</v>
      </c>
      <c r="I1541" s="5">
        <v>43342</v>
      </c>
      <c r="J1541" s="4" t="s">
        <v>4842</v>
      </c>
      <c r="K1541" s="4" t="s">
        <v>57</v>
      </c>
      <c r="L1541" s="4"/>
      <c r="M1541" s="4"/>
    </row>
    <row r="1542" ht="16" customHeight="1" s="4" customFormat="1">
      <c r="A1542" s="4">
        <v>1000</v>
      </c>
      <c r="B1542" s="4" t="s">
        <v>5499</v>
      </c>
      <c r="C1542" s="4" t="s">
        <v>5500</v>
      </c>
      <c r="D1542" s="4"/>
      <c r="E1542" s="4"/>
      <c r="F1542" s="4" t="s">
        <v>7857</v>
      </c>
      <c r="G1542" s="4" t="s">
        <v>5983</v>
      </c>
      <c r="H1542" s="4" t="s">
        <v>5667</v>
      </c>
      <c r="I1542" s="5">
        <v>43342</v>
      </c>
      <c r="J1542" s="4" t="s">
        <v>4842</v>
      </c>
      <c r="K1542" s="4" t="s">
        <v>57</v>
      </c>
      <c r="L1542" s="4"/>
      <c r="M1542" s="4"/>
    </row>
    <row r="1543" ht="16" customHeight="1" s="4" customFormat="1">
      <c r="A1543" s="4">
        <v>1001</v>
      </c>
      <c r="B1543" s="4" t="s">
        <v>5499</v>
      </c>
      <c r="C1543" s="4" t="s">
        <v>5500</v>
      </c>
      <c r="D1543" s="4"/>
      <c r="E1543" s="4"/>
      <c r="F1543" s="4" t="s">
        <v>7858</v>
      </c>
      <c r="G1543" s="4" t="s">
        <v>5983</v>
      </c>
      <c r="H1543" s="4" t="s">
        <v>6005</v>
      </c>
      <c r="I1543" s="5">
        <v>43342</v>
      </c>
      <c r="J1543" s="4" t="s">
        <v>4842</v>
      </c>
      <c r="K1543" s="4" t="s">
        <v>57</v>
      </c>
      <c r="L1543" s="4"/>
      <c r="M1543" s="4"/>
    </row>
    <row r="1544" ht="16" customHeight="1" s="4" customFormat="1">
      <c r="A1544" s="4">
        <v>1002</v>
      </c>
      <c r="B1544" s="4" t="s">
        <v>5499</v>
      </c>
      <c r="C1544" s="4" t="s">
        <v>5500</v>
      </c>
      <c r="D1544" s="4"/>
      <c r="E1544" s="4"/>
      <c r="F1544" s="4" t="s">
        <v>7859</v>
      </c>
      <c r="G1544" s="4" t="s">
        <v>5983</v>
      </c>
      <c r="H1544" s="4" t="s">
        <v>5604</v>
      </c>
      <c r="I1544" s="5">
        <v>43342</v>
      </c>
      <c r="J1544" s="4" t="s">
        <v>4842</v>
      </c>
      <c r="K1544" s="4" t="s">
        <v>57</v>
      </c>
      <c r="L1544" s="4"/>
      <c r="M1544" s="4"/>
    </row>
    <row r="1545" ht="16" customHeight="1" s="4" customFormat="1">
      <c r="A1545" s="4">
        <v>1003</v>
      </c>
      <c r="B1545" s="4" t="s">
        <v>5499</v>
      </c>
      <c r="C1545" s="4" t="s">
        <v>5500</v>
      </c>
      <c r="D1545" s="4"/>
      <c r="E1545" s="4"/>
      <c r="F1545" s="4" t="s">
        <v>7860</v>
      </c>
      <c r="G1545" s="4" t="s">
        <v>5983</v>
      </c>
      <c r="H1545" s="4" t="s">
        <v>5667</v>
      </c>
      <c r="I1545" s="5">
        <v>43342</v>
      </c>
      <c r="J1545" s="4" t="s">
        <v>4842</v>
      </c>
      <c r="K1545" s="4" t="s">
        <v>57</v>
      </c>
      <c r="L1545" s="4"/>
      <c r="M1545" s="4"/>
    </row>
    <row r="1546" ht="16" customHeight="1" s="4" customFormat="1">
      <c r="A1546" s="4">
        <v>1004</v>
      </c>
      <c r="B1546" s="4" t="s">
        <v>5499</v>
      </c>
      <c r="C1546" s="4" t="s">
        <v>5500</v>
      </c>
      <c r="D1546" s="4"/>
      <c r="E1546" s="4"/>
      <c r="F1546" s="4" t="s">
        <v>7861</v>
      </c>
      <c r="G1546" s="4" t="s">
        <v>5983</v>
      </c>
      <c r="H1546" s="4" t="s">
        <v>7862</v>
      </c>
      <c r="I1546" s="5">
        <v>43342</v>
      </c>
      <c r="J1546" s="4" t="s">
        <v>4842</v>
      </c>
      <c r="K1546" s="4" t="s">
        <v>57</v>
      </c>
      <c r="L1546" s="4"/>
      <c r="M1546" s="4"/>
    </row>
    <row r="1547" ht="16" customHeight="1" s="4" customFormat="1">
      <c r="A1547" s="4">
        <v>1005</v>
      </c>
      <c r="B1547" s="4" t="s">
        <v>5499</v>
      </c>
      <c r="C1547" s="4" t="s">
        <v>5500</v>
      </c>
      <c r="D1547" s="4"/>
      <c r="E1547" s="4"/>
      <c r="F1547" s="4" t="s">
        <v>7863</v>
      </c>
      <c r="G1547" s="4" t="s">
        <v>5983</v>
      </c>
      <c r="H1547" s="4" t="s">
        <v>5604</v>
      </c>
      <c r="I1547" s="5">
        <v>43342</v>
      </c>
      <c r="J1547" s="4" t="s">
        <v>4842</v>
      </c>
      <c r="K1547" s="4" t="s">
        <v>57</v>
      </c>
      <c r="L1547" s="4"/>
      <c r="M1547" s="4"/>
    </row>
    <row r="1548" ht="16" customHeight="1" s="4" customFormat="1">
      <c r="A1548" s="4">
        <v>1006</v>
      </c>
      <c r="B1548" s="4" t="s">
        <v>5499</v>
      </c>
      <c r="C1548" s="4" t="s">
        <v>5500</v>
      </c>
      <c r="D1548" s="4"/>
      <c r="E1548" s="4"/>
      <c r="F1548" s="4" t="s">
        <v>7864</v>
      </c>
      <c r="G1548" s="4" t="s">
        <v>5983</v>
      </c>
      <c r="H1548" s="4" t="s">
        <v>5604</v>
      </c>
      <c r="I1548" s="5">
        <v>43342</v>
      </c>
      <c r="J1548" s="4" t="s">
        <v>4842</v>
      </c>
      <c r="K1548" s="4" t="s">
        <v>57</v>
      </c>
      <c r="L1548" s="4"/>
      <c r="M1548" s="4"/>
    </row>
    <row r="1549" ht="16" customHeight="1" s="4" customFormat="1">
      <c r="A1549" s="4">
        <v>1007</v>
      </c>
      <c r="B1549" s="4" t="s">
        <v>5499</v>
      </c>
      <c r="C1549" s="4" t="s">
        <v>5500</v>
      </c>
      <c r="D1549" s="4"/>
      <c r="E1549" s="4"/>
      <c r="F1549" s="4" t="s">
        <v>7865</v>
      </c>
      <c r="G1549" s="4" t="s">
        <v>5983</v>
      </c>
      <c r="H1549" s="4" t="s">
        <v>5604</v>
      </c>
      <c r="I1549" s="5">
        <v>43342</v>
      </c>
      <c r="J1549" s="4" t="s">
        <v>4842</v>
      </c>
      <c r="K1549" s="4" t="s">
        <v>57</v>
      </c>
      <c r="L1549" s="4"/>
      <c r="M1549" s="4"/>
    </row>
    <row r="1550" ht="16" customHeight="1" s="4" customFormat="1">
      <c r="A1550" s="4">
        <v>1008</v>
      </c>
      <c r="B1550" s="4" t="s">
        <v>5499</v>
      </c>
      <c r="C1550" s="4" t="s">
        <v>5500</v>
      </c>
      <c r="D1550" s="4"/>
      <c r="E1550" s="4"/>
      <c r="F1550" s="4" t="s">
        <v>7866</v>
      </c>
      <c r="G1550" s="4" t="s">
        <v>5983</v>
      </c>
      <c r="H1550" s="4" t="s">
        <v>5604</v>
      </c>
      <c r="I1550" s="5">
        <v>43342</v>
      </c>
      <c r="J1550" s="4" t="s">
        <v>4842</v>
      </c>
      <c r="K1550" s="4" t="s">
        <v>57</v>
      </c>
      <c r="L1550" s="4"/>
      <c r="M1550" s="4"/>
    </row>
    <row r="1551" ht="16" customHeight="1" s="4" customFormat="1">
      <c r="A1551" s="4">
        <v>1009</v>
      </c>
      <c r="B1551" s="4" t="s">
        <v>5499</v>
      </c>
      <c r="C1551" s="4" t="s">
        <v>5500</v>
      </c>
      <c r="D1551" s="4"/>
      <c r="E1551" s="4"/>
      <c r="F1551" s="4" t="s">
        <v>7867</v>
      </c>
      <c r="G1551" s="4" t="s">
        <v>5983</v>
      </c>
      <c r="H1551" s="4" t="s">
        <v>6041</v>
      </c>
      <c r="I1551" s="5">
        <v>43342</v>
      </c>
      <c r="J1551" s="4" t="s">
        <v>4842</v>
      </c>
      <c r="K1551" s="4" t="s">
        <v>57</v>
      </c>
      <c r="L1551" s="4"/>
      <c r="M1551" s="4"/>
    </row>
    <row r="1552" ht="16" customHeight="1" s="4" customFormat="1">
      <c r="A1552" s="4">
        <v>1010</v>
      </c>
      <c r="B1552" s="4" t="s">
        <v>5499</v>
      </c>
      <c r="C1552" s="4" t="s">
        <v>5714</v>
      </c>
      <c r="D1552" s="4"/>
      <c r="E1552" s="4" t="s">
        <v>7868</v>
      </c>
      <c r="F1552" s="4" t="s">
        <v>7869</v>
      </c>
      <c r="G1552" s="4" t="s">
        <v>7870</v>
      </c>
      <c r="H1552" s="4" t="s">
        <v>7871</v>
      </c>
      <c r="I1552" s="5">
        <v>43340</v>
      </c>
      <c r="J1552" s="4" t="s">
        <v>4842</v>
      </c>
      <c r="K1552" s="4" t="s">
        <v>57</v>
      </c>
      <c r="L1552" s="4"/>
      <c r="M1552" s="4"/>
    </row>
    <row r="1553" ht="16" customHeight="1" s="4" customFormat="1">
      <c r="A1553" s="4">
        <v>1011</v>
      </c>
      <c r="B1553" s="4" t="s">
        <v>5600</v>
      </c>
      <c r="C1553" s="4" t="s">
        <v>5600</v>
      </c>
      <c r="D1553" s="4"/>
      <c r="E1553" s="4" t="s">
        <v>5956</v>
      </c>
      <c r="F1553" s="4" t="s">
        <v>7872</v>
      </c>
      <c r="G1553" s="4" t="s">
        <v>7873</v>
      </c>
      <c r="H1553" s="4" t="s">
        <v>7874</v>
      </c>
      <c r="I1553" s="5">
        <v>43340</v>
      </c>
      <c r="J1553" s="4" t="s">
        <v>7792</v>
      </c>
      <c r="K1553" s="4" t="s">
        <v>57</v>
      </c>
      <c r="L1553" s="4"/>
      <c r="M1553" s="4"/>
    </row>
    <row r="1554" ht="16" customHeight="1" s="4" customFormat="1">
      <c r="A1554" s="4">
        <v>1012</v>
      </c>
      <c r="B1554" s="4" t="s">
        <v>5499</v>
      </c>
      <c r="C1554" s="4" t="s">
        <v>5714</v>
      </c>
      <c r="D1554" s="4"/>
      <c r="E1554" s="4" t="s">
        <v>7868</v>
      </c>
      <c r="F1554" s="4" t="s">
        <v>7875</v>
      </c>
      <c r="G1554" s="4" t="s">
        <v>7876</v>
      </c>
      <c r="H1554" s="4" t="s">
        <v>7877</v>
      </c>
      <c r="I1554" s="5">
        <v>43340</v>
      </c>
      <c r="J1554" s="4" t="s">
        <v>4842</v>
      </c>
      <c r="K1554" s="4" t="s">
        <v>57</v>
      </c>
      <c r="L1554" s="4"/>
      <c r="M1554" s="4"/>
    </row>
    <row r="1555" ht="16" customHeight="1" s="4" customFormat="1">
      <c r="A1555" s="4">
        <v>1013</v>
      </c>
      <c r="B1555" s="4" t="s">
        <v>5534</v>
      </c>
      <c r="C1555" s="4" t="s">
        <v>7593</v>
      </c>
      <c r="D1555" s="4"/>
      <c r="E1555" s="4"/>
      <c r="F1555" s="4" t="s">
        <v>7878</v>
      </c>
      <c r="G1555" s="4" t="s">
        <v>7879</v>
      </c>
      <c r="H1555" s="4" t="s">
        <v>5771</v>
      </c>
      <c r="I1555" s="5">
        <v>43332</v>
      </c>
      <c r="J1555" s="4" t="s">
        <v>5506</v>
      </c>
      <c r="K1555" s="4" t="s">
        <v>57</v>
      </c>
      <c r="L1555" s="4"/>
      <c r="M1555" s="4"/>
    </row>
    <row r="1556" ht="16" customHeight="1" s="4" customFormat="1">
      <c r="A1556" s="4">
        <v>1014</v>
      </c>
      <c r="B1556" s="4" t="s">
        <v>5534</v>
      </c>
      <c r="C1556" s="4" t="s">
        <v>5631</v>
      </c>
      <c r="D1556" s="4"/>
      <c r="E1556" s="4"/>
      <c r="F1556" s="4" t="s">
        <v>7880</v>
      </c>
      <c r="G1556" s="4" t="s">
        <v>10</v>
      </c>
      <c r="H1556" s="4" t="s">
        <v>7789</v>
      </c>
      <c r="I1556" s="5">
        <v>43332</v>
      </c>
      <c r="J1556" s="4" t="s">
        <v>4842</v>
      </c>
      <c r="K1556" s="4" t="s">
        <v>57</v>
      </c>
      <c r="L1556" s="4"/>
      <c r="M1556" s="4"/>
    </row>
    <row r="1557" ht="16" customHeight="1" s="4" customFormat="1">
      <c r="A1557" s="4">
        <v>1015</v>
      </c>
      <c r="B1557" s="4" t="s">
        <v>5600</v>
      </c>
      <c r="C1557" s="4" t="s">
        <v>5600</v>
      </c>
      <c r="D1557" s="4"/>
      <c r="E1557" s="4" t="s">
        <v>7609</v>
      </c>
      <c r="F1557" s="4" t="s">
        <v>7881</v>
      </c>
      <c r="G1557" s="4" t="s">
        <v>7882</v>
      </c>
      <c r="H1557" s="4" t="s">
        <v>10</v>
      </c>
      <c r="I1557" s="5">
        <v>43326</v>
      </c>
      <c r="J1557" s="4" t="s">
        <v>4798</v>
      </c>
      <c r="K1557" s="4" t="s">
        <v>57</v>
      </c>
      <c r="L1557" s="4"/>
      <c r="M1557" s="4"/>
    </row>
    <row r="1558" ht="16" customHeight="1" s="4" customFormat="1">
      <c r="A1558" s="4">
        <v>1016</v>
      </c>
      <c r="B1558" s="4" t="s">
        <v>5534</v>
      </c>
      <c r="C1558" s="4" t="s">
        <v>5773</v>
      </c>
      <c r="D1558" s="4"/>
      <c r="E1558" s="4"/>
      <c r="F1558" s="4" t="s">
        <v>7883</v>
      </c>
      <c r="G1558" s="4" t="s">
        <v>5675</v>
      </c>
      <c r="H1558" s="4" t="s">
        <v>7884</v>
      </c>
      <c r="I1558" s="5">
        <v>43322</v>
      </c>
      <c r="J1558" s="4" t="s">
        <v>4842</v>
      </c>
      <c r="K1558" s="4" t="s">
        <v>57</v>
      </c>
      <c r="L1558" s="4"/>
      <c r="M1558" s="4"/>
    </row>
    <row r="1559" ht="16" customHeight="1" s="4" customFormat="1">
      <c r="A1559" s="4">
        <v>1017</v>
      </c>
      <c r="B1559" s="4" t="s">
        <v>5499</v>
      </c>
      <c r="C1559" s="4" t="s">
        <v>5702</v>
      </c>
      <c r="D1559" s="4" t="s">
        <v>5574</v>
      </c>
      <c r="E1559" s="4" t="s">
        <v>5575</v>
      </c>
      <c r="F1559" s="4" t="s">
        <v>7885</v>
      </c>
      <c r="G1559" s="4" t="s">
        <v>7886</v>
      </c>
      <c r="H1559" s="4" t="s">
        <v>7887</v>
      </c>
      <c r="I1559" s="5">
        <v>43318</v>
      </c>
      <c r="J1559" s="4" t="s">
        <v>5506</v>
      </c>
      <c r="K1559" s="4" t="s">
        <v>57</v>
      </c>
      <c r="L1559" s="4"/>
      <c r="M1559" s="4"/>
    </row>
    <row r="1560" ht="16" customHeight="1" s="4" customFormat="1">
      <c r="A1560" s="4">
        <v>1018</v>
      </c>
      <c r="B1560" s="4" t="s">
        <v>5499</v>
      </c>
      <c r="C1560" s="4" t="s">
        <v>5702</v>
      </c>
      <c r="D1560" s="4" t="s">
        <v>5574</v>
      </c>
      <c r="E1560" s="4" t="s">
        <v>5575</v>
      </c>
      <c r="F1560" s="4" t="s">
        <v>7888</v>
      </c>
      <c r="G1560" s="4" t="s">
        <v>4850</v>
      </c>
      <c r="H1560" s="4" t="s">
        <v>7889</v>
      </c>
      <c r="I1560" s="5">
        <v>43313</v>
      </c>
      <c r="J1560" s="4" t="s">
        <v>4798</v>
      </c>
      <c r="K1560" s="4" t="s">
        <v>57</v>
      </c>
      <c r="L1560" s="4"/>
      <c r="M1560" s="4"/>
    </row>
    <row r="1561" ht="16" customHeight="1" s="4" customFormat="1">
      <c r="A1561" s="4">
        <v>1019</v>
      </c>
      <c r="B1561" s="4" t="s">
        <v>5499</v>
      </c>
      <c r="C1561" s="4" t="s">
        <v>5702</v>
      </c>
      <c r="D1561" s="4" t="s">
        <v>5574</v>
      </c>
      <c r="E1561" s="4" t="s">
        <v>5575</v>
      </c>
      <c r="F1561" s="4" t="s">
        <v>7890</v>
      </c>
      <c r="G1561" s="4" t="s">
        <v>6422</v>
      </c>
      <c r="H1561" s="4" t="s">
        <v>7891</v>
      </c>
      <c r="I1561" s="5">
        <v>43313</v>
      </c>
      <c r="J1561" s="4" t="s">
        <v>4798</v>
      </c>
      <c r="K1561" s="4" t="s">
        <v>57</v>
      </c>
      <c r="L1561" s="4"/>
      <c r="M1561" s="4"/>
    </row>
    <row r="1562" ht="16" customHeight="1" s="4" customFormat="1">
      <c r="A1562" s="4">
        <v>1020</v>
      </c>
      <c r="B1562" s="4" t="s">
        <v>5499</v>
      </c>
      <c r="C1562" s="4" t="s">
        <v>5509</v>
      </c>
      <c r="D1562" s="4"/>
      <c r="E1562" s="4"/>
      <c r="F1562" s="4" t="s">
        <v>7892</v>
      </c>
      <c r="G1562" s="4" t="s">
        <v>6289</v>
      </c>
      <c r="H1562" s="4" t="s">
        <v>7893</v>
      </c>
      <c r="I1562" s="5">
        <v>43312</v>
      </c>
      <c r="J1562" s="4" t="s">
        <v>4798</v>
      </c>
      <c r="K1562" s="4" t="s">
        <v>57</v>
      </c>
      <c r="L1562" s="4"/>
      <c r="M1562" s="4"/>
    </row>
    <row r="1563" ht="16" customHeight="1" s="4" customFormat="1">
      <c r="A1563" s="4">
        <v>1021</v>
      </c>
      <c r="B1563" s="4" t="s">
        <v>5528</v>
      </c>
      <c r="C1563" s="4" t="s">
        <v>7692</v>
      </c>
      <c r="D1563" s="4"/>
      <c r="E1563" s="4" t="s">
        <v>7894</v>
      </c>
      <c r="F1563" s="4" t="s">
        <v>7895</v>
      </c>
      <c r="G1563" s="4" t="s">
        <v>4850</v>
      </c>
      <c r="H1563" s="4" t="s">
        <v>7896</v>
      </c>
      <c r="I1563" s="5">
        <v>43311</v>
      </c>
      <c r="J1563" s="4" t="s">
        <v>4842</v>
      </c>
      <c r="K1563" s="4" t="s">
        <v>57</v>
      </c>
      <c r="L1563" s="4"/>
      <c r="M1563" s="4"/>
    </row>
    <row r="1564" ht="16" customHeight="1" s="4" customFormat="1">
      <c r="A1564" s="4">
        <v>1022</v>
      </c>
      <c r="B1564" s="4" t="s">
        <v>5534</v>
      </c>
      <c r="C1564" s="4" t="s">
        <v>5631</v>
      </c>
      <c r="D1564" s="4"/>
      <c r="E1564" s="4"/>
      <c r="F1564" s="4" t="s">
        <v>7897</v>
      </c>
      <c r="G1564" s="4" t="s">
        <v>10</v>
      </c>
      <c r="H1564" s="4" t="s">
        <v>7789</v>
      </c>
      <c r="I1564" s="5">
        <v>43311</v>
      </c>
      <c r="J1564" s="4" t="s">
        <v>4842</v>
      </c>
      <c r="K1564" s="4" t="s">
        <v>57</v>
      </c>
      <c r="L1564" s="4"/>
      <c r="M1564" s="4"/>
    </row>
    <row r="1565" ht="16" customHeight="1" s="4" customFormat="1">
      <c r="A1565" s="4">
        <v>1023</v>
      </c>
      <c r="B1565" s="4" t="s">
        <v>5499</v>
      </c>
      <c r="C1565" s="4" t="s">
        <v>5500</v>
      </c>
      <c r="D1565" s="4"/>
      <c r="E1565" s="4"/>
      <c r="F1565" s="4" t="s">
        <v>7898</v>
      </c>
      <c r="G1565" s="4" t="s">
        <v>6005</v>
      </c>
      <c r="H1565" s="4" t="s">
        <v>6000</v>
      </c>
      <c r="I1565" s="5">
        <v>43311</v>
      </c>
      <c r="J1565" s="4" t="s">
        <v>4842</v>
      </c>
      <c r="K1565" s="4" t="s">
        <v>57</v>
      </c>
      <c r="L1565" s="4"/>
      <c r="M1565" s="4"/>
    </row>
    <row r="1566" ht="16" customHeight="1" s="4" customFormat="1">
      <c r="A1566" s="4">
        <v>1024</v>
      </c>
      <c r="B1566" s="4" t="s">
        <v>5499</v>
      </c>
      <c r="C1566" s="4" t="s">
        <v>5500</v>
      </c>
      <c r="D1566" s="4"/>
      <c r="E1566" s="4"/>
      <c r="F1566" s="4" t="s">
        <v>7899</v>
      </c>
      <c r="G1566" s="4" t="s">
        <v>5511</v>
      </c>
      <c r="H1566" s="4" t="s">
        <v>6000</v>
      </c>
      <c r="I1566" s="5">
        <v>43311</v>
      </c>
      <c r="J1566" s="4" t="s">
        <v>4842</v>
      </c>
      <c r="K1566" s="4" t="s">
        <v>57</v>
      </c>
      <c r="L1566" s="4"/>
      <c r="M1566" s="4"/>
    </row>
    <row r="1567" ht="16" customHeight="1" s="4" customFormat="1">
      <c r="A1567" s="4">
        <v>1025</v>
      </c>
      <c r="B1567" s="4" t="s">
        <v>5499</v>
      </c>
      <c r="C1567" s="4" t="s">
        <v>5500</v>
      </c>
      <c r="D1567" s="4"/>
      <c r="E1567" s="4"/>
      <c r="F1567" s="4" t="s">
        <v>7900</v>
      </c>
      <c r="G1567" s="4" t="s">
        <v>6005</v>
      </c>
      <c r="H1567" s="4" t="s">
        <v>6000</v>
      </c>
      <c r="I1567" s="5">
        <v>43311</v>
      </c>
      <c r="J1567" s="4" t="s">
        <v>4842</v>
      </c>
      <c r="K1567" s="4" t="s">
        <v>57</v>
      </c>
      <c r="L1567" s="4"/>
      <c r="M1567" s="4"/>
    </row>
    <row r="1568" ht="16" customHeight="1" s="4" customFormat="1">
      <c r="A1568" s="4">
        <v>1026</v>
      </c>
      <c r="B1568" s="4" t="s">
        <v>5528</v>
      </c>
      <c r="C1568" s="4" t="s">
        <v>6140</v>
      </c>
      <c r="D1568" s="4" t="s">
        <v>7901</v>
      </c>
      <c r="E1568" s="4" t="s">
        <v>7902</v>
      </c>
      <c r="F1568" s="4" t="s">
        <v>7903</v>
      </c>
      <c r="G1568" s="4" t="s">
        <v>7904</v>
      </c>
      <c r="H1568" s="4" t="s">
        <v>7905</v>
      </c>
      <c r="I1568" s="5">
        <v>43301</v>
      </c>
      <c r="J1568" s="4" t="s">
        <v>4798</v>
      </c>
      <c r="K1568" s="4" t="s">
        <v>57</v>
      </c>
      <c r="L1568" s="4"/>
      <c r="M1568" s="4"/>
    </row>
    <row r="1569" ht="16" customHeight="1" s="4" customFormat="1">
      <c r="A1569" s="4">
        <v>1027</v>
      </c>
      <c r="B1569" s="4" t="s">
        <v>5499</v>
      </c>
      <c r="C1569" s="4" t="s">
        <v>5500</v>
      </c>
      <c r="D1569" s="4" t="s">
        <v>5728</v>
      </c>
      <c r="E1569" s="4" t="s">
        <v>5729</v>
      </c>
      <c r="F1569" s="4" t="s">
        <v>7906</v>
      </c>
      <c r="G1569" s="4" t="s">
        <v>5731</v>
      </c>
      <c r="H1569" s="4" t="s">
        <v>5732</v>
      </c>
      <c r="I1569" s="5">
        <v>43299</v>
      </c>
      <c r="J1569" s="4" t="s">
        <v>4798</v>
      </c>
      <c r="K1569" s="4" t="s">
        <v>57</v>
      </c>
      <c r="L1569" s="4"/>
      <c r="M1569" s="4"/>
    </row>
    <row r="1570" ht="16" customHeight="1" s="4" customFormat="1">
      <c r="A1570" s="4">
        <v>1028</v>
      </c>
      <c r="B1570" s="4" t="s">
        <v>5534</v>
      </c>
      <c r="C1570" s="4" t="s">
        <v>5631</v>
      </c>
      <c r="D1570" s="4"/>
      <c r="E1570" s="4"/>
      <c r="F1570" s="4" t="s">
        <v>7907</v>
      </c>
      <c r="G1570" s="4" t="s">
        <v>10</v>
      </c>
      <c r="H1570" s="4" t="s">
        <v>7789</v>
      </c>
      <c r="I1570" s="5">
        <v>43299</v>
      </c>
      <c r="J1570" s="4" t="s">
        <v>4842</v>
      </c>
      <c r="K1570" s="4" t="s">
        <v>57</v>
      </c>
      <c r="L1570" s="4"/>
      <c r="M1570" s="4"/>
    </row>
    <row r="1571" ht="16" customHeight="1" s="4" customFormat="1">
      <c r="A1571" s="4">
        <v>1029</v>
      </c>
      <c r="B1571" s="4" t="s">
        <v>5499</v>
      </c>
      <c r="C1571" s="4" t="s">
        <v>5519</v>
      </c>
      <c r="D1571" s="4"/>
      <c r="E1571" s="4" t="s">
        <v>6704</v>
      </c>
      <c r="F1571" s="4" t="s">
        <v>7908</v>
      </c>
      <c r="G1571" s="4" t="s">
        <v>7909</v>
      </c>
      <c r="H1571" s="4" t="s">
        <v>7910</v>
      </c>
      <c r="I1571" s="5">
        <v>43294</v>
      </c>
      <c r="J1571" s="4" t="s">
        <v>4842</v>
      </c>
      <c r="K1571" s="4" t="s">
        <v>57</v>
      </c>
      <c r="L1571" s="4"/>
      <c r="M1571" s="4"/>
    </row>
    <row r="1572" ht="16" customHeight="1" s="4" customFormat="1">
      <c r="A1572" s="4">
        <v>1030</v>
      </c>
      <c r="B1572" s="4" t="s">
        <v>5499</v>
      </c>
      <c r="C1572" s="4" t="s">
        <v>5519</v>
      </c>
      <c r="D1572" s="4"/>
      <c r="E1572" s="4" t="s">
        <v>7911</v>
      </c>
      <c r="F1572" s="4" t="s">
        <v>7256</v>
      </c>
      <c r="G1572" s="4" t="s">
        <v>5791</v>
      </c>
      <c r="H1572" s="4" t="s">
        <v>5791</v>
      </c>
      <c r="I1572" s="5">
        <v>43294</v>
      </c>
      <c r="J1572" s="4" t="s">
        <v>4842</v>
      </c>
      <c r="K1572" s="4" t="s">
        <v>57</v>
      </c>
      <c r="L1572" s="4"/>
      <c r="M1572" s="4"/>
    </row>
    <row r="1573" ht="16" customHeight="1" s="4" customFormat="1">
      <c r="A1573" s="4">
        <v>1031</v>
      </c>
      <c r="B1573" s="4" t="s">
        <v>5534</v>
      </c>
      <c r="C1573" s="4" t="s">
        <v>5773</v>
      </c>
      <c r="D1573" s="4"/>
      <c r="E1573" s="4"/>
      <c r="F1573" s="4" t="s">
        <v>7912</v>
      </c>
      <c r="G1573" s="4" t="s">
        <v>7884</v>
      </c>
      <c r="H1573" s="4" t="s">
        <v>10</v>
      </c>
      <c r="I1573" s="5">
        <v>43293</v>
      </c>
      <c r="J1573" s="4" t="s">
        <v>4842</v>
      </c>
      <c r="K1573" s="4" t="s">
        <v>57</v>
      </c>
      <c r="L1573" s="4"/>
      <c r="M1573" s="4"/>
    </row>
    <row r="1574" ht="16" customHeight="1" s="4" customFormat="1">
      <c r="A1574" s="4">
        <v>1032</v>
      </c>
      <c r="B1574" s="4" t="s">
        <v>5534</v>
      </c>
      <c r="C1574" s="4" t="s">
        <v>5773</v>
      </c>
      <c r="D1574" s="4"/>
      <c r="E1574" s="4"/>
      <c r="F1574" s="4" t="s">
        <v>7913</v>
      </c>
      <c r="G1574" s="4" t="s">
        <v>10</v>
      </c>
      <c r="H1574" s="4" t="s">
        <v>7914</v>
      </c>
      <c r="I1574" s="5">
        <v>43291</v>
      </c>
      <c r="J1574" s="4" t="s">
        <v>4798</v>
      </c>
      <c r="K1574" s="4" t="s">
        <v>57</v>
      </c>
      <c r="L1574" s="4"/>
      <c r="M1574" s="4"/>
    </row>
    <row r="1575" ht="16" customHeight="1" s="4" customFormat="1">
      <c r="A1575" s="4">
        <v>1033</v>
      </c>
      <c r="B1575" s="4" t="s">
        <v>5534</v>
      </c>
      <c r="C1575" s="4" t="s">
        <v>5631</v>
      </c>
      <c r="D1575" s="4"/>
      <c r="E1575" s="4"/>
      <c r="F1575" s="4" t="s">
        <v>7915</v>
      </c>
      <c r="G1575" s="4" t="s">
        <v>10</v>
      </c>
      <c r="H1575" s="4" t="s">
        <v>7789</v>
      </c>
      <c r="I1575" s="5">
        <v>43286</v>
      </c>
      <c r="J1575" s="4" t="s">
        <v>4842</v>
      </c>
      <c r="K1575" s="4" t="s">
        <v>57</v>
      </c>
      <c r="L1575" s="4"/>
      <c r="M1575" s="4"/>
    </row>
    <row r="1576" ht="16" customHeight="1" s="4" customFormat="1">
      <c r="A1576" s="4">
        <v>1034</v>
      </c>
      <c r="B1576" s="4" t="s">
        <v>5534</v>
      </c>
      <c r="C1576" s="4" t="s">
        <v>5773</v>
      </c>
      <c r="D1576" s="4"/>
      <c r="E1576" s="4"/>
      <c r="F1576" s="4" t="s">
        <v>7916</v>
      </c>
      <c r="G1576" s="4" t="s">
        <v>10</v>
      </c>
      <c r="H1576" s="4" t="s">
        <v>7297</v>
      </c>
      <c r="I1576" s="5">
        <v>43283</v>
      </c>
      <c r="J1576" s="4" t="s">
        <v>4842</v>
      </c>
      <c r="K1576" s="4" t="s">
        <v>57</v>
      </c>
      <c r="L1576" s="4"/>
      <c r="M1576" s="4"/>
    </row>
    <row r="1577" ht="16" customHeight="1" s="4" customFormat="1">
      <c r="A1577" s="4">
        <v>1035</v>
      </c>
      <c r="B1577" s="4" t="s">
        <v>5534</v>
      </c>
      <c r="C1577" s="4" t="s">
        <v>5773</v>
      </c>
      <c r="D1577" s="4"/>
      <c r="E1577" s="4"/>
      <c r="F1577" s="4" t="s">
        <v>7917</v>
      </c>
      <c r="G1577" s="4" t="s">
        <v>10</v>
      </c>
      <c r="H1577" s="4" t="s">
        <v>7884</v>
      </c>
      <c r="I1577" s="5">
        <v>43276</v>
      </c>
      <c r="J1577" s="4" t="s">
        <v>4842</v>
      </c>
      <c r="K1577" s="4" t="s">
        <v>57</v>
      </c>
      <c r="L1577" s="4"/>
      <c r="M1577" s="4"/>
    </row>
    <row r="1578" ht="16" customHeight="1" s="4" customFormat="1">
      <c r="A1578" s="4">
        <v>1036</v>
      </c>
      <c r="B1578" s="4" t="s">
        <v>5534</v>
      </c>
      <c r="C1578" s="4" t="s">
        <v>5773</v>
      </c>
      <c r="D1578" s="4"/>
      <c r="E1578" s="4"/>
      <c r="F1578" s="4" t="s">
        <v>7918</v>
      </c>
      <c r="G1578" s="4" t="s">
        <v>10</v>
      </c>
      <c r="H1578" s="4" t="s">
        <v>6781</v>
      </c>
      <c r="I1578" s="5">
        <v>43273</v>
      </c>
      <c r="J1578" s="4" t="s">
        <v>4842</v>
      </c>
      <c r="K1578" s="4" t="s">
        <v>57</v>
      </c>
      <c r="L1578" s="4"/>
      <c r="M1578" s="4"/>
    </row>
    <row r="1579" ht="16" customHeight="1" s="4" customFormat="1">
      <c r="A1579" s="4">
        <v>1037</v>
      </c>
      <c r="B1579" s="4" t="s">
        <v>5499</v>
      </c>
      <c r="C1579" s="4" t="s">
        <v>5519</v>
      </c>
      <c r="D1579" s="4"/>
      <c r="E1579" s="4" t="s">
        <v>5524</v>
      </c>
      <c r="F1579" s="4" t="s">
        <v>7919</v>
      </c>
      <c r="G1579" s="4" t="s">
        <v>6431</v>
      </c>
      <c r="H1579" s="4" t="s">
        <v>7920</v>
      </c>
      <c r="I1579" s="5">
        <v>43259</v>
      </c>
      <c r="J1579" s="4" t="s">
        <v>4842</v>
      </c>
      <c r="K1579" s="4" t="s">
        <v>57</v>
      </c>
      <c r="L1579" s="4"/>
      <c r="M1579" s="4"/>
    </row>
    <row r="1580" ht="16" customHeight="1" s="4" customFormat="1">
      <c r="A1580" s="4">
        <v>1038</v>
      </c>
      <c r="B1580" s="4" t="s">
        <v>5499</v>
      </c>
      <c r="C1580" s="4" t="s">
        <v>5573</v>
      </c>
      <c r="D1580" s="4" t="s">
        <v>5574</v>
      </c>
      <c r="E1580" s="4" t="s">
        <v>5575</v>
      </c>
      <c r="F1580" s="4" t="s">
        <v>7921</v>
      </c>
      <c r="G1580" s="4" t="s">
        <v>4850</v>
      </c>
      <c r="H1580" s="4" t="s">
        <v>7922</v>
      </c>
      <c r="I1580" s="5">
        <v>43259</v>
      </c>
      <c r="J1580" s="4" t="s">
        <v>4798</v>
      </c>
      <c r="K1580" s="4" t="s">
        <v>57</v>
      </c>
      <c r="L1580" s="4"/>
      <c r="M1580" s="4"/>
    </row>
    <row r="1581" ht="16" customHeight="1" s="4" customFormat="1">
      <c r="A1581" s="4">
        <v>1039</v>
      </c>
      <c r="B1581" s="4" t="s">
        <v>5499</v>
      </c>
      <c r="C1581" s="4" t="s">
        <v>5590</v>
      </c>
      <c r="D1581" s="4" t="s">
        <v>5574</v>
      </c>
      <c r="E1581" s="4" t="s">
        <v>5575</v>
      </c>
      <c r="F1581" s="4" t="s">
        <v>7923</v>
      </c>
      <c r="G1581" s="4" t="s">
        <v>7924</v>
      </c>
      <c r="H1581" s="4" t="s">
        <v>7925</v>
      </c>
      <c r="I1581" s="5">
        <v>43256</v>
      </c>
      <c r="J1581" s="4" t="s">
        <v>4798</v>
      </c>
      <c r="K1581" s="4" t="s">
        <v>57</v>
      </c>
      <c r="L1581" s="4"/>
      <c r="M1581" s="4"/>
    </row>
    <row r="1582" ht="16" customHeight="1" s="4" customFormat="1">
      <c r="A1582" s="4">
        <v>1040</v>
      </c>
      <c r="B1582" s="4" t="s">
        <v>7926</v>
      </c>
      <c r="C1582" s="4" t="s">
        <v>7926</v>
      </c>
      <c r="D1582" s="4"/>
      <c r="E1582" s="4"/>
      <c r="F1582" s="4" t="s">
        <v>7927</v>
      </c>
      <c r="G1582" s="4" t="s">
        <v>6507</v>
      </c>
      <c r="H1582" s="4" t="s">
        <v>7928</v>
      </c>
      <c r="I1582" s="5">
        <v>43249</v>
      </c>
      <c r="J1582" s="4" t="s">
        <v>5506</v>
      </c>
      <c r="K1582" s="4" t="s">
        <v>57</v>
      </c>
      <c r="L1582" s="4"/>
      <c r="M1582" s="4"/>
    </row>
    <row r="1583" ht="16" customHeight="1" s="4" customFormat="1">
      <c r="A1583" s="4">
        <v>1041</v>
      </c>
      <c r="B1583" s="4" t="s">
        <v>5534</v>
      </c>
      <c r="C1583" s="4" t="s">
        <v>5773</v>
      </c>
      <c r="D1583" s="4"/>
      <c r="E1583" s="4"/>
      <c r="F1583" s="4" t="s">
        <v>7929</v>
      </c>
      <c r="G1583" s="4" t="s">
        <v>10</v>
      </c>
      <c r="H1583" s="4" t="s">
        <v>7617</v>
      </c>
      <c r="I1583" s="5">
        <v>43241</v>
      </c>
      <c r="J1583" s="4" t="s">
        <v>4842</v>
      </c>
      <c r="K1583" s="4" t="s">
        <v>57</v>
      </c>
      <c r="L1583" s="4"/>
      <c r="M1583" s="4"/>
    </row>
    <row r="1584" ht="16" customHeight="1" s="4" customFormat="1">
      <c r="A1584" s="4">
        <v>1042</v>
      </c>
      <c r="B1584" s="4" t="s">
        <v>5499</v>
      </c>
      <c r="C1584" s="4" t="s">
        <v>5714</v>
      </c>
      <c r="D1584" s="4"/>
      <c r="E1584" s="4"/>
      <c r="F1584" s="4" t="s">
        <v>7930</v>
      </c>
      <c r="G1584" s="4" t="s">
        <v>7931</v>
      </c>
      <c r="H1584" s="4" t="s">
        <v>7932</v>
      </c>
      <c r="I1584" s="5">
        <v>43238</v>
      </c>
      <c r="J1584" s="4" t="s">
        <v>4798</v>
      </c>
      <c r="K1584" s="4" t="s">
        <v>57</v>
      </c>
      <c r="L1584" s="4"/>
      <c r="M1584" s="4"/>
    </row>
    <row r="1585" ht="16" customHeight="1" s="4" customFormat="1">
      <c r="A1585" s="4">
        <v>1043</v>
      </c>
      <c r="B1585" s="4" t="s">
        <v>5499</v>
      </c>
      <c r="C1585" s="4" t="s">
        <v>5714</v>
      </c>
      <c r="D1585" s="4"/>
      <c r="E1585" s="4"/>
      <c r="F1585" s="4" t="s">
        <v>7933</v>
      </c>
      <c r="G1585" s="4" t="s">
        <v>7931</v>
      </c>
      <c r="H1585" s="4" t="s">
        <v>7932</v>
      </c>
      <c r="I1585" s="5">
        <v>43238</v>
      </c>
      <c r="J1585" s="4" t="s">
        <v>4798</v>
      </c>
      <c r="K1585" s="4" t="s">
        <v>57</v>
      </c>
      <c r="L1585" s="4"/>
      <c r="M1585" s="4"/>
    </row>
    <row r="1586" ht="16" customHeight="1" s="4" customFormat="1">
      <c r="A1586" s="4">
        <v>1044</v>
      </c>
      <c r="B1586" s="4" t="s">
        <v>5499</v>
      </c>
      <c r="C1586" s="4" t="s">
        <v>5590</v>
      </c>
      <c r="D1586" s="4" t="s">
        <v>5574</v>
      </c>
      <c r="E1586" s="4" t="s">
        <v>5575</v>
      </c>
      <c r="F1586" s="4" t="s">
        <v>7934</v>
      </c>
      <c r="G1586" s="4" t="s">
        <v>7935</v>
      </c>
      <c r="H1586" s="4" t="s">
        <v>7936</v>
      </c>
      <c r="I1586" s="5">
        <v>43236</v>
      </c>
      <c r="J1586" s="4" t="s">
        <v>5506</v>
      </c>
      <c r="K1586" s="4" t="s">
        <v>57</v>
      </c>
      <c r="L1586" s="4"/>
      <c r="M1586" s="4"/>
    </row>
    <row r="1587" ht="16" customHeight="1" s="4" customFormat="1">
      <c r="A1587" s="4">
        <v>1045</v>
      </c>
      <c r="B1587" s="4" t="s">
        <v>5499</v>
      </c>
      <c r="C1587" s="4" t="s">
        <v>5509</v>
      </c>
      <c r="D1587" s="4"/>
      <c r="E1587" s="4"/>
      <c r="F1587" s="4" t="s">
        <v>7937</v>
      </c>
      <c r="G1587" s="4" t="s">
        <v>6289</v>
      </c>
      <c r="H1587" s="4" t="s">
        <v>5674</v>
      </c>
      <c r="I1587" s="5">
        <v>43230</v>
      </c>
      <c r="J1587" s="4" t="s">
        <v>4798</v>
      </c>
      <c r="K1587" s="4" t="s">
        <v>57</v>
      </c>
      <c r="L1587" s="4"/>
      <c r="M1587" s="4"/>
    </row>
    <row r="1588" ht="16" customHeight="1" s="4" customFormat="1">
      <c r="A1588" s="4">
        <v>1046</v>
      </c>
      <c r="B1588" s="4" t="s">
        <v>5499</v>
      </c>
      <c r="C1588" s="4" t="s">
        <v>6371</v>
      </c>
      <c r="D1588" s="4" t="s">
        <v>5574</v>
      </c>
      <c r="E1588" s="4" t="s">
        <v>5769</v>
      </c>
      <c r="F1588" s="4" t="s">
        <v>7938</v>
      </c>
      <c r="G1588" s="4" t="s">
        <v>6431</v>
      </c>
      <c r="H1588" s="4" t="s">
        <v>7939</v>
      </c>
      <c r="I1588" s="5">
        <v>43229</v>
      </c>
      <c r="J1588" s="4" t="s">
        <v>4798</v>
      </c>
      <c r="K1588" s="4" t="s">
        <v>57</v>
      </c>
      <c r="L1588" s="4"/>
      <c r="M1588" s="4"/>
    </row>
    <row r="1589" ht="16" customHeight="1" s="4" customFormat="1">
      <c r="A1589" s="4">
        <v>1047</v>
      </c>
      <c r="B1589" s="4" t="s">
        <v>5499</v>
      </c>
      <c r="C1589" s="4" t="s">
        <v>6371</v>
      </c>
      <c r="D1589" s="4" t="s">
        <v>5574</v>
      </c>
      <c r="E1589" s="4" t="s">
        <v>5769</v>
      </c>
      <c r="F1589" s="4" t="s">
        <v>7940</v>
      </c>
      <c r="G1589" s="4" t="s">
        <v>6431</v>
      </c>
      <c r="H1589" s="4" t="s">
        <v>7941</v>
      </c>
      <c r="I1589" s="5">
        <v>43229</v>
      </c>
      <c r="J1589" s="4" t="s">
        <v>4798</v>
      </c>
      <c r="K1589" s="4" t="s">
        <v>57</v>
      </c>
      <c r="L1589" s="4"/>
      <c r="M1589" s="4"/>
    </row>
    <row r="1590" ht="16" customHeight="1" s="4" customFormat="1">
      <c r="A1590" s="4">
        <v>1048</v>
      </c>
      <c r="B1590" s="4" t="s">
        <v>5499</v>
      </c>
      <c r="C1590" s="4" t="s">
        <v>6371</v>
      </c>
      <c r="D1590" s="4" t="s">
        <v>5574</v>
      </c>
      <c r="E1590" s="4" t="s">
        <v>5769</v>
      </c>
      <c r="F1590" s="4" t="s">
        <v>7942</v>
      </c>
      <c r="G1590" s="4" t="s">
        <v>6431</v>
      </c>
      <c r="H1590" s="4" t="s">
        <v>7943</v>
      </c>
      <c r="I1590" s="5">
        <v>43229</v>
      </c>
      <c r="J1590" s="4" t="s">
        <v>4798</v>
      </c>
      <c r="K1590" s="4" t="s">
        <v>57</v>
      </c>
      <c r="L1590" s="4"/>
      <c r="M1590" s="4"/>
    </row>
    <row r="1591" ht="16" customHeight="1" s="4" customFormat="1">
      <c r="A1591" s="4">
        <v>1049</v>
      </c>
      <c r="B1591" s="4" t="s">
        <v>5499</v>
      </c>
      <c r="C1591" s="4" t="s">
        <v>6371</v>
      </c>
      <c r="D1591" s="4" t="s">
        <v>5574</v>
      </c>
      <c r="E1591" s="4" t="s">
        <v>5769</v>
      </c>
      <c r="F1591" s="4" t="s">
        <v>7944</v>
      </c>
      <c r="G1591" s="4" t="s">
        <v>6431</v>
      </c>
      <c r="H1591" s="4" t="s">
        <v>7945</v>
      </c>
      <c r="I1591" s="5">
        <v>43229</v>
      </c>
      <c r="J1591" s="4" t="s">
        <v>4798</v>
      </c>
      <c r="K1591" s="4" t="s">
        <v>57</v>
      </c>
      <c r="L1591" s="4"/>
      <c r="M1591" s="4"/>
    </row>
    <row r="1592" ht="16" customHeight="1" s="4" customFormat="1">
      <c r="A1592" s="4">
        <v>1050</v>
      </c>
      <c r="B1592" s="4" t="s">
        <v>5499</v>
      </c>
      <c r="C1592" s="4" t="s">
        <v>6371</v>
      </c>
      <c r="D1592" s="4" t="s">
        <v>5574</v>
      </c>
      <c r="E1592" s="4" t="s">
        <v>5769</v>
      </c>
      <c r="F1592" s="4" t="s">
        <v>7946</v>
      </c>
      <c r="G1592" s="4" t="s">
        <v>6431</v>
      </c>
      <c r="H1592" s="4" t="s">
        <v>7947</v>
      </c>
      <c r="I1592" s="5">
        <v>43229</v>
      </c>
      <c r="J1592" s="4" t="s">
        <v>4798</v>
      </c>
      <c r="K1592" s="4" t="s">
        <v>57</v>
      </c>
      <c r="L1592" s="4"/>
      <c r="M1592" s="4"/>
    </row>
    <row r="1593" ht="16" customHeight="1" s="4" customFormat="1">
      <c r="A1593" s="4">
        <v>1051</v>
      </c>
      <c r="B1593" s="4" t="s">
        <v>5499</v>
      </c>
      <c r="C1593" s="4" t="s">
        <v>6371</v>
      </c>
      <c r="D1593" s="4" t="s">
        <v>5574</v>
      </c>
      <c r="E1593" s="4" t="s">
        <v>5769</v>
      </c>
      <c r="F1593" s="4" t="s">
        <v>7948</v>
      </c>
      <c r="G1593" s="4" t="s">
        <v>6431</v>
      </c>
      <c r="H1593" s="4" t="s">
        <v>7949</v>
      </c>
      <c r="I1593" s="5">
        <v>43229</v>
      </c>
      <c r="J1593" s="4" t="s">
        <v>4798</v>
      </c>
      <c r="K1593" s="4" t="s">
        <v>57</v>
      </c>
      <c r="L1593" s="4"/>
      <c r="M1593" s="4"/>
    </row>
    <row r="1594" ht="16" customHeight="1" s="4" customFormat="1">
      <c r="A1594" s="4">
        <v>1052</v>
      </c>
      <c r="B1594" s="4" t="s">
        <v>5499</v>
      </c>
      <c r="C1594" s="4" t="s">
        <v>6371</v>
      </c>
      <c r="D1594" s="4" t="s">
        <v>5574</v>
      </c>
      <c r="E1594" s="4" t="s">
        <v>5769</v>
      </c>
      <c r="F1594" s="4" t="s">
        <v>7950</v>
      </c>
      <c r="G1594" s="4" t="s">
        <v>6431</v>
      </c>
      <c r="H1594" s="4" t="s">
        <v>7951</v>
      </c>
      <c r="I1594" s="5">
        <v>43229</v>
      </c>
      <c r="J1594" s="4" t="s">
        <v>4798</v>
      </c>
      <c r="K1594" s="4" t="s">
        <v>57</v>
      </c>
      <c r="L1594" s="4"/>
      <c r="M1594" s="4"/>
    </row>
    <row r="1595" ht="16" customHeight="1" s="4" customFormat="1">
      <c r="A1595" s="4">
        <v>1053</v>
      </c>
      <c r="B1595" s="4" t="s">
        <v>5499</v>
      </c>
      <c r="C1595" s="4" t="s">
        <v>6371</v>
      </c>
      <c r="D1595" s="4" t="s">
        <v>5574</v>
      </c>
      <c r="E1595" s="4" t="s">
        <v>5769</v>
      </c>
      <c r="F1595" s="4" t="s">
        <v>7952</v>
      </c>
      <c r="G1595" s="4" t="s">
        <v>6431</v>
      </c>
      <c r="H1595" s="4" t="s">
        <v>7953</v>
      </c>
      <c r="I1595" s="5">
        <v>43229</v>
      </c>
      <c r="J1595" s="4" t="s">
        <v>4798</v>
      </c>
      <c r="K1595" s="4" t="s">
        <v>57</v>
      </c>
      <c r="L1595" s="4"/>
      <c r="M1595" s="4"/>
    </row>
    <row r="1596" ht="16" customHeight="1" s="4" customFormat="1">
      <c r="A1596" s="4">
        <v>1054</v>
      </c>
      <c r="B1596" s="4" t="s">
        <v>5499</v>
      </c>
      <c r="C1596" s="4" t="s">
        <v>6371</v>
      </c>
      <c r="D1596" s="4" t="s">
        <v>5574</v>
      </c>
      <c r="E1596" s="4" t="s">
        <v>5769</v>
      </c>
      <c r="F1596" s="4" t="s">
        <v>7954</v>
      </c>
      <c r="G1596" s="4" t="s">
        <v>6431</v>
      </c>
      <c r="H1596" s="4" t="s">
        <v>7955</v>
      </c>
      <c r="I1596" s="5">
        <v>43229</v>
      </c>
      <c r="J1596" s="4" t="s">
        <v>4798</v>
      </c>
      <c r="K1596" s="4" t="s">
        <v>57</v>
      </c>
      <c r="L1596" s="4"/>
      <c r="M1596" s="4"/>
    </row>
    <row r="1597" ht="16" customHeight="1" s="4" customFormat="1">
      <c r="A1597" s="4">
        <v>1055</v>
      </c>
      <c r="B1597" s="4" t="s">
        <v>5499</v>
      </c>
      <c r="C1597" s="4" t="s">
        <v>6371</v>
      </c>
      <c r="D1597" s="4" t="s">
        <v>5574</v>
      </c>
      <c r="E1597" s="4" t="s">
        <v>5769</v>
      </c>
      <c r="F1597" s="4" t="s">
        <v>7956</v>
      </c>
      <c r="G1597" s="4" t="s">
        <v>6431</v>
      </c>
      <c r="H1597" s="4" t="s">
        <v>7957</v>
      </c>
      <c r="I1597" s="5">
        <v>43229</v>
      </c>
      <c r="J1597" s="4" t="s">
        <v>4798</v>
      </c>
      <c r="K1597" s="4" t="s">
        <v>57</v>
      </c>
      <c r="L1597" s="4"/>
      <c r="M1597" s="4"/>
    </row>
    <row r="1598" ht="16" customHeight="1" s="4" customFormat="1">
      <c r="A1598" s="4">
        <v>1056</v>
      </c>
      <c r="B1598" s="4" t="s">
        <v>5499</v>
      </c>
      <c r="C1598" s="4" t="s">
        <v>6371</v>
      </c>
      <c r="D1598" s="4" t="s">
        <v>5574</v>
      </c>
      <c r="E1598" s="4" t="s">
        <v>5769</v>
      </c>
      <c r="F1598" s="4" t="s">
        <v>7958</v>
      </c>
      <c r="G1598" s="4" t="s">
        <v>6431</v>
      </c>
      <c r="H1598" s="4" t="s">
        <v>7959</v>
      </c>
      <c r="I1598" s="5">
        <v>43229</v>
      </c>
      <c r="J1598" s="4" t="s">
        <v>4798</v>
      </c>
      <c r="K1598" s="4" t="s">
        <v>57</v>
      </c>
      <c r="L1598" s="4"/>
      <c r="M1598" s="4"/>
    </row>
    <row r="1599" ht="16" customHeight="1" s="4" customFormat="1">
      <c r="A1599" s="4">
        <v>1057</v>
      </c>
      <c r="B1599" s="4" t="s">
        <v>5499</v>
      </c>
      <c r="C1599" s="4" t="s">
        <v>6371</v>
      </c>
      <c r="D1599" s="4" t="s">
        <v>5574</v>
      </c>
      <c r="E1599" s="4" t="s">
        <v>5769</v>
      </c>
      <c r="F1599" s="4" t="s">
        <v>7960</v>
      </c>
      <c r="G1599" s="4" t="s">
        <v>6431</v>
      </c>
      <c r="H1599" s="4" t="s">
        <v>7961</v>
      </c>
      <c r="I1599" s="5">
        <v>43229</v>
      </c>
      <c r="J1599" s="4" t="s">
        <v>4798</v>
      </c>
      <c r="K1599" s="4" t="s">
        <v>57</v>
      </c>
      <c r="L1599" s="4"/>
      <c r="M1599" s="4"/>
    </row>
    <row r="1600" ht="16" customHeight="1" s="4" customFormat="1">
      <c r="A1600" s="4">
        <v>1058</v>
      </c>
      <c r="B1600" s="4" t="s">
        <v>5499</v>
      </c>
      <c r="C1600" s="4" t="s">
        <v>6371</v>
      </c>
      <c r="D1600" s="4" t="s">
        <v>5574</v>
      </c>
      <c r="E1600" s="4" t="s">
        <v>5769</v>
      </c>
      <c r="F1600" s="4" t="s">
        <v>7962</v>
      </c>
      <c r="G1600" s="4" t="s">
        <v>6431</v>
      </c>
      <c r="H1600" s="4" t="s">
        <v>7963</v>
      </c>
      <c r="I1600" s="5">
        <v>43229</v>
      </c>
      <c r="J1600" s="4" t="s">
        <v>4798</v>
      </c>
      <c r="K1600" s="4" t="s">
        <v>57</v>
      </c>
      <c r="L1600" s="4"/>
      <c r="M1600" s="4"/>
    </row>
    <row r="1601" ht="16" customHeight="1" s="4" customFormat="1">
      <c r="A1601" s="4">
        <v>1059</v>
      </c>
      <c r="B1601" s="4" t="s">
        <v>5499</v>
      </c>
      <c r="C1601" s="4" t="s">
        <v>6371</v>
      </c>
      <c r="D1601" s="4" t="s">
        <v>5574</v>
      </c>
      <c r="E1601" s="4" t="s">
        <v>5769</v>
      </c>
      <c r="F1601" s="4" t="s">
        <v>7964</v>
      </c>
      <c r="G1601" s="4" t="s">
        <v>6431</v>
      </c>
      <c r="H1601" s="4" t="s">
        <v>7947</v>
      </c>
      <c r="I1601" s="5">
        <v>43229</v>
      </c>
      <c r="J1601" s="4" t="s">
        <v>4798</v>
      </c>
      <c r="K1601" s="4" t="s">
        <v>57</v>
      </c>
      <c r="L1601" s="4"/>
      <c r="M1601" s="4"/>
    </row>
    <row r="1602" ht="16" customHeight="1" s="4" customFormat="1">
      <c r="A1602" s="4">
        <v>1060</v>
      </c>
      <c r="B1602" s="4" t="s">
        <v>5499</v>
      </c>
      <c r="C1602" s="4" t="s">
        <v>6371</v>
      </c>
      <c r="D1602" s="4" t="s">
        <v>5574</v>
      </c>
      <c r="E1602" s="4" t="s">
        <v>5769</v>
      </c>
      <c r="F1602" s="4" t="s">
        <v>7965</v>
      </c>
      <c r="G1602" s="4" t="s">
        <v>6431</v>
      </c>
      <c r="H1602" s="4" t="s">
        <v>7949</v>
      </c>
      <c r="I1602" s="5">
        <v>43229</v>
      </c>
      <c r="J1602" s="4" t="s">
        <v>4798</v>
      </c>
      <c r="K1602" s="4" t="s">
        <v>57</v>
      </c>
      <c r="L1602" s="4"/>
      <c r="M1602" s="4"/>
    </row>
    <row r="1603" ht="16" customHeight="1" s="4" customFormat="1">
      <c r="A1603" s="4">
        <v>1061</v>
      </c>
      <c r="B1603" s="4" t="s">
        <v>5499</v>
      </c>
      <c r="C1603" s="4" t="s">
        <v>6371</v>
      </c>
      <c r="D1603" s="4" t="s">
        <v>5574</v>
      </c>
      <c r="E1603" s="4" t="s">
        <v>5769</v>
      </c>
      <c r="F1603" s="4" t="s">
        <v>7966</v>
      </c>
      <c r="G1603" s="4" t="s">
        <v>6431</v>
      </c>
      <c r="H1603" s="4" t="s">
        <v>7967</v>
      </c>
      <c r="I1603" s="5">
        <v>43229</v>
      </c>
      <c r="J1603" s="4" t="s">
        <v>4798</v>
      </c>
      <c r="K1603" s="4" t="s">
        <v>57</v>
      </c>
      <c r="L1603" s="4"/>
      <c r="M1603" s="4"/>
    </row>
    <row r="1604" ht="16" customHeight="1" s="4" customFormat="1">
      <c r="A1604" s="4">
        <v>1062</v>
      </c>
      <c r="B1604" s="4" t="s">
        <v>5499</v>
      </c>
      <c r="C1604" s="4" t="s">
        <v>6371</v>
      </c>
      <c r="D1604" s="4" t="s">
        <v>5574</v>
      </c>
      <c r="E1604" s="4" t="s">
        <v>5769</v>
      </c>
      <c r="F1604" s="4" t="s">
        <v>7968</v>
      </c>
      <c r="G1604" s="4" t="s">
        <v>6431</v>
      </c>
      <c r="H1604" s="4" t="s">
        <v>7969</v>
      </c>
      <c r="I1604" s="5">
        <v>43229</v>
      </c>
      <c r="J1604" s="4" t="s">
        <v>4798</v>
      </c>
      <c r="K1604" s="4" t="s">
        <v>57</v>
      </c>
      <c r="L1604" s="4"/>
      <c r="M1604" s="4"/>
    </row>
    <row r="1605" ht="16" customHeight="1" s="4" customFormat="1">
      <c r="A1605" s="4">
        <v>1063</v>
      </c>
      <c r="B1605" s="4" t="s">
        <v>5499</v>
      </c>
      <c r="C1605" s="4" t="s">
        <v>6371</v>
      </c>
      <c r="D1605" s="4" t="s">
        <v>5574</v>
      </c>
      <c r="E1605" s="4" t="s">
        <v>5769</v>
      </c>
      <c r="F1605" s="4" t="s">
        <v>7970</v>
      </c>
      <c r="G1605" s="4" t="s">
        <v>6431</v>
      </c>
      <c r="H1605" s="4" t="s">
        <v>7971</v>
      </c>
      <c r="I1605" s="5">
        <v>43229</v>
      </c>
      <c r="J1605" s="4" t="s">
        <v>4798</v>
      </c>
      <c r="K1605" s="4" t="s">
        <v>57</v>
      </c>
      <c r="L1605" s="4"/>
      <c r="M1605" s="4"/>
    </row>
    <row r="1606" ht="16" customHeight="1" s="4" customFormat="1">
      <c r="A1606" s="4">
        <v>1064</v>
      </c>
      <c r="B1606" s="4" t="s">
        <v>5499</v>
      </c>
      <c r="C1606" s="4" t="s">
        <v>6371</v>
      </c>
      <c r="D1606" s="4" t="s">
        <v>5574</v>
      </c>
      <c r="E1606" s="4" t="s">
        <v>5769</v>
      </c>
      <c r="F1606" s="4" t="s">
        <v>7972</v>
      </c>
      <c r="G1606" s="4" t="s">
        <v>6431</v>
      </c>
      <c r="H1606" s="4" t="s">
        <v>7971</v>
      </c>
      <c r="I1606" s="5">
        <v>43229</v>
      </c>
      <c r="J1606" s="4" t="s">
        <v>4798</v>
      </c>
      <c r="K1606" s="4" t="s">
        <v>57</v>
      </c>
      <c r="L1606" s="4"/>
      <c r="M1606" s="4"/>
    </row>
    <row r="1607" ht="16" customHeight="1" s="4" customFormat="1">
      <c r="A1607" s="4">
        <v>1065</v>
      </c>
      <c r="B1607" s="4" t="s">
        <v>5499</v>
      </c>
      <c r="C1607" s="4" t="s">
        <v>6371</v>
      </c>
      <c r="D1607" s="4" t="s">
        <v>5574</v>
      </c>
      <c r="E1607" s="4" t="s">
        <v>5769</v>
      </c>
      <c r="F1607" s="4" t="s">
        <v>7973</v>
      </c>
      <c r="G1607" s="4" t="s">
        <v>6431</v>
      </c>
      <c r="H1607" s="4" t="s">
        <v>7974</v>
      </c>
      <c r="I1607" s="5">
        <v>43229</v>
      </c>
      <c r="J1607" s="4" t="s">
        <v>4798</v>
      </c>
      <c r="K1607" s="4" t="s">
        <v>57</v>
      </c>
      <c r="L1607" s="4"/>
      <c r="M1607" s="4"/>
    </row>
    <row r="1608" ht="16" customHeight="1" s="4" customFormat="1">
      <c r="A1608" s="4">
        <v>1066</v>
      </c>
      <c r="B1608" s="4" t="s">
        <v>5499</v>
      </c>
      <c r="C1608" s="4" t="s">
        <v>6371</v>
      </c>
      <c r="D1608" s="4" t="s">
        <v>5574</v>
      </c>
      <c r="E1608" s="4" t="s">
        <v>5769</v>
      </c>
      <c r="F1608" s="4" t="s">
        <v>7975</v>
      </c>
      <c r="G1608" s="4" t="s">
        <v>6431</v>
      </c>
      <c r="H1608" s="4" t="s">
        <v>7976</v>
      </c>
      <c r="I1608" s="5">
        <v>43229</v>
      </c>
      <c r="J1608" s="4" t="s">
        <v>4798</v>
      </c>
      <c r="K1608" s="4" t="s">
        <v>57</v>
      </c>
      <c r="L1608" s="4"/>
      <c r="M1608" s="4"/>
    </row>
    <row r="1609" ht="16" customHeight="1" s="4" customFormat="1">
      <c r="A1609" s="4">
        <v>1067</v>
      </c>
      <c r="B1609" s="4" t="s">
        <v>5499</v>
      </c>
      <c r="C1609" s="4" t="s">
        <v>6371</v>
      </c>
      <c r="D1609" s="4" t="s">
        <v>5574</v>
      </c>
      <c r="E1609" s="4" t="s">
        <v>5769</v>
      </c>
      <c r="F1609" s="4" t="s">
        <v>7977</v>
      </c>
      <c r="G1609" s="4" t="s">
        <v>6431</v>
      </c>
      <c r="H1609" s="4" t="s">
        <v>7978</v>
      </c>
      <c r="I1609" s="5">
        <v>43229</v>
      </c>
      <c r="J1609" s="4" t="s">
        <v>4798</v>
      </c>
      <c r="K1609" s="4" t="s">
        <v>57</v>
      </c>
      <c r="L1609" s="4"/>
      <c r="M1609" s="4"/>
    </row>
    <row r="1610" ht="16" customHeight="1" s="4" customFormat="1">
      <c r="A1610" s="4">
        <v>1068</v>
      </c>
      <c r="B1610" s="4" t="s">
        <v>5499</v>
      </c>
      <c r="C1610" s="4" t="s">
        <v>6371</v>
      </c>
      <c r="D1610" s="4" t="s">
        <v>5574</v>
      </c>
      <c r="E1610" s="4" t="s">
        <v>5769</v>
      </c>
      <c r="F1610" s="4" t="s">
        <v>7979</v>
      </c>
      <c r="G1610" s="4" t="s">
        <v>7980</v>
      </c>
      <c r="H1610" s="4" t="s">
        <v>7981</v>
      </c>
      <c r="I1610" s="5">
        <v>43229</v>
      </c>
      <c r="J1610" s="4" t="s">
        <v>4798</v>
      </c>
      <c r="K1610" s="4" t="s">
        <v>57</v>
      </c>
      <c r="L1610" s="4"/>
      <c r="M1610" s="4"/>
    </row>
    <row r="1611" ht="16" customHeight="1" s="4" customFormat="1">
      <c r="A1611" s="4">
        <v>1069</v>
      </c>
      <c r="B1611" s="4" t="s">
        <v>5499</v>
      </c>
      <c r="C1611" s="4" t="s">
        <v>6371</v>
      </c>
      <c r="D1611" s="4" t="s">
        <v>5574</v>
      </c>
      <c r="E1611" s="4" t="s">
        <v>5769</v>
      </c>
      <c r="F1611" s="4" t="s">
        <v>7982</v>
      </c>
      <c r="G1611" s="4" t="s">
        <v>7980</v>
      </c>
      <c r="H1611" s="4" t="s">
        <v>7983</v>
      </c>
      <c r="I1611" s="5">
        <v>43229</v>
      </c>
      <c r="J1611" s="4" t="s">
        <v>4798</v>
      </c>
      <c r="K1611" s="4" t="s">
        <v>57</v>
      </c>
      <c r="L1611" s="4"/>
      <c r="M1611" s="4"/>
    </row>
    <row r="1612" ht="16" customHeight="1" s="4" customFormat="1">
      <c r="A1612" s="4">
        <v>1070</v>
      </c>
      <c r="B1612" s="4" t="s">
        <v>5499</v>
      </c>
      <c r="C1612" s="4" t="s">
        <v>6371</v>
      </c>
      <c r="D1612" s="4" t="s">
        <v>5574</v>
      </c>
      <c r="E1612" s="4" t="s">
        <v>5769</v>
      </c>
      <c r="F1612" s="4" t="s">
        <v>7984</v>
      </c>
      <c r="G1612" s="4" t="s">
        <v>7980</v>
      </c>
      <c r="H1612" s="4" t="s">
        <v>7985</v>
      </c>
      <c r="I1612" s="5">
        <v>43229</v>
      </c>
      <c r="J1612" s="4" t="s">
        <v>4798</v>
      </c>
      <c r="K1612" s="4" t="s">
        <v>57</v>
      </c>
      <c r="L1612" s="4"/>
      <c r="M1612" s="4"/>
    </row>
    <row r="1613" ht="16" customHeight="1" s="4" customFormat="1">
      <c r="A1613" s="4">
        <v>1071</v>
      </c>
      <c r="B1613" s="4" t="s">
        <v>5499</v>
      </c>
      <c r="C1613" s="4" t="s">
        <v>6371</v>
      </c>
      <c r="D1613" s="4" t="s">
        <v>5574</v>
      </c>
      <c r="E1613" s="4" t="s">
        <v>5769</v>
      </c>
      <c r="F1613" s="4" t="s">
        <v>7986</v>
      </c>
      <c r="G1613" s="4" t="s">
        <v>7980</v>
      </c>
      <c r="H1613" s="4" t="s">
        <v>7987</v>
      </c>
      <c r="I1613" s="5">
        <v>43229</v>
      </c>
      <c r="J1613" s="4" t="s">
        <v>4798</v>
      </c>
      <c r="K1613" s="4" t="s">
        <v>57</v>
      </c>
      <c r="L1613" s="4"/>
      <c r="M1613" s="4"/>
    </row>
    <row r="1614" ht="16" customHeight="1" s="4" customFormat="1">
      <c r="A1614" s="4">
        <v>1072</v>
      </c>
      <c r="B1614" s="4" t="s">
        <v>5499</v>
      </c>
      <c r="C1614" s="4" t="s">
        <v>6371</v>
      </c>
      <c r="D1614" s="4" t="s">
        <v>5574</v>
      </c>
      <c r="E1614" s="4" t="s">
        <v>5769</v>
      </c>
      <c r="F1614" s="4" t="s">
        <v>7988</v>
      </c>
      <c r="G1614" s="4" t="s">
        <v>7980</v>
      </c>
      <c r="H1614" s="4" t="s">
        <v>7949</v>
      </c>
      <c r="I1614" s="5">
        <v>43229</v>
      </c>
      <c r="J1614" s="4" t="s">
        <v>4798</v>
      </c>
      <c r="K1614" s="4" t="s">
        <v>57</v>
      </c>
      <c r="L1614" s="4"/>
      <c r="M1614" s="4"/>
    </row>
    <row r="1615" ht="16" customHeight="1" s="4" customFormat="1">
      <c r="A1615" s="4">
        <v>1073</v>
      </c>
      <c r="B1615" s="4" t="s">
        <v>5499</v>
      </c>
      <c r="C1615" s="4" t="s">
        <v>6371</v>
      </c>
      <c r="D1615" s="4" t="s">
        <v>5574</v>
      </c>
      <c r="E1615" s="4" t="s">
        <v>5769</v>
      </c>
      <c r="F1615" s="4" t="s">
        <v>7989</v>
      </c>
      <c r="G1615" s="4" t="s">
        <v>7980</v>
      </c>
      <c r="H1615" s="4" t="s">
        <v>7967</v>
      </c>
      <c r="I1615" s="5">
        <v>43229</v>
      </c>
      <c r="J1615" s="4" t="s">
        <v>4798</v>
      </c>
      <c r="K1615" s="4" t="s">
        <v>57</v>
      </c>
      <c r="L1615" s="4"/>
      <c r="M1615" s="4"/>
    </row>
    <row r="1616" ht="16" customHeight="1" s="4" customFormat="1">
      <c r="A1616" s="4">
        <v>1074</v>
      </c>
      <c r="B1616" s="4" t="s">
        <v>5499</v>
      </c>
      <c r="C1616" s="4" t="s">
        <v>6371</v>
      </c>
      <c r="D1616" s="4" t="s">
        <v>5574</v>
      </c>
      <c r="E1616" s="4" t="s">
        <v>5769</v>
      </c>
      <c r="F1616" s="4" t="s">
        <v>7990</v>
      </c>
      <c r="G1616" s="4" t="s">
        <v>7980</v>
      </c>
      <c r="H1616" s="4" t="s">
        <v>7991</v>
      </c>
      <c r="I1616" s="5">
        <v>43229</v>
      </c>
      <c r="J1616" s="4" t="s">
        <v>4798</v>
      </c>
      <c r="K1616" s="4" t="s">
        <v>57</v>
      </c>
      <c r="L1616" s="4"/>
      <c r="M1616" s="4"/>
    </row>
    <row r="1617" ht="16" customHeight="1" s="4" customFormat="1">
      <c r="A1617" s="4">
        <v>1075</v>
      </c>
      <c r="B1617" s="4" t="s">
        <v>5499</v>
      </c>
      <c r="C1617" s="4" t="s">
        <v>6371</v>
      </c>
      <c r="D1617" s="4" t="s">
        <v>5574</v>
      </c>
      <c r="E1617" s="4" t="s">
        <v>5769</v>
      </c>
      <c r="F1617" s="4" t="s">
        <v>7992</v>
      </c>
      <c r="G1617" s="4" t="s">
        <v>7980</v>
      </c>
      <c r="H1617" s="4" t="s">
        <v>7955</v>
      </c>
      <c r="I1617" s="5">
        <v>43229</v>
      </c>
      <c r="J1617" s="4" t="s">
        <v>4798</v>
      </c>
      <c r="K1617" s="4" t="s">
        <v>57</v>
      </c>
      <c r="L1617" s="4"/>
      <c r="M1617" s="4"/>
    </row>
    <row r="1618" ht="16" customHeight="1" s="4" customFormat="1">
      <c r="A1618" s="4">
        <v>1076</v>
      </c>
      <c r="B1618" s="4" t="s">
        <v>5499</v>
      </c>
      <c r="C1618" s="4" t="s">
        <v>6371</v>
      </c>
      <c r="D1618" s="4" t="s">
        <v>5574</v>
      </c>
      <c r="E1618" s="4" t="s">
        <v>5769</v>
      </c>
      <c r="F1618" s="4" t="s">
        <v>7993</v>
      </c>
      <c r="G1618" s="4" t="s">
        <v>7980</v>
      </c>
      <c r="H1618" s="4" t="s">
        <v>7983</v>
      </c>
      <c r="I1618" s="5">
        <v>43229</v>
      </c>
      <c r="J1618" s="4" t="s">
        <v>4798</v>
      </c>
      <c r="K1618" s="4" t="s">
        <v>57</v>
      </c>
      <c r="L1618" s="4"/>
      <c r="M1618" s="4"/>
    </row>
    <row r="1619" ht="16" customHeight="1" s="4" customFormat="1">
      <c r="A1619" s="4">
        <v>1077</v>
      </c>
      <c r="B1619" s="4" t="s">
        <v>5499</v>
      </c>
      <c r="C1619" s="4" t="s">
        <v>6371</v>
      </c>
      <c r="D1619" s="4" t="s">
        <v>5574</v>
      </c>
      <c r="E1619" s="4" t="s">
        <v>5769</v>
      </c>
      <c r="F1619" s="4" t="s">
        <v>7994</v>
      </c>
      <c r="G1619" s="4" t="s">
        <v>7980</v>
      </c>
      <c r="H1619" s="4" t="s">
        <v>7995</v>
      </c>
      <c r="I1619" s="5">
        <v>43229</v>
      </c>
      <c r="J1619" s="4" t="s">
        <v>4798</v>
      </c>
      <c r="K1619" s="4" t="s">
        <v>57</v>
      </c>
      <c r="L1619" s="4"/>
      <c r="M1619" s="4"/>
    </row>
    <row r="1620" ht="16" customHeight="1" s="4" customFormat="1">
      <c r="A1620" s="4">
        <v>1078</v>
      </c>
      <c r="B1620" s="4" t="s">
        <v>5499</v>
      </c>
      <c r="C1620" s="4" t="s">
        <v>6371</v>
      </c>
      <c r="D1620" s="4" t="s">
        <v>5574</v>
      </c>
      <c r="E1620" s="4" t="s">
        <v>5769</v>
      </c>
      <c r="F1620" s="4" t="s">
        <v>7996</v>
      </c>
      <c r="G1620" s="4" t="s">
        <v>7980</v>
      </c>
      <c r="H1620" s="4" t="s">
        <v>7997</v>
      </c>
      <c r="I1620" s="5">
        <v>43229</v>
      </c>
      <c r="J1620" s="4" t="s">
        <v>4798</v>
      </c>
      <c r="K1620" s="4" t="s">
        <v>57</v>
      </c>
      <c r="L1620" s="4"/>
      <c r="M1620" s="4"/>
    </row>
    <row r="1621" ht="16" customHeight="1" s="4" customFormat="1">
      <c r="A1621" s="4">
        <v>1079</v>
      </c>
      <c r="B1621" s="4" t="s">
        <v>5499</v>
      </c>
      <c r="C1621" s="4" t="s">
        <v>6371</v>
      </c>
      <c r="D1621" s="4" t="s">
        <v>5574</v>
      </c>
      <c r="E1621" s="4" t="s">
        <v>5769</v>
      </c>
      <c r="F1621" s="4" t="s">
        <v>7998</v>
      </c>
      <c r="G1621" s="4" t="s">
        <v>7980</v>
      </c>
      <c r="H1621" s="4" t="s">
        <v>7999</v>
      </c>
      <c r="I1621" s="5">
        <v>43229</v>
      </c>
      <c r="J1621" s="4" t="s">
        <v>4798</v>
      </c>
      <c r="K1621" s="4" t="s">
        <v>57</v>
      </c>
      <c r="L1621" s="4"/>
      <c r="M1621" s="4"/>
    </row>
    <row r="1622" ht="16" customHeight="1" s="4" customFormat="1">
      <c r="A1622" s="4">
        <v>1080</v>
      </c>
      <c r="B1622" s="4" t="s">
        <v>5499</v>
      </c>
      <c r="C1622" s="4" t="s">
        <v>6371</v>
      </c>
      <c r="D1622" s="4" t="s">
        <v>5574</v>
      </c>
      <c r="E1622" s="4" t="s">
        <v>5769</v>
      </c>
      <c r="F1622" s="4" t="s">
        <v>8000</v>
      </c>
      <c r="G1622" s="4" t="s">
        <v>7980</v>
      </c>
      <c r="H1622" s="4" t="s">
        <v>7947</v>
      </c>
      <c r="I1622" s="5">
        <v>43229</v>
      </c>
      <c r="J1622" s="4" t="s">
        <v>4798</v>
      </c>
      <c r="K1622" s="4" t="s">
        <v>57</v>
      </c>
      <c r="L1622" s="4"/>
      <c r="M1622" s="4"/>
    </row>
    <row r="1623" ht="16" customHeight="1" s="4" customFormat="1">
      <c r="A1623" s="4">
        <v>1081</v>
      </c>
      <c r="B1623" s="4" t="s">
        <v>5499</v>
      </c>
      <c r="C1623" s="4" t="s">
        <v>6371</v>
      </c>
      <c r="D1623" s="4" t="s">
        <v>5574</v>
      </c>
      <c r="E1623" s="4" t="s">
        <v>5769</v>
      </c>
      <c r="F1623" s="4" t="s">
        <v>8001</v>
      </c>
      <c r="G1623" s="4" t="s">
        <v>7980</v>
      </c>
      <c r="H1623" s="4" t="s">
        <v>8002</v>
      </c>
      <c r="I1623" s="5">
        <v>43229</v>
      </c>
      <c r="J1623" s="4" t="s">
        <v>4798</v>
      </c>
      <c r="K1623" s="4" t="s">
        <v>57</v>
      </c>
      <c r="L1623" s="4"/>
      <c r="M1623" s="4"/>
    </row>
    <row r="1624" ht="16" customHeight="1" s="4" customFormat="1">
      <c r="A1624" s="4">
        <v>1082</v>
      </c>
      <c r="B1624" s="4" t="s">
        <v>5499</v>
      </c>
      <c r="C1624" s="4" t="s">
        <v>6371</v>
      </c>
      <c r="D1624" s="4" t="s">
        <v>5574</v>
      </c>
      <c r="E1624" s="4" t="s">
        <v>5769</v>
      </c>
      <c r="F1624" s="4" t="s">
        <v>8003</v>
      </c>
      <c r="G1624" s="4" t="s">
        <v>7980</v>
      </c>
      <c r="H1624" s="4" t="s">
        <v>7971</v>
      </c>
      <c r="I1624" s="5">
        <v>43229</v>
      </c>
      <c r="J1624" s="4" t="s">
        <v>4798</v>
      </c>
      <c r="K1624" s="4" t="s">
        <v>57</v>
      </c>
      <c r="L1624" s="4"/>
      <c r="M1624" s="4"/>
    </row>
    <row r="1625" ht="16" customHeight="1" s="4" customFormat="1">
      <c r="A1625" s="4">
        <v>1083</v>
      </c>
      <c r="B1625" s="4" t="s">
        <v>5499</v>
      </c>
      <c r="C1625" s="4" t="s">
        <v>6371</v>
      </c>
      <c r="D1625" s="4" t="s">
        <v>5574</v>
      </c>
      <c r="E1625" s="4" t="s">
        <v>5769</v>
      </c>
      <c r="F1625" s="4" t="s">
        <v>8004</v>
      </c>
      <c r="G1625" s="4" t="s">
        <v>7980</v>
      </c>
      <c r="H1625" s="4" t="s">
        <v>7974</v>
      </c>
      <c r="I1625" s="5">
        <v>43229</v>
      </c>
      <c r="J1625" s="4" t="s">
        <v>4798</v>
      </c>
      <c r="K1625" s="4" t="s">
        <v>57</v>
      </c>
      <c r="L1625" s="4"/>
      <c r="M1625" s="4"/>
    </row>
    <row r="1626" ht="16" customHeight="1" s="4" customFormat="1">
      <c r="A1626" s="4">
        <v>1084</v>
      </c>
      <c r="B1626" s="4" t="s">
        <v>5499</v>
      </c>
      <c r="C1626" s="4" t="s">
        <v>6371</v>
      </c>
      <c r="D1626" s="4" t="s">
        <v>5574</v>
      </c>
      <c r="E1626" s="4" t="s">
        <v>5769</v>
      </c>
      <c r="F1626" s="4" t="s">
        <v>8005</v>
      </c>
      <c r="G1626" s="4" t="s">
        <v>7980</v>
      </c>
      <c r="H1626" s="4" t="s">
        <v>7995</v>
      </c>
      <c r="I1626" s="5">
        <v>43229</v>
      </c>
      <c r="J1626" s="4" t="s">
        <v>4798</v>
      </c>
      <c r="K1626" s="4" t="s">
        <v>57</v>
      </c>
      <c r="L1626" s="4"/>
      <c r="M1626" s="4"/>
    </row>
    <row r="1627" ht="16" customHeight="1" s="4" customFormat="1">
      <c r="A1627" s="4">
        <v>1085</v>
      </c>
      <c r="B1627" s="4" t="s">
        <v>5499</v>
      </c>
      <c r="C1627" s="4" t="s">
        <v>6371</v>
      </c>
      <c r="D1627" s="4" t="s">
        <v>5574</v>
      </c>
      <c r="E1627" s="4" t="s">
        <v>5769</v>
      </c>
      <c r="F1627" s="4" t="s">
        <v>8006</v>
      </c>
      <c r="G1627" s="4" t="s">
        <v>7980</v>
      </c>
      <c r="H1627" s="4" t="s">
        <v>8007</v>
      </c>
      <c r="I1627" s="5">
        <v>43229</v>
      </c>
      <c r="J1627" s="4" t="s">
        <v>4798</v>
      </c>
      <c r="K1627" s="4" t="s">
        <v>57</v>
      </c>
      <c r="L1627" s="4"/>
      <c r="M1627" s="4"/>
    </row>
    <row r="1628" ht="16" customHeight="1" s="4" customFormat="1">
      <c r="A1628" s="4">
        <v>1086</v>
      </c>
      <c r="B1628" s="4" t="s">
        <v>5499</v>
      </c>
      <c r="C1628" s="4" t="s">
        <v>6371</v>
      </c>
      <c r="D1628" s="4" t="s">
        <v>5574</v>
      </c>
      <c r="E1628" s="4" t="s">
        <v>5769</v>
      </c>
      <c r="F1628" s="4" t="s">
        <v>8008</v>
      </c>
      <c r="G1628" s="4" t="s">
        <v>7980</v>
      </c>
      <c r="H1628" s="4" t="s">
        <v>8009</v>
      </c>
      <c r="I1628" s="5">
        <v>43229</v>
      </c>
      <c r="J1628" s="4" t="s">
        <v>4798</v>
      </c>
      <c r="K1628" s="4" t="s">
        <v>57</v>
      </c>
      <c r="L1628" s="4"/>
      <c r="M1628" s="4"/>
    </row>
    <row r="1629" ht="16" customHeight="1" s="4" customFormat="1">
      <c r="A1629" s="4">
        <v>1087</v>
      </c>
      <c r="B1629" s="4" t="s">
        <v>5499</v>
      </c>
      <c r="C1629" s="4" t="s">
        <v>6371</v>
      </c>
      <c r="D1629" s="4" t="s">
        <v>5574</v>
      </c>
      <c r="E1629" s="4" t="s">
        <v>5769</v>
      </c>
      <c r="F1629" s="4" t="s">
        <v>8010</v>
      </c>
      <c r="G1629" s="4" t="s">
        <v>7980</v>
      </c>
      <c r="H1629" s="4" t="s">
        <v>7943</v>
      </c>
      <c r="I1629" s="5">
        <v>43229</v>
      </c>
      <c r="J1629" s="4" t="s">
        <v>4798</v>
      </c>
      <c r="K1629" s="4" t="s">
        <v>57</v>
      </c>
      <c r="L1629" s="4"/>
      <c r="M1629" s="4"/>
    </row>
    <row r="1630" ht="16" customHeight="1" s="4" customFormat="1">
      <c r="A1630" s="4">
        <v>1088</v>
      </c>
      <c r="B1630" s="4" t="s">
        <v>5499</v>
      </c>
      <c r="C1630" s="4" t="s">
        <v>6371</v>
      </c>
      <c r="D1630" s="4" t="s">
        <v>5574</v>
      </c>
      <c r="E1630" s="4" t="s">
        <v>5769</v>
      </c>
      <c r="F1630" s="4" t="s">
        <v>8011</v>
      </c>
      <c r="G1630" s="4" t="s">
        <v>7980</v>
      </c>
      <c r="H1630" s="4" t="s">
        <v>7947</v>
      </c>
      <c r="I1630" s="5">
        <v>43229</v>
      </c>
      <c r="J1630" s="4" t="s">
        <v>4798</v>
      </c>
      <c r="K1630" s="4" t="s">
        <v>57</v>
      </c>
      <c r="L1630" s="4"/>
      <c r="M1630" s="4"/>
    </row>
    <row r="1631" ht="16" customHeight="1" s="4" customFormat="1">
      <c r="A1631" s="4">
        <v>1089</v>
      </c>
      <c r="B1631" s="4" t="s">
        <v>5499</v>
      </c>
      <c r="C1631" s="4" t="s">
        <v>6371</v>
      </c>
      <c r="D1631" s="4" t="s">
        <v>5574</v>
      </c>
      <c r="E1631" s="4" t="s">
        <v>5769</v>
      </c>
      <c r="F1631" s="4" t="s">
        <v>8012</v>
      </c>
      <c r="G1631" s="4" t="s">
        <v>7980</v>
      </c>
      <c r="H1631" s="4" t="s">
        <v>8013</v>
      </c>
      <c r="I1631" s="5">
        <v>43229</v>
      </c>
      <c r="J1631" s="4" t="s">
        <v>4798</v>
      </c>
      <c r="K1631" s="4" t="s">
        <v>57</v>
      </c>
      <c r="L1631" s="4"/>
      <c r="M1631" s="4"/>
    </row>
    <row r="1632" ht="16" customHeight="1" s="4" customFormat="1">
      <c r="A1632" s="4">
        <v>1090</v>
      </c>
      <c r="B1632" s="4" t="s">
        <v>5499</v>
      </c>
      <c r="C1632" s="4" t="s">
        <v>6371</v>
      </c>
      <c r="D1632" s="4" t="s">
        <v>5574</v>
      </c>
      <c r="E1632" s="4" t="s">
        <v>5769</v>
      </c>
      <c r="F1632" s="4" t="s">
        <v>8014</v>
      </c>
      <c r="G1632" s="4" t="s">
        <v>7980</v>
      </c>
      <c r="H1632" s="4" t="s">
        <v>7951</v>
      </c>
      <c r="I1632" s="5">
        <v>43229</v>
      </c>
      <c r="J1632" s="4" t="s">
        <v>4798</v>
      </c>
      <c r="K1632" s="4" t="s">
        <v>57</v>
      </c>
      <c r="L1632" s="4"/>
      <c r="M1632" s="4"/>
    </row>
    <row r="1633" ht="16" customHeight="1" s="4" customFormat="1">
      <c r="A1633" s="4">
        <v>1091</v>
      </c>
      <c r="B1633" s="4" t="s">
        <v>5499</v>
      </c>
      <c r="C1633" s="4" t="s">
        <v>6371</v>
      </c>
      <c r="D1633" s="4" t="s">
        <v>5574</v>
      </c>
      <c r="E1633" s="4" t="s">
        <v>5769</v>
      </c>
      <c r="F1633" s="4" t="s">
        <v>8015</v>
      </c>
      <c r="G1633" s="4" t="s">
        <v>7980</v>
      </c>
      <c r="H1633" s="4" t="s">
        <v>8016</v>
      </c>
      <c r="I1633" s="5">
        <v>43229</v>
      </c>
      <c r="J1633" s="4" t="s">
        <v>4798</v>
      </c>
      <c r="K1633" s="4" t="s">
        <v>57</v>
      </c>
      <c r="L1633" s="4"/>
      <c r="M1633" s="4"/>
    </row>
    <row r="1634" ht="16" customHeight="1" s="4" customFormat="1">
      <c r="A1634" s="4">
        <v>1092</v>
      </c>
      <c r="B1634" s="4" t="s">
        <v>5499</v>
      </c>
      <c r="C1634" s="4" t="s">
        <v>6371</v>
      </c>
      <c r="D1634" s="4" t="s">
        <v>5574</v>
      </c>
      <c r="E1634" s="4" t="s">
        <v>5769</v>
      </c>
      <c r="F1634" s="4" t="s">
        <v>8017</v>
      </c>
      <c r="G1634" s="4" t="s">
        <v>7980</v>
      </c>
      <c r="H1634" s="4" t="s">
        <v>7961</v>
      </c>
      <c r="I1634" s="5">
        <v>43229</v>
      </c>
      <c r="J1634" s="4" t="s">
        <v>4798</v>
      </c>
      <c r="K1634" s="4" t="s">
        <v>57</v>
      </c>
      <c r="L1634" s="4"/>
      <c r="M1634" s="4"/>
    </row>
    <row r="1635" ht="16" customHeight="1" s="4" customFormat="1">
      <c r="A1635" s="4">
        <v>1093</v>
      </c>
      <c r="B1635" s="4" t="s">
        <v>5499</v>
      </c>
      <c r="C1635" s="4" t="s">
        <v>6371</v>
      </c>
      <c r="D1635" s="4" t="s">
        <v>5574</v>
      </c>
      <c r="E1635" s="4" t="s">
        <v>5769</v>
      </c>
      <c r="F1635" s="4" t="s">
        <v>8018</v>
      </c>
      <c r="G1635" s="4" t="s">
        <v>7980</v>
      </c>
      <c r="H1635" s="4" t="s">
        <v>8019</v>
      </c>
      <c r="I1635" s="5">
        <v>43229</v>
      </c>
      <c r="J1635" s="4" t="s">
        <v>4798</v>
      </c>
      <c r="K1635" s="4" t="s">
        <v>57</v>
      </c>
      <c r="L1635" s="4"/>
      <c r="M1635" s="4"/>
    </row>
    <row r="1636" ht="16" customHeight="1" s="4" customFormat="1">
      <c r="A1636" s="4">
        <v>1094</v>
      </c>
      <c r="B1636" s="4" t="s">
        <v>5499</v>
      </c>
      <c r="C1636" s="4" t="s">
        <v>6371</v>
      </c>
      <c r="D1636" s="4" t="s">
        <v>5574</v>
      </c>
      <c r="E1636" s="4" t="s">
        <v>5769</v>
      </c>
      <c r="F1636" s="4" t="s">
        <v>8020</v>
      </c>
      <c r="G1636" s="4" t="s">
        <v>7980</v>
      </c>
      <c r="H1636" s="4" t="s">
        <v>7939</v>
      </c>
      <c r="I1636" s="5">
        <v>43229</v>
      </c>
      <c r="J1636" s="4" t="s">
        <v>4798</v>
      </c>
      <c r="K1636" s="4" t="s">
        <v>57</v>
      </c>
      <c r="L1636" s="4"/>
      <c r="M1636" s="4"/>
    </row>
    <row r="1637" ht="16" customHeight="1" s="4" customFormat="1">
      <c r="A1637" s="4">
        <v>1095</v>
      </c>
      <c r="B1637" s="4" t="s">
        <v>5499</v>
      </c>
      <c r="C1637" s="4" t="s">
        <v>6371</v>
      </c>
      <c r="D1637" s="4" t="s">
        <v>5574</v>
      </c>
      <c r="E1637" s="4" t="s">
        <v>5769</v>
      </c>
      <c r="F1637" s="4" t="s">
        <v>8021</v>
      </c>
      <c r="G1637" s="4" t="s">
        <v>7980</v>
      </c>
      <c r="H1637" s="4" t="s">
        <v>7987</v>
      </c>
      <c r="I1637" s="5">
        <v>43229</v>
      </c>
      <c r="J1637" s="4" t="s">
        <v>4798</v>
      </c>
      <c r="K1637" s="4" t="s">
        <v>57</v>
      </c>
      <c r="L1637" s="4"/>
      <c r="M1637" s="4"/>
    </row>
    <row r="1638" ht="16" customHeight="1" s="4" customFormat="1">
      <c r="A1638" s="4">
        <v>1096</v>
      </c>
      <c r="B1638" s="4" t="s">
        <v>5499</v>
      </c>
      <c r="C1638" s="4" t="s">
        <v>6371</v>
      </c>
      <c r="D1638" s="4" t="s">
        <v>5574</v>
      </c>
      <c r="E1638" s="4" t="s">
        <v>5769</v>
      </c>
      <c r="F1638" s="4" t="s">
        <v>8022</v>
      </c>
      <c r="G1638" s="4" t="s">
        <v>7980</v>
      </c>
      <c r="H1638" s="4" t="s">
        <v>7949</v>
      </c>
      <c r="I1638" s="5">
        <v>43229</v>
      </c>
      <c r="J1638" s="4" t="s">
        <v>4798</v>
      </c>
      <c r="K1638" s="4" t="s">
        <v>57</v>
      </c>
      <c r="L1638" s="4"/>
      <c r="M1638" s="4"/>
    </row>
    <row r="1639" ht="16" customHeight="1" s="4" customFormat="1">
      <c r="A1639" s="4">
        <v>1097</v>
      </c>
      <c r="B1639" s="4" t="s">
        <v>5499</v>
      </c>
      <c r="C1639" s="4" t="s">
        <v>6371</v>
      </c>
      <c r="D1639" s="4" t="s">
        <v>5574</v>
      </c>
      <c r="E1639" s="4" t="s">
        <v>5769</v>
      </c>
      <c r="F1639" s="4" t="s">
        <v>8023</v>
      </c>
      <c r="G1639" s="4" t="s">
        <v>7980</v>
      </c>
      <c r="H1639" s="4" t="s">
        <v>7971</v>
      </c>
      <c r="I1639" s="5">
        <v>43229</v>
      </c>
      <c r="J1639" s="4" t="s">
        <v>4798</v>
      </c>
      <c r="K1639" s="4" t="s">
        <v>57</v>
      </c>
      <c r="L1639" s="4"/>
      <c r="M1639" s="4"/>
    </row>
    <row r="1640" ht="16" customHeight="1" s="4" customFormat="1">
      <c r="A1640" s="4">
        <v>1098</v>
      </c>
      <c r="B1640" s="4" t="s">
        <v>5499</v>
      </c>
      <c r="C1640" s="4" t="s">
        <v>6371</v>
      </c>
      <c r="D1640" s="4" t="s">
        <v>5574</v>
      </c>
      <c r="E1640" s="4" t="s">
        <v>5769</v>
      </c>
      <c r="F1640" s="4" t="s">
        <v>8024</v>
      </c>
      <c r="G1640" s="4" t="s">
        <v>7980</v>
      </c>
      <c r="H1640" s="4" t="s">
        <v>8025</v>
      </c>
      <c r="I1640" s="5">
        <v>43229</v>
      </c>
      <c r="J1640" s="4" t="s">
        <v>4798</v>
      </c>
      <c r="K1640" s="4" t="s">
        <v>57</v>
      </c>
      <c r="L1640" s="4"/>
      <c r="M1640" s="4"/>
    </row>
    <row r="1641" ht="16" customHeight="1" s="4" customFormat="1">
      <c r="A1641" s="4">
        <v>1099</v>
      </c>
      <c r="B1641" s="4" t="s">
        <v>5499</v>
      </c>
      <c r="C1641" s="4" t="s">
        <v>6371</v>
      </c>
      <c r="D1641" s="4" t="s">
        <v>5574</v>
      </c>
      <c r="E1641" s="4" t="s">
        <v>5769</v>
      </c>
      <c r="F1641" s="4" t="s">
        <v>8026</v>
      </c>
      <c r="G1641" s="4" t="s">
        <v>7980</v>
      </c>
      <c r="H1641" s="4" t="s">
        <v>8027</v>
      </c>
      <c r="I1641" s="5">
        <v>43229</v>
      </c>
      <c r="J1641" s="4" t="s">
        <v>4798</v>
      </c>
      <c r="K1641" s="4" t="s">
        <v>57</v>
      </c>
      <c r="L1641" s="4"/>
      <c r="M1641" s="4"/>
    </row>
    <row r="1642" ht="16" customHeight="1" s="4" customFormat="1">
      <c r="A1642" s="4">
        <v>1100</v>
      </c>
      <c r="B1642" s="4" t="s">
        <v>5534</v>
      </c>
      <c r="C1642" s="4" t="s">
        <v>5773</v>
      </c>
      <c r="D1642" s="4"/>
      <c r="E1642" s="4"/>
      <c r="F1642" s="4" t="s">
        <v>8028</v>
      </c>
      <c r="G1642" s="4" t="s">
        <v>10</v>
      </c>
      <c r="H1642" s="4" t="s">
        <v>7914</v>
      </c>
      <c r="I1642" s="5">
        <v>43207</v>
      </c>
      <c r="J1642" s="4" t="s">
        <v>4842</v>
      </c>
      <c r="K1642" s="4" t="s">
        <v>57</v>
      </c>
      <c r="L1642" s="4"/>
      <c r="M1642" s="4"/>
    </row>
    <row r="1643" ht="16" customHeight="1" s="4" customFormat="1">
      <c r="A1643" s="4">
        <v>1101</v>
      </c>
      <c r="B1643" s="4" t="s">
        <v>5600</v>
      </c>
      <c r="C1643" s="4" t="s">
        <v>5600</v>
      </c>
      <c r="D1643" s="4"/>
      <c r="E1643" s="4"/>
      <c r="F1643" s="4" t="s">
        <v>8029</v>
      </c>
      <c r="G1643" s="4" t="s">
        <v>5771</v>
      </c>
      <c r="H1643" s="4" t="s">
        <v>8030</v>
      </c>
      <c r="I1643" s="5">
        <v>43194</v>
      </c>
      <c r="J1643" s="4" t="s">
        <v>4798</v>
      </c>
      <c r="K1643" s="4" t="s">
        <v>57</v>
      </c>
      <c r="L1643" s="4"/>
      <c r="M1643" s="4"/>
    </row>
    <row r="1644" ht="16" customHeight="1" s="4" customFormat="1">
      <c r="A1644" s="4">
        <v>1102</v>
      </c>
      <c r="B1644" s="4" t="s">
        <v>5694</v>
      </c>
      <c r="C1644" s="4" t="s">
        <v>5695</v>
      </c>
      <c r="D1644" s="4"/>
      <c r="E1644" s="4" t="s">
        <v>5696</v>
      </c>
      <c r="F1644" s="4" t="s">
        <v>7927</v>
      </c>
      <c r="G1644" s="4" t="s">
        <v>8031</v>
      </c>
      <c r="H1644" s="4" t="s">
        <v>5856</v>
      </c>
      <c r="I1644" s="5">
        <v>43187</v>
      </c>
      <c r="J1644" s="4" t="s">
        <v>5506</v>
      </c>
      <c r="K1644" s="4" t="s">
        <v>57</v>
      </c>
      <c r="L1644" s="4"/>
      <c r="M1644" s="4"/>
    </row>
    <row r="1645" ht="16" customHeight="1" s="4" customFormat="1">
      <c r="A1645" s="4">
        <v>1103</v>
      </c>
      <c r="B1645" s="4" t="s">
        <v>5499</v>
      </c>
      <c r="C1645" s="4" t="s">
        <v>7045</v>
      </c>
      <c r="D1645" s="4" t="s">
        <v>5574</v>
      </c>
      <c r="E1645" s="4" t="s">
        <v>7046</v>
      </c>
      <c r="F1645" s="4" t="s">
        <v>8032</v>
      </c>
      <c r="G1645" s="4" t="s">
        <v>10</v>
      </c>
      <c r="H1645" s="4" t="s">
        <v>8033</v>
      </c>
      <c r="I1645" s="5">
        <v>43182</v>
      </c>
      <c r="J1645" s="4" t="s">
        <v>4842</v>
      </c>
      <c r="K1645" s="4" t="s">
        <v>57</v>
      </c>
      <c r="L1645" s="4"/>
      <c r="M1645" s="4"/>
    </row>
    <row r="1646" ht="16" customHeight="1" s="4" customFormat="1">
      <c r="A1646" s="4">
        <v>1104</v>
      </c>
      <c r="B1646" s="4" t="s">
        <v>5499</v>
      </c>
      <c r="C1646" s="4" t="s">
        <v>7045</v>
      </c>
      <c r="D1646" s="4" t="s">
        <v>5574</v>
      </c>
      <c r="E1646" s="4" t="s">
        <v>5575</v>
      </c>
      <c r="F1646" s="4" t="s">
        <v>8034</v>
      </c>
      <c r="G1646" s="4" t="s">
        <v>10</v>
      </c>
      <c r="H1646" s="4" t="s">
        <v>8033</v>
      </c>
      <c r="I1646" s="5">
        <v>43182</v>
      </c>
      <c r="J1646" s="4" t="s">
        <v>4842</v>
      </c>
      <c r="K1646" s="4" t="s">
        <v>57</v>
      </c>
      <c r="L1646" s="4"/>
      <c r="M1646" s="4"/>
    </row>
    <row r="1647" ht="16" customHeight="1" s="4" customFormat="1">
      <c r="A1647" s="4">
        <v>1105</v>
      </c>
      <c r="B1647" s="4" t="s">
        <v>5499</v>
      </c>
      <c r="C1647" s="4" t="s">
        <v>5519</v>
      </c>
      <c r="D1647" s="4"/>
      <c r="E1647" s="4"/>
      <c r="F1647" s="4" t="s">
        <v>8035</v>
      </c>
      <c r="G1647" s="4" t="s">
        <v>5791</v>
      </c>
      <c r="H1647" s="4" t="s">
        <v>5791</v>
      </c>
      <c r="I1647" s="5">
        <v>43181</v>
      </c>
      <c r="J1647" s="4" t="s">
        <v>4842</v>
      </c>
      <c r="K1647" s="4" t="s">
        <v>57</v>
      </c>
      <c r="L1647" s="4"/>
      <c r="M1647" s="4"/>
    </row>
    <row r="1648" ht="16" customHeight="1" s="4" customFormat="1">
      <c r="A1648" s="4">
        <v>1106</v>
      </c>
      <c r="B1648" s="4" t="s">
        <v>5499</v>
      </c>
      <c r="C1648" s="4" t="s">
        <v>5519</v>
      </c>
      <c r="D1648" s="4"/>
      <c r="E1648" s="4" t="s">
        <v>5613</v>
      </c>
      <c r="F1648" s="4" t="s">
        <v>8036</v>
      </c>
      <c r="G1648" s="4" t="s">
        <v>8037</v>
      </c>
      <c r="H1648" s="4" t="s">
        <v>8037</v>
      </c>
      <c r="I1648" s="5">
        <v>43179</v>
      </c>
      <c r="J1648" s="4" t="s">
        <v>4842</v>
      </c>
      <c r="K1648" s="4" t="s">
        <v>57</v>
      </c>
      <c r="L1648" s="4"/>
      <c r="M1648" s="4"/>
    </row>
    <row r="1649" ht="16" customHeight="1" s="4" customFormat="1">
      <c r="A1649" s="4">
        <v>1107</v>
      </c>
      <c r="B1649" s="4" t="s">
        <v>5499</v>
      </c>
      <c r="C1649" s="4" t="s">
        <v>5509</v>
      </c>
      <c r="D1649" s="4"/>
      <c r="E1649" s="4"/>
      <c r="F1649" s="4" t="s">
        <v>8038</v>
      </c>
      <c r="G1649" s="4" t="s">
        <v>10</v>
      </c>
      <c r="H1649" s="4" t="s">
        <v>6322</v>
      </c>
      <c r="I1649" s="5">
        <v>43178</v>
      </c>
      <c r="J1649" s="4" t="s">
        <v>4798</v>
      </c>
      <c r="K1649" s="4" t="s">
        <v>57</v>
      </c>
      <c r="L1649" s="4"/>
      <c r="M1649" s="4"/>
    </row>
    <row r="1650" ht="16" customHeight="1" s="4" customFormat="1">
      <c r="A1650" s="4">
        <v>1108</v>
      </c>
      <c r="B1650" s="4" t="s">
        <v>5528</v>
      </c>
      <c r="C1650" s="4" t="s">
        <v>7530</v>
      </c>
      <c r="D1650" s="4" t="s">
        <v>5574</v>
      </c>
      <c r="E1650" s="4" t="s">
        <v>5575</v>
      </c>
      <c r="F1650" s="4" t="s">
        <v>8039</v>
      </c>
      <c r="G1650" s="4" t="s">
        <v>8040</v>
      </c>
      <c r="H1650" s="4" t="s">
        <v>8041</v>
      </c>
      <c r="I1650" s="5">
        <v>43176</v>
      </c>
      <c r="J1650" s="4" t="s">
        <v>4798</v>
      </c>
      <c r="K1650" s="4" t="s">
        <v>57</v>
      </c>
      <c r="L1650" s="4"/>
      <c r="M1650" s="4"/>
    </row>
    <row r="1651" ht="16" customHeight="1" s="4" customFormat="1">
      <c r="A1651" s="4">
        <v>1109</v>
      </c>
      <c r="B1651" s="4" t="s">
        <v>5499</v>
      </c>
      <c r="C1651" s="4" t="s">
        <v>5590</v>
      </c>
      <c r="D1651" s="4" t="s">
        <v>6121</v>
      </c>
      <c r="E1651" s="4" t="s">
        <v>6128</v>
      </c>
      <c r="F1651" s="4" t="s">
        <v>8042</v>
      </c>
      <c r="G1651" s="4" t="s">
        <v>6431</v>
      </c>
      <c r="H1651" s="4" t="s">
        <v>6198</v>
      </c>
      <c r="I1651" s="5">
        <v>43174</v>
      </c>
      <c r="J1651" s="4" t="s">
        <v>4798</v>
      </c>
      <c r="K1651" s="4" t="s">
        <v>57</v>
      </c>
      <c r="L1651" s="4"/>
      <c r="M1651" s="4"/>
    </row>
    <row r="1652" ht="16" customHeight="1" s="4" customFormat="1">
      <c r="A1652" s="4">
        <v>1110</v>
      </c>
      <c r="B1652" s="4" t="s">
        <v>5499</v>
      </c>
      <c r="C1652" s="4" t="s">
        <v>5590</v>
      </c>
      <c r="D1652" s="4" t="s">
        <v>5574</v>
      </c>
      <c r="E1652" s="4" t="s">
        <v>5575</v>
      </c>
      <c r="F1652" s="4" t="s">
        <v>8043</v>
      </c>
      <c r="G1652" s="4" t="s">
        <v>6431</v>
      </c>
      <c r="H1652" s="4" t="s">
        <v>6198</v>
      </c>
      <c r="I1652" s="5">
        <v>43174</v>
      </c>
      <c r="J1652" s="4" t="s">
        <v>4798</v>
      </c>
      <c r="K1652" s="4" t="s">
        <v>57</v>
      </c>
      <c r="L1652" s="4"/>
      <c r="M1652" s="4"/>
    </row>
    <row r="1653" ht="16" customHeight="1" s="4" customFormat="1">
      <c r="A1653" s="4">
        <v>1111</v>
      </c>
      <c r="B1653" s="4" t="s">
        <v>5694</v>
      </c>
      <c r="C1653" s="4" t="s">
        <v>5695</v>
      </c>
      <c r="D1653" s="4"/>
      <c r="E1653" s="4" t="s">
        <v>5696</v>
      </c>
      <c r="F1653" s="4" t="s">
        <v>8044</v>
      </c>
      <c r="G1653" s="4" t="s">
        <v>7607</v>
      </c>
      <c r="H1653" s="4" t="s">
        <v>8045</v>
      </c>
      <c r="I1653" s="5">
        <v>43172</v>
      </c>
      <c r="J1653" s="4" t="s">
        <v>5506</v>
      </c>
      <c r="K1653" s="4" t="s">
        <v>57</v>
      </c>
      <c r="L1653" s="4"/>
      <c r="M1653" s="4"/>
    </row>
    <row r="1654" ht="16" customHeight="1" s="4" customFormat="1">
      <c r="A1654" s="4">
        <v>1112</v>
      </c>
      <c r="B1654" s="4" t="s">
        <v>5534</v>
      </c>
      <c r="C1654" s="4" t="s">
        <v>5773</v>
      </c>
      <c r="D1654" s="4"/>
      <c r="E1654" s="4"/>
      <c r="F1654" s="4" t="s">
        <v>8046</v>
      </c>
      <c r="G1654" s="4" t="s">
        <v>10</v>
      </c>
      <c r="H1654" s="4" t="s">
        <v>7884</v>
      </c>
      <c r="I1654" s="5">
        <v>43172</v>
      </c>
      <c r="J1654" s="4" t="s">
        <v>4798</v>
      </c>
      <c r="K1654" s="4" t="s">
        <v>57</v>
      </c>
      <c r="L1654" s="4"/>
      <c r="M1654" s="4"/>
    </row>
    <row r="1655" ht="16" customHeight="1" s="4" customFormat="1">
      <c r="A1655" s="4">
        <v>1113</v>
      </c>
      <c r="B1655" s="4" t="s">
        <v>5534</v>
      </c>
      <c r="C1655" s="4" t="s">
        <v>5773</v>
      </c>
      <c r="D1655" s="4"/>
      <c r="E1655" s="4"/>
      <c r="F1655" s="4" t="s">
        <v>8047</v>
      </c>
      <c r="G1655" s="4" t="s">
        <v>10</v>
      </c>
      <c r="H1655" s="4" t="s">
        <v>7884</v>
      </c>
      <c r="I1655" s="5">
        <v>43172</v>
      </c>
      <c r="J1655" s="4" t="s">
        <v>4798</v>
      </c>
      <c r="K1655" s="4" t="s">
        <v>57</v>
      </c>
      <c r="L1655" s="4"/>
      <c r="M1655" s="4"/>
    </row>
    <row r="1656" ht="16" customHeight="1" s="4" customFormat="1">
      <c r="A1656" s="4">
        <v>1114</v>
      </c>
      <c r="B1656" s="4" t="s">
        <v>5534</v>
      </c>
      <c r="C1656" s="4" t="s">
        <v>5773</v>
      </c>
      <c r="D1656" s="4"/>
      <c r="E1656" s="4"/>
      <c r="F1656" s="4" t="s">
        <v>8048</v>
      </c>
      <c r="G1656" s="4" t="s">
        <v>7884</v>
      </c>
      <c r="H1656" s="4" t="s">
        <v>5791</v>
      </c>
      <c r="I1656" s="5">
        <v>43172</v>
      </c>
      <c r="J1656" s="4" t="s">
        <v>4798</v>
      </c>
      <c r="K1656" s="4" t="s">
        <v>57</v>
      </c>
      <c r="L1656" s="4"/>
      <c r="M1656" s="4"/>
    </row>
    <row r="1657" ht="16" customHeight="1" s="4" customFormat="1">
      <c r="A1657" s="4">
        <v>1115</v>
      </c>
      <c r="B1657" s="4" t="s">
        <v>5499</v>
      </c>
      <c r="C1657" s="4" t="s">
        <v>5702</v>
      </c>
      <c r="D1657" s="4"/>
      <c r="E1657" s="4"/>
      <c r="F1657" s="4" t="s">
        <v>8049</v>
      </c>
      <c r="G1657" s="4" t="s">
        <v>5771</v>
      </c>
      <c r="H1657" s="4" t="s">
        <v>8050</v>
      </c>
      <c r="I1657" s="5">
        <v>43167</v>
      </c>
      <c r="J1657" s="4" t="s">
        <v>4842</v>
      </c>
      <c r="K1657" s="4" t="s">
        <v>57</v>
      </c>
      <c r="L1657" s="4"/>
      <c r="M1657" s="4"/>
    </row>
    <row r="1658" ht="16" customHeight="1" s="4" customFormat="1">
      <c r="A1658" s="4">
        <v>1116</v>
      </c>
      <c r="B1658" s="4" t="s">
        <v>5534</v>
      </c>
      <c r="C1658" s="4" t="s">
        <v>5773</v>
      </c>
      <c r="D1658" s="4"/>
      <c r="E1658" s="4"/>
      <c r="F1658" s="4" t="s">
        <v>8051</v>
      </c>
      <c r="G1658" s="4" t="s">
        <v>5984</v>
      </c>
      <c r="H1658" s="4" t="s">
        <v>6018</v>
      </c>
      <c r="I1658" s="5">
        <v>43166</v>
      </c>
      <c r="J1658" s="4" t="s">
        <v>4798</v>
      </c>
      <c r="K1658" s="4" t="s">
        <v>57</v>
      </c>
      <c r="L1658" s="4"/>
      <c r="M1658" s="4"/>
    </row>
    <row r="1659" ht="16" customHeight="1" s="4" customFormat="1">
      <c r="A1659" s="4">
        <v>1117</v>
      </c>
      <c r="B1659" s="4" t="s">
        <v>5534</v>
      </c>
      <c r="C1659" s="4" t="s">
        <v>5773</v>
      </c>
      <c r="D1659" s="4"/>
      <c r="E1659" s="4"/>
      <c r="F1659" s="4" t="s">
        <v>8052</v>
      </c>
      <c r="G1659" s="4" t="s">
        <v>5984</v>
      </c>
      <c r="H1659" s="4" t="s">
        <v>6018</v>
      </c>
      <c r="I1659" s="5">
        <v>43166</v>
      </c>
      <c r="J1659" s="4" t="s">
        <v>4798</v>
      </c>
      <c r="K1659" s="4" t="s">
        <v>57</v>
      </c>
      <c r="L1659" s="4"/>
      <c r="M1659" s="4"/>
    </row>
    <row r="1660" ht="16" customHeight="1" s="4" customFormat="1">
      <c r="A1660" s="4">
        <v>1118</v>
      </c>
      <c r="B1660" s="4" t="s">
        <v>5534</v>
      </c>
      <c r="C1660" s="4" t="s">
        <v>5773</v>
      </c>
      <c r="D1660" s="4"/>
      <c r="E1660" s="4"/>
      <c r="F1660" s="4" t="s">
        <v>8053</v>
      </c>
      <c r="G1660" s="4" t="s">
        <v>5984</v>
      </c>
      <c r="H1660" s="4" t="s">
        <v>6018</v>
      </c>
      <c r="I1660" s="5">
        <v>43166</v>
      </c>
      <c r="J1660" s="4" t="s">
        <v>4798</v>
      </c>
      <c r="K1660" s="4" t="s">
        <v>57</v>
      </c>
      <c r="L1660" s="4"/>
      <c r="M1660" s="4"/>
    </row>
    <row r="1661" ht="16" customHeight="1" s="4" customFormat="1">
      <c r="A1661" s="4">
        <v>1119</v>
      </c>
      <c r="B1661" s="4" t="s">
        <v>5534</v>
      </c>
      <c r="C1661" s="4" t="s">
        <v>5773</v>
      </c>
      <c r="D1661" s="4"/>
      <c r="E1661" s="4"/>
      <c r="F1661" s="4" t="s">
        <v>8054</v>
      </c>
      <c r="G1661" s="4" t="s">
        <v>5984</v>
      </c>
      <c r="H1661" s="4"/>
      <c r="I1661" s="5">
        <v>43166</v>
      </c>
      <c r="J1661" s="4" t="s">
        <v>4798</v>
      </c>
      <c r="K1661" s="4" t="s">
        <v>57</v>
      </c>
      <c r="L1661" s="4"/>
      <c r="M1661" s="4"/>
    </row>
    <row r="1662" ht="16" customHeight="1" s="4" customFormat="1">
      <c r="A1662" s="4">
        <v>1120</v>
      </c>
      <c r="B1662" s="4" t="s">
        <v>5534</v>
      </c>
      <c r="C1662" s="4" t="s">
        <v>5773</v>
      </c>
      <c r="D1662" s="4"/>
      <c r="E1662" s="4"/>
      <c r="F1662" s="4" t="s">
        <v>8055</v>
      </c>
      <c r="G1662" s="4" t="s">
        <v>5984</v>
      </c>
      <c r="H1662" s="4"/>
      <c r="I1662" s="5">
        <v>43166</v>
      </c>
      <c r="J1662" s="4" t="s">
        <v>4798</v>
      </c>
      <c r="K1662" s="4" t="s">
        <v>57</v>
      </c>
      <c r="L1662" s="4"/>
      <c r="M1662" s="4"/>
    </row>
    <row r="1663" ht="16" customHeight="1" s="4" customFormat="1">
      <c r="A1663" s="4">
        <v>1121</v>
      </c>
      <c r="B1663" s="4" t="s">
        <v>5534</v>
      </c>
      <c r="C1663" s="4" t="s">
        <v>5773</v>
      </c>
      <c r="D1663" s="4"/>
      <c r="E1663" s="4"/>
      <c r="F1663" s="4" t="s">
        <v>8056</v>
      </c>
      <c r="G1663" s="4" t="s">
        <v>5984</v>
      </c>
      <c r="H1663" s="4" t="s">
        <v>6018</v>
      </c>
      <c r="I1663" s="5">
        <v>43166</v>
      </c>
      <c r="J1663" s="4" t="s">
        <v>4798</v>
      </c>
      <c r="K1663" s="4" t="s">
        <v>57</v>
      </c>
      <c r="L1663" s="4"/>
      <c r="M1663" s="4"/>
    </row>
    <row r="1664" ht="16" customHeight="1" s="4" customFormat="1">
      <c r="A1664" s="4">
        <v>1122</v>
      </c>
      <c r="B1664" s="4" t="s">
        <v>5534</v>
      </c>
      <c r="C1664" s="4" t="s">
        <v>5773</v>
      </c>
      <c r="D1664" s="4"/>
      <c r="E1664" s="4"/>
      <c r="F1664" s="4" t="s">
        <v>8057</v>
      </c>
      <c r="G1664" s="4" t="s">
        <v>5984</v>
      </c>
      <c r="H1664" s="4" t="s">
        <v>6018</v>
      </c>
      <c r="I1664" s="5">
        <v>43166</v>
      </c>
      <c r="J1664" s="4" t="s">
        <v>4798</v>
      </c>
      <c r="K1664" s="4" t="s">
        <v>57</v>
      </c>
      <c r="L1664" s="4"/>
      <c r="M1664" s="4"/>
    </row>
    <row r="1665" ht="16" customHeight="1" s="4" customFormat="1">
      <c r="A1665" s="4">
        <v>1123</v>
      </c>
      <c r="B1665" s="4" t="s">
        <v>5534</v>
      </c>
      <c r="C1665" s="4" t="s">
        <v>5773</v>
      </c>
      <c r="D1665" s="4"/>
      <c r="E1665" s="4"/>
      <c r="F1665" s="4" t="s">
        <v>8058</v>
      </c>
      <c r="G1665" s="4" t="s">
        <v>5984</v>
      </c>
      <c r="H1665" s="4" t="s">
        <v>6018</v>
      </c>
      <c r="I1665" s="5">
        <v>43166</v>
      </c>
      <c r="J1665" s="4" t="s">
        <v>4798</v>
      </c>
      <c r="K1665" s="4" t="s">
        <v>57</v>
      </c>
      <c r="L1665" s="4"/>
      <c r="M1665" s="4"/>
    </row>
    <row r="1666" ht="16" customHeight="1" s="4" customFormat="1">
      <c r="A1666" s="4">
        <v>1124</v>
      </c>
      <c r="B1666" s="4" t="s">
        <v>5534</v>
      </c>
      <c r="C1666" s="4" t="s">
        <v>5773</v>
      </c>
      <c r="D1666" s="4"/>
      <c r="E1666" s="4"/>
      <c r="F1666" s="4" t="s">
        <v>8059</v>
      </c>
      <c r="G1666" s="4" t="s">
        <v>5984</v>
      </c>
      <c r="H1666" s="4"/>
      <c r="I1666" s="5">
        <v>43166</v>
      </c>
      <c r="J1666" s="4" t="s">
        <v>4798</v>
      </c>
      <c r="K1666" s="4" t="s">
        <v>57</v>
      </c>
      <c r="L1666" s="4"/>
      <c r="M1666" s="4"/>
    </row>
    <row r="1667" ht="16" customHeight="1" s="4" customFormat="1">
      <c r="A1667" s="4">
        <v>1125</v>
      </c>
      <c r="B1667" s="4" t="s">
        <v>5534</v>
      </c>
      <c r="C1667" s="4" t="s">
        <v>5773</v>
      </c>
      <c r="D1667" s="4"/>
      <c r="E1667" s="4"/>
      <c r="F1667" s="4" t="s">
        <v>8060</v>
      </c>
      <c r="G1667" s="4" t="s">
        <v>5984</v>
      </c>
      <c r="H1667" s="4" t="s">
        <v>6018</v>
      </c>
      <c r="I1667" s="5">
        <v>43166</v>
      </c>
      <c r="J1667" s="4" t="s">
        <v>4798</v>
      </c>
      <c r="K1667" s="4" t="s">
        <v>57</v>
      </c>
      <c r="L1667" s="4"/>
      <c r="M1667" s="4"/>
    </row>
    <row r="1668" ht="16" customHeight="1" s="4" customFormat="1">
      <c r="A1668" s="4">
        <v>1126</v>
      </c>
      <c r="B1668" s="4" t="s">
        <v>5534</v>
      </c>
      <c r="C1668" s="4" t="s">
        <v>5773</v>
      </c>
      <c r="D1668" s="4"/>
      <c r="E1668" s="4"/>
      <c r="F1668" s="4" t="s">
        <v>8061</v>
      </c>
      <c r="G1668" s="4" t="s">
        <v>5984</v>
      </c>
      <c r="H1668" s="4" t="s">
        <v>6018</v>
      </c>
      <c r="I1668" s="5">
        <v>43166</v>
      </c>
      <c r="J1668" s="4" t="s">
        <v>4798</v>
      </c>
      <c r="K1668" s="4" t="s">
        <v>57</v>
      </c>
      <c r="L1668" s="4"/>
      <c r="M1668" s="4"/>
    </row>
    <row r="1669" ht="16" customHeight="1" s="4" customFormat="1">
      <c r="A1669" s="4">
        <v>1127</v>
      </c>
      <c r="B1669" s="4" t="s">
        <v>5534</v>
      </c>
      <c r="C1669" s="4" t="s">
        <v>5773</v>
      </c>
      <c r="D1669" s="4"/>
      <c r="E1669" s="4"/>
      <c r="F1669" s="4" t="s">
        <v>8062</v>
      </c>
      <c r="G1669" s="4" t="s">
        <v>5984</v>
      </c>
      <c r="H1669" s="4" t="s">
        <v>6018</v>
      </c>
      <c r="I1669" s="5">
        <v>43166</v>
      </c>
      <c r="J1669" s="4" t="s">
        <v>4798</v>
      </c>
      <c r="K1669" s="4" t="s">
        <v>57</v>
      </c>
      <c r="L1669" s="4"/>
      <c r="M1669" s="4"/>
    </row>
    <row r="1670" ht="16" customHeight="1" s="4" customFormat="1">
      <c r="A1670" s="4">
        <v>1128</v>
      </c>
      <c r="B1670" s="4" t="s">
        <v>5534</v>
      </c>
      <c r="C1670" s="4" t="s">
        <v>5773</v>
      </c>
      <c r="D1670" s="4"/>
      <c r="E1670" s="4"/>
      <c r="F1670" s="4" t="s">
        <v>8063</v>
      </c>
      <c r="G1670" s="4" t="s">
        <v>5984</v>
      </c>
      <c r="H1670" s="4" t="s">
        <v>6018</v>
      </c>
      <c r="I1670" s="5">
        <v>43166</v>
      </c>
      <c r="J1670" s="4" t="s">
        <v>4798</v>
      </c>
      <c r="K1670" s="4" t="s">
        <v>57</v>
      </c>
      <c r="L1670" s="4"/>
      <c r="M1670" s="4"/>
    </row>
    <row r="1671" ht="16" customHeight="1" s="4" customFormat="1">
      <c r="A1671" s="4">
        <v>1129</v>
      </c>
      <c r="B1671" s="4" t="s">
        <v>5534</v>
      </c>
      <c r="C1671" s="4" t="s">
        <v>5773</v>
      </c>
      <c r="D1671" s="4"/>
      <c r="E1671" s="4"/>
      <c r="F1671" s="4" t="s">
        <v>8064</v>
      </c>
      <c r="G1671" s="4" t="s">
        <v>5984</v>
      </c>
      <c r="H1671" s="4" t="s">
        <v>6018</v>
      </c>
      <c r="I1671" s="5">
        <v>43166</v>
      </c>
      <c r="J1671" s="4" t="s">
        <v>4798</v>
      </c>
      <c r="K1671" s="4" t="s">
        <v>57</v>
      </c>
      <c r="L1671" s="4"/>
      <c r="M1671" s="4"/>
    </row>
    <row r="1672" ht="16" customHeight="1" s="4" customFormat="1">
      <c r="A1672" s="4">
        <v>1130</v>
      </c>
      <c r="B1672" s="4" t="s">
        <v>5534</v>
      </c>
      <c r="C1672" s="4" t="s">
        <v>5773</v>
      </c>
      <c r="D1672" s="4"/>
      <c r="E1672" s="4"/>
      <c r="F1672" s="4" t="s">
        <v>8065</v>
      </c>
      <c r="G1672" s="4" t="s">
        <v>5984</v>
      </c>
      <c r="H1672" s="4" t="s">
        <v>6018</v>
      </c>
      <c r="I1672" s="5">
        <v>43166</v>
      </c>
      <c r="J1672" s="4" t="s">
        <v>4798</v>
      </c>
      <c r="K1672" s="4" t="s">
        <v>57</v>
      </c>
      <c r="L1672" s="4"/>
      <c r="M1672" s="4"/>
    </row>
    <row r="1673" ht="16" customHeight="1" s="4" customFormat="1">
      <c r="A1673" s="4">
        <v>1131</v>
      </c>
      <c r="B1673" s="4" t="s">
        <v>5534</v>
      </c>
      <c r="C1673" s="4" t="s">
        <v>5773</v>
      </c>
      <c r="D1673" s="4"/>
      <c r="E1673" s="4"/>
      <c r="F1673" s="4" t="s">
        <v>8066</v>
      </c>
      <c r="G1673" s="4" t="s">
        <v>5984</v>
      </c>
      <c r="H1673" s="4" t="s">
        <v>6018</v>
      </c>
      <c r="I1673" s="5">
        <v>43166</v>
      </c>
      <c r="J1673" s="4" t="s">
        <v>4798</v>
      </c>
      <c r="K1673" s="4" t="s">
        <v>57</v>
      </c>
      <c r="L1673" s="4"/>
      <c r="M1673" s="4"/>
    </row>
    <row r="1674" ht="16" customHeight="1" s="4" customFormat="1">
      <c r="A1674" s="4">
        <v>1132</v>
      </c>
      <c r="B1674" s="4" t="s">
        <v>5534</v>
      </c>
      <c r="C1674" s="4" t="s">
        <v>5773</v>
      </c>
      <c r="D1674" s="4"/>
      <c r="E1674" s="4"/>
      <c r="F1674" s="4" t="s">
        <v>8067</v>
      </c>
      <c r="G1674" s="4" t="s">
        <v>5984</v>
      </c>
      <c r="H1674" s="4" t="s">
        <v>6018</v>
      </c>
      <c r="I1674" s="5">
        <v>43166</v>
      </c>
      <c r="J1674" s="4" t="s">
        <v>4798</v>
      </c>
      <c r="K1674" s="4" t="s">
        <v>57</v>
      </c>
      <c r="L1674" s="4"/>
      <c r="M1674" s="4"/>
    </row>
    <row r="1675" ht="16" customHeight="1" s="4" customFormat="1">
      <c r="A1675" s="4">
        <v>1133</v>
      </c>
      <c r="B1675" s="4" t="s">
        <v>5534</v>
      </c>
      <c r="C1675" s="4" t="s">
        <v>5773</v>
      </c>
      <c r="D1675" s="4"/>
      <c r="E1675" s="4"/>
      <c r="F1675" s="4" t="s">
        <v>8068</v>
      </c>
      <c r="G1675" s="4" t="s">
        <v>5984</v>
      </c>
      <c r="H1675" s="4" t="s">
        <v>6018</v>
      </c>
      <c r="I1675" s="5">
        <v>43166</v>
      </c>
      <c r="J1675" s="4" t="s">
        <v>4798</v>
      </c>
      <c r="K1675" s="4" t="s">
        <v>57</v>
      </c>
      <c r="L1675" s="4"/>
      <c r="M1675" s="4"/>
    </row>
    <row r="1676" ht="16" customHeight="1" s="4" customFormat="1">
      <c r="A1676" s="4">
        <v>1134</v>
      </c>
      <c r="B1676" s="4" t="s">
        <v>5534</v>
      </c>
      <c r="C1676" s="4" t="s">
        <v>5773</v>
      </c>
      <c r="D1676" s="4"/>
      <c r="E1676" s="4"/>
      <c r="F1676" s="4" t="s">
        <v>8069</v>
      </c>
      <c r="G1676" s="4" t="s">
        <v>5984</v>
      </c>
      <c r="H1676" s="4" t="s">
        <v>6018</v>
      </c>
      <c r="I1676" s="5">
        <v>43166</v>
      </c>
      <c r="J1676" s="4" t="s">
        <v>4798</v>
      </c>
      <c r="K1676" s="4" t="s">
        <v>57</v>
      </c>
      <c r="L1676" s="4"/>
      <c r="M1676" s="4"/>
    </row>
    <row r="1677" ht="16" customHeight="1" s="4" customFormat="1">
      <c r="A1677" s="4">
        <v>1135</v>
      </c>
      <c r="B1677" s="4" t="s">
        <v>5534</v>
      </c>
      <c r="C1677" s="4" t="s">
        <v>5773</v>
      </c>
      <c r="D1677" s="4"/>
      <c r="E1677" s="4"/>
      <c r="F1677" s="4" t="s">
        <v>8070</v>
      </c>
      <c r="G1677" s="4" t="s">
        <v>5984</v>
      </c>
      <c r="H1677" s="4" t="s">
        <v>6018</v>
      </c>
      <c r="I1677" s="5">
        <v>43166</v>
      </c>
      <c r="J1677" s="4" t="s">
        <v>4798</v>
      </c>
      <c r="K1677" s="4" t="s">
        <v>57</v>
      </c>
      <c r="L1677" s="4"/>
      <c r="M1677" s="4"/>
    </row>
    <row r="1678" ht="16" customHeight="1" s="4" customFormat="1">
      <c r="A1678" s="4">
        <v>1136</v>
      </c>
      <c r="B1678" s="4" t="s">
        <v>5534</v>
      </c>
      <c r="C1678" s="4" t="s">
        <v>5773</v>
      </c>
      <c r="D1678" s="4"/>
      <c r="E1678" s="4"/>
      <c r="F1678" s="4" t="s">
        <v>8071</v>
      </c>
      <c r="G1678" s="4" t="s">
        <v>5984</v>
      </c>
      <c r="H1678" s="4" t="s">
        <v>6018</v>
      </c>
      <c r="I1678" s="5">
        <v>43166</v>
      </c>
      <c r="J1678" s="4" t="s">
        <v>4798</v>
      </c>
      <c r="K1678" s="4" t="s">
        <v>57</v>
      </c>
      <c r="L1678" s="4"/>
      <c r="M1678" s="4"/>
    </row>
    <row r="1679" ht="16" customHeight="1" s="4" customFormat="1">
      <c r="A1679" s="4">
        <v>1137</v>
      </c>
      <c r="B1679" s="4" t="s">
        <v>5534</v>
      </c>
      <c r="C1679" s="4" t="s">
        <v>5773</v>
      </c>
      <c r="D1679" s="4"/>
      <c r="E1679" s="4"/>
      <c r="F1679" s="4" t="s">
        <v>8072</v>
      </c>
      <c r="G1679" s="4" t="s">
        <v>5984</v>
      </c>
      <c r="H1679" s="4" t="s">
        <v>6018</v>
      </c>
      <c r="I1679" s="5">
        <v>43166</v>
      </c>
      <c r="J1679" s="4" t="s">
        <v>4798</v>
      </c>
      <c r="K1679" s="4" t="s">
        <v>57</v>
      </c>
      <c r="L1679" s="4"/>
      <c r="M1679" s="4"/>
    </row>
    <row r="1680" ht="16" customHeight="1" s="4" customFormat="1">
      <c r="A1680" s="4">
        <v>1138</v>
      </c>
      <c r="B1680" s="4" t="s">
        <v>5534</v>
      </c>
      <c r="C1680" s="4" t="s">
        <v>5773</v>
      </c>
      <c r="D1680" s="4"/>
      <c r="E1680" s="4"/>
      <c r="F1680" s="4" t="s">
        <v>8073</v>
      </c>
      <c r="G1680" s="4" t="s">
        <v>5984</v>
      </c>
      <c r="H1680" s="4" t="s">
        <v>6018</v>
      </c>
      <c r="I1680" s="5">
        <v>43166</v>
      </c>
      <c r="J1680" s="4" t="s">
        <v>4798</v>
      </c>
      <c r="K1680" s="4" t="s">
        <v>57</v>
      </c>
      <c r="L1680" s="4"/>
      <c r="M1680" s="4"/>
    </row>
    <row r="1681" ht="16" customHeight="1" s="4" customFormat="1">
      <c r="A1681" s="4">
        <v>1139</v>
      </c>
      <c r="B1681" s="4" t="s">
        <v>5534</v>
      </c>
      <c r="C1681" s="4" t="s">
        <v>5773</v>
      </c>
      <c r="D1681" s="4"/>
      <c r="E1681" s="4"/>
      <c r="F1681" s="4" t="s">
        <v>8074</v>
      </c>
      <c r="G1681" s="4" t="s">
        <v>5984</v>
      </c>
      <c r="H1681" s="4" t="s">
        <v>6018</v>
      </c>
      <c r="I1681" s="5">
        <v>43166</v>
      </c>
      <c r="J1681" s="4" t="s">
        <v>4798</v>
      </c>
      <c r="K1681" s="4" t="s">
        <v>57</v>
      </c>
      <c r="L1681" s="4"/>
      <c r="M1681" s="4"/>
    </row>
    <row r="1682" ht="16" customHeight="1" s="4" customFormat="1">
      <c r="A1682" s="4">
        <v>1140</v>
      </c>
      <c r="B1682" s="4" t="s">
        <v>5534</v>
      </c>
      <c r="C1682" s="4" t="s">
        <v>5773</v>
      </c>
      <c r="D1682" s="4"/>
      <c r="E1682" s="4"/>
      <c r="F1682" s="4" t="s">
        <v>8075</v>
      </c>
      <c r="G1682" s="4" t="s">
        <v>5984</v>
      </c>
      <c r="H1682" s="4" t="s">
        <v>6018</v>
      </c>
      <c r="I1682" s="5">
        <v>43166</v>
      </c>
      <c r="J1682" s="4" t="s">
        <v>4798</v>
      </c>
      <c r="K1682" s="4" t="s">
        <v>57</v>
      </c>
      <c r="L1682" s="4"/>
      <c r="M1682" s="4"/>
    </row>
    <row r="1683" ht="16" customHeight="1" s="4" customFormat="1">
      <c r="A1683" s="4">
        <v>1141</v>
      </c>
      <c r="B1683" s="4" t="s">
        <v>5534</v>
      </c>
      <c r="C1683" s="4" t="s">
        <v>5773</v>
      </c>
      <c r="D1683" s="4"/>
      <c r="E1683" s="4"/>
      <c r="F1683" s="4" t="s">
        <v>8076</v>
      </c>
      <c r="G1683" s="4" t="s">
        <v>5984</v>
      </c>
      <c r="H1683" s="4" t="s">
        <v>6018</v>
      </c>
      <c r="I1683" s="5">
        <v>43166</v>
      </c>
      <c r="J1683" s="4" t="s">
        <v>4798</v>
      </c>
      <c r="K1683" s="4" t="s">
        <v>57</v>
      </c>
      <c r="L1683" s="4"/>
      <c r="M1683" s="4"/>
    </row>
    <row r="1684" ht="16" customHeight="1" s="4" customFormat="1">
      <c r="A1684" s="4">
        <v>1142</v>
      </c>
      <c r="B1684" s="4" t="s">
        <v>5534</v>
      </c>
      <c r="C1684" s="4" t="s">
        <v>5773</v>
      </c>
      <c r="D1684" s="4"/>
      <c r="E1684" s="4"/>
      <c r="F1684" s="4" t="s">
        <v>8077</v>
      </c>
      <c r="G1684" s="4" t="s">
        <v>5984</v>
      </c>
      <c r="H1684" s="4" t="s">
        <v>6018</v>
      </c>
      <c r="I1684" s="5">
        <v>43166</v>
      </c>
      <c r="J1684" s="4" t="s">
        <v>4798</v>
      </c>
      <c r="K1684" s="4" t="s">
        <v>57</v>
      </c>
      <c r="L1684" s="4"/>
      <c r="M1684" s="4"/>
    </row>
    <row r="1685" ht="16" customHeight="1" s="4" customFormat="1">
      <c r="A1685" s="4">
        <v>1143</v>
      </c>
      <c r="B1685" s="4" t="s">
        <v>5534</v>
      </c>
      <c r="C1685" s="4" t="s">
        <v>5773</v>
      </c>
      <c r="D1685" s="4"/>
      <c r="E1685" s="4"/>
      <c r="F1685" s="4" t="s">
        <v>8078</v>
      </c>
      <c r="G1685" s="4" t="s">
        <v>5984</v>
      </c>
      <c r="H1685" s="4" t="s">
        <v>6018</v>
      </c>
      <c r="I1685" s="5">
        <v>43166</v>
      </c>
      <c r="J1685" s="4" t="s">
        <v>4798</v>
      </c>
      <c r="K1685" s="4" t="s">
        <v>57</v>
      </c>
      <c r="L1685" s="4"/>
      <c r="M1685" s="4"/>
    </row>
    <row r="1686" ht="16" customHeight="1" s="4" customFormat="1">
      <c r="A1686" s="4">
        <v>1144</v>
      </c>
      <c r="B1686" s="4" t="s">
        <v>5534</v>
      </c>
      <c r="C1686" s="4" t="s">
        <v>5773</v>
      </c>
      <c r="D1686" s="4"/>
      <c r="E1686" s="4"/>
      <c r="F1686" s="4" t="s">
        <v>8079</v>
      </c>
      <c r="G1686" s="4" t="s">
        <v>5984</v>
      </c>
      <c r="H1686" s="4"/>
      <c r="I1686" s="5">
        <v>43166</v>
      </c>
      <c r="J1686" s="4" t="s">
        <v>4798</v>
      </c>
      <c r="K1686" s="4" t="s">
        <v>57</v>
      </c>
      <c r="L1686" s="4"/>
      <c r="M1686" s="4"/>
    </row>
    <row r="1687" ht="16" customHeight="1" s="4" customFormat="1">
      <c r="A1687" s="4">
        <v>1145</v>
      </c>
      <c r="B1687" s="4" t="s">
        <v>5534</v>
      </c>
      <c r="C1687" s="4" t="s">
        <v>5773</v>
      </c>
      <c r="D1687" s="4"/>
      <c r="E1687" s="4"/>
      <c r="F1687" s="4" t="s">
        <v>8080</v>
      </c>
      <c r="G1687" s="4" t="s">
        <v>5984</v>
      </c>
      <c r="H1687" s="4" t="s">
        <v>6018</v>
      </c>
      <c r="I1687" s="5">
        <v>43166</v>
      </c>
      <c r="J1687" s="4" t="s">
        <v>4798</v>
      </c>
      <c r="K1687" s="4" t="s">
        <v>57</v>
      </c>
      <c r="L1687" s="4"/>
      <c r="M1687" s="4"/>
    </row>
    <row r="1688" ht="16" customHeight="1" s="4" customFormat="1">
      <c r="A1688" s="4">
        <v>1146</v>
      </c>
      <c r="B1688" s="4" t="s">
        <v>5534</v>
      </c>
      <c r="C1688" s="4" t="s">
        <v>5773</v>
      </c>
      <c r="D1688" s="4"/>
      <c r="E1688" s="4"/>
      <c r="F1688" s="4" t="s">
        <v>8081</v>
      </c>
      <c r="G1688" s="4" t="s">
        <v>5984</v>
      </c>
      <c r="H1688" s="4" t="s">
        <v>6018</v>
      </c>
      <c r="I1688" s="5">
        <v>43166</v>
      </c>
      <c r="J1688" s="4" t="s">
        <v>4798</v>
      </c>
      <c r="K1688" s="4" t="s">
        <v>57</v>
      </c>
      <c r="L1688" s="4"/>
      <c r="M1688" s="4"/>
    </row>
    <row r="1689" ht="16" customHeight="1" s="4" customFormat="1">
      <c r="A1689" s="4">
        <v>1147</v>
      </c>
      <c r="B1689" s="4" t="s">
        <v>5534</v>
      </c>
      <c r="C1689" s="4" t="s">
        <v>5773</v>
      </c>
      <c r="D1689" s="4"/>
      <c r="E1689" s="4"/>
      <c r="F1689" s="4" t="s">
        <v>8082</v>
      </c>
      <c r="G1689" s="4" t="s">
        <v>5984</v>
      </c>
      <c r="H1689" s="4" t="s">
        <v>6018</v>
      </c>
      <c r="I1689" s="5">
        <v>43166</v>
      </c>
      <c r="J1689" s="4" t="s">
        <v>4798</v>
      </c>
      <c r="K1689" s="4" t="s">
        <v>57</v>
      </c>
      <c r="L1689" s="4"/>
      <c r="M1689" s="4"/>
    </row>
    <row r="1690" ht="16" customHeight="1" s="4" customFormat="1">
      <c r="A1690" s="4">
        <v>1148</v>
      </c>
      <c r="B1690" s="4" t="s">
        <v>5534</v>
      </c>
      <c r="C1690" s="4" t="s">
        <v>5773</v>
      </c>
      <c r="D1690" s="4"/>
      <c r="E1690" s="4"/>
      <c r="F1690" s="4" t="s">
        <v>8083</v>
      </c>
      <c r="G1690" s="4" t="s">
        <v>5984</v>
      </c>
      <c r="H1690" s="4" t="s">
        <v>6018</v>
      </c>
      <c r="I1690" s="5">
        <v>43166</v>
      </c>
      <c r="J1690" s="4" t="s">
        <v>4798</v>
      </c>
      <c r="K1690" s="4" t="s">
        <v>57</v>
      </c>
      <c r="L1690" s="4"/>
      <c r="M1690" s="4"/>
    </row>
    <row r="1691" ht="16" customHeight="1" s="4" customFormat="1">
      <c r="A1691" s="4">
        <v>1149</v>
      </c>
      <c r="B1691" s="4" t="s">
        <v>5534</v>
      </c>
      <c r="C1691" s="4" t="s">
        <v>5773</v>
      </c>
      <c r="D1691" s="4"/>
      <c r="E1691" s="4"/>
      <c r="F1691" s="4" t="s">
        <v>8084</v>
      </c>
      <c r="G1691" s="4" t="s">
        <v>5984</v>
      </c>
      <c r="H1691" s="4" t="s">
        <v>6018</v>
      </c>
      <c r="I1691" s="5">
        <v>43166</v>
      </c>
      <c r="J1691" s="4" t="s">
        <v>4798</v>
      </c>
      <c r="K1691" s="4" t="s">
        <v>57</v>
      </c>
      <c r="L1691" s="4"/>
      <c r="M1691" s="4"/>
    </row>
    <row r="1692" ht="16" customHeight="1" s="4" customFormat="1">
      <c r="A1692" s="4">
        <v>1150</v>
      </c>
      <c r="B1692" s="4" t="s">
        <v>5534</v>
      </c>
      <c r="C1692" s="4" t="s">
        <v>5773</v>
      </c>
      <c r="D1692" s="4"/>
      <c r="E1692" s="4"/>
      <c r="F1692" s="4" t="s">
        <v>8085</v>
      </c>
      <c r="G1692" s="4" t="s">
        <v>5984</v>
      </c>
      <c r="H1692" s="4" t="s">
        <v>6018</v>
      </c>
      <c r="I1692" s="5">
        <v>43166</v>
      </c>
      <c r="J1692" s="4" t="s">
        <v>4798</v>
      </c>
      <c r="K1692" s="4" t="s">
        <v>57</v>
      </c>
      <c r="L1692" s="4"/>
      <c r="M1692" s="4"/>
    </row>
    <row r="1693" ht="16" customHeight="1" s="4" customFormat="1">
      <c r="A1693" s="4">
        <v>1151</v>
      </c>
      <c r="B1693" s="4" t="s">
        <v>5534</v>
      </c>
      <c r="C1693" s="4" t="s">
        <v>5773</v>
      </c>
      <c r="D1693" s="4"/>
      <c r="E1693" s="4"/>
      <c r="F1693" s="4" t="s">
        <v>8086</v>
      </c>
      <c r="G1693" s="4" t="s">
        <v>5984</v>
      </c>
      <c r="H1693" s="4" t="s">
        <v>6018</v>
      </c>
      <c r="I1693" s="5">
        <v>43166</v>
      </c>
      <c r="J1693" s="4" t="s">
        <v>4798</v>
      </c>
      <c r="K1693" s="4" t="s">
        <v>57</v>
      </c>
      <c r="L1693" s="4"/>
      <c r="M1693" s="4"/>
    </row>
    <row r="1694" ht="16" customHeight="1" s="4" customFormat="1">
      <c r="A1694" s="4">
        <v>1152</v>
      </c>
      <c r="B1694" s="4" t="s">
        <v>5694</v>
      </c>
      <c r="C1694" s="4" t="s">
        <v>5695</v>
      </c>
      <c r="D1694" s="4"/>
      <c r="E1694" s="4" t="s">
        <v>5696</v>
      </c>
      <c r="F1694" s="4" t="s">
        <v>8087</v>
      </c>
      <c r="G1694" s="4" t="s">
        <v>7607</v>
      </c>
      <c r="H1694" s="4" t="s">
        <v>8045</v>
      </c>
      <c r="I1694" s="5">
        <v>43158</v>
      </c>
      <c r="J1694" s="4" t="s">
        <v>5506</v>
      </c>
      <c r="K1694" s="4" t="s">
        <v>57</v>
      </c>
      <c r="L1694" s="4"/>
      <c r="M1694" s="4"/>
    </row>
    <row r="1695" ht="16" customHeight="1" s="4" customFormat="1">
      <c r="A1695" s="4">
        <v>1153</v>
      </c>
      <c r="B1695" s="4" t="s">
        <v>5694</v>
      </c>
      <c r="C1695" s="4" t="s">
        <v>5695</v>
      </c>
      <c r="D1695" s="4"/>
      <c r="E1695" s="4" t="s">
        <v>5696</v>
      </c>
      <c r="F1695" s="4" t="s">
        <v>8088</v>
      </c>
      <c r="G1695" s="4" t="s">
        <v>8031</v>
      </c>
      <c r="H1695" s="4" t="s">
        <v>5856</v>
      </c>
      <c r="I1695" s="5">
        <v>43152</v>
      </c>
      <c r="J1695" s="4" t="s">
        <v>5506</v>
      </c>
      <c r="K1695" s="4" t="s">
        <v>57</v>
      </c>
      <c r="L1695" s="4"/>
      <c r="M1695" s="4"/>
    </row>
    <row r="1696" ht="16" customHeight="1" s="4" customFormat="1">
      <c r="A1696" s="4">
        <v>1154</v>
      </c>
      <c r="B1696" s="4" t="s">
        <v>5499</v>
      </c>
      <c r="C1696" s="4" t="s">
        <v>5702</v>
      </c>
      <c r="D1696" s="4" t="s">
        <v>5574</v>
      </c>
      <c r="E1696" s="4" t="s">
        <v>5575</v>
      </c>
      <c r="F1696" s="4" t="s">
        <v>8089</v>
      </c>
      <c r="G1696" s="4" t="s">
        <v>6422</v>
      </c>
      <c r="H1696" s="4" t="s">
        <v>6425</v>
      </c>
      <c r="I1696" s="5">
        <v>43137</v>
      </c>
      <c r="J1696" s="4" t="s">
        <v>5506</v>
      </c>
      <c r="K1696" s="4" t="s">
        <v>57</v>
      </c>
      <c r="L1696" s="4"/>
      <c r="M1696" s="4"/>
    </row>
    <row r="1697" ht="16" customHeight="1" s="4" customFormat="1">
      <c r="A1697" s="4">
        <v>1155</v>
      </c>
      <c r="B1697" s="4" t="s">
        <v>5528</v>
      </c>
      <c r="C1697" s="4" t="s">
        <v>5529</v>
      </c>
      <c r="D1697" s="4"/>
      <c r="E1697" s="4" t="s">
        <v>6309</v>
      </c>
      <c r="F1697" s="4" t="s">
        <v>8090</v>
      </c>
      <c r="G1697" s="4" t="s">
        <v>6431</v>
      </c>
      <c r="H1697" s="4" t="s">
        <v>5533</v>
      </c>
      <c r="I1697" s="5">
        <v>43132</v>
      </c>
      <c r="J1697" s="4" t="s">
        <v>4798</v>
      </c>
      <c r="K1697" s="4" t="s">
        <v>57</v>
      </c>
      <c r="L1697" s="4"/>
      <c r="M1697" s="4"/>
    </row>
    <row r="1698" ht="16" customHeight="1" s="4" customFormat="1">
      <c r="A1698" s="4">
        <v>1156</v>
      </c>
      <c r="B1698" s="4" t="s">
        <v>5528</v>
      </c>
      <c r="C1698" s="4" t="s">
        <v>5529</v>
      </c>
      <c r="D1698" s="4"/>
      <c r="E1698" s="4" t="s">
        <v>6309</v>
      </c>
      <c r="F1698" s="4" t="s">
        <v>8091</v>
      </c>
      <c r="G1698" s="4" t="s">
        <v>6431</v>
      </c>
      <c r="H1698" s="4" t="s">
        <v>5533</v>
      </c>
      <c r="I1698" s="5">
        <v>43132</v>
      </c>
      <c r="J1698" s="4" t="s">
        <v>4798</v>
      </c>
      <c r="K1698" s="4" t="s">
        <v>57</v>
      </c>
      <c r="L1698" s="4"/>
      <c r="M1698" s="4"/>
    </row>
    <row r="1699" ht="16" customHeight="1" s="4" customFormat="1">
      <c r="A1699" s="4">
        <v>1157</v>
      </c>
      <c r="B1699" s="4" t="s">
        <v>5528</v>
      </c>
      <c r="C1699" s="4" t="s">
        <v>5529</v>
      </c>
      <c r="D1699" s="4"/>
      <c r="E1699" s="4" t="s">
        <v>6309</v>
      </c>
      <c r="F1699" s="4" t="s">
        <v>8092</v>
      </c>
      <c r="G1699" s="4" t="s">
        <v>6431</v>
      </c>
      <c r="H1699" s="4" t="s">
        <v>5533</v>
      </c>
      <c r="I1699" s="5">
        <v>43132</v>
      </c>
      <c r="J1699" s="4" t="s">
        <v>4798</v>
      </c>
      <c r="K1699" s="4" t="s">
        <v>57</v>
      </c>
      <c r="L1699" s="4"/>
      <c r="M1699" s="4"/>
    </row>
    <row r="1700" ht="16" customHeight="1" s="4" customFormat="1">
      <c r="A1700" s="4">
        <v>1158</v>
      </c>
      <c r="B1700" s="4" t="s">
        <v>5528</v>
      </c>
      <c r="C1700" s="4" t="s">
        <v>5529</v>
      </c>
      <c r="D1700" s="4"/>
      <c r="E1700" s="4" t="s">
        <v>6309</v>
      </c>
      <c r="F1700" s="4" t="s">
        <v>8093</v>
      </c>
      <c r="G1700" s="4" t="s">
        <v>6431</v>
      </c>
      <c r="H1700" s="4" t="s">
        <v>5533</v>
      </c>
      <c r="I1700" s="5">
        <v>43132</v>
      </c>
      <c r="J1700" s="4" t="s">
        <v>4798</v>
      </c>
      <c r="K1700" s="4" t="s">
        <v>57</v>
      </c>
      <c r="L1700" s="4"/>
      <c r="M1700" s="4"/>
    </row>
    <row r="1701" ht="16" customHeight="1" s="4" customFormat="1">
      <c r="A1701" s="4">
        <v>1159</v>
      </c>
      <c r="B1701" s="4" t="s">
        <v>5528</v>
      </c>
      <c r="C1701" s="4" t="s">
        <v>5529</v>
      </c>
      <c r="D1701" s="4"/>
      <c r="E1701" s="4" t="s">
        <v>6309</v>
      </c>
      <c r="F1701" s="4" t="s">
        <v>8094</v>
      </c>
      <c r="G1701" s="4" t="s">
        <v>6431</v>
      </c>
      <c r="H1701" s="4" t="s">
        <v>5533</v>
      </c>
      <c r="I1701" s="5">
        <v>43132</v>
      </c>
      <c r="J1701" s="4" t="s">
        <v>4798</v>
      </c>
      <c r="K1701" s="4" t="s">
        <v>57</v>
      </c>
      <c r="L1701" s="4"/>
      <c r="M1701" s="4"/>
    </row>
    <row r="1702" ht="16" customHeight="1" s="4" customFormat="1">
      <c r="A1702" s="4">
        <v>1160</v>
      </c>
      <c r="B1702" s="4" t="s">
        <v>5528</v>
      </c>
      <c r="C1702" s="4" t="s">
        <v>5529</v>
      </c>
      <c r="D1702" s="4"/>
      <c r="E1702" s="4" t="s">
        <v>6309</v>
      </c>
      <c r="F1702" s="4" t="s">
        <v>8095</v>
      </c>
      <c r="G1702" s="4" t="s">
        <v>6431</v>
      </c>
      <c r="H1702" s="4" t="s">
        <v>5533</v>
      </c>
      <c r="I1702" s="5">
        <v>43132</v>
      </c>
      <c r="J1702" s="4" t="s">
        <v>4798</v>
      </c>
      <c r="K1702" s="4" t="s">
        <v>57</v>
      </c>
      <c r="L1702" s="4"/>
      <c r="M1702" s="4"/>
    </row>
    <row r="1703" ht="16" customHeight="1" s="4" customFormat="1">
      <c r="A1703" s="4">
        <v>1161</v>
      </c>
      <c r="B1703" s="4" t="s">
        <v>5528</v>
      </c>
      <c r="C1703" s="4" t="s">
        <v>5529</v>
      </c>
      <c r="D1703" s="4"/>
      <c r="E1703" s="4" t="s">
        <v>6309</v>
      </c>
      <c r="F1703" s="4" t="s">
        <v>8096</v>
      </c>
      <c r="G1703" s="4" t="s">
        <v>6431</v>
      </c>
      <c r="H1703" s="4" t="s">
        <v>5533</v>
      </c>
      <c r="I1703" s="5">
        <v>43132</v>
      </c>
      <c r="J1703" s="4" t="s">
        <v>4798</v>
      </c>
      <c r="K1703" s="4" t="s">
        <v>57</v>
      </c>
      <c r="L1703" s="4"/>
      <c r="M1703" s="4"/>
    </row>
    <row r="1704" ht="16" customHeight="1" s="4" customFormat="1">
      <c r="A1704" s="4">
        <v>1162</v>
      </c>
      <c r="B1704" s="4" t="s">
        <v>5528</v>
      </c>
      <c r="C1704" s="4" t="s">
        <v>5529</v>
      </c>
      <c r="D1704" s="4"/>
      <c r="E1704" s="4" t="s">
        <v>6309</v>
      </c>
      <c r="F1704" s="4" t="s">
        <v>8097</v>
      </c>
      <c r="G1704" s="4" t="s">
        <v>6431</v>
      </c>
      <c r="H1704" s="4" t="s">
        <v>5533</v>
      </c>
      <c r="I1704" s="5">
        <v>43132</v>
      </c>
      <c r="J1704" s="4" t="s">
        <v>4798</v>
      </c>
      <c r="K1704" s="4" t="s">
        <v>57</v>
      </c>
      <c r="L1704" s="4"/>
      <c r="M1704" s="4"/>
    </row>
    <row r="1705" ht="16" customHeight="1" s="4" customFormat="1">
      <c r="A1705" s="4">
        <v>1163</v>
      </c>
      <c r="B1705" s="4" t="s">
        <v>5499</v>
      </c>
      <c r="C1705" s="4" t="s">
        <v>5500</v>
      </c>
      <c r="D1705" s="4"/>
      <c r="E1705" s="4"/>
      <c r="F1705" s="4" t="s">
        <v>8098</v>
      </c>
      <c r="G1705" s="4" t="s">
        <v>5511</v>
      </c>
      <c r="H1705" s="4" t="s">
        <v>8099</v>
      </c>
      <c r="I1705" s="5">
        <v>43129</v>
      </c>
      <c r="J1705" s="4" t="s">
        <v>4842</v>
      </c>
      <c r="K1705" s="4" t="s">
        <v>57</v>
      </c>
      <c r="L1705" s="4"/>
      <c r="M1705" s="4"/>
    </row>
    <row r="1706" ht="16" customHeight="1" s="4" customFormat="1">
      <c r="A1706" s="4">
        <v>1164</v>
      </c>
      <c r="B1706" s="4" t="s">
        <v>5499</v>
      </c>
      <c r="C1706" s="4" t="s">
        <v>5500</v>
      </c>
      <c r="D1706" s="4"/>
      <c r="E1706" s="4"/>
      <c r="F1706" s="4" t="s">
        <v>8100</v>
      </c>
      <c r="G1706" s="4" t="s">
        <v>5983</v>
      </c>
      <c r="H1706" s="4" t="s">
        <v>5984</v>
      </c>
      <c r="I1706" s="5">
        <v>43129</v>
      </c>
      <c r="J1706" s="4" t="s">
        <v>4842</v>
      </c>
      <c r="K1706" s="4" t="s">
        <v>57</v>
      </c>
      <c r="L1706" s="4"/>
      <c r="M1706" s="4"/>
    </row>
    <row r="1707" ht="16" customHeight="1" s="4" customFormat="1">
      <c r="A1707" s="4">
        <v>1165</v>
      </c>
      <c r="B1707" s="4" t="s">
        <v>5499</v>
      </c>
      <c r="C1707" s="4" t="s">
        <v>5500</v>
      </c>
      <c r="D1707" s="4"/>
      <c r="E1707" s="4"/>
      <c r="F1707" s="4" t="s">
        <v>8101</v>
      </c>
      <c r="G1707" s="4" t="s">
        <v>5511</v>
      </c>
      <c r="H1707" s="4" t="s">
        <v>6000</v>
      </c>
      <c r="I1707" s="5">
        <v>43129</v>
      </c>
      <c r="J1707" s="4" t="s">
        <v>4842</v>
      </c>
      <c r="K1707" s="4" t="s">
        <v>57</v>
      </c>
      <c r="L1707" s="4"/>
      <c r="M1707" s="4"/>
    </row>
    <row r="1708" ht="16" customHeight="1" s="4" customFormat="1">
      <c r="A1708" s="4">
        <v>1166</v>
      </c>
      <c r="B1708" s="4" t="s">
        <v>5694</v>
      </c>
      <c r="C1708" s="4" t="s">
        <v>5695</v>
      </c>
      <c r="D1708" s="4"/>
      <c r="E1708" s="4" t="s">
        <v>5696</v>
      </c>
      <c r="F1708" s="4" t="s">
        <v>8102</v>
      </c>
      <c r="G1708" s="4" t="s">
        <v>5712</v>
      </c>
      <c r="H1708" s="4" t="s">
        <v>8103</v>
      </c>
      <c r="I1708" s="5">
        <v>43125</v>
      </c>
      <c r="J1708" s="4" t="s">
        <v>5506</v>
      </c>
      <c r="K1708" s="4" t="s">
        <v>57</v>
      </c>
      <c r="L1708" s="4"/>
      <c r="M1708" s="4"/>
    </row>
    <row r="1709" ht="16" customHeight="1" s="4" customFormat="1">
      <c r="A1709" s="4">
        <v>1167</v>
      </c>
      <c r="B1709" s="4" t="s">
        <v>5600</v>
      </c>
      <c r="C1709" s="4" t="s">
        <v>5600</v>
      </c>
      <c r="D1709" s="4" t="s">
        <v>5514</v>
      </c>
      <c r="E1709" s="4" t="s">
        <v>5515</v>
      </c>
      <c r="F1709" s="4" t="s">
        <v>8104</v>
      </c>
      <c r="G1709" s="4" t="s">
        <v>8105</v>
      </c>
      <c r="H1709" s="4" t="s">
        <v>7607</v>
      </c>
      <c r="I1709" s="5">
        <v>43124</v>
      </c>
      <c r="J1709" s="4" t="s">
        <v>4798</v>
      </c>
      <c r="K1709" s="4" t="s">
        <v>57</v>
      </c>
      <c r="L1709" s="4"/>
      <c r="M1709" s="4"/>
    </row>
    <row r="1710" ht="16" customHeight="1" s="4" customFormat="1">
      <c r="A1710" s="4">
        <v>1168</v>
      </c>
      <c r="B1710" s="4" t="s">
        <v>5600</v>
      </c>
      <c r="C1710" s="4" t="s">
        <v>5600</v>
      </c>
      <c r="D1710" s="4" t="s">
        <v>5574</v>
      </c>
      <c r="E1710" s="4" t="s">
        <v>7803</v>
      </c>
      <c r="F1710" s="4" t="s">
        <v>8106</v>
      </c>
      <c r="G1710" s="4" t="s">
        <v>8105</v>
      </c>
      <c r="H1710" s="4" t="s">
        <v>7607</v>
      </c>
      <c r="I1710" s="5">
        <v>43124</v>
      </c>
      <c r="J1710" s="4" t="s">
        <v>4798</v>
      </c>
      <c r="K1710" s="4" t="s">
        <v>57</v>
      </c>
      <c r="L1710" s="4"/>
      <c r="M1710" s="4"/>
    </row>
    <row r="1711" ht="16" customHeight="1" s="4" customFormat="1">
      <c r="A1711" s="4">
        <v>1169</v>
      </c>
      <c r="B1711" s="4" t="s">
        <v>5534</v>
      </c>
      <c r="C1711" s="4" t="s">
        <v>7593</v>
      </c>
      <c r="D1711" s="4"/>
      <c r="E1711" s="4"/>
      <c r="F1711" s="4" t="s">
        <v>8107</v>
      </c>
      <c r="G1711" s="4" t="s">
        <v>5064</v>
      </c>
      <c r="H1711" s="4" t="s">
        <v>10</v>
      </c>
      <c r="I1711" s="5">
        <v>43124</v>
      </c>
      <c r="J1711" s="4" t="s">
        <v>5506</v>
      </c>
      <c r="K1711" s="4" t="s">
        <v>57</v>
      </c>
      <c r="L1711" s="4"/>
      <c r="M1711" s="4"/>
    </row>
    <row r="1712" ht="16" customHeight="1" s="4" customFormat="1">
      <c r="A1712" s="4">
        <v>1170</v>
      </c>
      <c r="B1712" s="4" t="s">
        <v>5499</v>
      </c>
      <c r="C1712" s="4" t="s">
        <v>5590</v>
      </c>
      <c r="D1712" s="4" t="s">
        <v>5501</v>
      </c>
      <c r="E1712" s="4" t="s">
        <v>5502</v>
      </c>
      <c r="F1712" s="4" t="s">
        <v>8108</v>
      </c>
      <c r="G1712" s="4" t="s">
        <v>8109</v>
      </c>
      <c r="H1712" s="4" t="s">
        <v>8110</v>
      </c>
      <c r="I1712" s="5">
        <v>43124</v>
      </c>
      <c r="J1712" s="4" t="s">
        <v>4798</v>
      </c>
      <c r="K1712" s="4" t="s">
        <v>57</v>
      </c>
      <c r="L1712" s="4"/>
      <c r="M1712" s="4"/>
    </row>
    <row r="1713" ht="16" customHeight="1" s="4" customFormat="1">
      <c r="A1713" s="4">
        <v>1171</v>
      </c>
      <c r="B1713" s="4" t="s">
        <v>5499</v>
      </c>
      <c r="C1713" s="4" t="s">
        <v>5702</v>
      </c>
      <c r="D1713" s="4" t="s">
        <v>5574</v>
      </c>
      <c r="E1713" s="4" t="s">
        <v>5575</v>
      </c>
      <c r="F1713" s="4" t="s">
        <v>8111</v>
      </c>
      <c r="G1713" s="4" t="s">
        <v>5704</v>
      </c>
      <c r="H1713" s="4" t="s">
        <v>6425</v>
      </c>
      <c r="I1713" s="5">
        <v>43124</v>
      </c>
      <c r="J1713" s="4" t="s">
        <v>4798</v>
      </c>
      <c r="K1713" s="4" t="s">
        <v>57</v>
      </c>
      <c r="L1713" s="4"/>
      <c r="M1713" s="4"/>
    </row>
    <row r="1714" ht="16" customHeight="1" s="4" customFormat="1">
      <c r="A1714" s="4">
        <v>1172</v>
      </c>
      <c r="B1714" s="4" t="s">
        <v>5499</v>
      </c>
      <c r="C1714" s="4" t="s">
        <v>5573</v>
      </c>
      <c r="D1714" s="4" t="s">
        <v>5574</v>
      </c>
      <c r="E1714" s="4" t="s">
        <v>5575</v>
      </c>
      <c r="F1714" s="4" t="s">
        <v>8112</v>
      </c>
      <c r="G1714" s="4" t="s">
        <v>8113</v>
      </c>
      <c r="H1714" s="4" t="s">
        <v>5588</v>
      </c>
      <c r="I1714" s="5">
        <v>43112</v>
      </c>
      <c r="J1714" s="4" t="s">
        <v>4798</v>
      </c>
      <c r="K1714" s="4" t="s">
        <v>57</v>
      </c>
      <c r="L1714" s="4"/>
      <c r="M1714" s="4"/>
    </row>
    <row r="1715" ht="16" customHeight="1" s="4" customFormat="1">
      <c r="A1715" s="4">
        <v>1173</v>
      </c>
      <c r="B1715" s="4" t="s">
        <v>5528</v>
      </c>
      <c r="C1715" s="4" t="s">
        <v>5529</v>
      </c>
      <c r="D1715" s="4"/>
      <c r="E1715" s="4" t="s">
        <v>8114</v>
      </c>
      <c r="F1715" s="4" t="s">
        <v>8115</v>
      </c>
      <c r="G1715" s="4" t="s">
        <v>8116</v>
      </c>
      <c r="H1715" s="4" t="s">
        <v>8117</v>
      </c>
      <c r="I1715" s="5">
        <v>43111</v>
      </c>
      <c r="J1715" s="4" t="s">
        <v>4798</v>
      </c>
      <c r="K1715" s="4" t="s">
        <v>57</v>
      </c>
      <c r="L1715" s="4"/>
      <c r="M1715" s="4"/>
    </row>
    <row r="1716" ht="16" customHeight="1" s="4" customFormat="1">
      <c r="A1716" s="4">
        <v>1174</v>
      </c>
      <c r="B1716" s="4" t="s">
        <v>5499</v>
      </c>
      <c r="C1716" s="4" t="s">
        <v>5519</v>
      </c>
      <c r="D1716" s="4"/>
      <c r="E1716" s="4" t="s">
        <v>5524</v>
      </c>
      <c r="F1716" s="4" t="s">
        <v>8118</v>
      </c>
      <c r="G1716" s="4" t="s">
        <v>8119</v>
      </c>
      <c r="H1716" s="4" t="s">
        <v>7910</v>
      </c>
      <c r="I1716" s="5">
        <v>43109</v>
      </c>
      <c r="J1716" s="4" t="s">
        <v>4842</v>
      </c>
      <c r="K1716" s="4" t="s">
        <v>57</v>
      </c>
      <c r="L1716" s="4"/>
      <c r="M1716" s="4"/>
    </row>
    <row r="1717" ht="16" customHeight="1" s="4" customFormat="1">
      <c r="A1717" s="4">
        <v>1175</v>
      </c>
      <c r="B1717" s="4" t="s">
        <v>5499</v>
      </c>
      <c r="C1717" s="4" t="s">
        <v>5509</v>
      </c>
      <c r="D1717" s="4"/>
      <c r="E1717" s="4"/>
      <c r="F1717" s="4" t="s">
        <v>8120</v>
      </c>
      <c r="G1717" s="4" t="s">
        <v>5771</v>
      </c>
      <c r="H1717" s="4" t="s">
        <v>8121</v>
      </c>
      <c r="I1717" s="5">
        <v>43103</v>
      </c>
      <c r="J1717" s="4" t="s">
        <v>4798</v>
      </c>
      <c r="K1717" s="4" t="s">
        <v>57</v>
      </c>
      <c r="L1717" s="4"/>
      <c r="M1717" s="4"/>
    </row>
    <row r="1718" ht="16" customHeight="1" s="4" customFormat="1">
      <c r="A1718" s="4">
        <v>1176</v>
      </c>
      <c r="B1718" s="4" t="s">
        <v>5534</v>
      </c>
      <c r="C1718" s="4" t="s">
        <v>5773</v>
      </c>
      <c r="D1718" s="4"/>
      <c r="E1718" s="4"/>
      <c r="F1718" s="4" t="s">
        <v>8122</v>
      </c>
      <c r="G1718" s="4" t="s">
        <v>10</v>
      </c>
      <c r="H1718" s="4" t="s">
        <v>5831</v>
      </c>
      <c r="I1718" s="5">
        <v>43098</v>
      </c>
      <c r="J1718" s="4" t="s">
        <v>4798</v>
      </c>
      <c r="K1718" s="4" t="s">
        <v>57</v>
      </c>
      <c r="L1718" s="4"/>
      <c r="M1718" s="4"/>
    </row>
    <row r="1719" ht="16" customHeight="1" s="4" customFormat="1">
      <c r="A1719" s="4">
        <v>1177</v>
      </c>
      <c r="B1719" s="4" t="s">
        <v>5499</v>
      </c>
      <c r="C1719" s="4" t="s">
        <v>5714</v>
      </c>
      <c r="D1719" s="4" t="s">
        <v>5574</v>
      </c>
      <c r="E1719" s="4" t="s">
        <v>5575</v>
      </c>
      <c r="F1719" s="4" t="s">
        <v>8123</v>
      </c>
      <c r="G1719" s="4" t="s">
        <v>8124</v>
      </c>
      <c r="H1719" s="4" t="s">
        <v>6231</v>
      </c>
      <c r="I1719" s="5">
        <v>43084</v>
      </c>
      <c r="J1719" s="4" t="s">
        <v>4842</v>
      </c>
      <c r="K1719" s="4" t="s">
        <v>57</v>
      </c>
      <c r="L1719" s="4"/>
      <c r="M1719" s="4"/>
    </row>
    <row r="1720" ht="16" customHeight="1" s="4" customFormat="1">
      <c r="A1720" s="4">
        <v>1178</v>
      </c>
      <c r="B1720" s="4" t="s">
        <v>5534</v>
      </c>
      <c r="C1720" s="4" t="s">
        <v>5631</v>
      </c>
      <c r="D1720" s="4"/>
      <c r="E1720" s="4"/>
      <c r="F1720" s="4" t="s">
        <v>8125</v>
      </c>
      <c r="G1720" s="4" t="s">
        <v>8126</v>
      </c>
      <c r="H1720" s="4" t="s">
        <v>8127</v>
      </c>
      <c r="I1720" s="5">
        <v>43077</v>
      </c>
      <c r="J1720" s="4" t="s">
        <v>4842</v>
      </c>
      <c r="K1720" s="4" t="s">
        <v>57</v>
      </c>
      <c r="L1720" s="4"/>
      <c r="M1720" s="4"/>
    </row>
    <row r="1721" ht="16" customHeight="1" s="4" customFormat="1">
      <c r="A1721" s="4">
        <v>1179</v>
      </c>
      <c r="B1721" s="4" t="s">
        <v>5534</v>
      </c>
      <c r="C1721" s="4" t="s">
        <v>5631</v>
      </c>
      <c r="D1721" s="4"/>
      <c r="E1721" s="4"/>
      <c r="F1721" s="4" t="s">
        <v>8128</v>
      </c>
      <c r="G1721" s="4" t="s">
        <v>8129</v>
      </c>
      <c r="H1721" s="4" t="s">
        <v>8130</v>
      </c>
      <c r="I1721" s="5">
        <v>43073</v>
      </c>
      <c r="J1721" s="4" t="s">
        <v>4798</v>
      </c>
      <c r="K1721" s="4" t="s">
        <v>57</v>
      </c>
      <c r="L1721" s="4"/>
      <c r="M1721" s="4"/>
    </row>
    <row r="1722" ht="16" customHeight="1" s="4" customFormat="1">
      <c r="A1722" s="4">
        <v>1180</v>
      </c>
      <c r="B1722" s="4" t="s">
        <v>5534</v>
      </c>
      <c r="C1722" s="4" t="s">
        <v>6300</v>
      </c>
      <c r="D1722" s="4"/>
      <c r="E1722" s="4"/>
      <c r="F1722" s="4" t="s">
        <v>8131</v>
      </c>
      <c r="G1722" s="4" t="s">
        <v>6303</v>
      </c>
      <c r="H1722" s="4" t="s">
        <v>6306</v>
      </c>
      <c r="I1722" s="5">
        <v>43068</v>
      </c>
      <c r="J1722" s="4" t="s">
        <v>4798</v>
      </c>
      <c r="K1722" s="4" t="s">
        <v>57</v>
      </c>
      <c r="L1722" s="4"/>
      <c r="M1722" s="4"/>
    </row>
    <row r="1723" ht="16" customHeight="1" s="4" customFormat="1">
      <c r="A1723" s="4">
        <v>1181</v>
      </c>
      <c r="B1723" s="4" t="s">
        <v>5534</v>
      </c>
      <c r="C1723" s="4" t="s">
        <v>6300</v>
      </c>
      <c r="D1723" s="4"/>
      <c r="E1723" s="4"/>
      <c r="F1723" s="4" t="s">
        <v>8132</v>
      </c>
      <c r="G1723" s="4" t="s">
        <v>6303</v>
      </c>
      <c r="H1723" s="4" t="s">
        <v>8133</v>
      </c>
      <c r="I1723" s="5">
        <v>43068</v>
      </c>
      <c r="J1723" s="4" t="s">
        <v>4798</v>
      </c>
      <c r="K1723" s="4" t="s">
        <v>57</v>
      </c>
      <c r="L1723" s="4"/>
      <c r="M1723" s="4"/>
    </row>
    <row r="1724" ht="16" customHeight="1" s="4" customFormat="1">
      <c r="A1724" s="4">
        <v>1182</v>
      </c>
      <c r="B1724" s="4" t="s">
        <v>5694</v>
      </c>
      <c r="C1724" s="4" t="s">
        <v>5695</v>
      </c>
      <c r="D1724" s="4"/>
      <c r="E1724" s="4" t="s">
        <v>5696</v>
      </c>
      <c r="F1724" s="4" t="s">
        <v>8134</v>
      </c>
      <c r="G1724" s="4" t="s">
        <v>5712</v>
      </c>
      <c r="H1724" s="4" t="s">
        <v>5856</v>
      </c>
      <c r="I1724" s="5">
        <v>43061</v>
      </c>
      <c r="J1724" s="4" t="s">
        <v>5506</v>
      </c>
      <c r="K1724" s="4" t="s">
        <v>57</v>
      </c>
      <c r="L1724" s="4"/>
      <c r="M1724" s="4"/>
    </row>
    <row r="1725" ht="16" customHeight="1" s="4" customFormat="1">
      <c r="A1725" s="4">
        <v>1767</v>
      </c>
      <c r="B1725" s="4" t="s">
        <v>5694</v>
      </c>
      <c r="C1725" s="4" t="s">
        <v>5695</v>
      </c>
      <c r="D1725" s="4" t="s">
        <v>5985</v>
      </c>
      <c r="E1725" s="4" t="s">
        <v>5986</v>
      </c>
      <c r="F1725" s="4" t="s">
        <v>8135</v>
      </c>
      <c r="G1725" s="4" t="s">
        <v>8136</v>
      </c>
      <c r="H1725" s="4" t="s">
        <v>8137</v>
      </c>
      <c r="I1725" s="5">
        <v>42115</v>
      </c>
      <c r="J1725" s="4" t="s">
        <v>5506</v>
      </c>
      <c r="K1725" s="4" t="s">
        <v>57</v>
      </c>
      <c r="L1725" s="4"/>
      <c r="M1725" s="4"/>
    </row>
    <row r="1726" ht="16" customHeight="1" s="4" customFormat="1">
      <c r="A1726" s="4">
        <v>1768</v>
      </c>
      <c r="B1726" s="4" t="s">
        <v>5534</v>
      </c>
      <c r="C1726" s="4" t="s">
        <v>5773</v>
      </c>
      <c r="D1726" s="4"/>
      <c r="E1726" s="4"/>
      <c r="F1726" s="4" t="s">
        <v>8138</v>
      </c>
      <c r="G1726" s="4" t="s">
        <v>5675</v>
      </c>
      <c r="H1726" s="4" t="s">
        <v>6366</v>
      </c>
      <c r="I1726" s="5">
        <v>42115</v>
      </c>
      <c r="J1726" s="4" t="s">
        <v>4798</v>
      </c>
      <c r="K1726" s="4" t="s">
        <v>57</v>
      </c>
      <c r="L1726" s="4"/>
      <c r="M1726" s="4"/>
    </row>
    <row r="1727" ht="16" customHeight="1" s="4" customFormat="1">
      <c r="A1727" s="4">
        <v>1769</v>
      </c>
      <c r="B1727" s="4" t="s">
        <v>5499</v>
      </c>
      <c r="C1727" s="4" t="s">
        <v>5519</v>
      </c>
      <c r="D1727" s="4"/>
      <c r="E1727" s="4" t="s">
        <v>5584</v>
      </c>
      <c r="F1727" s="4" t="s">
        <v>8139</v>
      </c>
      <c r="G1727" s="4" t="s">
        <v>8140</v>
      </c>
      <c r="H1727" s="4" t="s">
        <v>8141</v>
      </c>
      <c r="I1727" s="5">
        <v>42112</v>
      </c>
      <c r="J1727" s="4" t="s">
        <v>4798</v>
      </c>
      <c r="K1727" s="4" t="s">
        <v>57</v>
      </c>
      <c r="L1727" s="4"/>
      <c r="M1727" s="4"/>
    </row>
    <row r="1728" ht="16" customHeight="1" s="4" customFormat="1">
      <c r="A1728" s="4">
        <v>1770</v>
      </c>
      <c r="B1728" s="4" t="s">
        <v>5499</v>
      </c>
      <c r="C1728" s="4" t="s">
        <v>5519</v>
      </c>
      <c r="D1728" s="4"/>
      <c r="E1728" s="4" t="s">
        <v>6188</v>
      </c>
      <c r="F1728" s="4" t="s">
        <v>8142</v>
      </c>
      <c r="G1728" s="4" t="s">
        <v>8143</v>
      </c>
      <c r="H1728" s="4" t="s">
        <v>8143</v>
      </c>
      <c r="I1728" s="5">
        <v>42112</v>
      </c>
      <c r="J1728" s="4" t="s">
        <v>4798</v>
      </c>
      <c r="K1728" s="4" t="s">
        <v>57</v>
      </c>
      <c r="L1728" s="4"/>
      <c r="M1728" s="4"/>
    </row>
    <row r="1729" ht="16" customHeight="1" s="4" customFormat="1">
      <c r="A1729" s="4">
        <v>1771</v>
      </c>
      <c r="B1729" s="4" t="s">
        <v>5499</v>
      </c>
      <c r="C1729" s="4" t="s">
        <v>5519</v>
      </c>
      <c r="D1729" s="4"/>
      <c r="E1729" s="4" t="s">
        <v>6188</v>
      </c>
      <c r="F1729" s="4" t="s">
        <v>8144</v>
      </c>
      <c r="G1729" s="4" t="s">
        <v>8140</v>
      </c>
      <c r="H1729" s="4" t="s">
        <v>8140</v>
      </c>
      <c r="I1729" s="5">
        <v>42112</v>
      </c>
      <c r="J1729" s="4" t="s">
        <v>4798</v>
      </c>
      <c r="K1729" s="4" t="s">
        <v>57</v>
      </c>
      <c r="L1729" s="4"/>
      <c r="M1729" s="4"/>
    </row>
    <row r="1730" ht="16" customHeight="1" s="4" customFormat="1">
      <c r="A1730" s="4">
        <v>1772</v>
      </c>
      <c r="B1730" s="4" t="s">
        <v>5499</v>
      </c>
      <c r="C1730" s="4" t="s">
        <v>5519</v>
      </c>
      <c r="D1730" s="4"/>
      <c r="E1730" s="4" t="s">
        <v>6188</v>
      </c>
      <c r="F1730" s="4" t="s">
        <v>8145</v>
      </c>
      <c r="G1730" s="4" t="s">
        <v>8143</v>
      </c>
      <c r="H1730" s="4" t="s">
        <v>8143</v>
      </c>
      <c r="I1730" s="5">
        <v>42112</v>
      </c>
      <c r="J1730" s="4" t="s">
        <v>4798</v>
      </c>
      <c r="K1730" s="4" t="s">
        <v>57</v>
      </c>
      <c r="L1730" s="4"/>
      <c r="M1730" s="4"/>
    </row>
    <row r="1731" ht="16" customHeight="1" s="4" customFormat="1">
      <c r="A1731" s="4">
        <v>1773</v>
      </c>
      <c r="B1731" s="4" t="s">
        <v>5499</v>
      </c>
      <c r="C1731" s="4" t="s">
        <v>5702</v>
      </c>
      <c r="D1731" s="4" t="s">
        <v>5574</v>
      </c>
      <c r="E1731" s="4" t="s">
        <v>5575</v>
      </c>
      <c r="F1731" s="4" t="s">
        <v>8146</v>
      </c>
      <c r="G1731" s="4" t="s">
        <v>5726</v>
      </c>
      <c r="H1731" s="4" t="s">
        <v>8147</v>
      </c>
      <c r="I1731" s="5">
        <v>42111</v>
      </c>
      <c r="J1731" s="4" t="s">
        <v>4798</v>
      </c>
      <c r="K1731" s="4" t="s">
        <v>57</v>
      </c>
      <c r="L1731" s="4"/>
      <c r="M1731" s="4"/>
    </row>
    <row r="1732" ht="16" customHeight="1" s="4" customFormat="1">
      <c r="A1732" s="4">
        <v>1774</v>
      </c>
      <c r="B1732" s="4" t="s">
        <v>5499</v>
      </c>
      <c r="C1732" s="4" t="s">
        <v>5590</v>
      </c>
      <c r="D1732" s="4" t="s">
        <v>5574</v>
      </c>
      <c r="E1732" s="4" t="s">
        <v>5575</v>
      </c>
      <c r="F1732" s="4" t="s">
        <v>8148</v>
      </c>
      <c r="G1732" s="4" t="s">
        <v>6344</v>
      </c>
      <c r="H1732" s="4" t="s">
        <v>8149</v>
      </c>
      <c r="I1732" s="5">
        <v>42109</v>
      </c>
      <c r="J1732" s="4" t="s">
        <v>4798</v>
      </c>
      <c r="K1732" s="4" t="s">
        <v>57</v>
      </c>
      <c r="L1732" s="4"/>
      <c r="M1732" s="4"/>
    </row>
    <row r="1733" ht="16" customHeight="1" s="4" customFormat="1">
      <c r="A1733" s="4">
        <v>1775</v>
      </c>
      <c r="B1733" s="4" t="s">
        <v>5499</v>
      </c>
      <c r="C1733" s="4" t="s">
        <v>5590</v>
      </c>
      <c r="D1733" s="4" t="s">
        <v>5574</v>
      </c>
      <c r="E1733" s="4" t="s">
        <v>5575</v>
      </c>
      <c r="F1733" s="4" t="s">
        <v>8150</v>
      </c>
      <c r="G1733" s="4" t="s">
        <v>7084</v>
      </c>
      <c r="H1733" s="4" t="s">
        <v>8151</v>
      </c>
      <c r="I1733" s="5">
        <v>42109</v>
      </c>
      <c r="J1733" s="4" t="s">
        <v>4798</v>
      </c>
      <c r="K1733" s="4" t="s">
        <v>57</v>
      </c>
      <c r="L1733" s="4"/>
      <c r="M1733" s="4"/>
    </row>
    <row r="1734" ht="16" customHeight="1" s="4" customFormat="1">
      <c r="A1734" s="4">
        <v>1776</v>
      </c>
      <c r="B1734" s="4" t="s">
        <v>5534</v>
      </c>
      <c r="C1734" s="4" t="s">
        <v>5773</v>
      </c>
      <c r="D1734" s="4"/>
      <c r="E1734" s="4"/>
      <c r="F1734" s="4" t="s">
        <v>8152</v>
      </c>
      <c r="G1734" s="4" t="s">
        <v>5675</v>
      </c>
      <c r="H1734" s="4" t="s">
        <v>8153</v>
      </c>
      <c r="I1734" s="5">
        <v>42107</v>
      </c>
      <c r="J1734" s="4" t="s">
        <v>4842</v>
      </c>
      <c r="K1734" s="4" t="s">
        <v>57</v>
      </c>
      <c r="L1734" s="4"/>
      <c r="M1734" s="4"/>
    </row>
    <row r="1735" ht="16" customHeight="1" s="4" customFormat="1">
      <c r="A1735" s="4">
        <v>1777</v>
      </c>
      <c r="B1735" s="4" t="s">
        <v>5499</v>
      </c>
      <c r="C1735" s="4" t="s">
        <v>5702</v>
      </c>
      <c r="D1735" s="4" t="s">
        <v>5574</v>
      </c>
      <c r="E1735" s="4" t="s">
        <v>5575</v>
      </c>
      <c r="F1735" s="4" t="s">
        <v>8154</v>
      </c>
      <c r="G1735" s="4" t="s">
        <v>8155</v>
      </c>
      <c r="H1735" s="4" t="s">
        <v>8156</v>
      </c>
      <c r="I1735" s="5">
        <v>42097</v>
      </c>
      <c r="J1735" s="4" t="s">
        <v>5506</v>
      </c>
      <c r="K1735" s="4" t="s">
        <v>57</v>
      </c>
      <c r="L1735" s="4"/>
      <c r="M1735" s="4"/>
    </row>
    <row r="1736" ht="16" customHeight="1" s="4" customFormat="1">
      <c r="A1736" s="4">
        <v>1778</v>
      </c>
      <c r="B1736" s="4" t="s">
        <v>5499</v>
      </c>
      <c r="C1736" s="4" t="s">
        <v>5590</v>
      </c>
      <c r="D1736" s="4" t="s">
        <v>5574</v>
      </c>
      <c r="E1736" s="4" t="s">
        <v>5575</v>
      </c>
      <c r="F1736" s="4" t="s">
        <v>8157</v>
      </c>
      <c r="G1736" s="4" t="s">
        <v>8158</v>
      </c>
      <c r="H1736" s="4" t="s">
        <v>8159</v>
      </c>
      <c r="I1736" s="5">
        <v>42093</v>
      </c>
      <c r="J1736" s="4" t="s">
        <v>4842</v>
      </c>
      <c r="K1736" s="4" t="s">
        <v>57</v>
      </c>
      <c r="L1736" s="4"/>
      <c r="M1736" s="4"/>
    </row>
    <row r="1737" ht="16" customHeight="1" s="4" customFormat="1">
      <c r="A1737" s="4">
        <v>1779</v>
      </c>
      <c r="B1737" s="4" t="s">
        <v>5499</v>
      </c>
      <c r="C1737" s="4" t="s">
        <v>5590</v>
      </c>
      <c r="D1737" s="4" t="s">
        <v>5574</v>
      </c>
      <c r="E1737" s="4" t="s">
        <v>5575</v>
      </c>
      <c r="F1737" s="4" t="s">
        <v>8160</v>
      </c>
      <c r="G1737" s="4" t="s">
        <v>8158</v>
      </c>
      <c r="H1737" s="4" t="s">
        <v>8159</v>
      </c>
      <c r="I1737" s="5">
        <v>42093</v>
      </c>
      <c r="J1737" s="4" t="s">
        <v>5506</v>
      </c>
      <c r="K1737" s="4" t="s">
        <v>57</v>
      </c>
      <c r="L1737" s="4"/>
      <c r="M1737" s="4"/>
    </row>
    <row r="1738" ht="16" customHeight="1" s="4" customFormat="1">
      <c r="A1738" s="4">
        <v>1780</v>
      </c>
      <c r="B1738" s="4" t="s">
        <v>5694</v>
      </c>
      <c r="C1738" s="4" t="s">
        <v>5695</v>
      </c>
      <c r="D1738" s="4" t="s">
        <v>5985</v>
      </c>
      <c r="E1738" s="4" t="s">
        <v>5986</v>
      </c>
      <c r="F1738" s="4" t="s">
        <v>8161</v>
      </c>
      <c r="G1738" s="4" t="s">
        <v>5749</v>
      </c>
      <c r="H1738" s="4" t="s">
        <v>5856</v>
      </c>
      <c r="I1738" s="5">
        <v>42093</v>
      </c>
      <c r="J1738" s="4" t="s">
        <v>5506</v>
      </c>
      <c r="K1738" s="4" t="s">
        <v>57</v>
      </c>
      <c r="L1738" s="4"/>
      <c r="M1738" s="4"/>
    </row>
    <row r="1739" ht="16" customHeight="1" s="4" customFormat="1">
      <c r="A1739" s="4">
        <v>1781</v>
      </c>
      <c r="B1739" s="4" t="s">
        <v>5499</v>
      </c>
      <c r="C1739" s="4" t="s">
        <v>5509</v>
      </c>
      <c r="D1739" s="4"/>
      <c r="E1739" s="4"/>
      <c r="F1739" s="4" t="s">
        <v>8162</v>
      </c>
      <c r="G1739" s="4" t="s">
        <v>6507</v>
      </c>
      <c r="H1739" s="4" t="s">
        <v>5674</v>
      </c>
      <c r="I1739" s="5">
        <v>42087</v>
      </c>
      <c r="J1739" s="4" t="s">
        <v>4798</v>
      </c>
      <c r="K1739" s="4" t="s">
        <v>57</v>
      </c>
      <c r="L1739" s="4"/>
      <c r="M1739" s="4"/>
    </row>
    <row r="1740" ht="16" customHeight="1" s="4" customFormat="1">
      <c r="A1740" s="4">
        <v>1782</v>
      </c>
      <c r="B1740" s="4" t="s">
        <v>5499</v>
      </c>
      <c r="C1740" s="4" t="s">
        <v>5509</v>
      </c>
      <c r="D1740" s="4"/>
      <c r="E1740" s="4"/>
      <c r="F1740" s="4" t="s">
        <v>8163</v>
      </c>
      <c r="G1740" s="4" t="s">
        <v>6507</v>
      </c>
      <c r="H1740" s="4" t="s">
        <v>5674</v>
      </c>
      <c r="I1740" s="5">
        <v>42087</v>
      </c>
      <c r="J1740" s="4" t="s">
        <v>4798</v>
      </c>
      <c r="K1740" s="4" t="s">
        <v>57</v>
      </c>
      <c r="L1740" s="4"/>
      <c r="M1740" s="4"/>
    </row>
    <row r="1741" ht="16" customHeight="1" s="4" customFormat="1">
      <c r="A1741" s="4">
        <v>1783</v>
      </c>
      <c r="B1741" s="4" t="s">
        <v>5499</v>
      </c>
      <c r="C1741" s="4" t="s">
        <v>5590</v>
      </c>
      <c r="D1741" s="4" t="s">
        <v>5574</v>
      </c>
      <c r="E1741" s="4" t="s">
        <v>5575</v>
      </c>
      <c r="F1741" s="4" t="s">
        <v>8164</v>
      </c>
      <c r="G1741" s="4" t="s">
        <v>8158</v>
      </c>
      <c r="H1741" s="4" t="s">
        <v>6345</v>
      </c>
      <c r="I1741" s="5">
        <v>42082</v>
      </c>
      <c r="J1741" s="4" t="s">
        <v>4798</v>
      </c>
      <c r="K1741" s="4" t="s">
        <v>57</v>
      </c>
      <c r="L1741" s="4"/>
      <c r="M1741" s="4"/>
    </row>
    <row r="1742" ht="16" customHeight="1" s="4" customFormat="1">
      <c r="A1742" s="4">
        <v>1784</v>
      </c>
      <c r="B1742" s="4" t="s">
        <v>5499</v>
      </c>
      <c r="C1742" s="4" t="s">
        <v>5590</v>
      </c>
      <c r="D1742" s="4" t="s">
        <v>5574</v>
      </c>
      <c r="E1742" s="4" t="s">
        <v>5575</v>
      </c>
      <c r="F1742" s="4" t="s">
        <v>8165</v>
      </c>
      <c r="G1742" s="4" t="s">
        <v>8158</v>
      </c>
      <c r="H1742" s="4" t="s">
        <v>6345</v>
      </c>
      <c r="I1742" s="5">
        <v>42082</v>
      </c>
      <c r="J1742" s="4" t="s">
        <v>4798</v>
      </c>
      <c r="K1742" s="4" t="s">
        <v>57</v>
      </c>
      <c r="L1742" s="4"/>
      <c r="M1742" s="4"/>
    </row>
    <row r="1743" ht="16" customHeight="1" s="4" customFormat="1">
      <c r="A1743" s="4">
        <v>1785</v>
      </c>
      <c r="B1743" s="4" t="s">
        <v>5499</v>
      </c>
      <c r="C1743" s="4" t="s">
        <v>5590</v>
      </c>
      <c r="D1743" s="4" t="s">
        <v>5574</v>
      </c>
      <c r="E1743" s="4" t="s">
        <v>5575</v>
      </c>
      <c r="F1743" s="4" t="s">
        <v>8166</v>
      </c>
      <c r="G1743" s="4" t="s">
        <v>8158</v>
      </c>
      <c r="H1743" s="4" t="s">
        <v>6345</v>
      </c>
      <c r="I1743" s="5">
        <v>42082</v>
      </c>
      <c r="J1743" s="4" t="s">
        <v>4798</v>
      </c>
      <c r="K1743" s="4" t="s">
        <v>57</v>
      </c>
      <c r="L1743" s="4"/>
      <c r="M1743" s="4"/>
    </row>
    <row r="1744" ht="16" customHeight="1" s="4" customFormat="1">
      <c r="A1744" s="4">
        <v>1786</v>
      </c>
      <c r="B1744" s="4" t="s">
        <v>5534</v>
      </c>
      <c r="C1744" s="4" t="s">
        <v>5773</v>
      </c>
      <c r="D1744" s="4"/>
      <c r="E1744" s="4"/>
      <c r="F1744" s="4" t="s">
        <v>8167</v>
      </c>
      <c r="G1744" s="4" t="s">
        <v>5817</v>
      </c>
      <c r="H1744" s="4" t="s">
        <v>6849</v>
      </c>
      <c r="I1744" s="5">
        <v>42081</v>
      </c>
      <c r="J1744" s="4" t="s">
        <v>4798</v>
      </c>
      <c r="K1744" s="4" t="s">
        <v>57</v>
      </c>
      <c r="L1744" s="4"/>
      <c r="M1744" s="4"/>
    </row>
    <row r="1745" ht="16" customHeight="1" s="4" customFormat="1">
      <c r="A1745" s="4">
        <v>1787</v>
      </c>
      <c r="B1745" s="4" t="s">
        <v>5534</v>
      </c>
      <c r="C1745" s="4" t="s">
        <v>5773</v>
      </c>
      <c r="D1745" s="4"/>
      <c r="E1745" s="4"/>
      <c r="F1745" s="4" t="s">
        <v>8168</v>
      </c>
      <c r="G1745" s="4" t="s">
        <v>5817</v>
      </c>
      <c r="H1745" s="4" t="s">
        <v>5511</v>
      </c>
      <c r="I1745" s="5">
        <v>42081</v>
      </c>
      <c r="J1745" s="4" t="s">
        <v>4798</v>
      </c>
      <c r="K1745" s="4" t="s">
        <v>57</v>
      </c>
      <c r="L1745" s="4"/>
      <c r="M1745" s="4"/>
    </row>
    <row r="1746" ht="16" customHeight="1" s="4" customFormat="1">
      <c r="A1746" s="4">
        <v>1788</v>
      </c>
      <c r="B1746" s="4" t="s">
        <v>5534</v>
      </c>
      <c r="C1746" s="4" t="s">
        <v>5773</v>
      </c>
      <c r="D1746" s="4"/>
      <c r="E1746" s="4"/>
      <c r="F1746" s="4" t="s">
        <v>8169</v>
      </c>
      <c r="G1746" s="4" t="s">
        <v>5984</v>
      </c>
      <c r="H1746" s="4" t="s">
        <v>5817</v>
      </c>
      <c r="I1746" s="5">
        <v>42081</v>
      </c>
      <c r="J1746" s="4" t="s">
        <v>4798</v>
      </c>
      <c r="K1746" s="4" t="s">
        <v>57</v>
      </c>
      <c r="L1746" s="4"/>
      <c r="M1746" s="4"/>
    </row>
    <row r="1747" ht="16" customHeight="1" s="4" customFormat="1">
      <c r="A1747" s="4">
        <v>1868</v>
      </c>
      <c r="B1747" s="4" t="s">
        <v>5499</v>
      </c>
      <c r="C1747" s="4" t="s">
        <v>5519</v>
      </c>
      <c r="D1747" s="4"/>
      <c r="E1747" s="4" t="s">
        <v>6188</v>
      </c>
      <c r="F1747" s="4" t="s">
        <v>8170</v>
      </c>
      <c r="G1747" s="4" t="s">
        <v>5984</v>
      </c>
      <c r="H1747" s="4" t="s">
        <v>5984</v>
      </c>
      <c r="I1747" s="5">
        <v>41944</v>
      </c>
      <c r="J1747" s="4" t="s">
        <v>4798</v>
      </c>
      <c r="K1747" s="4" t="s">
        <v>57</v>
      </c>
      <c r="L1747" s="4"/>
      <c r="M1747" s="4"/>
    </row>
    <row r="1748" ht="16" customHeight="1" s="4" customFormat="1">
      <c r="A1748" s="4">
        <v>1789</v>
      </c>
      <c r="B1748" s="4" t="s">
        <v>5600</v>
      </c>
      <c r="C1748" s="4" t="s">
        <v>5600</v>
      </c>
      <c r="D1748" s="4" t="s">
        <v>6121</v>
      </c>
      <c r="E1748" s="4" t="s">
        <v>6122</v>
      </c>
      <c r="F1748" s="4" t="s">
        <v>8171</v>
      </c>
      <c r="G1748" s="4" t="s">
        <v>5746</v>
      </c>
      <c r="H1748" s="4" t="s">
        <v>8172</v>
      </c>
      <c r="I1748" s="5">
        <v>42079</v>
      </c>
      <c r="J1748" s="4" t="s">
        <v>4798</v>
      </c>
      <c r="K1748" s="4" t="s">
        <v>57</v>
      </c>
      <c r="L1748" s="4"/>
      <c r="M1748" s="4"/>
    </row>
    <row r="1749" ht="16" customHeight="1" s="4" customFormat="1">
      <c r="A1749" s="4">
        <v>1790</v>
      </c>
      <c r="B1749" s="4" t="s">
        <v>5534</v>
      </c>
      <c r="C1749" s="4" t="s">
        <v>5773</v>
      </c>
      <c r="D1749" s="4"/>
      <c r="E1749" s="4"/>
      <c r="F1749" s="4" t="s">
        <v>8173</v>
      </c>
      <c r="G1749" s="4" t="s">
        <v>6397</v>
      </c>
      <c r="H1749" s="4" t="s">
        <v>8174</v>
      </c>
      <c r="I1749" s="5">
        <v>42075</v>
      </c>
      <c r="J1749" s="4" t="s">
        <v>5506</v>
      </c>
      <c r="K1749" s="4" t="s">
        <v>57</v>
      </c>
      <c r="L1749" s="4"/>
      <c r="M1749" s="4"/>
    </row>
    <row r="1750" ht="16" customHeight="1" s="4" customFormat="1">
      <c r="A1750" s="4">
        <v>1791</v>
      </c>
      <c r="B1750" s="4" t="s">
        <v>6161</v>
      </c>
      <c r="C1750" s="4" t="s">
        <v>6618</v>
      </c>
      <c r="D1750" s="4"/>
      <c r="E1750" s="4"/>
      <c r="F1750" s="4" t="s">
        <v>8175</v>
      </c>
      <c r="G1750" s="4" t="s">
        <v>8176</v>
      </c>
      <c r="H1750" s="4" t="s">
        <v>8177</v>
      </c>
      <c r="I1750" s="5">
        <v>42075</v>
      </c>
      <c r="J1750" s="4" t="s">
        <v>4798</v>
      </c>
      <c r="K1750" s="4" t="s">
        <v>57</v>
      </c>
      <c r="L1750" s="4"/>
      <c r="M1750" s="4"/>
    </row>
    <row r="1751" ht="16" customHeight="1" s="4" customFormat="1">
      <c r="A1751" s="4">
        <v>1792</v>
      </c>
      <c r="B1751" s="4" t="s">
        <v>5534</v>
      </c>
      <c r="C1751" s="4" t="s">
        <v>5773</v>
      </c>
      <c r="D1751" s="4"/>
      <c r="E1751" s="4"/>
      <c r="F1751" s="4" t="s">
        <v>8178</v>
      </c>
      <c r="G1751" s="4" t="s">
        <v>5726</v>
      </c>
      <c r="H1751" s="4" t="s">
        <v>8179</v>
      </c>
      <c r="I1751" s="5">
        <v>42072</v>
      </c>
      <c r="J1751" s="4" t="s">
        <v>5506</v>
      </c>
      <c r="K1751" s="4" t="s">
        <v>57</v>
      </c>
      <c r="L1751" s="4"/>
      <c r="M1751" s="4"/>
    </row>
    <row r="1752" ht="16" customHeight="1" s="4" customFormat="1">
      <c r="A1752" s="4">
        <v>1793</v>
      </c>
      <c r="B1752" s="4" t="s">
        <v>5499</v>
      </c>
      <c r="C1752" s="4" t="s">
        <v>5590</v>
      </c>
      <c r="D1752" s="4" t="s">
        <v>5574</v>
      </c>
      <c r="E1752" s="4" t="s">
        <v>7017</v>
      </c>
      <c r="F1752" s="4" t="s">
        <v>8180</v>
      </c>
      <c r="G1752" s="4" t="s">
        <v>8181</v>
      </c>
      <c r="H1752" s="4" t="s">
        <v>8182</v>
      </c>
      <c r="I1752" s="5">
        <v>42068</v>
      </c>
      <c r="J1752" s="4" t="s">
        <v>4842</v>
      </c>
      <c r="K1752" s="4" t="s">
        <v>57</v>
      </c>
      <c r="L1752" s="4"/>
      <c r="M1752" s="4"/>
    </row>
    <row r="1753" ht="16" customHeight="1" s="4" customFormat="1">
      <c r="A1753" s="4">
        <v>1794</v>
      </c>
      <c r="B1753" s="4" t="s">
        <v>5499</v>
      </c>
      <c r="C1753" s="4" t="s">
        <v>5590</v>
      </c>
      <c r="D1753" s="4" t="s">
        <v>5514</v>
      </c>
      <c r="E1753" s="4" t="s">
        <v>5515</v>
      </c>
      <c r="F1753" s="4" t="s">
        <v>8183</v>
      </c>
      <c r="G1753" s="4" t="s">
        <v>8184</v>
      </c>
      <c r="H1753" s="4" t="s">
        <v>8185</v>
      </c>
      <c r="I1753" s="5">
        <v>42067</v>
      </c>
      <c r="J1753" s="4" t="s">
        <v>4798</v>
      </c>
      <c r="K1753" s="4" t="s">
        <v>57</v>
      </c>
      <c r="L1753" s="4"/>
      <c r="M1753" s="4"/>
    </row>
    <row r="1754" ht="16" customHeight="1" s="4" customFormat="1">
      <c r="A1754" s="4">
        <v>1795</v>
      </c>
      <c r="B1754" s="4" t="s">
        <v>5499</v>
      </c>
      <c r="C1754" s="4" t="s">
        <v>5519</v>
      </c>
      <c r="D1754" s="4"/>
      <c r="E1754" s="4" t="s">
        <v>5641</v>
      </c>
      <c r="F1754" s="4" t="s">
        <v>8186</v>
      </c>
      <c r="G1754" s="4" t="s">
        <v>8187</v>
      </c>
      <c r="H1754" s="4" t="s">
        <v>8188</v>
      </c>
      <c r="I1754" s="5">
        <v>42062</v>
      </c>
      <c r="J1754" s="4" t="s">
        <v>4798</v>
      </c>
      <c r="K1754" s="4" t="s">
        <v>57</v>
      </c>
      <c r="L1754" s="4"/>
      <c r="M1754" s="4"/>
    </row>
    <row r="1755" ht="16" customHeight="1" s="4" customFormat="1">
      <c r="A1755" s="4">
        <v>1796</v>
      </c>
      <c r="B1755" s="4" t="s">
        <v>5499</v>
      </c>
      <c r="C1755" s="4" t="s">
        <v>5519</v>
      </c>
      <c r="D1755" s="4"/>
      <c r="E1755" s="4" t="s">
        <v>5584</v>
      </c>
      <c r="F1755" s="4" t="s">
        <v>8189</v>
      </c>
      <c r="G1755" s="4" t="s">
        <v>8187</v>
      </c>
      <c r="H1755" s="4" t="s">
        <v>8188</v>
      </c>
      <c r="I1755" s="5">
        <v>42062</v>
      </c>
      <c r="J1755" s="4" t="s">
        <v>4798</v>
      </c>
      <c r="K1755" s="4" t="s">
        <v>57</v>
      </c>
      <c r="L1755" s="4"/>
      <c r="M1755" s="4"/>
    </row>
    <row r="1756" ht="16" customHeight="1" s="4" customFormat="1">
      <c r="A1756" s="4">
        <v>1797</v>
      </c>
      <c r="B1756" s="4" t="s">
        <v>5499</v>
      </c>
      <c r="C1756" s="4" t="s">
        <v>5573</v>
      </c>
      <c r="D1756" s="4" t="s">
        <v>5574</v>
      </c>
      <c r="E1756" s="4" t="s">
        <v>5575</v>
      </c>
      <c r="F1756" s="4" t="s">
        <v>8190</v>
      </c>
      <c r="G1756" s="4" t="s">
        <v>8191</v>
      </c>
      <c r="H1756" s="4" t="s">
        <v>6106</v>
      </c>
      <c r="I1756" s="5">
        <v>42058</v>
      </c>
      <c r="J1756" s="4" t="s">
        <v>4798</v>
      </c>
      <c r="K1756" s="4" t="s">
        <v>57</v>
      </c>
      <c r="L1756" s="4"/>
      <c r="M1756" s="4"/>
    </row>
    <row r="1757" ht="16" customHeight="1" s="4" customFormat="1">
      <c r="A1757" s="4">
        <v>1798</v>
      </c>
      <c r="B1757" s="4" t="s">
        <v>5534</v>
      </c>
      <c r="C1757" s="4" t="s">
        <v>5773</v>
      </c>
      <c r="D1757" s="4"/>
      <c r="E1757" s="4"/>
      <c r="F1757" s="4" t="s">
        <v>8192</v>
      </c>
      <c r="G1757" s="4" t="s">
        <v>6347</v>
      </c>
      <c r="H1757" s="4" t="s">
        <v>8193</v>
      </c>
      <c r="I1757" s="5">
        <v>42053</v>
      </c>
      <c r="J1757" s="4" t="s">
        <v>5506</v>
      </c>
      <c r="K1757" s="4" t="s">
        <v>57</v>
      </c>
      <c r="L1757" s="4"/>
      <c r="M1757" s="4"/>
    </row>
    <row r="1758" ht="16" customHeight="1" s="4" customFormat="1">
      <c r="A1758" s="4">
        <v>1799</v>
      </c>
      <c r="B1758" s="4" t="s">
        <v>5499</v>
      </c>
      <c r="C1758" s="4" t="s">
        <v>5590</v>
      </c>
      <c r="D1758" s="4" t="s">
        <v>5574</v>
      </c>
      <c r="E1758" s="4" t="s">
        <v>5575</v>
      </c>
      <c r="F1758" s="4" t="s">
        <v>8194</v>
      </c>
      <c r="G1758" s="4" t="s">
        <v>8195</v>
      </c>
      <c r="H1758" s="4" t="s">
        <v>6345</v>
      </c>
      <c r="I1758" s="5">
        <v>42048</v>
      </c>
      <c r="J1758" s="4" t="s">
        <v>4798</v>
      </c>
      <c r="K1758" s="4" t="s">
        <v>57</v>
      </c>
      <c r="L1758" s="4"/>
      <c r="M1758" s="4"/>
    </row>
    <row r="1759" ht="16" customHeight="1" s="4" customFormat="1">
      <c r="A1759" s="4">
        <v>1800</v>
      </c>
      <c r="B1759" s="4" t="s">
        <v>5499</v>
      </c>
      <c r="C1759" s="4" t="s">
        <v>5590</v>
      </c>
      <c r="D1759" s="4" t="s">
        <v>5574</v>
      </c>
      <c r="E1759" s="4" t="s">
        <v>5575</v>
      </c>
      <c r="F1759" s="4" t="s">
        <v>8196</v>
      </c>
      <c r="G1759" s="4" t="s">
        <v>7097</v>
      </c>
      <c r="H1759" s="4" t="s">
        <v>7012</v>
      </c>
      <c r="I1759" s="5">
        <v>42048</v>
      </c>
      <c r="J1759" s="4" t="s">
        <v>4798</v>
      </c>
      <c r="K1759" s="4" t="s">
        <v>57</v>
      </c>
      <c r="L1759" s="4"/>
      <c r="M1759" s="4"/>
    </row>
    <row r="1760" ht="16" customHeight="1" s="4" customFormat="1">
      <c r="A1760" s="4">
        <v>1801</v>
      </c>
      <c r="B1760" s="4" t="s">
        <v>5499</v>
      </c>
      <c r="C1760" s="4" t="s">
        <v>5509</v>
      </c>
      <c r="D1760" s="4"/>
      <c r="E1760" s="4"/>
      <c r="F1760" s="4" t="s">
        <v>8197</v>
      </c>
      <c r="G1760" s="4" t="s">
        <v>6507</v>
      </c>
      <c r="H1760" s="4" t="s">
        <v>8198</v>
      </c>
      <c r="I1760" s="5">
        <v>42048</v>
      </c>
      <c r="J1760" s="4" t="s">
        <v>4798</v>
      </c>
      <c r="K1760" s="4" t="s">
        <v>57</v>
      </c>
      <c r="L1760" s="4"/>
      <c r="M1760" s="4"/>
    </row>
    <row r="1761" ht="16" customHeight="1" s="4" customFormat="1">
      <c r="A1761" s="4">
        <v>1802</v>
      </c>
      <c r="B1761" s="4" t="s">
        <v>5499</v>
      </c>
      <c r="C1761" s="4" t="s">
        <v>5590</v>
      </c>
      <c r="D1761" s="4" t="s">
        <v>5574</v>
      </c>
      <c r="E1761" s="4" t="s">
        <v>5575</v>
      </c>
      <c r="F1761" s="4" t="s">
        <v>8199</v>
      </c>
      <c r="G1761" s="4" t="s">
        <v>5675</v>
      </c>
      <c r="H1761" s="4" t="s">
        <v>8200</v>
      </c>
      <c r="I1761" s="5">
        <v>42041</v>
      </c>
      <c r="J1761" s="4" t="s">
        <v>4842</v>
      </c>
      <c r="K1761" s="4" t="s">
        <v>57</v>
      </c>
      <c r="L1761" s="4"/>
      <c r="M1761" s="4"/>
    </row>
    <row r="1762" ht="16" customHeight="1" s="4" customFormat="1">
      <c r="A1762" s="4">
        <v>1803</v>
      </c>
      <c r="B1762" s="4" t="s">
        <v>5499</v>
      </c>
      <c r="C1762" s="4" t="s">
        <v>5500</v>
      </c>
      <c r="D1762" s="4"/>
      <c r="E1762" s="4"/>
      <c r="F1762" s="4" t="s">
        <v>8201</v>
      </c>
      <c r="G1762" s="4" t="s">
        <v>8202</v>
      </c>
      <c r="H1762" s="4" t="s">
        <v>8203</v>
      </c>
      <c r="I1762" s="5">
        <v>42041</v>
      </c>
      <c r="J1762" s="4" t="s">
        <v>4798</v>
      </c>
      <c r="K1762" s="4" t="s">
        <v>57</v>
      </c>
      <c r="L1762" s="4"/>
      <c r="M1762" s="4"/>
    </row>
    <row r="1763" ht="16" customHeight="1" s="4" customFormat="1">
      <c r="A1763" s="4">
        <v>1804</v>
      </c>
      <c r="B1763" s="4" t="s">
        <v>5499</v>
      </c>
      <c r="C1763" s="4" t="s">
        <v>5590</v>
      </c>
      <c r="D1763" s="4" t="s">
        <v>5574</v>
      </c>
      <c r="E1763" s="4" t="s">
        <v>5575</v>
      </c>
      <c r="F1763" s="4" t="s">
        <v>8204</v>
      </c>
      <c r="G1763" s="4" t="s">
        <v>6480</v>
      </c>
      <c r="H1763" s="4" t="s">
        <v>8205</v>
      </c>
      <c r="I1763" s="5">
        <v>42040</v>
      </c>
      <c r="J1763" s="4" t="s">
        <v>4798</v>
      </c>
      <c r="K1763" s="4" t="s">
        <v>57</v>
      </c>
      <c r="L1763" s="4"/>
      <c r="M1763" s="4"/>
    </row>
    <row r="1764" ht="16" customHeight="1" s="4" customFormat="1">
      <c r="A1764" s="4">
        <v>1805</v>
      </c>
      <c r="B1764" s="4" t="s">
        <v>5499</v>
      </c>
      <c r="C1764" s="4" t="s">
        <v>5590</v>
      </c>
      <c r="D1764" s="4" t="s">
        <v>5574</v>
      </c>
      <c r="E1764" s="4" t="s">
        <v>5575</v>
      </c>
      <c r="F1764" s="4" t="s">
        <v>8206</v>
      </c>
      <c r="G1764" s="4" t="s">
        <v>5686</v>
      </c>
      <c r="H1764" s="4" t="s">
        <v>7009</v>
      </c>
      <c r="I1764" s="5">
        <v>42040</v>
      </c>
      <c r="J1764" s="4" t="s">
        <v>4798</v>
      </c>
      <c r="K1764" s="4" t="s">
        <v>57</v>
      </c>
      <c r="L1764" s="4"/>
      <c r="M1764" s="4"/>
    </row>
    <row r="1765" ht="16" customHeight="1" s="4" customFormat="1">
      <c r="A1765" s="4">
        <v>1806</v>
      </c>
      <c r="B1765" s="4" t="s">
        <v>5534</v>
      </c>
      <c r="C1765" s="4" t="s">
        <v>5773</v>
      </c>
      <c r="D1765" s="4"/>
      <c r="E1765" s="4"/>
      <c r="F1765" s="4" t="s">
        <v>8207</v>
      </c>
      <c r="G1765" s="4" t="s">
        <v>8208</v>
      </c>
      <c r="H1765" s="4" t="s">
        <v>6398</v>
      </c>
      <c r="I1765" s="5">
        <v>42039</v>
      </c>
      <c r="J1765" s="4" t="s">
        <v>5506</v>
      </c>
      <c r="K1765" s="4" t="s">
        <v>57</v>
      </c>
      <c r="L1765" s="4"/>
      <c r="M1765" s="4"/>
    </row>
    <row r="1766" ht="16" customHeight="1" s="4" customFormat="1">
      <c r="A1766" s="4">
        <v>1807</v>
      </c>
      <c r="B1766" s="4" t="s">
        <v>5499</v>
      </c>
      <c r="C1766" s="4" t="s">
        <v>5519</v>
      </c>
      <c r="D1766" s="4"/>
      <c r="E1766" s="4" t="s">
        <v>6831</v>
      </c>
      <c r="F1766" s="4" t="s">
        <v>8209</v>
      </c>
      <c r="G1766" s="4" t="s">
        <v>8210</v>
      </c>
      <c r="H1766" s="4" t="s">
        <v>8210</v>
      </c>
      <c r="I1766" s="5">
        <v>42039</v>
      </c>
      <c r="J1766" s="4" t="s">
        <v>4798</v>
      </c>
      <c r="K1766" s="4" t="s">
        <v>57</v>
      </c>
      <c r="L1766" s="4"/>
      <c r="M1766" s="4"/>
    </row>
    <row r="1767" ht="16" customHeight="1" s="4" customFormat="1">
      <c r="A1767" s="4">
        <v>1808</v>
      </c>
      <c r="B1767" s="4" t="s">
        <v>5499</v>
      </c>
      <c r="C1767" s="4" t="s">
        <v>5519</v>
      </c>
      <c r="D1767" s="4"/>
      <c r="E1767" s="4" t="s">
        <v>6831</v>
      </c>
      <c r="F1767" s="4" t="s">
        <v>8211</v>
      </c>
      <c r="G1767" s="4" t="s">
        <v>8210</v>
      </c>
      <c r="H1767" s="4" t="s">
        <v>8210</v>
      </c>
      <c r="I1767" s="5">
        <v>42039</v>
      </c>
      <c r="J1767" s="4" t="s">
        <v>4798</v>
      </c>
      <c r="K1767" s="4" t="s">
        <v>57</v>
      </c>
      <c r="L1767" s="4"/>
      <c r="M1767" s="4"/>
    </row>
    <row r="1768" ht="16" customHeight="1" s="4" customFormat="1">
      <c r="A1768" s="4">
        <v>1809</v>
      </c>
      <c r="B1768" s="4" t="s">
        <v>5534</v>
      </c>
      <c r="C1768" s="4" t="s">
        <v>5773</v>
      </c>
      <c r="D1768" s="4"/>
      <c r="E1768" s="4"/>
      <c r="F1768" s="4" t="s">
        <v>8212</v>
      </c>
      <c r="G1768" s="4" t="s">
        <v>6951</v>
      </c>
      <c r="H1768" s="4" t="s">
        <v>8213</v>
      </c>
      <c r="I1768" s="5">
        <v>42038</v>
      </c>
      <c r="J1768" s="4" t="s">
        <v>5506</v>
      </c>
      <c r="K1768" s="4" t="s">
        <v>57</v>
      </c>
      <c r="L1768" s="4"/>
      <c r="M1768" s="4"/>
    </row>
    <row r="1769" ht="16" customHeight="1" s="4" customFormat="1">
      <c r="A1769" s="4">
        <v>1810</v>
      </c>
      <c r="B1769" s="4" t="s">
        <v>5694</v>
      </c>
      <c r="C1769" s="4" t="s">
        <v>5695</v>
      </c>
      <c r="D1769" s="4" t="s">
        <v>5985</v>
      </c>
      <c r="E1769" s="4" t="s">
        <v>5986</v>
      </c>
      <c r="F1769" s="4" t="s">
        <v>8214</v>
      </c>
      <c r="G1769" s="4" t="s">
        <v>8215</v>
      </c>
      <c r="H1769" s="4" t="s">
        <v>8216</v>
      </c>
      <c r="I1769" s="5">
        <v>42033</v>
      </c>
      <c r="J1769" s="4" t="s">
        <v>5506</v>
      </c>
      <c r="K1769" s="4" t="s">
        <v>57</v>
      </c>
      <c r="L1769" s="4"/>
      <c r="M1769" s="4"/>
    </row>
    <row r="1770" ht="16" customHeight="1" s="4" customFormat="1">
      <c r="A1770" s="4">
        <v>1811</v>
      </c>
      <c r="B1770" s="4" t="s">
        <v>5694</v>
      </c>
      <c r="C1770" s="4" t="s">
        <v>5695</v>
      </c>
      <c r="D1770" s="4" t="s">
        <v>5985</v>
      </c>
      <c r="E1770" s="4" t="s">
        <v>5986</v>
      </c>
      <c r="F1770" s="4" t="s">
        <v>8217</v>
      </c>
      <c r="G1770" s="4" t="s">
        <v>5749</v>
      </c>
      <c r="H1770" s="4" t="s">
        <v>8218</v>
      </c>
      <c r="I1770" s="5">
        <v>42027</v>
      </c>
      <c r="J1770" s="4" t="s">
        <v>5506</v>
      </c>
      <c r="K1770" s="4" t="s">
        <v>57</v>
      </c>
      <c r="L1770" s="4"/>
      <c r="M1770" s="4"/>
    </row>
    <row r="1771" ht="16" customHeight="1" s="4" customFormat="1">
      <c r="A1771" s="4">
        <v>1812</v>
      </c>
      <c r="B1771" s="4" t="s">
        <v>5534</v>
      </c>
      <c r="C1771" s="4" t="s">
        <v>5773</v>
      </c>
      <c r="D1771" s="4"/>
      <c r="E1771" s="4"/>
      <c r="F1771" s="4" t="s">
        <v>8219</v>
      </c>
      <c r="G1771" s="4" t="s">
        <v>5984</v>
      </c>
      <c r="H1771" s="4" t="s">
        <v>6046</v>
      </c>
      <c r="I1771" s="5">
        <v>42026</v>
      </c>
      <c r="J1771" s="4" t="s">
        <v>4798</v>
      </c>
      <c r="K1771" s="4" t="s">
        <v>57</v>
      </c>
      <c r="L1771" s="4"/>
      <c r="M1771" s="4"/>
    </row>
    <row r="1772" ht="16" customHeight="1" s="4" customFormat="1">
      <c r="A1772" s="4">
        <v>1813</v>
      </c>
      <c r="B1772" s="4" t="s">
        <v>5534</v>
      </c>
      <c r="C1772" s="4" t="s">
        <v>5773</v>
      </c>
      <c r="D1772" s="4"/>
      <c r="E1772" s="4"/>
      <c r="F1772" s="4" t="s">
        <v>8220</v>
      </c>
      <c r="G1772" s="4" t="s">
        <v>5984</v>
      </c>
      <c r="H1772" s="4" t="s">
        <v>6038</v>
      </c>
      <c r="I1772" s="5">
        <v>42026</v>
      </c>
      <c r="J1772" s="4" t="s">
        <v>4798</v>
      </c>
      <c r="K1772" s="4" t="s">
        <v>57</v>
      </c>
      <c r="L1772" s="4"/>
      <c r="M1772" s="4"/>
    </row>
    <row r="1773" ht="16" customHeight="1" s="4" customFormat="1">
      <c r="A1773" s="4">
        <v>1814</v>
      </c>
      <c r="B1773" s="4" t="s">
        <v>5534</v>
      </c>
      <c r="C1773" s="4" t="s">
        <v>5773</v>
      </c>
      <c r="D1773" s="4"/>
      <c r="E1773" s="4"/>
      <c r="F1773" s="4" t="s">
        <v>8221</v>
      </c>
      <c r="G1773" s="4" t="s">
        <v>5984</v>
      </c>
      <c r="H1773" s="4" t="s">
        <v>6046</v>
      </c>
      <c r="I1773" s="5">
        <v>42026</v>
      </c>
      <c r="J1773" s="4" t="s">
        <v>4798</v>
      </c>
      <c r="K1773" s="4" t="s">
        <v>57</v>
      </c>
      <c r="L1773" s="4"/>
      <c r="M1773" s="4"/>
    </row>
    <row r="1774" ht="16" customHeight="1" s="4" customFormat="1">
      <c r="A1774" s="4">
        <v>1815</v>
      </c>
      <c r="B1774" s="4" t="s">
        <v>5534</v>
      </c>
      <c r="C1774" s="4" t="s">
        <v>5773</v>
      </c>
      <c r="D1774" s="4"/>
      <c r="E1774" s="4"/>
      <c r="F1774" s="4" t="s">
        <v>8222</v>
      </c>
      <c r="G1774" s="4" t="s">
        <v>5984</v>
      </c>
      <c r="H1774" s="4" t="s">
        <v>6046</v>
      </c>
      <c r="I1774" s="5">
        <v>42026</v>
      </c>
      <c r="J1774" s="4" t="s">
        <v>4798</v>
      </c>
      <c r="K1774" s="4" t="s">
        <v>57</v>
      </c>
      <c r="L1774" s="4"/>
      <c r="M1774" s="4"/>
    </row>
    <row r="1775" ht="16" customHeight="1" s="4" customFormat="1">
      <c r="A1775" s="4">
        <v>1816</v>
      </c>
      <c r="B1775" s="4" t="s">
        <v>5534</v>
      </c>
      <c r="C1775" s="4" t="s">
        <v>5773</v>
      </c>
      <c r="D1775" s="4"/>
      <c r="E1775" s="4"/>
      <c r="F1775" s="4" t="s">
        <v>8223</v>
      </c>
      <c r="G1775" s="4" t="s">
        <v>5984</v>
      </c>
      <c r="H1775" s="4" t="s">
        <v>6046</v>
      </c>
      <c r="I1775" s="5">
        <v>42026</v>
      </c>
      <c r="J1775" s="4" t="s">
        <v>4798</v>
      </c>
      <c r="K1775" s="4" t="s">
        <v>57</v>
      </c>
      <c r="L1775" s="4"/>
      <c r="M1775" s="4"/>
    </row>
    <row r="1776" ht="16" customHeight="1" s="4" customFormat="1">
      <c r="A1776" s="4">
        <v>1817</v>
      </c>
      <c r="B1776" s="4" t="s">
        <v>5534</v>
      </c>
      <c r="C1776" s="4" t="s">
        <v>5773</v>
      </c>
      <c r="D1776" s="4"/>
      <c r="E1776" s="4"/>
      <c r="F1776" s="4" t="s">
        <v>8224</v>
      </c>
      <c r="G1776" s="4" t="s">
        <v>5984</v>
      </c>
      <c r="H1776" s="4" t="s">
        <v>6046</v>
      </c>
      <c r="I1776" s="5">
        <v>42026</v>
      </c>
      <c r="J1776" s="4" t="s">
        <v>4798</v>
      </c>
      <c r="K1776" s="4" t="s">
        <v>57</v>
      </c>
      <c r="L1776" s="4"/>
      <c r="M1776" s="4"/>
    </row>
    <row r="1777" ht="16" customHeight="1" s="4" customFormat="1">
      <c r="A1777" s="4">
        <v>1818</v>
      </c>
      <c r="B1777" s="4" t="s">
        <v>5534</v>
      </c>
      <c r="C1777" s="4" t="s">
        <v>5773</v>
      </c>
      <c r="D1777" s="4"/>
      <c r="E1777" s="4"/>
      <c r="F1777" s="4" t="s">
        <v>8225</v>
      </c>
      <c r="G1777" s="4" t="s">
        <v>5984</v>
      </c>
      <c r="H1777" s="4" t="s">
        <v>6046</v>
      </c>
      <c r="I1777" s="5">
        <v>42026</v>
      </c>
      <c r="J1777" s="4" t="s">
        <v>4798</v>
      </c>
      <c r="K1777" s="4" t="s">
        <v>57</v>
      </c>
      <c r="L1777" s="4"/>
      <c r="M1777" s="4"/>
    </row>
    <row r="1778" ht="16" customHeight="1" s="4" customFormat="1">
      <c r="A1778" s="4">
        <v>1819</v>
      </c>
      <c r="B1778" s="4" t="s">
        <v>5534</v>
      </c>
      <c r="C1778" s="4" t="s">
        <v>5773</v>
      </c>
      <c r="D1778" s="4"/>
      <c r="E1778" s="4"/>
      <c r="F1778" s="4" t="s">
        <v>8226</v>
      </c>
      <c r="G1778" s="4" t="s">
        <v>5984</v>
      </c>
      <c r="H1778" s="4" t="s">
        <v>6046</v>
      </c>
      <c r="I1778" s="5">
        <v>42026</v>
      </c>
      <c r="J1778" s="4" t="s">
        <v>4798</v>
      </c>
      <c r="K1778" s="4" t="s">
        <v>57</v>
      </c>
      <c r="L1778" s="4"/>
      <c r="M1778" s="4"/>
    </row>
    <row r="1779" ht="16" customHeight="1" s="4" customFormat="1">
      <c r="A1779" s="4">
        <v>1820</v>
      </c>
      <c r="B1779" s="4" t="s">
        <v>5534</v>
      </c>
      <c r="C1779" s="4" t="s">
        <v>5773</v>
      </c>
      <c r="D1779" s="4"/>
      <c r="E1779" s="4"/>
      <c r="F1779" s="4" t="s">
        <v>8227</v>
      </c>
      <c r="G1779" s="4" t="s">
        <v>5984</v>
      </c>
      <c r="H1779" s="4" t="s">
        <v>6038</v>
      </c>
      <c r="I1779" s="5">
        <v>42026</v>
      </c>
      <c r="J1779" s="4" t="s">
        <v>4798</v>
      </c>
      <c r="K1779" s="4" t="s">
        <v>57</v>
      </c>
      <c r="L1779" s="4"/>
      <c r="M1779" s="4"/>
    </row>
    <row r="1780" ht="16" customHeight="1" s="4" customFormat="1">
      <c r="A1780" s="4">
        <v>1821</v>
      </c>
      <c r="B1780" s="4" t="s">
        <v>5534</v>
      </c>
      <c r="C1780" s="4" t="s">
        <v>5773</v>
      </c>
      <c r="D1780" s="4"/>
      <c r="E1780" s="4"/>
      <c r="F1780" s="4" t="s">
        <v>8228</v>
      </c>
      <c r="G1780" s="4" t="s">
        <v>5984</v>
      </c>
      <c r="H1780" s="4" t="s">
        <v>6038</v>
      </c>
      <c r="I1780" s="5">
        <v>42026</v>
      </c>
      <c r="J1780" s="4" t="s">
        <v>4798</v>
      </c>
      <c r="K1780" s="4" t="s">
        <v>57</v>
      </c>
      <c r="L1780" s="4"/>
      <c r="M1780" s="4"/>
    </row>
    <row r="1781" ht="16" customHeight="1" s="4" customFormat="1">
      <c r="A1781" s="4">
        <v>1822</v>
      </c>
      <c r="B1781" s="4" t="s">
        <v>5534</v>
      </c>
      <c r="C1781" s="4" t="s">
        <v>5773</v>
      </c>
      <c r="D1781" s="4"/>
      <c r="E1781" s="4"/>
      <c r="F1781" s="4" t="s">
        <v>8229</v>
      </c>
      <c r="G1781" s="4" t="s">
        <v>5984</v>
      </c>
      <c r="H1781" s="4" t="s">
        <v>6038</v>
      </c>
      <c r="I1781" s="5">
        <v>42026</v>
      </c>
      <c r="J1781" s="4" t="s">
        <v>4798</v>
      </c>
      <c r="K1781" s="4" t="s">
        <v>57</v>
      </c>
      <c r="L1781" s="4"/>
      <c r="M1781" s="4"/>
    </row>
    <row r="1782" ht="16" customHeight="1" s="4" customFormat="1">
      <c r="A1782" s="4">
        <v>1823</v>
      </c>
      <c r="B1782" s="4" t="s">
        <v>5534</v>
      </c>
      <c r="C1782" s="4" t="s">
        <v>5773</v>
      </c>
      <c r="D1782" s="4"/>
      <c r="E1782" s="4"/>
      <c r="F1782" s="4" t="s">
        <v>8230</v>
      </c>
      <c r="G1782" s="4" t="s">
        <v>5984</v>
      </c>
      <c r="H1782" s="4" t="s">
        <v>6038</v>
      </c>
      <c r="I1782" s="5">
        <v>42026</v>
      </c>
      <c r="J1782" s="4" t="s">
        <v>4798</v>
      </c>
      <c r="K1782" s="4" t="s">
        <v>57</v>
      </c>
      <c r="L1782" s="4"/>
      <c r="M1782" s="4"/>
    </row>
    <row r="1783" ht="16" customHeight="1" s="4" customFormat="1">
      <c r="A1783" s="4">
        <v>1824</v>
      </c>
      <c r="B1783" s="4" t="s">
        <v>5534</v>
      </c>
      <c r="C1783" s="4" t="s">
        <v>5773</v>
      </c>
      <c r="D1783" s="4"/>
      <c r="E1783" s="4"/>
      <c r="F1783" s="4" t="s">
        <v>8231</v>
      </c>
      <c r="G1783" s="4" t="s">
        <v>5984</v>
      </c>
      <c r="H1783" s="4" t="s">
        <v>6038</v>
      </c>
      <c r="I1783" s="5">
        <v>42026</v>
      </c>
      <c r="J1783" s="4" t="s">
        <v>4798</v>
      </c>
      <c r="K1783" s="4" t="s">
        <v>57</v>
      </c>
      <c r="L1783" s="4"/>
      <c r="M1783" s="4"/>
    </row>
    <row r="1784" ht="16" customHeight="1" s="4" customFormat="1">
      <c r="A1784" s="4">
        <v>1825</v>
      </c>
      <c r="B1784" s="4" t="s">
        <v>5534</v>
      </c>
      <c r="C1784" s="4" t="s">
        <v>5773</v>
      </c>
      <c r="D1784" s="4"/>
      <c r="E1784" s="4"/>
      <c r="F1784" s="4" t="s">
        <v>8232</v>
      </c>
      <c r="G1784" s="4" t="s">
        <v>5984</v>
      </c>
      <c r="H1784" s="4" t="s">
        <v>6046</v>
      </c>
      <c r="I1784" s="5">
        <v>42026</v>
      </c>
      <c r="J1784" s="4" t="s">
        <v>4798</v>
      </c>
      <c r="K1784" s="4" t="s">
        <v>57</v>
      </c>
      <c r="L1784" s="4"/>
      <c r="M1784" s="4"/>
    </row>
    <row r="1785" ht="16" customHeight="1" s="4" customFormat="1">
      <c r="A1785" s="4">
        <v>1826</v>
      </c>
      <c r="B1785" s="4" t="s">
        <v>5534</v>
      </c>
      <c r="C1785" s="4" t="s">
        <v>5773</v>
      </c>
      <c r="D1785" s="4"/>
      <c r="E1785" s="4"/>
      <c r="F1785" s="4" t="s">
        <v>8233</v>
      </c>
      <c r="G1785" s="4" t="s">
        <v>5984</v>
      </c>
      <c r="H1785" s="4" t="s">
        <v>6046</v>
      </c>
      <c r="I1785" s="5">
        <v>42026</v>
      </c>
      <c r="J1785" s="4" t="s">
        <v>4798</v>
      </c>
      <c r="K1785" s="4" t="s">
        <v>57</v>
      </c>
      <c r="L1785" s="4"/>
      <c r="M1785" s="4"/>
    </row>
    <row r="1786" ht="16" customHeight="1" s="4" customFormat="1">
      <c r="A1786" s="4">
        <v>1827</v>
      </c>
      <c r="B1786" s="4" t="s">
        <v>5534</v>
      </c>
      <c r="C1786" s="4" t="s">
        <v>5773</v>
      </c>
      <c r="D1786" s="4"/>
      <c r="E1786" s="4"/>
      <c r="F1786" s="4" t="s">
        <v>8234</v>
      </c>
      <c r="G1786" s="4" t="s">
        <v>5984</v>
      </c>
      <c r="H1786" s="4" t="s">
        <v>6046</v>
      </c>
      <c r="I1786" s="5">
        <v>42026</v>
      </c>
      <c r="J1786" s="4" t="s">
        <v>4798</v>
      </c>
      <c r="K1786" s="4" t="s">
        <v>57</v>
      </c>
      <c r="L1786" s="4"/>
      <c r="M1786" s="4"/>
    </row>
    <row r="1787" ht="16" customHeight="1" s="4" customFormat="1">
      <c r="A1787" s="4">
        <v>1828</v>
      </c>
      <c r="B1787" s="4" t="s">
        <v>5534</v>
      </c>
      <c r="C1787" s="4" t="s">
        <v>5773</v>
      </c>
      <c r="D1787" s="4"/>
      <c r="E1787" s="4"/>
      <c r="F1787" s="4" t="s">
        <v>8235</v>
      </c>
      <c r="G1787" s="4" t="s">
        <v>5817</v>
      </c>
      <c r="H1787" s="4" t="s">
        <v>5818</v>
      </c>
      <c r="I1787" s="5">
        <v>42026</v>
      </c>
      <c r="J1787" s="4" t="s">
        <v>4842</v>
      </c>
      <c r="K1787" s="4" t="s">
        <v>57</v>
      </c>
      <c r="L1787" s="4"/>
      <c r="M1787" s="4"/>
    </row>
    <row r="1788" ht="16" customHeight="1" s="4" customFormat="1">
      <c r="A1788" s="4">
        <v>1829</v>
      </c>
      <c r="B1788" s="4" t="s">
        <v>5499</v>
      </c>
      <c r="C1788" s="4" t="s">
        <v>5500</v>
      </c>
      <c r="D1788" s="4" t="s">
        <v>5514</v>
      </c>
      <c r="E1788" s="4" t="s">
        <v>6417</v>
      </c>
      <c r="F1788" s="4" t="s">
        <v>8236</v>
      </c>
      <c r="G1788" s="4" t="s">
        <v>8237</v>
      </c>
      <c r="H1788" s="4" t="s">
        <v>8238</v>
      </c>
      <c r="I1788" s="5">
        <v>42025</v>
      </c>
      <c r="J1788" s="4" t="s">
        <v>5506</v>
      </c>
      <c r="K1788" s="4" t="s">
        <v>57</v>
      </c>
      <c r="L1788" s="4"/>
      <c r="M1788" s="4"/>
    </row>
    <row r="1789" ht="16" customHeight="1" s="4" customFormat="1">
      <c r="A1789" s="4">
        <v>1830</v>
      </c>
      <c r="B1789" s="4" t="s">
        <v>5534</v>
      </c>
      <c r="C1789" s="4" t="s">
        <v>5773</v>
      </c>
      <c r="D1789" s="4"/>
      <c r="E1789" s="4"/>
      <c r="F1789" s="4" t="s">
        <v>8239</v>
      </c>
      <c r="G1789" s="4" t="s">
        <v>6078</v>
      </c>
      <c r="H1789" s="4" t="s">
        <v>8240</v>
      </c>
      <c r="I1789" s="5">
        <v>42024</v>
      </c>
      <c r="J1789" s="4" t="s">
        <v>4842</v>
      </c>
      <c r="K1789" s="4" t="s">
        <v>57</v>
      </c>
      <c r="L1789" s="4"/>
      <c r="M1789" s="4"/>
    </row>
    <row r="1790" ht="16" customHeight="1" s="4" customFormat="1">
      <c r="A1790" s="4">
        <v>1831</v>
      </c>
      <c r="B1790" s="4" t="s">
        <v>5694</v>
      </c>
      <c r="C1790" s="4" t="s">
        <v>5695</v>
      </c>
      <c r="D1790" s="4" t="s">
        <v>5985</v>
      </c>
      <c r="E1790" s="4" t="s">
        <v>5986</v>
      </c>
      <c r="F1790" s="4" t="s">
        <v>8241</v>
      </c>
      <c r="G1790" s="4" t="s">
        <v>5749</v>
      </c>
      <c r="H1790" s="4" t="s">
        <v>6295</v>
      </c>
      <c r="I1790" s="5">
        <v>42020</v>
      </c>
      <c r="J1790" s="4" t="s">
        <v>5506</v>
      </c>
      <c r="K1790" s="4" t="s">
        <v>57</v>
      </c>
      <c r="L1790" s="4"/>
      <c r="M1790" s="4"/>
    </row>
    <row r="1791" ht="16" customHeight="1" s="4" customFormat="1">
      <c r="A1791" s="4">
        <v>1832</v>
      </c>
      <c r="B1791" s="4" t="s">
        <v>5499</v>
      </c>
      <c r="C1791" s="4" t="s">
        <v>5519</v>
      </c>
      <c r="D1791" s="4"/>
      <c r="E1791" s="4" t="s">
        <v>6079</v>
      </c>
      <c r="F1791" s="4" t="s">
        <v>8242</v>
      </c>
      <c r="G1791" s="4" t="s">
        <v>8243</v>
      </c>
      <c r="H1791" s="4" t="s">
        <v>8244</v>
      </c>
      <c r="I1791" s="5">
        <v>42018</v>
      </c>
      <c r="J1791" s="4" t="s">
        <v>4798</v>
      </c>
      <c r="K1791" s="4" t="s">
        <v>57</v>
      </c>
      <c r="L1791" s="4"/>
      <c r="M1791" s="4"/>
    </row>
    <row r="1792" ht="16" customHeight="1" s="4" customFormat="1">
      <c r="A1792" s="4">
        <v>1833</v>
      </c>
      <c r="B1792" s="4" t="s">
        <v>5499</v>
      </c>
      <c r="C1792" s="4" t="s">
        <v>5519</v>
      </c>
      <c r="D1792" s="4"/>
      <c r="E1792" s="4" t="s">
        <v>5580</v>
      </c>
      <c r="F1792" s="4" t="s">
        <v>8245</v>
      </c>
      <c r="G1792" s="4" t="s">
        <v>8243</v>
      </c>
      <c r="H1792" s="4" t="s">
        <v>8244</v>
      </c>
      <c r="I1792" s="5">
        <v>42018</v>
      </c>
      <c r="J1792" s="4" t="s">
        <v>4798</v>
      </c>
      <c r="K1792" s="4" t="s">
        <v>57</v>
      </c>
      <c r="L1792" s="4"/>
      <c r="M1792" s="4"/>
    </row>
    <row r="1793" ht="16" customHeight="1" s="4" customFormat="1">
      <c r="A1793" s="4">
        <v>1834</v>
      </c>
      <c r="B1793" s="4" t="s">
        <v>5534</v>
      </c>
      <c r="C1793" s="4" t="s">
        <v>5631</v>
      </c>
      <c r="D1793" s="4"/>
      <c r="E1793" s="4"/>
      <c r="F1793" s="4" t="s">
        <v>8246</v>
      </c>
      <c r="G1793" s="4" t="s">
        <v>5632</v>
      </c>
      <c r="H1793" s="4" t="s">
        <v>5634</v>
      </c>
      <c r="I1793" s="5">
        <v>42017</v>
      </c>
      <c r="J1793" s="4" t="s">
        <v>5506</v>
      </c>
      <c r="K1793" s="4" t="s">
        <v>57</v>
      </c>
      <c r="L1793" s="4"/>
      <c r="M1793" s="4"/>
    </row>
    <row r="1794" ht="16" customHeight="1" s="4" customFormat="1">
      <c r="A1794" s="4">
        <v>1835</v>
      </c>
      <c r="B1794" s="4" t="s">
        <v>5534</v>
      </c>
      <c r="C1794" s="4" t="s">
        <v>5631</v>
      </c>
      <c r="D1794" s="4"/>
      <c r="E1794" s="4"/>
      <c r="F1794" s="4" t="s">
        <v>8247</v>
      </c>
      <c r="G1794" s="4" t="s">
        <v>5632</v>
      </c>
      <c r="H1794" s="4" t="s">
        <v>5634</v>
      </c>
      <c r="I1794" s="5">
        <v>42017</v>
      </c>
      <c r="J1794" s="4" t="s">
        <v>5506</v>
      </c>
      <c r="K1794" s="4" t="s">
        <v>57</v>
      </c>
      <c r="L1794" s="4"/>
      <c r="M1794" s="4"/>
    </row>
    <row r="1795" ht="16" customHeight="1" s="4" customFormat="1">
      <c r="A1795" s="4">
        <v>1836</v>
      </c>
      <c r="B1795" s="4" t="s">
        <v>5534</v>
      </c>
      <c r="C1795" s="4" t="s">
        <v>5631</v>
      </c>
      <c r="D1795" s="4"/>
      <c r="E1795" s="4"/>
      <c r="F1795" s="4" t="s">
        <v>8248</v>
      </c>
      <c r="G1795" s="4" t="s">
        <v>5632</v>
      </c>
      <c r="H1795" s="4" t="s">
        <v>5634</v>
      </c>
      <c r="I1795" s="5">
        <v>42017</v>
      </c>
      <c r="J1795" s="4" t="s">
        <v>5506</v>
      </c>
      <c r="K1795" s="4" t="s">
        <v>57</v>
      </c>
      <c r="L1795" s="4"/>
      <c r="M1795" s="4"/>
    </row>
    <row r="1796" ht="16" customHeight="1" s="4" customFormat="1">
      <c r="A1796" s="4">
        <v>1837</v>
      </c>
      <c r="B1796" s="4" t="s">
        <v>5534</v>
      </c>
      <c r="C1796" s="4" t="s">
        <v>5631</v>
      </c>
      <c r="D1796" s="4"/>
      <c r="E1796" s="4"/>
      <c r="F1796" s="4" t="s">
        <v>8249</v>
      </c>
      <c r="G1796" s="4" t="s">
        <v>5632</v>
      </c>
      <c r="H1796" s="4" t="s">
        <v>5634</v>
      </c>
      <c r="I1796" s="5">
        <v>42017</v>
      </c>
      <c r="J1796" s="4" t="s">
        <v>5506</v>
      </c>
      <c r="K1796" s="4" t="s">
        <v>57</v>
      </c>
      <c r="L1796" s="4"/>
      <c r="M1796" s="4"/>
    </row>
    <row r="1797" ht="16" customHeight="1" s="4" customFormat="1">
      <c r="A1797" s="4">
        <v>1838</v>
      </c>
      <c r="B1797" s="4" t="s">
        <v>5534</v>
      </c>
      <c r="C1797" s="4" t="s">
        <v>5631</v>
      </c>
      <c r="D1797" s="4"/>
      <c r="E1797" s="4"/>
      <c r="F1797" s="4" t="s">
        <v>8250</v>
      </c>
      <c r="G1797" s="4" t="s">
        <v>5632</v>
      </c>
      <c r="H1797" s="4" t="s">
        <v>5634</v>
      </c>
      <c r="I1797" s="5">
        <v>42017</v>
      </c>
      <c r="J1797" s="4" t="s">
        <v>5506</v>
      </c>
      <c r="K1797" s="4" t="s">
        <v>57</v>
      </c>
      <c r="L1797" s="4"/>
      <c r="M1797" s="4"/>
    </row>
    <row r="1798" ht="16" customHeight="1" s="4" customFormat="1">
      <c r="A1798" s="4">
        <v>1839</v>
      </c>
      <c r="B1798" s="4" t="s">
        <v>5499</v>
      </c>
      <c r="C1798" s="4" t="s">
        <v>5519</v>
      </c>
      <c r="D1798" s="4"/>
      <c r="E1798" s="4" t="s">
        <v>6079</v>
      </c>
      <c r="F1798" s="4" t="s">
        <v>8251</v>
      </c>
      <c r="G1798" s="4" t="s">
        <v>8252</v>
      </c>
      <c r="H1798" s="4" t="s">
        <v>8253</v>
      </c>
      <c r="I1798" s="5">
        <v>42017</v>
      </c>
      <c r="J1798" s="4" t="s">
        <v>4798</v>
      </c>
      <c r="K1798" s="4" t="s">
        <v>57</v>
      </c>
      <c r="L1798" s="4"/>
      <c r="M1798" s="4"/>
    </row>
    <row r="1799" ht="16" customHeight="1" s="4" customFormat="1">
      <c r="A1799" s="4">
        <v>1840</v>
      </c>
      <c r="B1799" s="4" t="s">
        <v>5534</v>
      </c>
      <c r="C1799" s="4" t="s">
        <v>5773</v>
      </c>
      <c r="D1799" s="4"/>
      <c r="E1799" s="4"/>
      <c r="F1799" s="4" t="s">
        <v>8254</v>
      </c>
      <c r="G1799" s="4" t="s">
        <v>5984</v>
      </c>
      <c r="H1799" s="4" t="s">
        <v>6046</v>
      </c>
      <c r="I1799" s="5">
        <v>42014</v>
      </c>
      <c r="J1799" s="4" t="s">
        <v>4842</v>
      </c>
      <c r="K1799" s="4" t="s">
        <v>57</v>
      </c>
      <c r="L1799" s="4"/>
      <c r="M1799" s="4"/>
    </row>
    <row r="1800" ht="16" customHeight="1" s="4" customFormat="1">
      <c r="A1800" s="4">
        <v>1841</v>
      </c>
      <c r="B1800" s="4" t="s">
        <v>6161</v>
      </c>
      <c r="C1800" s="4" t="s">
        <v>6162</v>
      </c>
      <c r="D1800" s="4" t="s">
        <v>5728</v>
      </c>
      <c r="E1800" s="4" t="s">
        <v>5515</v>
      </c>
      <c r="F1800" s="4" t="s">
        <v>8255</v>
      </c>
      <c r="G1800" s="4" t="s">
        <v>8256</v>
      </c>
      <c r="H1800" s="4" t="s">
        <v>6005</v>
      </c>
      <c r="I1800" s="5">
        <v>42011</v>
      </c>
      <c r="J1800" s="4" t="s">
        <v>4798</v>
      </c>
      <c r="K1800" s="4" t="s">
        <v>57</v>
      </c>
      <c r="L1800" s="4"/>
      <c r="M1800" s="4"/>
    </row>
    <row r="1801" ht="16" customHeight="1" s="4" customFormat="1">
      <c r="A1801" s="4">
        <v>1842</v>
      </c>
      <c r="B1801" s="4" t="s">
        <v>5534</v>
      </c>
      <c r="C1801" s="4" t="s">
        <v>5631</v>
      </c>
      <c r="D1801" s="4"/>
      <c r="E1801" s="4"/>
      <c r="F1801" s="4">
        <v>3300</v>
      </c>
      <c r="G1801" s="4" t="s">
        <v>5632</v>
      </c>
      <c r="H1801" s="4" t="s">
        <v>8130</v>
      </c>
      <c r="I1801" s="5">
        <v>41981</v>
      </c>
      <c r="J1801" s="4" t="s">
        <v>5506</v>
      </c>
      <c r="K1801" s="4" t="s">
        <v>57</v>
      </c>
      <c r="L1801" s="4"/>
      <c r="M1801" s="4"/>
    </row>
    <row r="1802" ht="16" customHeight="1" s="4" customFormat="1">
      <c r="A1802" s="4">
        <v>1843</v>
      </c>
      <c r="B1802" s="4" t="s">
        <v>5534</v>
      </c>
      <c r="C1802" s="4" t="s">
        <v>5631</v>
      </c>
      <c r="D1802" s="4"/>
      <c r="E1802" s="4"/>
      <c r="F1802" s="4">
        <v>3303</v>
      </c>
      <c r="G1802" s="4" t="s">
        <v>5632</v>
      </c>
      <c r="H1802" s="4" t="s">
        <v>6509</v>
      </c>
      <c r="I1802" s="5">
        <v>41981</v>
      </c>
      <c r="J1802" s="4" t="s">
        <v>5506</v>
      </c>
      <c r="K1802" s="4" t="s">
        <v>57</v>
      </c>
      <c r="L1802" s="4"/>
      <c r="M1802" s="4"/>
    </row>
    <row r="1803" ht="16" customHeight="1" s="4" customFormat="1">
      <c r="A1803" s="4">
        <v>1844</v>
      </c>
      <c r="B1803" s="4" t="s">
        <v>5534</v>
      </c>
      <c r="C1803" s="4" t="s">
        <v>5631</v>
      </c>
      <c r="D1803" s="4"/>
      <c r="E1803" s="4"/>
      <c r="F1803" s="4">
        <v>3306</v>
      </c>
      <c r="G1803" s="4" t="s">
        <v>5632</v>
      </c>
      <c r="H1803" s="4" t="s">
        <v>6509</v>
      </c>
      <c r="I1803" s="5">
        <v>41981</v>
      </c>
      <c r="J1803" s="4" t="s">
        <v>5506</v>
      </c>
      <c r="K1803" s="4" t="s">
        <v>57</v>
      </c>
      <c r="L1803" s="4"/>
      <c r="M1803" s="4"/>
    </row>
    <row r="1804" ht="16" customHeight="1" s="4" customFormat="1">
      <c r="A1804" s="4">
        <v>1845</v>
      </c>
      <c r="B1804" s="4" t="s">
        <v>5534</v>
      </c>
      <c r="C1804" s="4" t="s">
        <v>5631</v>
      </c>
      <c r="D1804" s="4"/>
      <c r="E1804" s="4"/>
      <c r="F1804" s="4">
        <v>3340</v>
      </c>
      <c r="G1804" s="4" t="s">
        <v>5632</v>
      </c>
      <c r="H1804" s="4" t="s">
        <v>8257</v>
      </c>
      <c r="I1804" s="5">
        <v>41981</v>
      </c>
      <c r="J1804" s="4" t="s">
        <v>5506</v>
      </c>
      <c r="K1804" s="4" t="s">
        <v>57</v>
      </c>
      <c r="L1804" s="4"/>
      <c r="M1804" s="4"/>
    </row>
    <row r="1805" ht="16" customHeight="1" s="4" customFormat="1">
      <c r="A1805" s="4">
        <v>1846</v>
      </c>
      <c r="B1805" s="4" t="s">
        <v>5534</v>
      </c>
      <c r="C1805" s="4" t="s">
        <v>5631</v>
      </c>
      <c r="D1805" s="4"/>
      <c r="E1805" s="4"/>
      <c r="F1805" s="4">
        <v>3344</v>
      </c>
      <c r="G1805" s="4" t="s">
        <v>5632</v>
      </c>
      <c r="H1805" s="4" t="s">
        <v>6509</v>
      </c>
      <c r="I1805" s="5">
        <v>41981</v>
      </c>
      <c r="J1805" s="4" t="s">
        <v>5506</v>
      </c>
      <c r="K1805" s="4" t="s">
        <v>57</v>
      </c>
      <c r="L1805" s="4"/>
      <c r="M1805" s="4"/>
    </row>
    <row r="1806" ht="16" customHeight="1" s="4" customFormat="1">
      <c r="A1806" s="4">
        <v>1847</v>
      </c>
      <c r="B1806" s="4" t="s">
        <v>5534</v>
      </c>
      <c r="C1806" s="4" t="s">
        <v>5631</v>
      </c>
      <c r="D1806" s="4"/>
      <c r="E1806" s="4"/>
      <c r="F1806" s="4" t="s">
        <v>8258</v>
      </c>
      <c r="G1806" s="4" t="s">
        <v>5632</v>
      </c>
      <c r="H1806" s="4" t="s">
        <v>8130</v>
      </c>
      <c r="I1806" s="5">
        <v>41981</v>
      </c>
      <c r="J1806" s="4" t="s">
        <v>5506</v>
      </c>
      <c r="K1806" s="4" t="s">
        <v>57</v>
      </c>
      <c r="L1806" s="4"/>
      <c r="M1806" s="4"/>
    </row>
    <row r="1807" ht="16" customHeight="1" s="4" customFormat="1">
      <c r="A1807" s="4">
        <v>1848</v>
      </c>
      <c r="B1807" s="4" t="s">
        <v>5534</v>
      </c>
      <c r="C1807" s="4" t="s">
        <v>5631</v>
      </c>
      <c r="D1807" s="4"/>
      <c r="E1807" s="4"/>
      <c r="F1807" s="4" t="s">
        <v>8259</v>
      </c>
      <c r="G1807" s="4" t="s">
        <v>5632</v>
      </c>
      <c r="H1807" s="4" t="s">
        <v>6509</v>
      </c>
      <c r="I1807" s="5">
        <v>41981</v>
      </c>
      <c r="J1807" s="4" t="s">
        <v>5506</v>
      </c>
      <c r="K1807" s="4" t="s">
        <v>57</v>
      </c>
      <c r="L1807" s="4"/>
      <c r="M1807" s="4"/>
    </row>
    <row r="1808" ht="16" customHeight="1" s="4" customFormat="1">
      <c r="A1808" s="4">
        <v>1849</v>
      </c>
      <c r="B1808" s="4" t="s">
        <v>5534</v>
      </c>
      <c r="C1808" s="4" t="s">
        <v>5631</v>
      </c>
      <c r="D1808" s="4"/>
      <c r="E1808" s="4"/>
      <c r="F1808" s="4" t="s">
        <v>8260</v>
      </c>
      <c r="G1808" s="4" t="s">
        <v>5632</v>
      </c>
      <c r="H1808" s="4" t="s">
        <v>6509</v>
      </c>
      <c r="I1808" s="5">
        <v>41981</v>
      </c>
      <c r="J1808" s="4" t="s">
        <v>5506</v>
      </c>
      <c r="K1808" s="4" t="s">
        <v>57</v>
      </c>
      <c r="L1808" s="4"/>
      <c r="M1808" s="4"/>
    </row>
    <row r="1809" ht="16" customHeight="1" s="4" customFormat="1">
      <c r="A1809" s="4">
        <v>1850</v>
      </c>
      <c r="B1809" s="4" t="s">
        <v>5534</v>
      </c>
      <c r="C1809" s="4" t="s">
        <v>5631</v>
      </c>
      <c r="D1809" s="4"/>
      <c r="E1809" s="4"/>
      <c r="F1809" s="4" t="s">
        <v>8261</v>
      </c>
      <c r="G1809" s="4" t="s">
        <v>5632</v>
      </c>
      <c r="H1809" s="4" t="s">
        <v>8257</v>
      </c>
      <c r="I1809" s="5">
        <v>41981</v>
      </c>
      <c r="J1809" s="4" t="s">
        <v>5506</v>
      </c>
      <c r="K1809" s="4" t="s">
        <v>57</v>
      </c>
      <c r="L1809" s="4"/>
      <c r="M1809" s="4"/>
    </row>
    <row r="1810" ht="16" customHeight="1" s="4" customFormat="1">
      <c r="A1810" s="4">
        <v>1852</v>
      </c>
      <c r="B1810" s="4" t="s">
        <v>5534</v>
      </c>
      <c r="C1810" s="4" t="s">
        <v>5773</v>
      </c>
      <c r="D1810" s="4"/>
      <c r="E1810" s="4"/>
      <c r="F1810" s="4" t="s">
        <v>8262</v>
      </c>
      <c r="G1810" s="4" t="s">
        <v>8263</v>
      </c>
      <c r="H1810" s="4" t="s">
        <v>8264</v>
      </c>
      <c r="I1810" s="5">
        <v>41975</v>
      </c>
      <c r="J1810" s="4" t="s">
        <v>5506</v>
      </c>
      <c r="K1810" s="4" t="s">
        <v>57</v>
      </c>
      <c r="L1810" s="4"/>
      <c r="M1810" s="4"/>
    </row>
    <row r="1811" ht="16" customHeight="1" s="4" customFormat="1">
      <c r="A1811" s="4">
        <v>1853</v>
      </c>
      <c r="B1811" s="4" t="s">
        <v>6161</v>
      </c>
      <c r="C1811" s="4" t="s">
        <v>6162</v>
      </c>
      <c r="D1811" s="4" t="s">
        <v>5728</v>
      </c>
      <c r="E1811" s="4" t="s">
        <v>5729</v>
      </c>
      <c r="F1811" s="4" t="s">
        <v>8265</v>
      </c>
      <c r="G1811" s="4" t="s">
        <v>6535</v>
      </c>
      <c r="H1811" s="4" t="s">
        <v>6005</v>
      </c>
      <c r="I1811" s="5">
        <v>41971</v>
      </c>
      <c r="J1811" s="4" t="s">
        <v>4798</v>
      </c>
      <c r="K1811" s="4" t="s">
        <v>57</v>
      </c>
      <c r="L1811" s="4"/>
      <c r="M1811" s="4"/>
    </row>
    <row r="1812" ht="16" customHeight="1" s="4" customFormat="1">
      <c r="A1812" s="4">
        <v>1854</v>
      </c>
      <c r="B1812" s="4" t="s">
        <v>5534</v>
      </c>
      <c r="C1812" s="4" t="s">
        <v>5631</v>
      </c>
      <c r="D1812" s="4"/>
      <c r="E1812" s="4"/>
      <c r="F1812" s="4" t="s">
        <v>8266</v>
      </c>
      <c r="G1812" s="4" t="s">
        <v>5632</v>
      </c>
      <c r="H1812" s="4" t="s">
        <v>5636</v>
      </c>
      <c r="I1812" s="5">
        <v>41957</v>
      </c>
      <c r="J1812" s="4" t="s">
        <v>5506</v>
      </c>
      <c r="K1812" s="4" t="s">
        <v>57</v>
      </c>
      <c r="L1812" s="4"/>
      <c r="M1812" s="4"/>
    </row>
    <row r="1813" ht="16" customHeight="1" s="4" customFormat="1">
      <c r="A1813" s="4">
        <v>1855</v>
      </c>
      <c r="B1813" s="4" t="s">
        <v>5534</v>
      </c>
      <c r="C1813" s="4" t="s">
        <v>5631</v>
      </c>
      <c r="D1813" s="4"/>
      <c r="E1813" s="4"/>
      <c r="F1813" s="4" t="s">
        <v>8267</v>
      </c>
      <c r="G1813" s="4" t="s">
        <v>5632</v>
      </c>
      <c r="H1813" s="4" t="s">
        <v>5636</v>
      </c>
      <c r="I1813" s="5">
        <v>41957</v>
      </c>
      <c r="J1813" s="4" t="s">
        <v>5506</v>
      </c>
      <c r="K1813" s="4" t="s">
        <v>57</v>
      </c>
      <c r="L1813" s="4"/>
      <c r="M1813" s="4"/>
    </row>
    <row r="1814" ht="16" customHeight="1" s="4" customFormat="1">
      <c r="A1814" s="4">
        <v>1856</v>
      </c>
      <c r="B1814" s="4" t="s">
        <v>5534</v>
      </c>
      <c r="C1814" s="4" t="s">
        <v>5631</v>
      </c>
      <c r="D1814" s="4"/>
      <c r="E1814" s="4"/>
      <c r="F1814" s="4" t="s">
        <v>8268</v>
      </c>
      <c r="G1814" s="4" t="s">
        <v>5632</v>
      </c>
      <c r="H1814" s="4" t="s">
        <v>5636</v>
      </c>
      <c r="I1814" s="5">
        <v>41957</v>
      </c>
      <c r="J1814" s="4" t="s">
        <v>5506</v>
      </c>
      <c r="K1814" s="4" t="s">
        <v>57</v>
      </c>
      <c r="L1814" s="4"/>
      <c r="M1814" s="4"/>
    </row>
    <row r="1815" ht="16" customHeight="1" s="4" customFormat="1">
      <c r="A1815" s="4">
        <v>1857</v>
      </c>
      <c r="B1815" s="4" t="s">
        <v>5534</v>
      </c>
      <c r="C1815" s="4" t="s">
        <v>5631</v>
      </c>
      <c r="D1815" s="4"/>
      <c r="E1815" s="4"/>
      <c r="F1815" s="4" t="s">
        <v>8269</v>
      </c>
      <c r="G1815" s="4" t="s">
        <v>5632</v>
      </c>
      <c r="H1815" s="4" t="s">
        <v>5636</v>
      </c>
      <c r="I1815" s="5">
        <v>41957</v>
      </c>
      <c r="J1815" s="4" t="s">
        <v>5506</v>
      </c>
      <c r="K1815" s="4" t="s">
        <v>57</v>
      </c>
      <c r="L1815" s="4"/>
      <c r="M1815" s="4"/>
    </row>
    <row r="1816" ht="16" customHeight="1" s="4" customFormat="1">
      <c r="A1816" s="4">
        <v>1858</v>
      </c>
      <c r="B1816" s="4" t="s">
        <v>5534</v>
      </c>
      <c r="C1816" s="4" t="s">
        <v>5631</v>
      </c>
      <c r="D1816" s="4"/>
      <c r="E1816" s="4"/>
      <c r="F1816" s="4" t="s">
        <v>8270</v>
      </c>
      <c r="G1816" s="4" t="s">
        <v>5632</v>
      </c>
      <c r="H1816" s="4" t="s">
        <v>5636</v>
      </c>
      <c r="I1816" s="5">
        <v>41957</v>
      </c>
      <c r="J1816" s="4" t="s">
        <v>5506</v>
      </c>
      <c r="K1816" s="4" t="s">
        <v>57</v>
      </c>
      <c r="L1816" s="4"/>
      <c r="M1816" s="4"/>
    </row>
    <row r="1817" ht="16" customHeight="1" s="4" customFormat="1">
      <c r="A1817" s="4">
        <v>1859</v>
      </c>
      <c r="B1817" s="4" t="s">
        <v>5534</v>
      </c>
      <c r="C1817" s="4" t="s">
        <v>5631</v>
      </c>
      <c r="D1817" s="4"/>
      <c r="E1817" s="4"/>
      <c r="F1817" s="4" t="s">
        <v>8271</v>
      </c>
      <c r="G1817" s="4" t="s">
        <v>5632</v>
      </c>
      <c r="H1817" s="4" t="s">
        <v>5636</v>
      </c>
      <c r="I1817" s="5">
        <v>41957</v>
      </c>
      <c r="J1817" s="4" t="s">
        <v>5506</v>
      </c>
      <c r="K1817" s="4" t="s">
        <v>57</v>
      </c>
      <c r="L1817" s="4"/>
      <c r="M1817" s="4"/>
    </row>
    <row r="1818" ht="16" customHeight="1" s="4" customFormat="1">
      <c r="A1818" s="4">
        <v>1860</v>
      </c>
      <c r="B1818" s="4" t="s">
        <v>5534</v>
      </c>
      <c r="C1818" s="4" t="s">
        <v>5631</v>
      </c>
      <c r="D1818" s="4"/>
      <c r="E1818" s="4"/>
      <c r="F1818" s="4" t="s">
        <v>8272</v>
      </c>
      <c r="G1818" s="4" t="s">
        <v>5632</v>
      </c>
      <c r="H1818" s="4" t="s">
        <v>5636</v>
      </c>
      <c r="I1818" s="5">
        <v>41957</v>
      </c>
      <c r="J1818" s="4" t="s">
        <v>5506</v>
      </c>
      <c r="K1818" s="4" t="s">
        <v>57</v>
      </c>
      <c r="L1818" s="4"/>
      <c r="M1818" s="4"/>
    </row>
    <row r="1819" ht="16" customHeight="1" s="4" customFormat="1">
      <c r="A1819" s="4">
        <v>1861</v>
      </c>
      <c r="B1819" s="4" t="s">
        <v>5534</v>
      </c>
      <c r="C1819" s="4" t="s">
        <v>5631</v>
      </c>
      <c r="D1819" s="4"/>
      <c r="E1819" s="4"/>
      <c r="F1819" s="4" t="s">
        <v>8273</v>
      </c>
      <c r="G1819" s="4" t="s">
        <v>5632</v>
      </c>
      <c r="H1819" s="4" t="s">
        <v>5636</v>
      </c>
      <c r="I1819" s="5">
        <v>41957</v>
      </c>
      <c r="J1819" s="4" t="s">
        <v>5506</v>
      </c>
      <c r="K1819" s="4" t="s">
        <v>57</v>
      </c>
      <c r="L1819" s="4"/>
      <c r="M1819" s="4"/>
    </row>
    <row r="1820" ht="16" customHeight="1" s="4" customFormat="1">
      <c r="A1820" s="4">
        <v>1862</v>
      </c>
      <c r="B1820" s="4" t="s">
        <v>5534</v>
      </c>
      <c r="C1820" s="4" t="s">
        <v>5631</v>
      </c>
      <c r="D1820" s="4"/>
      <c r="E1820" s="4"/>
      <c r="F1820" s="4" t="s">
        <v>8274</v>
      </c>
      <c r="G1820" s="4" t="s">
        <v>5632</v>
      </c>
      <c r="H1820" s="4" t="s">
        <v>5636</v>
      </c>
      <c r="I1820" s="5">
        <v>41957</v>
      </c>
      <c r="J1820" s="4" t="s">
        <v>5506</v>
      </c>
      <c r="K1820" s="4" t="s">
        <v>57</v>
      </c>
      <c r="L1820" s="4"/>
      <c r="M1820" s="4"/>
    </row>
    <row r="1821" ht="16" customHeight="1" s="4" customFormat="1">
      <c r="A1821" s="4">
        <v>1863</v>
      </c>
      <c r="B1821" s="4" t="s">
        <v>5534</v>
      </c>
      <c r="C1821" s="4" t="s">
        <v>5631</v>
      </c>
      <c r="D1821" s="4"/>
      <c r="E1821" s="4"/>
      <c r="F1821" s="4" t="s">
        <v>8275</v>
      </c>
      <c r="G1821" s="4" t="s">
        <v>5632</v>
      </c>
      <c r="H1821" s="4" t="s">
        <v>5636</v>
      </c>
      <c r="I1821" s="5">
        <v>41957</v>
      </c>
      <c r="J1821" s="4" t="s">
        <v>5506</v>
      </c>
      <c r="K1821" s="4" t="s">
        <v>57</v>
      </c>
      <c r="L1821" s="4"/>
      <c r="M1821" s="4"/>
    </row>
    <row r="1822" ht="16" customHeight="1" s="4" customFormat="1">
      <c r="A1822" s="4">
        <v>1864</v>
      </c>
      <c r="B1822" s="4" t="s">
        <v>5534</v>
      </c>
      <c r="C1822" s="4" t="s">
        <v>5631</v>
      </c>
      <c r="D1822" s="4"/>
      <c r="E1822" s="4"/>
      <c r="F1822" s="4" t="s">
        <v>8276</v>
      </c>
      <c r="G1822" s="4" t="s">
        <v>5632</v>
      </c>
      <c r="H1822" s="4" t="s">
        <v>5636</v>
      </c>
      <c r="I1822" s="5">
        <v>41957</v>
      </c>
      <c r="J1822" s="4" t="s">
        <v>5506</v>
      </c>
      <c r="K1822" s="4" t="s">
        <v>57</v>
      </c>
      <c r="L1822" s="4"/>
      <c r="M1822" s="4"/>
    </row>
    <row r="1823" ht="16" customHeight="1" s="4" customFormat="1">
      <c r="A1823" s="4">
        <v>1865</v>
      </c>
      <c r="B1823" s="4" t="s">
        <v>5534</v>
      </c>
      <c r="C1823" s="4" t="s">
        <v>5631</v>
      </c>
      <c r="D1823" s="4"/>
      <c r="E1823" s="4"/>
      <c r="F1823" s="4" t="s">
        <v>8277</v>
      </c>
      <c r="G1823" s="4" t="s">
        <v>5632</v>
      </c>
      <c r="H1823" s="4" t="s">
        <v>5636</v>
      </c>
      <c r="I1823" s="5">
        <v>41957</v>
      </c>
      <c r="J1823" s="4" t="s">
        <v>5506</v>
      </c>
      <c r="K1823" s="4" t="s">
        <v>57</v>
      </c>
      <c r="L1823" s="4"/>
      <c r="M1823" s="4"/>
    </row>
    <row r="1824" ht="16" customHeight="1" s="4" customFormat="1">
      <c r="A1824" s="4">
        <v>1866</v>
      </c>
      <c r="B1824" s="4" t="s">
        <v>5534</v>
      </c>
      <c r="C1824" s="4" t="s">
        <v>5631</v>
      </c>
      <c r="D1824" s="4"/>
      <c r="E1824" s="4"/>
      <c r="F1824" s="4" t="s">
        <v>8278</v>
      </c>
      <c r="G1824" s="4" t="s">
        <v>5632</v>
      </c>
      <c r="H1824" s="4" t="s">
        <v>5636</v>
      </c>
      <c r="I1824" s="5">
        <v>41957</v>
      </c>
      <c r="J1824" s="4" t="s">
        <v>5506</v>
      </c>
      <c r="K1824" s="4" t="s">
        <v>57</v>
      </c>
      <c r="L1824" s="4"/>
      <c r="M1824" s="4"/>
    </row>
    <row r="1825" ht="16" customHeight="1" s="4" customFormat="1">
      <c r="A1825" s="4">
        <v>1867</v>
      </c>
      <c r="B1825" s="4" t="s">
        <v>5499</v>
      </c>
      <c r="C1825" s="4" t="s">
        <v>5573</v>
      </c>
      <c r="D1825" s="4" t="s">
        <v>5574</v>
      </c>
      <c r="E1825" s="4" t="s">
        <v>5575</v>
      </c>
      <c r="F1825" s="4" t="s">
        <v>8279</v>
      </c>
      <c r="G1825" s="4" t="s">
        <v>6419</v>
      </c>
      <c r="H1825" s="4" t="s">
        <v>8280</v>
      </c>
      <c r="I1825" s="5">
        <v>41946</v>
      </c>
      <c r="J1825" s="4" t="s">
        <v>4798</v>
      </c>
      <c r="K1825" s="4" t="s">
        <v>57</v>
      </c>
      <c r="L1825" s="4"/>
      <c r="M1825" s="4"/>
    </row>
    <row r="1826" ht="16" customHeight="1" s="4" customFormat="1">
      <c r="A1826" s="4">
        <v>1869</v>
      </c>
      <c r="B1826" s="4" t="s">
        <v>5499</v>
      </c>
      <c r="C1826" s="4" t="s">
        <v>5519</v>
      </c>
      <c r="D1826" s="4"/>
      <c r="E1826" s="4" t="s">
        <v>6188</v>
      </c>
      <c r="F1826" s="4" t="s">
        <v>8281</v>
      </c>
      <c r="G1826" s="4" t="s">
        <v>8282</v>
      </c>
      <c r="H1826" s="4" t="s">
        <v>8282</v>
      </c>
      <c r="I1826" s="5">
        <v>41944</v>
      </c>
      <c r="J1826" s="4" t="s">
        <v>4798</v>
      </c>
      <c r="K1826" s="4" t="s">
        <v>57</v>
      </c>
      <c r="L1826" s="4"/>
      <c r="M1826" s="4"/>
    </row>
    <row r="1827" ht="16" customHeight="1" s="4" customFormat="1">
      <c r="A1827" s="4">
        <v>1870</v>
      </c>
      <c r="B1827" s="4" t="s">
        <v>5499</v>
      </c>
      <c r="C1827" s="4" t="s">
        <v>5519</v>
      </c>
      <c r="D1827" s="4"/>
      <c r="E1827" s="4" t="s">
        <v>6188</v>
      </c>
      <c r="F1827" s="4" t="s">
        <v>8283</v>
      </c>
      <c r="G1827" s="4" t="s">
        <v>8282</v>
      </c>
      <c r="H1827" s="4" t="s">
        <v>8282</v>
      </c>
      <c r="I1827" s="5">
        <v>41944</v>
      </c>
      <c r="J1827" s="4" t="s">
        <v>4798</v>
      </c>
      <c r="K1827" s="4" t="s">
        <v>57</v>
      </c>
      <c r="L1827" s="4"/>
      <c r="M1827" s="4"/>
    </row>
    <row r="1828" ht="16" customHeight="1" s="4" customFormat="1">
      <c r="A1828" s="4">
        <v>1871</v>
      </c>
      <c r="B1828" s="4" t="s">
        <v>5499</v>
      </c>
      <c r="C1828" s="4" t="s">
        <v>5519</v>
      </c>
      <c r="D1828" s="4"/>
      <c r="E1828" s="4" t="s">
        <v>6188</v>
      </c>
      <c r="F1828" s="4" t="s">
        <v>8284</v>
      </c>
      <c r="G1828" s="4" t="s">
        <v>5984</v>
      </c>
      <c r="H1828" s="4" t="s">
        <v>5984</v>
      </c>
      <c r="I1828" s="5">
        <v>41944</v>
      </c>
      <c r="J1828" s="4" t="s">
        <v>4798</v>
      </c>
      <c r="K1828" s="4" t="s">
        <v>57</v>
      </c>
      <c r="L1828" s="4"/>
      <c r="M1828" s="4"/>
    </row>
    <row r="1829" ht="16" customHeight="1" s="4" customFormat="1">
      <c r="A1829" s="4">
        <v>1872</v>
      </c>
      <c r="B1829" s="4" t="s">
        <v>5534</v>
      </c>
      <c r="C1829" s="4" t="s">
        <v>5631</v>
      </c>
      <c r="D1829" s="4"/>
      <c r="E1829" s="4"/>
      <c r="F1829" s="4" t="s">
        <v>8285</v>
      </c>
      <c r="G1829" s="4" t="s">
        <v>5632</v>
      </c>
      <c r="H1829" s="4" t="s">
        <v>5636</v>
      </c>
      <c r="I1829" s="5">
        <v>41942</v>
      </c>
      <c r="J1829" s="4" t="s">
        <v>5506</v>
      </c>
      <c r="K1829" s="4" t="s">
        <v>57</v>
      </c>
      <c r="L1829" s="4"/>
      <c r="M1829" s="4"/>
    </row>
    <row r="1830" ht="16" customHeight="1" s="4" customFormat="1">
      <c r="A1830" s="4">
        <v>1873</v>
      </c>
      <c r="B1830" s="4" t="s">
        <v>5534</v>
      </c>
      <c r="C1830" s="4" t="s">
        <v>5631</v>
      </c>
      <c r="D1830" s="4"/>
      <c r="E1830" s="4"/>
      <c r="F1830" s="4" t="s">
        <v>8286</v>
      </c>
      <c r="G1830" s="4" t="s">
        <v>5632</v>
      </c>
      <c r="H1830" s="4" t="s">
        <v>5636</v>
      </c>
      <c r="I1830" s="5">
        <v>41942</v>
      </c>
      <c r="J1830" s="4" t="s">
        <v>5506</v>
      </c>
      <c r="K1830" s="4" t="s">
        <v>57</v>
      </c>
      <c r="L1830" s="4"/>
      <c r="M1830" s="4"/>
    </row>
    <row r="1831" ht="16" customHeight="1" s="4" customFormat="1">
      <c r="A1831" s="4">
        <v>1874</v>
      </c>
      <c r="B1831" s="4" t="s">
        <v>5534</v>
      </c>
      <c r="C1831" s="4" t="s">
        <v>5631</v>
      </c>
      <c r="D1831" s="4"/>
      <c r="E1831" s="4"/>
      <c r="F1831" s="4" t="s">
        <v>8287</v>
      </c>
      <c r="G1831" s="4" t="s">
        <v>5632</v>
      </c>
      <c r="H1831" s="4" t="s">
        <v>5634</v>
      </c>
      <c r="I1831" s="5">
        <v>41942</v>
      </c>
      <c r="J1831" s="4" t="s">
        <v>5506</v>
      </c>
      <c r="K1831" s="4" t="s">
        <v>57</v>
      </c>
      <c r="L1831" s="4"/>
      <c r="M1831" s="4"/>
    </row>
    <row r="1832" ht="16" customHeight="1" s="4" customFormat="1">
      <c r="A1832" s="4">
        <v>1875</v>
      </c>
      <c r="B1832" s="4" t="s">
        <v>5534</v>
      </c>
      <c r="C1832" s="4" t="s">
        <v>5631</v>
      </c>
      <c r="D1832" s="4"/>
      <c r="E1832" s="4"/>
      <c r="F1832" s="4" t="s">
        <v>8288</v>
      </c>
      <c r="G1832" s="4" t="s">
        <v>5632</v>
      </c>
      <c r="H1832" s="4" t="s">
        <v>8289</v>
      </c>
      <c r="I1832" s="5">
        <v>41942</v>
      </c>
      <c r="J1832" s="4" t="s">
        <v>5506</v>
      </c>
      <c r="K1832" s="4" t="s">
        <v>57</v>
      </c>
      <c r="L1832" s="4"/>
      <c r="M1832" s="4"/>
    </row>
    <row r="1833" ht="16" customHeight="1" s="4" customFormat="1">
      <c r="A1833" s="4">
        <v>1876</v>
      </c>
      <c r="B1833" s="4" t="s">
        <v>5499</v>
      </c>
      <c r="C1833" s="4" t="s">
        <v>5519</v>
      </c>
      <c r="D1833" s="4"/>
      <c r="E1833" s="4" t="s">
        <v>5584</v>
      </c>
      <c r="F1833" s="4" t="s">
        <v>8290</v>
      </c>
      <c r="G1833" s="4" t="s">
        <v>8291</v>
      </c>
      <c r="H1833" s="4" t="s">
        <v>8292</v>
      </c>
      <c r="I1833" s="5">
        <v>41942</v>
      </c>
      <c r="J1833" s="4" t="s">
        <v>4798</v>
      </c>
      <c r="K1833" s="4" t="s">
        <v>57</v>
      </c>
      <c r="L1833" s="4"/>
      <c r="M1833" s="4"/>
    </row>
    <row r="1834" ht="16" customHeight="1" s="4" customFormat="1">
      <c r="A1834" s="4">
        <v>1877</v>
      </c>
      <c r="B1834" s="4" t="s">
        <v>5499</v>
      </c>
      <c r="C1834" s="4" t="s">
        <v>5519</v>
      </c>
      <c r="D1834" s="4"/>
      <c r="E1834" s="4" t="s">
        <v>5641</v>
      </c>
      <c r="F1834" s="4" t="s">
        <v>8293</v>
      </c>
      <c r="G1834" s="4" t="s">
        <v>8291</v>
      </c>
      <c r="H1834" s="4" t="s">
        <v>8292</v>
      </c>
      <c r="I1834" s="5">
        <v>41942</v>
      </c>
      <c r="J1834" s="4" t="s">
        <v>4798</v>
      </c>
      <c r="K1834" s="4" t="s">
        <v>57</v>
      </c>
      <c r="L1834" s="4"/>
      <c r="M1834" s="4"/>
    </row>
    <row r="1835" ht="16" customHeight="1" s="4" customFormat="1">
      <c r="A1835" s="4">
        <v>1878</v>
      </c>
      <c r="B1835" s="4" t="s">
        <v>5534</v>
      </c>
      <c r="C1835" s="4" t="s">
        <v>5773</v>
      </c>
      <c r="D1835" s="4"/>
      <c r="E1835" s="4"/>
      <c r="F1835" s="4" t="s">
        <v>8294</v>
      </c>
      <c r="G1835" s="4" t="s">
        <v>5675</v>
      </c>
      <c r="H1835" s="4" t="s">
        <v>5853</v>
      </c>
      <c r="I1835" s="5">
        <v>41932</v>
      </c>
      <c r="J1835" s="4" t="s">
        <v>4842</v>
      </c>
      <c r="K1835" s="4" t="s">
        <v>57</v>
      </c>
      <c r="L1835" s="4"/>
      <c r="M1835" s="4"/>
    </row>
    <row r="1836" ht="16" customHeight="1" s="4" customFormat="1">
      <c r="A1836" s="4">
        <v>1879</v>
      </c>
      <c r="B1836" s="4" t="s">
        <v>5534</v>
      </c>
      <c r="C1836" s="4" t="s">
        <v>5631</v>
      </c>
      <c r="D1836" s="4"/>
      <c r="E1836" s="4"/>
      <c r="F1836" s="4" t="s">
        <v>8295</v>
      </c>
      <c r="G1836" s="4" t="s">
        <v>5632</v>
      </c>
      <c r="H1836" s="4" t="s">
        <v>5634</v>
      </c>
      <c r="I1836" s="5">
        <v>41926</v>
      </c>
      <c r="J1836" s="4" t="s">
        <v>5506</v>
      </c>
      <c r="K1836" s="4" t="s">
        <v>57</v>
      </c>
      <c r="L1836" s="4"/>
      <c r="M1836" s="4"/>
    </row>
    <row r="1837" ht="16" customHeight="1" s="4" customFormat="1">
      <c r="A1837" s="4">
        <v>1880</v>
      </c>
      <c r="B1837" s="4" t="s">
        <v>5534</v>
      </c>
      <c r="C1837" s="4" t="s">
        <v>5631</v>
      </c>
      <c r="D1837" s="4"/>
      <c r="E1837" s="4"/>
      <c r="F1837" s="4" t="s">
        <v>8296</v>
      </c>
      <c r="G1837" s="4" t="s">
        <v>5632</v>
      </c>
      <c r="H1837" s="4" t="s">
        <v>5998</v>
      </c>
      <c r="I1837" s="5">
        <v>41926</v>
      </c>
      <c r="J1837" s="4" t="s">
        <v>5506</v>
      </c>
      <c r="K1837" s="4" t="s">
        <v>57</v>
      </c>
      <c r="L1837" s="4"/>
      <c r="M1837" s="4"/>
    </row>
    <row r="1838" ht="16" customHeight="1" s="4" customFormat="1">
      <c r="A1838" s="4">
        <v>1881</v>
      </c>
      <c r="B1838" s="4" t="s">
        <v>5534</v>
      </c>
      <c r="C1838" s="4" t="s">
        <v>5631</v>
      </c>
      <c r="D1838" s="4"/>
      <c r="E1838" s="4"/>
      <c r="F1838" s="4" t="s">
        <v>8297</v>
      </c>
      <c r="G1838" s="4" t="s">
        <v>5632</v>
      </c>
      <c r="H1838" s="4" t="s">
        <v>5634</v>
      </c>
      <c r="I1838" s="5">
        <v>41926</v>
      </c>
      <c r="J1838" s="4" t="s">
        <v>5506</v>
      </c>
      <c r="K1838" s="4" t="s">
        <v>57</v>
      </c>
      <c r="L1838" s="4"/>
      <c r="M1838" s="4"/>
    </row>
    <row r="1839" ht="16" customHeight="1" s="4" customFormat="1">
      <c r="A1839" s="4">
        <v>1882</v>
      </c>
      <c r="B1839" s="4" t="s">
        <v>5534</v>
      </c>
      <c r="C1839" s="4" t="s">
        <v>5631</v>
      </c>
      <c r="D1839" s="4"/>
      <c r="E1839" s="4"/>
      <c r="F1839" s="4" t="s">
        <v>8298</v>
      </c>
      <c r="G1839" s="4" t="s">
        <v>5632</v>
      </c>
      <c r="H1839" s="4" t="s">
        <v>5636</v>
      </c>
      <c r="I1839" s="5">
        <v>41926</v>
      </c>
      <c r="J1839" s="4" t="s">
        <v>5506</v>
      </c>
      <c r="K1839" s="4" t="s">
        <v>57</v>
      </c>
      <c r="L1839" s="4"/>
      <c r="M1839" s="4"/>
    </row>
    <row r="1840" ht="16" customHeight="1" s="4" customFormat="1">
      <c r="A1840" s="4">
        <v>1883</v>
      </c>
      <c r="B1840" s="4" t="s">
        <v>5534</v>
      </c>
      <c r="C1840" s="4" t="s">
        <v>5631</v>
      </c>
      <c r="D1840" s="4"/>
      <c r="E1840" s="4"/>
      <c r="F1840" s="4" t="s">
        <v>8299</v>
      </c>
      <c r="G1840" s="4" t="s">
        <v>5632</v>
      </c>
      <c r="H1840" s="4" t="s">
        <v>5636</v>
      </c>
      <c r="I1840" s="5">
        <v>41926</v>
      </c>
      <c r="J1840" s="4" t="s">
        <v>5506</v>
      </c>
      <c r="K1840" s="4" t="s">
        <v>57</v>
      </c>
      <c r="L1840" s="4"/>
      <c r="M1840" s="4"/>
    </row>
    <row r="1841" ht="16" customHeight="1" s="4" customFormat="1">
      <c r="A1841" s="4">
        <v>1884</v>
      </c>
      <c r="B1841" s="4" t="s">
        <v>5499</v>
      </c>
      <c r="C1841" s="4" t="s">
        <v>5519</v>
      </c>
      <c r="D1841" s="4"/>
      <c r="E1841" s="4" t="s">
        <v>6079</v>
      </c>
      <c r="F1841" s="4" t="s">
        <v>8300</v>
      </c>
      <c r="G1841" s="4" t="s">
        <v>8301</v>
      </c>
      <c r="H1841" s="4" t="s">
        <v>8244</v>
      </c>
      <c r="I1841" s="5">
        <v>41925</v>
      </c>
      <c r="J1841" s="4" t="s">
        <v>4798</v>
      </c>
      <c r="K1841" s="4" t="s">
        <v>57</v>
      </c>
      <c r="L1841" s="4"/>
      <c r="M1841" s="4"/>
    </row>
    <row r="1842" ht="16" customHeight="1" s="4" customFormat="1">
      <c r="A1842" s="4">
        <v>1974</v>
      </c>
      <c r="B1842" s="4" t="s">
        <v>5534</v>
      </c>
      <c r="C1842" s="4" t="s">
        <v>5773</v>
      </c>
      <c r="D1842" s="4"/>
      <c r="E1842" s="4"/>
      <c r="F1842" s="4" t="s">
        <v>8302</v>
      </c>
      <c r="G1842" s="4" t="s">
        <v>5817</v>
      </c>
      <c r="H1842" s="4" t="s">
        <v>5818</v>
      </c>
      <c r="I1842" s="5">
        <v>41815</v>
      </c>
      <c r="J1842" s="4" t="s">
        <v>4798</v>
      </c>
      <c r="K1842" s="4" t="s">
        <v>57</v>
      </c>
      <c r="L1842" s="4"/>
      <c r="M1842" s="4"/>
    </row>
    <row r="1843" ht="16" customHeight="1" s="4" customFormat="1">
      <c r="A1843" s="4">
        <v>1885</v>
      </c>
      <c r="B1843" s="4" t="s">
        <v>5499</v>
      </c>
      <c r="C1843" s="4" t="s">
        <v>5519</v>
      </c>
      <c r="D1843" s="4"/>
      <c r="E1843" s="4" t="s">
        <v>5641</v>
      </c>
      <c r="F1843" s="4" t="s">
        <v>8303</v>
      </c>
      <c r="G1843" s="4" t="s">
        <v>8304</v>
      </c>
      <c r="H1843" s="4" t="s">
        <v>8292</v>
      </c>
      <c r="I1843" s="5">
        <v>41921</v>
      </c>
      <c r="J1843" s="4" t="s">
        <v>4798</v>
      </c>
      <c r="K1843" s="4" t="s">
        <v>57</v>
      </c>
      <c r="L1843" s="4"/>
      <c r="M1843" s="4"/>
    </row>
    <row r="1844" ht="16" customHeight="1" s="4" customFormat="1">
      <c r="A1844" s="4">
        <v>1886</v>
      </c>
      <c r="B1844" s="4" t="s">
        <v>5499</v>
      </c>
      <c r="C1844" s="4" t="s">
        <v>5519</v>
      </c>
      <c r="D1844" s="4"/>
      <c r="E1844" s="4" t="s">
        <v>6188</v>
      </c>
      <c r="F1844" s="4" t="s">
        <v>8305</v>
      </c>
      <c r="G1844" s="4" t="s">
        <v>8304</v>
      </c>
      <c r="H1844" s="4" t="s">
        <v>8304</v>
      </c>
      <c r="I1844" s="5">
        <v>41921</v>
      </c>
      <c r="J1844" s="4" t="s">
        <v>4798</v>
      </c>
      <c r="K1844" s="4" t="s">
        <v>57</v>
      </c>
      <c r="L1844" s="4"/>
      <c r="M1844" s="4"/>
    </row>
    <row r="1845" ht="16" customHeight="1" s="4" customFormat="1">
      <c r="A1845" s="4">
        <v>1887</v>
      </c>
      <c r="B1845" s="4" t="s">
        <v>5499</v>
      </c>
      <c r="C1845" s="4" t="s">
        <v>5519</v>
      </c>
      <c r="D1845" s="4"/>
      <c r="E1845" s="4" t="s">
        <v>8306</v>
      </c>
      <c r="F1845" s="4" t="s">
        <v>8307</v>
      </c>
      <c r="G1845" s="4" t="s">
        <v>8304</v>
      </c>
      <c r="H1845" s="4" t="s">
        <v>8304</v>
      </c>
      <c r="I1845" s="5">
        <v>41921</v>
      </c>
      <c r="J1845" s="4" t="s">
        <v>4798</v>
      </c>
      <c r="K1845" s="4" t="s">
        <v>57</v>
      </c>
      <c r="L1845" s="4"/>
      <c r="M1845" s="4"/>
    </row>
    <row r="1846" ht="16" customHeight="1" s="4" customFormat="1">
      <c r="A1846" s="4">
        <v>1888</v>
      </c>
      <c r="B1846" s="4" t="s">
        <v>5499</v>
      </c>
      <c r="C1846" s="4" t="s">
        <v>5519</v>
      </c>
      <c r="D1846" s="4"/>
      <c r="E1846" s="4" t="s">
        <v>5664</v>
      </c>
      <c r="F1846" s="4" t="s">
        <v>8308</v>
      </c>
      <c r="G1846" s="4" t="s">
        <v>8309</v>
      </c>
      <c r="H1846" s="4" t="s">
        <v>8310</v>
      </c>
      <c r="I1846" s="5">
        <v>41920</v>
      </c>
      <c r="J1846" s="4" t="s">
        <v>4798</v>
      </c>
      <c r="K1846" s="4" t="s">
        <v>57</v>
      </c>
      <c r="L1846" s="4"/>
      <c r="M1846" s="4"/>
    </row>
    <row r="1847" ht="16" customHeight="1" s="4" customFormat="1">
      <c r="A1847" s="4">
        <v>1889</v>
      </c>
      <c r="B1847" s="4" t="s">
        <v>5499</v>
      </c>
      <c r="C1847" s="4" t="s">
        <v>5519</v>
      </c>
      <c r="D1847" s="4"/>
      <c r="E1847" s="4" t="s">
        <v>5580</v>
      </c>
      <c r="F1847" s="4" t="s">
        <v>8311</v>
      </c>
      <c r="G1847" s="4" t="s">
        <v>8309</v>
      </c>
      <c r="H1847" s="4" t="s">
        <v>8310</v>
      </c>
      <c r="I1847" s="5">
        <v>41920</v>
      </c>
      <c r="J1847" s="4" t="s">
        <v>4798</v>
      </c>
      <c r="K1847" s="4" t="s">
        <v>57</v>
      </c>
      <c r="L1847" s="4"/>
      <c r="M1847" s="4"/>
    </row>
    <row r="1848" ht="16" customHeight="1" s="4" customFormat="1">
      <c r="A1848" s="4">
        <v>1890</v>
      </c>
      <c r="B1848" s="4" t="s">
        <v>6161</v>
      </c>
      <c r="C1848" s="4" t="s">
        <v>6162</v>
      </c>
      <c r="D1848" s="4" t="s">
        <v>5728</v>
      </c>
      <c r="E1848" s="4" t="s">
        <v>5515</v>
      </c>
      <c r="F1848" s="4" t="s">
        <v>8312</v>
      </c>
      <c r="G1848" s="4" t="s">
        <v>8313</v>
      </c>
      <c r="H1848" s="4" t="s">
        <v>8314</v>
      </c>
      <c r="I1848" s="5">
        <v>41908</v>
      </c>
      <c r="J1848" s="4" t="s">
        <v>4798</v>
      </c>
      <c r="K1848" s="4" t="s">
        <v>57</v>
      </c>
      <c r="L1848" s="4"/>
      <c r="M1848" s="4"/>
    </row>
    <row r="1849" ht="16" customHeight="1" s="4" customFormat="1">
      <c r="A1849" s="4">
        <v>1891</v>
      </c>
      <c r="B1849" s="4" t="s">
        <v>5534</v>
      </c>
      <c r="C1849" s="4" t="s">
        <v>5631</v>
      </c>
      <c r="D1849" s="4"/>
      <c r="E1849" s="4"/>
      <c r="F1849" s="4" t="s">
        <v>8315</v>
      </c>
      <c r="G1849" s="4" t="s">
        <v>5632</v>
      </c>
      <c r="H1849" s="4" t="s">
        <v>5647</v>
      </c>
      <c r="I1849" s="5">
        <v>41898</v>
      </c>
      <c r="J1849" s="4" t="s">
        <v>5506</v>
      </c>
      <c r="K1849" s="4" t="s">
        <v>57</v>
      </c>
      <c r="L1849" s="4"/>
      <c r="M1849" s="4"/>
    </row>
    <row r="1850" ht="16" customHeight="1" s="4" customFormat="1">
      <c r="A1850" s="4">
        <v>1892</v>
      </c>
      <c r="B1850" s="4" t="s">
        <v>5534</v>
      </c>
      <c r="C1850" s="4" t="s">
        <v>5631</v>
      </c>
      <c r="D1850" s="4"/>
      <c r="E1850" s="4"/>
      <c r="F1850" s="4" t="s">
        <v>8316</v>
      </c>
      <c r="G1850" s="4" t="s">
        <v>5632</v>
      </c>
      <c r="H1850" s="4" t="s">
        <v>5647</v>
      </c>
      <c r="I1850" s="5">
        <v>41898</v>
      </c>
      <c r="J1850" s="4" t="s">
        <v>5506</v>
      </c>
      <c r="K1850" s="4" t="s">
        <v>57</v>
      </c>
      <c r="L1850" s="4"/>
      <c r="M1850" s="4"/>
    </row>
    <row r="1851" ht="16" customHeight="1" s="4" customFormat="1">
      <c r="A1851" s="4">
        <v>1893</v>
      </c>
      <c r="B1851" s="4" t="s">
        <v>5534</v>
      </c>
      <c r="C1851" s="4" t="s">
        <v>5631</v>
      </c>
      <c r="D1851" s="4"/>
      <c r="E1851" s="4"/>
      <c r="F1851" s="4">
        <v>28091</v>
      </c>
      <c r="G1851" s="4" t="s">
        <v>5632</v>
      </c>
      <c r="H1851" s="4" t="s">
        <v>5647</v>
      </c>
      <c r="I1851" s="5">
        <v>41898</v>
      </c>
      <c r="J1851" s="4" t="s">
        <v>5506</v>
      </c>
      <c r="K1851" s="4" t="s">
        <v>57</v>
      </c>
      <c r="L1851" s="4"/>
      <c r="M1851" s="4"/>
    </row>
    <row r="1852" ht="16" customHeight="1" s="4" customFormat="1">
      <c r="A1852" s="4">
        <v>1894</v>
      </c>
      <c r="B1852" s="4" t="s">
        <v>5499</v>
      </c>
      <c r="C1852" s="4" t="s">
        <v>5590</v>
      </c>
      <c r="D1852" s="4" t="s">
        <v>5574</v>
      </c>
      <c r="E1852" s="4" t="s">
        <v>5575</v>
      </c>
      <c r="F1852" s="4" t="s">
        <v>8317</v>
      </c>
      <c r="G1852" s="4" t="s">
        <v>8318</v>
      </c>
      <c r="H1852" s="4" t="s">
        <v>8319</v>
      </c>
      <c r="I1852" s="5">
        <v>41897</v>
      </c>
      <c r="J1852" s="4" t="s">
        <v>4842</v>
      </c>
      <c r="K1852" s="4" t="s">
        <v>57</v>
      </c>
      <c r="L1852" s="4"/>
      <c r="M1852" s="4"/>
    </row>
    <row r="1853" ht="16" customHeight="1" s="4" customFormat="1">
      <c r="A1853" s="4">
        <v>1895</v>
      </c>
      <c r="B1853" s="4" t="s">
        <v>5499</v>
      </c>
      <c r="C1853" s="4" t="s">
        <v>5519</v>
      </c>
      <c r="D1853" s="4"/>
      <c r="E1853" s="4" t="s">
        <v>5641</v>
      </c>
      <c r="F1853" s="4" t="s">
        <v>8320</v>
      </c>
      <c r="G1853" s="4" t="s">
        <v>8321</v>
      </c>
      <c r="H1853" s="4" t="s">
        <v>8322</v>
      </c>
      <c r="I1853" s="5">
        <v>41893</v>
      </c>
      <c r="J1853" s="4" t="s">
        <v>4842</v>
      </c>
      <c r="K1853" s="4" t="s">
        <v>57</v>
      </c>
      <c r="L1853" s="4"/>
      <c r="M1853" s="4"/>
    </row>
    <row r="1854" ht="16" customHeight="1" s="4" customFormat="1">
      <c r="A1854" s="4">
        <v>1896</v>
      </c>
      <c r="B1854" s="4" t="s">
        <v>5499</v>
      </c>
      <c r="C1854" s="4" t="s">
        <v>5519</v>
      </c>
      <c r="D1854" s="4"/>
      <c r="E1854" s="4" t="s">
        <v>5584</v>
      </c>
      <c r="F1854" s="4" t="s">
        <v>8323</v>
      </c>
      <c r="G1854" s="4" t="s">
        <v>8321</v>
      </c>
      <c r="H1854" s="4" t="s">
        <v>8322</v>
      </c>
      <c r="I1854" s="5">
        <v>41893</v>
      </c>
      <c r="J1854" s="4" t="s">
        <v>4842</v>
      </c>
      <c r="K1854" s="4" t="s">
        <v>57</v>
      </c>
      <c r="L1854" s="4"/>
      <c r="M1854" s="4"/>
    </row>
    <row r="1855" ht="16" customHeight="1" s="4" customFormat="1">
      <c r="A1855" s="4">
        <v>1897</v>
      </c>
      <c r="B1855" s="4" t="s">
        <v>5499</v>
      </c>
      <c r="C1855" s="4" t="s">
        <v>5519</v>
      </c>
      <c r="D1855" s="4"/>
      <c r="E1855" s="4" t="s">
        <v>6188</v>
      </c>
      <c r="F1855" s="4" t="s">
        <v>8324</v>
      </c>
      <c r="G1855" s="4" t="s">
        <v>8325</v>
      </c>
      <c r="H1855" s="4" t="s">
        <v>8325</v>
      </c>
      <c r="I1855" s="5">
        <v>41893</v>
      </c>
      <c r="J1855" s="4" t="s">
        <v>4842</v>
      </c>
      <c r="K1855" s="4" t="s">
        <v>57</v>
      </c>
      <c r="L1855" s="4"/>
      <c r="M1855" s="4"/>
    </row>
    <row r="1856" ht="16" customHeight="1" s="4" customFormat="1">
      <c r="A1856" s="4">
        <v>1898</v>
      </c>
      <c r="B1856" s="4" t="s">
        <v>5694</v>
      </c>
      <c r="C1856" s="4" t="s">
        <v>5695</v>
      </c>
      <c r="D1856" s="4" t="s">
        <v>5985</v>
      </c>
      <c r="E1856" s="4" t="s">
        <v>5986</v>
      </c>
      <c r="F1856" s="4" t="s">
        <v>8326</v>
      </c>
      <c r="G1856" s="4" t="s">
        <v>8327</v>
      </c>
      <c r="H1856" s="4" t="s">
        <v>8328</v>
      </c>
      <c r="I1856" s="5">
        <v>41879</v>
      </c>
      <c r="J1856" s="4" t="s">
        <v>5506</v>
      </c>
      <c r="K1856" s="4" t="s">
        <v>57</v>
      </c>
      <c r="L1856" s="4"/>
      <c r="M1856" s="4"/>
    </row>
    <row r="1857" ht="16" customHeight="1" s="4" customFormat="1">
      <c r="A1857" s="4">
        <v>1899</v>
      </c>
      <c r="B1857" s="4" t="s">
        <v>5534</v>
      </c>
      <c r="C1857" s="4" t="s">
        <v>5631</v>
      </c>
      <c r="D1857" s="4"/>
      <c r="E1857" s="4"/>
      <c r="F1857" s="4">
        <v>9526</v>
      </c>
      <c r="G1857" s="4" t="s">
        <v>5632</v>
      </c>
      <c r="H1857" s="4" t="s">
        <v>5636</v>
      </c>
      <c r="I1857" s="5">
        <v>41878</v>
      </c>
      <c r="J1857" s="4" t="s">
        <v>5506</v>
      </c>
      <c r="K1857" s="4" t="s">
        <v>57</v>
      </c>
      <c r="L1857" s="4"/>
      <c r="M1857" s="4"/>
    </row>
    <row r="1858" ht="16" customHeight="1" s="4" customFormat="1">
      <c r="A1858" s="4">
        <v>1900</v>
      </c>
      <c r="B1858" s="4" t="s">
        <v>5534</v>
      </c>
      <c r="C1858" s="4" t="s">
        <v>5631</v>
      </c>
      <c r="D1858" s="4"/>
      <c r="E1858" s="4"/>
      <c r="F1858" s="4">
        <v>9528</v>
      </c>
      <c r="G1858" s="4" t="s">
        <v>5632</v>
      </c>
      <c r="H1858" s="4" t="s">
        <v>5634</v>
      </c>
      <c r="I1858" s="5">
        <v>41878</v>
      </c>
      <c r="J1858" s="4" t="s">
        <v>5506</v>
      </c>
      <c r="K1858" s="4" t="s">
        <v>57</v>
      </c>
      <c r="L1858" s="4"/>
      <c r="M1858" s="4"/>
    </row>
    <row r="1859" ht="16" customHeight="1" s="4" customFormat="1">
      <c r="A1859" s="4">
        <v>1901</v>
      </c>
      <c r="B1859" s="4" t="s">
        <v>5534</v>
      </c>
      <c r="C1859" s="4" t="s">
        <v>5631</v>
      </c>
      <c r="D1859" s="4"/>
      <c r="E1859" s="4"/>
      <c r="F1859" s="4">
        <v>9547</v>
      </c>
      <c r="G1859" s="4" t="s">
        <v>5632</v>
      </c>
      <c r="H1859" s="4" t="s">
        <v>5998</v>
      </c>
      <c r="I1859" s="5">
        <v>41878</v>
      </c>
      <c r="J1859" s="4" t="s">
        <v>5506</v>
      </c>
      <c r="K1859" s="4" t="s">
        <v>57</v>
      </c>
      <c r="L1859" s="4"/>
      <c r="M1859" s="4"/>
    </row>
    <row r="1860" ht="16" customHeight="1" s="4" customFormat="1">
      <c r="A1860" s="4">
        <v>1902</v>
      </c>
      <c r="B1860" s="4" t="s">
        <v>5534</v>
      </c>
      <c r="C1860" s="4" t="s">
        <v>5631</v>
      </c>
      <c r="D1860" s="4"/>
      <c r="E1860" s="4"/>
      <c r="F1860" s="4">
        <v>9557</v>
      </c>
      <c r="G1860" s="4" t="s">
        <v>5632</v>
      </c>
      <c r="H1860" s="4" t="s">
        <v>5636</v>
      </c>
      <c r="I1860" s="5">
        <v>41878</v>
      </c>
      <c r="J1860" s="4" t="s">
        <v>5506</v>
      </c>
      <c r="K1860" s="4" t="s">
        <v>57</v>
      </c>
      <c r="L1860" s="4"/>
      <c r="M1860" s="4"/>
    </row>
    <row r="1861" ht="16" customHeight="1" s="4" customFormat="1">
      <c r="A1861" s="4">
        <v>1903</v>
      </c>
      <c r="B1861" s="4" t="s">
        <v>5534</v>
      </c>
      <c r="C1861" s="4" t="s">
        <v>5773</v>
      </c>
      <c r="D1861" s="4"/>
      <c r="E1861" s="4"/>
      <c r="F1861" s="4" t="s">
        <v>8329</v>
      </c>
      <c r="G1861" s="4" t="s">
        <v>8330</v>
      </c>
      <c r="H1861" s="4" t="s">
        <v>5511</v>
      </c>
      <c r="I1861" s="5">
        <v>41877</v>
      </c>
      <c r="J1861" s="4" t="s">
        <v>4842</v>
      </c>
      <c r="K1861" s="4" t="s">
        <v>57</v>
      </c>
      <c r="L1861" s="4"/>
      <c r="M1861" s="4"/>
    </row>
    <row r="1862" ht="16" customHeight="1" s="4" customFormat="1">
      <c r="A1862" s="4">
        <v>1904</v>
      </c>
      <c r="B1862" s="4" t="s">
        <v>5534</v>
      </c>
      <c r="C1862" s="4" t="s">
        <v>5773</v>
      </c>
      <c r="D1862" s="4"/>
      <c r="E1862" s="4"/>
      <c r="F1862" s="4" t="s">
        <v>8331</v>
      </c>
      <c r="G1862" s="4" t="s">
        <v>6272</v>
      </c>
      <c r="H1862" s="4" t="s">
        <v>8332</v>
      </c>
      <c r="I1862" s="5">
        <v>41873</v>
      </c>
      <c r="J1862" s="4" t="s">
        <v>5506</v>
      </c>
      <c r="K1862" s="4" t="s">
        <v>57</v>
      </c>
      <c r="L1862" s="4"/>
      <c r="M1862" s="4"/>
    </row>
    <row r="1863" ht="16" customHeight="1" s="4" customFormat="1">
      <c r="A1863" s="4">
        <v>1905</v>
      </c>
      <c r="B1863" s="4" t="s">
        <v>5600</v>
      </c>
      <c r="C1863" s="4" t="s">
        <v>5600</v>
      </c>
      <c r="D1863" s="4" t="s">
        <v>6391</v>
      </c>
      <c r="E1863" s="4" t="s">
        <v>6392</v>
      </c>
      <c r="F1863" s="4" t="s">
        <v>8333</v>
      </c>
      <c r="G1863" s="4" t="s">
        <v>8334</v>
      </c>
      <c r="H1863" s="4" t="s">
        <v>6078</v>
      </c>
      <c r="I1863" s="5">
        <v>41870</v>
      </c>
      <c r="J1863" s="4" t="s">
        <v>4798</v>
      </c>
      <c r="K1863" s="4" t="s">
        <v>57</v>
      </c>
      <c r="L1863" s="4"/>
      <c r="M1863" s="4"/>
    </row>
    <row r="1864" ht="16" customHeight="1" s="4" customFormat="1">
      <c r="A1864" s="4">
        <v>1906</v>
      </c>
      <c r="B1864" s="4" t="s">
        <v>5600</v>
      </c>
      <c r="C1864" s="4" t="s">
        <v>5600</v>
      </c>
      <c r="D1864" s="4" t="s">
        <v>6391</v>
      </c>
      <c r="E1864" s="4" t="s">
        <v>6392</v>
      </c>
      <c r="F1864" s="4" t="s">
        <v>8335</v>
      </c>
      <c r="G1864" s="4" t="s">
        <v>8334</v>
      </c>
      <c r="H1864" s="4" t="s">
        <v>6078</v>
      </c>
      <c r="I1864" s="5">
        <v>41870</v>
      </c>
      <c r="J1864" s="4" t="s">
        <v>4798</v>
      </c>
      <c r="K1864" s="4" t="s">
        <v>57</v>
      </c>
      <c r="L1864" s="4"/>
      <c r="M1864" s="4"/>
    </row>
    <row r="1865" ht="16" customHeight="1" s="4" customFormat="1">
      <c r="A1865" s="4">
        <v>1907</v>
      </c>
      <c r="B1865" s="4" t="s">
        <v>5534</v>
      </c>
      <c r="C1865" s="4" t="s">
        <v>5631</v>
      </c>
      <c r="D1865" s="4"/>
      <c r="E1865" s="4"/>
      <c r="F1865" s="4">
        <v>29827</v>
      </c>
      <c r="G1865" s="4" t="s">
        <v>5632</v>
      </c>
      <c r="H1865" s="4" t="s">
        <v>5647</v>
      </c>
      <c r="I1865" s="5">
        <v>41864</v>
      </c>
      <c r="J1865" s="4" t="s">
        <v>5506</v>
      </c>
      <c r="K1865" s="4" t="s">
        <v>57</v>
      </c>
      <c r="L1865" s="4"/>
      <c r="M1865" s="4"/>
    </row>
    <row r="1866" ht="16" customHeight="1" s="4" customFormat="1">
      <c r="A1866" s="4">
        <v>1908</v>
      </c>
      <c r="B1866" s="4" t="s">
        <v>5600</v>
      </c>
      <c r="C1866" s="4" t="s">
        <v>5600</v>
      </c>
      <c r="D1866" s="4" t="s">
        <v>6450</v>
      </c>
      <c r="E1866" s="4" t="s">
        <v>8336</v>
      </c>
      <c r="F1866" s="4" t="s">
        <v>8337</v>
      </c>
      <c r="G1866" s="4" t="s">
        <v>8338</v>
      </c>
      <c r="H1866" s="4" t="s">
        <v>8339</v>
      </c>
      <c r="I1866" s="5">
        <v>41863</v>
      </c>
      <c r="J1866" s="4" t="s">
        <v>5506</v>
      </c>
      <c r="K1866" s="4" t="s">
        <v>57</v>
      </c>
      <c r="L1866" s="4"/>
      <c r="M1866" s="4"/>
    </row>
    <row r="1867" ht="16" customHeight="1" s="4" customFormat="1">
      <c r="A1867" s="4">
        <v>1909</v>
      </c>
      <c r="B1867" s="4" t="s">
        <v>5534</v>
      </c>
      <c r="C1867" s="4" t="s">
        <v>5631</v>
      </c>
      <c r="D1867" s="4"/>
      <c r="E1867" s="4"/>
      <c r="F1867" s="4">
        <v>4772</v>
      </c>
      <c r="G1867" s="4" t="s">
        <v>5632</v>
      </c>
      <c r="H1867" s="4" t="s">
        <v>5635</v>
      </c>
      <c r="I1867" s="5">
        <v>41857</v>
      </c>
      <c r="J1867" s="4" t="s">
        <v>5506</v>
      </c>
      <c r="K1867" s="4" t="s">
        <v>57</v>
      </c>
      <c r="L1867" s="4"/>
      <c r="M1867" s="4"/>
    </row>
    <row r="1868" ht="16" customHeight="1" s="4" customFormat="1">
      <c r="A1868" s="4">
        <v>1910</v>
      </c>
      <c r="B1868" s="4" t="s">
        <v>5534</v>
      </c>
      <c r="C1868" s="4" t="s">
        <v>5631</v>
      </c>
      <c r="D1868" s="4"/>
      <c r="E1868" s="4"/>
      <c r="F1868" s="4">
        <v>4775</v>
      </c>
      <c r="G1868" s="4" t="s">
        <v>5632</v>
      </c>
      <c r="H1868" s="4" t="s">
        <v>5633</v>
      </c>
      <c r="I1868" s="5">
        <v>41857</v>
      </c>
      <c r="J1868" s="4" t="s">
        <v>5506</v>
      </c>
      <c r="K1868" s="4" t="s">
        <v>57</v>
      </c>
      <c r="L1868" s="4"/>
      <c r="M1868" s="4"/>
    </row>
    <row r="1869" ht="16" customHeight="1" s="4" customFormat="1">
      <c r="A1869" s="4">
        <v>1911</v>
      </c>
      <c r="B1869" s="4" t="s">
        <v>5534</v>
      </c>
      <c r="C1869" s="4" t="s">
        <v>5631</v>
      </c>
      <c r="D1869" s="4"/>
      <c r="E1869" s="4"/>
      <c r="F1869" s="4" t="s">
        <v>8340</v>
      </c>
      <c r="G1869" s="4" t="s">
        <v>5632</v>
      </c>
      <c r="H1869" s="4" t="s">
        <v>5633</v>
      </c>
      <c r="I1869" s="5">
        <v>41857</v>
      </c>
      <c r="J1869" s="4" t="s">
        <v>5506</v>
      </c>
      <c r="K1869" s="4" t="s">
        <v>57</v>
      </c>
      <c r="L1869" s="4"/>
      <c r="M1869" s="4"/>
    </row>
    <row r="1870" ht="16" customHeight="1" s="4" customFormat="1">
      <c r="A1870" s="4">
        <v>1912</v>
      </c>
      <c r="B1870" s="4" t="s">
        <v>5534</v>
      </c>
      <c r="C1870" s="4" t="s">
        <v>5631</v>
      </c>
      <c r="D1870" s="4"/>
      <c r="E1870" s="4"/>
      <c r="F1870" s="4">
        <v>9913</v>
      </c>
      <c r="G1870" s="4" t="s">
        <v>5632</v>
      </c>
      <c r="H1870" s="4" t="s">
        <v>5998</v>
      </c>
      <c r="I1870" s="5">
        <v>41857</v>
      </c>
      <c r="J1870" s="4" t="s">
        <v>5506</v>
      </c>
      <c r="K1870" s="4" t="s">
        <v>57</v>
      </c>
      <c r="L1870" s="4"/>
      <c r="M1870" s="4"/>
    </row>
    <row r="1871" ht="16" customHeight="1" s="4" customFormat="1">
      <c r="A1871" s="4">
        <v>1913</v>
      </c>
      <c r="B1871" s="4" t="s">
        <v>5534</v>
      </c>
      <c r="C1871" s="4" t="s">
        <v>5631</v>
      </c>
      <c r="D1871" s="4"/>
      <c r="E1871" s="4"/>
      <c r="F1871" s="4">
        <v>9917</v>
      </c>
      <c r="G1871" s="4" t="s">
        <v>5632</v>
      </c>
      <c r="H1871" s="4" t="s">
        <v>5634</v>
      </c>
      <c r="I1871" s="5">
        <v>41857</v>
      </c>
      <c r="J1871" s="4" t="s">
        <v>5506</v>
      </c>
      <c r="K1871" s="4" t="s">
        <v>57</v>
      </c>
      <c r="L1871" s="4"/>
      <c r="M1871" s="4"/>
    </row>
    <row r="1872" ht="16" customHeight="1" s="4" customFormat="1">
      <c r="A1872" s="4">
        <v>1914</v>
      </c>
      <c r="B1872" s="4" t="s">
        <v>5534</v>
      </c>
      <c r="C1872" s="4" t="s">
        <v>5631</v>
      </c>
      <c r="D1872" s="4"/>
      <c r="E1872" s="4"/>
      <c r="F1872" s="4" t="s">
        <v>8341</v>
      </c>
      <c r="G1872" s="4" t="s">
        <v>5632</v>
      </c>
      <c r="H1872" s="4" t="s">
        <v>5635</v>
      </c>
      <c r="I1872" s="5">
        <v>41857</v>
      </c>
      <c r="J1872" s="4" t="s">
        <v>5506</v>
      </c>
      <c r="K1872" s="4" t="s">
        <v>57</v>
      </c>
      <c r="L1872" s="4"/>
      <c r="M1872" s="4"/>
    </row>
    <row r="1873" ht="16" customHeight="1" s="4" customFormat="1">
      <c r="A1873" s="4">
        <v>1915</v>
      </c>
      <c r="B1873" s="4" t="s">
        <v>5534</v>
      </c>
      <c r="C1873" s="4" t="s">
        <v>5631</v>
      </c>
      <c r="D1873" s="4"/>
      <c r="E1873" s="4"/>
      <c r="F1873" s="4" t="s">
        <v>8342</v>
      </c>
      <c r="G1873" s="4" t="s">
        <v>5632</v>
      </c>
      <c r="H1873" s="4" t="s">
        <v>5635</v>
      </c>
      <c r="I1873" s="5">
        <v>41857</v>
      </c>
      <c r="J1873" s="4" t="s">
        <v>5506</v>
      </c>
      <c r="K1873" s="4" t="s">
        <v>57</v>
      </c>
      <c r="L1873" s="4"/>
      <c r="M1873" s="4"/>
    </row>
    <row r="1874" ht="16" customHeight="1" s="4" customFormat="1">
      <c r="A1874" s="4">
        <v>1916</v>
      </c>
      <c r="B1874" s="4" t="s">
        <v>5534</v>
      </c>
      <c r="C1874" s="4" t="s">
        <v>5631</v>
      </c>
      <c r="D1874" s="4"/>
      <c r="E1874" s="4"/>
      <c r="F1874" s="4">
        <v>4813</v>
      </c>
      <c r="G1874" s="4" t="s">
        <v>5632</v>
      </c>
      <c r="H1874" s="4" t="s">
        <v>5633</v>
      </c>
      <c r="I1874" s="5">
        <v>41857</v>
      </c>
      <c r="J1874" s="4" t="s">
        <v>5506</v>
      </c>
      <c r="K1874" s="4" t="s">
        <v>57</v>
      </c>
      <c r="L1874" s="4"/>
      <c r="M1874" s="4"/>
    </row>
    <row r="1875" ht="16" customHeight="1" s="4" customFormat="1">
      <c r="A1875" s="4">
        <v>1917</v>
      </c>
      <c r="B1875" s="4" t="s">
        <v>5534</v>
      </c>
      <c r="C1875" s="4" t="s">
        <v>5631</v>
      </c>
      <c r="D1875" s="4"/>
      <c r="E1875" s="4"/>
      <c r="F1875" s="4" t="s">
        <v>8343</v>
      </c>
      <c r="G1875" s="4" t="s">
        <v>5632</v>
      </c>
      <c r="H1875" s="4" t="s">
        <v>5633</v>
      </c>
      <c r="I1875" s="5">
        <v>41857</v>
      </c>
      <c r="J1875" s="4" t="s">
        <v>5506</v>
      </c>
      <c r="K1875" s="4" t="s">
        <v>57</v>
      </c>
      <c r="L1875" s="4"/>
      <c r="M1875" s="4"/>
    </row>
    <row r="1876" ht="16" customHeight="1" s="4" customFormat="1">
      <c r="A1876" s="4">
        <v>1183</v>
      </c>
      <c r="B1876" s="4" t="s">
        <v>5694</v>
      </c>
      <c r="C1876" s="4" t="s">
        <v>5695</v>
      </c>
      <c r="D1876" s="4"/>
      <c r="E1876" s="4" t="s">
        <v>5696</v>
      </c>
      <c r="F1876" s="4" t="s">
        <v>8344</v>
      </c>
      <c r="G1876" s="4" t="s">
        <v>8031</v>
      </c>
      <c r="H1876" s="4" t="s">
        <v>5856</v>
      </c>
      <c r="I1876" s="5">
        <v>43061</v>
      </c>
      <c r="J1876" s="4" t="s">
        <v>5506</v>
      </c>
      <c r="K1876" s="4" t="s">
        <v>57</v>
      </c>
      <c r="L1876" s="4"/>
      <c r="M1876" s="4"/>
    </row>
    <row r="1877" ht="16" customHeight="1" s="4" customFormat="1">
      <c r="A1877" s="4">
        <v>1184</v>
      </c>
      <c r="B1877" s="4" t="s">
        <v>6161</v>
      </c>
      <c r="C1877" s="4" t="s">
        <v>6618</v>
      </c>
      <c r="D1877" s="4"/>
      <c r="E1877" s="4"/>
      <c r="F1877" s="4" t="s">
        <v>8345</v>
      </c>
      <c r="G1877" s="4" t="s">
        <v>7624</v>
      </c>
      <c r="H1877" s="4" t="s">
        <v>8346</v>
      </c>
      <c r="I1877" s="5">
        <v>43059</v>
      </c>
      <c r="J1877" s="4" t="s">
        <v>4798</v>
      </c>
      <c r="K1877" s="4" t="s">
        <v>57</v>
      </c>
      <c r="L1877" s="4"/>
      <c r="M1877" s="4"/>
    </row>
    <row r="1878" ht="16" customHeight="1" s="4" customFormat="1">
      <c r="A1878" s="4">
        <v>1185</v>
      </c>
      <c r="B1878" s="4" t="s">
        <v>6161</v>
      </c>
      <c r="C1878" s="4" t="s">
        <v>6618</v>
      </c>
      <c r="D1878" s="4"/>
      <c r="E1878" s="4"/>
      <c r="F1878" s="4" t="s">
        <v>8347</v>
      </c>
      <c r="G1878" s="4" t="s">
        <v>7624</v>
      </c>
      <c r="H1878" s="4" t="s">
        <v>8346</v>
      </c>
      <c r="I1878" s="5">
        <v>43059</v>
      </c>
      <c r="J1878" s="4" t="s">
        <v>4798</v>
      </c>
      <c r="K1878" s="4" t="s">
        <v>57</v>
      </c>
      <c r="L1878" s="4"/>
      <c r="M1878" s="4"/>
    </row>
    <row r="1879" ht="16" customHeight="1" s="4" customFormat="1">
      <c r="A1879" s="4">
        <v>1186</v>
      </c>
      <c r="B1879" s="4" t="s">
        <v>5499</v>
      </c>
      <c r="C1879" s="4" t="s">
        <v>5500</v>
      </c>
      <c r="D1879" s="4" t="s">
        <v>6450</v>
      </c>
      <c r="E1879" s="4" t="s">
        <v>8348</v>
      </c>
      <c r="F1879" s="4" t="s">
        <v>8349</v>
      </c>
      <c r="G1879" s="4" t="s">
        <v>4850</v>
      </c>
      <c r="H1879" s="4" t="s">
        <v>8350</v>
      </c>
      <c r="I1879" s="5">
        <v>43059</v>
      </c>
      <c r="J1879" s="4" t="s">
        <v>4798</v>
      </c>
      <c r="K1879" s="4" t="s">
        <v>57</v>
      </c>
      <c r="L1879" s="4"/>
      <c r="M1879" s="4"/>
    </row>
    <row r="1880" ht="16" customHeight="1" s="4" customFormat="1">
      <c r="A1880" s="4">
        <v>1187</v>
      </c>
      <c r="B1880" s="4" t="s">
        <v>5534</v>
      </c>
      <c r="C1880" s="4" t="s">
        <v>5773</v>
      </c>
      <c r="D1880" s="4"/>
      <c r="E1880" s="4"/>
      <c r="F1880" s="4" t="s">
        <v>8351</v>
      </c>
      <c r="G1880" s="4" t="s">
        <v>8352</v>
      </c>
      <c r="H1880" s="4" t="s">
        <v>5853</v>
      </c>
      <c r="I1880" s="5">
        <v>43055</v>
      </c>
      <c r="J1880" s="4" t="s">
        <v>4842</v>
      </c>
      <c r="K1880" s="4" t="s">
        <v>57</v>
      </c>
      <c r="L1880" s="4"/>
      <c r="M1880" s="4"/>
    </row>
    <row r="1881" ht="16" customHeight="1" s="4" customFormat="1">
      <c r="A1881" s="4">
        <v>1188</v>
      </c>
      <c r="B1881" s="4" t="s">
        <v>5534</v>
      </c>
      <c r="C1881" s="4" t="s">
        <v>5773</v>
      </c>
      <c r="D1881" s="4"/>
      <c r="E1881" s="4"/>
      <c r="F1881" s="4" t="s">
        <v>8353</v>
      </c>
      <c r="G1881" s="4" t="s">
        <v>10</v>
      </c>
      <c r="H1881" s="4" t="s">
        <v>5853</v>
      </c>
      <c r="I1881" s="5">
        <v>43054</v>
      </c>
      <c r="J1881" s="4" t="s">
        <v>4842</v>
      </c>
      <c r="K1881" s="4" t="s">
        <v>57</v>
      </c>
      <c r="L1881" s="4"/>
      <c r="M1881" s="4"/>
    </row>
    <row r="1882" ht="16" customHeight="1" s="4" customFormat="1">
      <c r="A1882" s="4">
        <v>1189</v>
      </c>
      <c r="B1882" s="4" t="s">
        <v>5534</v>
      </c>
      <c r="C1882" s="4" t="s">
        <v>5773</v>
      </c>
      <c r="D1882" s="4"/>
      <c r="E1882" s="4"/>
      <c r="F1882" s="4" t="s">
        <v>8354</v>
      </c>
      <c r="G1882" s="4" t="s">
        <v>10</v>
      </c>
      <c r="H1882" s="4" t="s">
        <v>5853</v>
      </c>
      <c r="I1882" s="5">
        <v>43054</v>
      </c>
      <c r="J1882" s="4" t="s">
        <v>4842</v>
      </c>
      <c r="K1882" s="4" t="s">
        <v>57</v>
      </c>
      <c r="L1882" s="4"/>
      <c r="M1882" s="4"/>
    </row>
    <row r="1883" ht="16" customHeight="1" s="4" customFormat="1">
      <c r="A1883" s="4">
        <v>1190</v>
      </c>
      <c r="B1883" s="4" t="s">
        <v>5600</v>
      </c>
      <c r="C1883" s="4" t="s">
        <v>5600</v>
      </c>
      <c r="D1883" s="4" t="s">
        <v>5514</v>
      </c>
      <c r="E1883" s="4" t="s">
        <v>5515</v>
      </c>
      <c r="F1883" s="4" t="s">
        <v>8355</v>
      </c>
      <c r="G1883" s="4" t="s">
        <v>8356</v>
      </c>
      <c r="H1883" s="4" t="s">
        <v>5511</v>
      </c>
      <c r="I1883" s="5">
        <v>43052</v>
      </c>
      <c r="J1883" s="4" t="s">
        <v>4842</v>
      </c>
      <c r="K1883" s="4" t="s">
        <v>57</v>
      </c>
      <c r="L1883" s="4"/>
      <c r="M1883" s="4"/>
    </row>
    <row r="1884" ht="16" customHeight="1" s="4" customFormat="1">
      <c r="A1884" s="4">
        <v>1191</v>
      </c>
      <c r="B1884" s="4" t="s">
        <v>5600</v>
      </c>
      <c r="C1884" s="4" t="s">
        <v>5600</v>
      </c>
      <c r="D1884" s="4" t="s">
        <v>5514</v>
      </c>
      <c r="E1884" s="4" t="s">
        <v>5515</v>
      </c>
      <c r="F1884" s="4" t="s">
        <v>8357</v>
      </c>
      <c r="G1884" s="4" t="s">
        <v>6000</v>
      </c>
      <c r="H1884" s="4" t="s">
        <v>5511</v>
      </c>
      <c r="I1884" s="5">
        <v>43052</v>
      </c>
      <c r="J1884" s="4" t="s">
        <v>4842</v>
      </c>
      <c r="K1884" s="4" t="s">
        <v>57</v>
      </c>
      <c r="L1884" s="4"/>
      <c r="M1884" s="4"/>
    </row>
    <row r="1885" ht="16" customHeight="1" s="4" customFormat="1">
      <c r="A1885" s="4">
        <v>1192</v>
      </c>
      <c r="B1885" s="4" t="s">
        <v>5600</v>
      </c>
      <c r="C1885" s="4" t="s">
        <v>5600</v>
      </c>
      <c r="D1885" s="4" t="s">
        <v>5514</v>
      </c>
      <c r="E1885" s="4" t="s">
        <v>5515</v>
      </c>
      <c r="F1885" s="4" t="s">
        <v>8358</v>
      </c>
      <c r="G1885" s="4" t="s">
        <v>6000</v>
      </c>
      <c r="H1885" s="4" t="s">
        <v>5511</v>
      </c>
      <c r="I1885" s="5">
        <v>43052</v>
      </c>
      <c r="J1885" s="4" t="s">
        <v>4842</v>
      </c>
      <c r="K1885" s="4" t="s">
        <v>57</v>
      </c>
      <c r="L1885" s="4"/>
      <c r="M1885" s="4"/>
    </row>
    <row r="1886" ht="16" customHeight="1" s="4" customFormat="1">
      <c r="A1886" s="4">
        <v>1193</v>
      </c>
      <c r="B1886" s="4" t="s">
        <v>5600</v>
      </c>
      <c r="C1886" s="4" t="s">
        <v>5600</v>
      </c>
      <c r="D1886" s="4" t="s">
        <v>5514</v>
      </c>
      <c r="E1886" s="4" t="s">
        <v>5515</v>
      </c>
      <c r="F1886" s="4" t="s">
        <v>8359</v>
      </c>
      <c r="G1886" s="4" t="s">
        <v>8356</v>
      </c>
      <c r="H1886" s="4" t="s">
        <v>5511</v>
      </c>
      <c r="I1886" s="5">
        <v>43052</v>
      </c>
      <c r="J1886" s="4" t="s">
        <v>4842</v>
      </c>
      <c r="K1886" s="4" t="s">
        <v>57</v>
      </c>
      <c r="L1886" s="4"/>
      <c r="M1886" s="4"/>
    </row>
    <row r="1887" ht="16" customHeight="1" s="4" customFormat="1">
      <c r="A1887" s="4">
        <v>1194</v>
      </c>
      <c r="B1887" s="4" t="s">
        <v>5534</v>
      </c>
      <c r="C1887" s="4" t="s">
        <v>5631</v>
      </c>
      <c r="D1887" s="4"/>
      <c r="E1887" s="4"/>
      <c r="F1887" s="4" t="s">
        <v>8360</v>
      </c>
      <c r="G1887" s="4" t="s">
        <v>8361</v>
      </c>
      <c r="H1887" s="4" t="s">
        <v>6289</v>
      </c>
      <c r="I1887" s="5">
        <v>43052</v>
      </c>
      <c r="J1887" s="4" t="s">
        <v>4798</v>
      </c>
      <c r="K1887" s="4" t="s">
        <v>57</v>
      </c>
      <c r="L1887" s="4"/>
      <c r="M1887" s="4"/>
    </row>
    <row r="1888" ht="16" customHeight="1" s="4" customFormat="1">
      <c r="A1888" s="4">
        <v>1195</v>
      </c>
      <c r="B1888" s="4" t="s">
        <v>5534</v>
      </c>
      <c r="C1888" s="4" t="s">
        <v>5773</v>
      </c>
      <c r="D1888" s="4"/>
      <c r="E1888" s="4"/>
      <c r="F1888" s="4" t="s">
        <v>8362</v>
      </c>
      <c r="G1888" s="4" t="s">
        <v>10</v>
      </c>
      <c r="H1888" s="4" t="s">
        <v>5853</v>
      </c>
      <c r="I1888" s="5">
        <v>43049</v>
      </c>
      <c r="J1888" s="4" t="s">
        <v>4798</v>
      </c>
      <c r="K1888" s="4" t="s">
        <v>57</v>
      </c>
      <c r="L1888" s="4"/>
      <c r="M1888" s="4"/>
    </row>
    <row r="1889" ht="16" customHeight="1" s="4" customFormat="1">
      <c r="A1889" s="4">
        <v>1196</v>
      </c>
      <c r="B1889" s="4" t="s">
        <v>5534</v>
      </c>
      <c r="C1889" s="4" t="s">
        <v>5773</v>
      </c>
      <c r="D1889" s="4"/>
      <c r="E1889" s="4"/>
      <c r="F1889" s="4" t="s">
        <v>8363</v>
      </c>
      <c r="G1889" s="4" t="s">
        <v>7870</v>
      </c>
      <c r="H1889" s="4" t="s">
        <v>8364</v>
      </c>
      <c r="I1889" s="5">
        <v>43048</v>
      </c>
      <c r="J1889" s="4" t="s">
        <v>5506</v>
      </c>
      <c r="K1889" s="4" t="s">
        <v>57</v>
      </c>
      <c r="L1889" s="4"/>
      <c r="M1889" s="4"/>
    </row>
    <row r="1890" ht="16" customHeight="1" s="4" customFormat="1">
      <c r="A1890" s="4">
        <v>1197</v>
      </c>
      <c r="B1890" s="4" t="s">
        <v>5534</v>
      </c>
      <c r="C1890" s="4" t="s">
        <v>5773</v>
      </c>
      <c r="D1890" s="4"/>
      <c r="E1890" s="4"/>
      <c r="F1890" s="4" t="s">
        <v>8365</v>
      </c>
      <c r="G1890" s="4" t="s">
        <v>5749</v>
      </c>
      <c r="H1890" s="4" t="s">
        <v>8366</v>
      </c>
      <c r="I1890" s="5">
        <v>43048</v>
      </c>
      <c r="J1890" s="4" t="s">
        <v>5506</v>
      </c>
      <c r="K1890" s="4" t="s">
        <v>57</v>
      </c>
      <c r="L1890" s="4"/>
      <c r="M1890" s="4"/>
    </row>
    <row r="1891" ht="16" customHeight="1" s="4" customFormat="1">
      <c r="A1891" s="4">
        <v>1198</v>
      </c>
      <c r="B1891" s="4" t="s">
        <v>5534</v>
      </c>
      <c r="C1891" s="4" t="s">
        <v>5773</v>
      </c>
      <c r="D1891" s="4"/>
      <c r="E1891" s="4"/>
      <c r="F1891" s="4" t="s">
        <v>8367</v>
      </c>
      <c r="G1891" s="4" t="s">
        <v>5675</v>
      </c>
      <c r="H1891" s="4" t="s">
        <v>8240</v>
      </c>
      <c r="I1891" s="5">
        <v>43048</v>
      </c>
      <c r="J1891" s="4" t="s">
        <v>4798</v>
      </c>
      <c r="K1891" s="4" t="s">
        <v>57</v>
      </c>
      <c r="L1891" s="4"/>
      <c r="M1891" s="4"/>
    </row>
    <row r="1892" ht="16" customHeight="1" s="4" customFormat="1">
      <c r="A1892" s="4">
        <v>1199</v>
      </c>
      <c r="B1892" s="4" t="s">
        <v>5534</v>
      </c>
      <c r="C1892" s="4" t="s">
        <v>5773</v>
      </c>
      <c r="D1892" s="4"/>
      <c r="E1892" s="4"/>
      <c r="F1892" s="4" t="s">
        <v>8368</v>
      </c>
      <c r="G1892" s="4" t="s">
        <v>10</v>
      </c>
      <c r="H1892" s="4" t="s">
        <v>5831</v>
      </c>
      <c r="I1892" s="5">
        <v>43048</v>
      </c>
      <c r="J1892" s="4" t="s">
        <v>4798</v>
      </c>
      <c r="K1892" s="4" t="s">
        <v>57</v>
      </c>
      <c r="L1892" s="4"/>
      <c r="M1892" s="4"/>
    </row>
    <row r="1893" ht="16" customHeight="1" s="4" customFormat="1">
      <c r="A1893" s="4">
        <v>1200</v>
      </c>
      <c r="B1893" s="4" t="s">
        <v>5534</v>
      </c>
      <c r="C1893" s="4" t="s">
        <v>5773</v>
      </c>
      <c r="D1893" s="4"/>
      <c r="E1893" s="4"/>
      <c r="F1893" s="4" t="s">
        <v>8369</v>
      </c>
      <c r="G1893" s="4" t="s">
        <v>5850</v>
      </c>
      <c r="H1893" s="4" t="s">
        <v>8370</v>
      </c>
      <c r="I1893" s="5">
        <v>43046</v>
      </c>
      <c r="J1893" s="4" t="s">
        <v>5506</v>
      </c>
      <c r="K1893" s="4" t="s">
        <v>57</v>
      </c>
      <c r="L1893" s="4"/>
      <c r="M1893" s="4"/>
    </row>
    <row r="1894" ht="16" customHeight="1" s="4" customFormat="1">
      <c r="A1894" s="4">
        <v>1201</v>
      </c>
      <c r="B1894" s="4" t="s">
        <v>5534</v>
      </c>
      <c r="C1894" s="4" t="s">
        <v>5773</v>
      </c>
      <c r="D1894" s="4"/>
      <c r="E1894" s="4"/>
      <c r="F1894" s="4" t="s">
        <v>8371</v>
      </c>
      <c r="G1894" s="4" t="s">
        <v>10</v>
      </c>
      <c r="H1894" s="4" t="s">
        <v>5831</v>
      </c>
      <c r="I1894" s="5">
        <v>43046</v>
      </c>
      <c r="J1894" s="4" t="s">
        <v>4798</v>
      </c>
      <c r="K1894" s="4" t="s">
        <v>57</v>
      </c>
      <c r="L1894" s="4"/>
      <c r="M1894" s="4"/>
    </row>
    <row r="1895" ht="16" customHeight="1" s="4" customFormat="1">
      <c r="A1895" s="4">
        <v>1202</v>
      </c>
      <c r="B1895" s="4" t="s">
        <v>5499</v>
      </c>
      <c r="C1895" s="4" t="s">
        <v>7201</v>
      </c>
      <c r="D1895" s="4"/>
      <c r="E1895" s="4" t="s">
        <v>8372</v>
      </c>
      <c r="F1895" s="4" t="s">
        <v>8373</v>
      </c>
      <c r="G1895" s="4" t="s">
        <v>7171</v>
      </c>
      <c r="H1895" s="4" t="s">
        <v>8374</v>
      </c>
      <c r="I1895" s="5">
        <v>43033</v>
      </c>
      <c r="J1895" s="4" t="s">
        <v>4798</v>
      </c>
      <c r="K1895" s="4" t="s">
        <v>57</v>
      </c>
      <c r="L1895" s="4"/>
      <c r="M1895" s="4"/>
    </row>
    <row r="1896" ht="16" customHeight="1" s="4" customFormat="1">
      <c r="A1896" s="4">
        <v>1203</v>
      </c>
      <c r="B1896" s="4" t="s">
        <v>5499</v>
      </c>
      <c r="C1896" s="4" t="s">
        <v>7211</v>
      </c>
      <c r="D1896" s="4"/>
      <c r="E1896" s="4" t="s">
        <v>8375</v>
      </c>
      <c r="F1896" s="4" t="s">
        <v>8376</v>
      </c>
      <c r="G1896" s="4" t="s">
        <v>5712</v>
      </c>
      <c r="H1896" s="4" t="s">
        <v>8377</v>
      </c>
      <c r="I1896" s="5">
        <v>43033</v>
      </c>
      <c r="J1896" s="4" t="s">
        <v>4798</v>
      </c>
      <c r="K1896" s="4" t="s">
        <v>57</v>
      </c>
      <c r="L1896" s="4"/>
      <c r="M1896" s="4"/>
    </row>
    <row r="1897" ht="16" customHeight="1" s="4" customFormat="1">
      <c r="A1897" s="4">
        <v>1204</v>
      </c>
      <c r="B1897" s="4" t="s">
        <v>5528</v>
      </c>
      <c r="C1897" s="4" t="s">
        <v>7530</v>
      </c>
      <c r="D1897" s="4" t="s">
        <v>5574</v>
      </c>
      <c r="E1897" s="4" t="s">
        <v>7531</v>
      </c>
      <c r="F1897" s="4" t="s">
        <v>8378</v>
      </c>
      <c r="G1897" s="4" t="s">
        <v>8379</v>
      </c>
      <c r="H1897" s="4" t="s">
        <v>8380</v>
      </c>
      <c r="I1897" s="5">
        <v>43032</v>
      </c>
      <c r="J1897" s="4" t="s">
        <v>4798</v>
      </c>
      <c r="K1897" s="4" t="s">
        <v>57</v>
      </c>
      <c r="L1897" s="4"/>
      <c r="M1897" s="4"/>
    </row>
    <row r="1898" ht="16" customHeight="1" s="4" customFormat="1">
      <c r="A1898" s="4">
        <v>1205</v>
      </c>
      <c r="B1898" s="4" t="s">
        <v>5534</v>
      </c>
      <c r="C1898" s="4" t="s">
        <v>5773</v>
      </c>
      <c r="D1898" s="4"/>
      <c r="E1898" s="4"/>
      <c r="F1898" s="4" t="s">
        <v>8381</v>
      </c>
      <c r="G1898" s="4" t="s">
        <v>10</v>
      </c>
      <c r="H1898" s="4" t="s">
        <v>7884</v>
      </c>
      <c r="I1898" s="5">
        <v>43031</v>
      </c>
      <c r="J1898" s="4" t="s">
        <v>4798</v>
      </c>
      <c r="K1898" s="4" t="s">
        <v>57</v>
      </c>
      <c r="L1898" s="4"/>
      <c r="M1898" s="4"/>
    </row>
    <row r="1899" ht="16" customHeight="1" s="4" customFormat="1">
      <c r="A1899" s="4">
        <v>1206</v>
      </c>
      <c r="B1899" s="4" t="s">
        <v>5534</v>
      </c>
      <c r="C1899" s="4" t="s">
        <v>5773</v>
      </c>
      <c r="D1899" s="4"/>
      <c r="E1899" s="4"/>
      <c r="F1899" s="4" t="s">
        <v>8382</v>
      </c>
      <c r="G1899" s="4" t="s">
        <v>10</v>
      </c>
      <c r="H1899" s="4" t="s">
        <v>5853</v>
      </c>
      <c r="I1899" s="5">
        <v>43020</v>
      </c>
      <c r="J1899" s="4" t="s">
        <v>4798</v>
      </c>
      <c r="K1899" s="4" t="s">
        <v>57</v>
      </c>
      <c r="L1899" s="4"/>
      <c r="M1899" s="4"/>
    </row>
    <row r="1900" ht="16" customHeight="1" s="4" customFormat="1">
      <c r="A1900" s="4">
        <v>1207</v>
      </c>
      <c r="B1900" s="4" t="s">
        <v>5499</v>
      </c>
      <c r="C1900" s="4" t="s">
        <v>5702</v>
      </c>
      <c r="D1900" s="4"/>
      <c r="E1900" s="4"/>
      <c r="F1900" s="4" t="s">
        <v>8383</v>
      </c>
      <c r="G1900" s="4" t="s">
        <v>5771</v>
      </c>
      <c r="H1900" s="4" t="s">
        <v>8384</v>
      </c>
      <c r="I1900" s="5">
        <v>43019</v>
      </c>
      <c r="J1900" s="4" t="s">
        <v>4842</v>
      </c>
      <c r="K1900" s="4" t="s">
        <v>57</v>
      </c>
      <c r="L1900" s="4"/>
      <c r="M1900" s="4"/>
    </row>
    <row r="1901" ht="16" customHeight="1" s="4" customFormat="1">
      <c r="A1901" s="4">
        <v>1208</v>
      </c>
      <c r="B1901" s="4" t="s">
        <v>5534</v>
      </c>
      <c r="C1901" s="4" t="s">
        <v>5773</v>
      </c>
      <c r="D1901" s="4"/>
      <c r="E1901" s="4"/>
      <c r="F1901" s="4" t="s">
        <v>8385</v>
      </c>
      <c r="G1901" s="4" t="s">
        <v>5791</v>
      </c>
      <c r="H1901" s="4" t="s">
        <v>7914</v>
      </c>
      <c r="I1901" s="5">
        <v>43017</v>
      </c>
      <c r="J1901" s="4" t="s">
        <v>4842</v>
      </c>
      <c r="K1901" s="4" t="s">
        <v>57</v>
      </c>
      <c r="L1901" s="4"/>
      <c r="M1901" s="4"/>
    </row>
    <row r="1902" ht="16" customHeight="1" s="4" customFormat="1">
      <c r="A1902" s="4">
        <v>1209</v>
      </c>
      <c r="B1902" s="4" t="s">
        <v>5499</v>
      </c>
      <c r="C1902" s="4" t="s">
        <v>5519</v>
      </c>
      <c r="D1902" s="4"/>
      <c r="E1902" s="4" t="s">
        <v>8386</v>
      </c>
      <c r="F1902" s="4" t="s">
        <v>8387</v>
      </c>
      <c r="G1902" s="4" t="s">
        <v>8388</v>
      </c>
      <c r="H1902" s="4" t="s">
        <v>8389</v>
      </c>
      <c r="I1902" s="5">
        <v>43007</v>
      </c>
      <c r="J1902" s="4" t="s">
        <v>4798</v>
      </c>
      <c r="K1902" s="4" t="s">
        <v>57</v>
      </c>
      <c r="L1902" s="4"/>
      <c r="M1902" s="4"/>
    </row>
    <row r="1903" ht="16" customHeight="1" s="4" customFormat="1">
      <c r="A1903" s="4">
        <v>1210</v>
      </c>
      <c r="B1903" s="4" t="s">
        <v>5499</v>
      </c>
      <c r="C1903" s="4" t="s">
        <v>5519</v>
      </c>
      <c r="D1903" s="4"/>
      <c r="E1903" s="4" t="s">
        <v>5524</v>
      </c>
      <c r="F1903" s="4" t="s">
        <v>8390</v>
      </c>
      <c r="G1903" s="4" t="s">
        <v>8391</v>
      </c>
      <c r="H1903" s="4" t="s">
        <v>8392</v>
      </c>
      <c r="I1903" s="5">
        <v>43006</v>
      </c>
      <c r="J1903" s="4" t="s">
        <v>4842</v>
      </c>
      <c r="K1903" s="4" t="s">
        <v>57</v>
      </c>
      <c r="L1903" s="4"/>
      <c r="M1903" s="4"/>
    </row>
    <row r="1904" ht="16" customHeight="1" s="4" customFormat="1">
      <c r="A1904" s="4">
        <v>1211</v>
      </c>
      <c r="B1904" s="4" t="s">
        <v>5499</v>
      </c>
      <c r="C1904" s="4" t="s">
        <v>5519</v>
      </c>
      <c r="D1904" s="4"/>
      <c r="E1904" s="4" t="s">
        <v>5520</v>
      </c>
      <c r="F1904" s="4" t="s">
        <v>8393</v>
      </c>
      <c r="G1904" s="4" t="s">
        <v>8391</v>
      </c>
      <c r="H1904" s="4" t="s">
        <v>8392</v>
      </c>
      <c r="I1904" s="5">
        <v>43006</v>
      </c>
      <c r="J1904" s="4" t="s">
        <v>4842</v>
      </c>
      <c r="K1904" s="4" t="s">
        <v>57</v>
      </c>
      <c r="L1904" s="4"/>
      <c r="M1904" s="4"/>
    </row>
    <row r="1905" ht="16" customHeight="1" s="4" customFormat="1">
      <c r="A1905" s="4">
        <v>1212</v>
      </c>
      <c r="B1905" s="4" t="s">
        <v>5499</v>
      </c>
      <c r="C1905" s="4" t="s">
        <v>5500</v>
      </c>
      <c r="D1905" s="4"/>
      <c r="E1905" s="4"/>
      <c r="F1905" s="4" t="s">
        <v>8394</v>
      </c>
      <c r="G1905" s="4" t="s">
        <v>6124</v>
      </c>
      <c r="H1905" s="4" t="s">
        <v>8395</v>
      </c>
      <c r="I1905" s="5">
        <v>43006</v>
      </c>
      <c r="J1905" s="4" t="s">
        <v>4798</v>
      </c>
      <c r="K1905" s="4" t="s">
        <v>57</v>
      </c>
      <c r="L1905" s="4"/>
      <c r="M1905" s="4"/>
    </row>
    <row r="1906" ht="16" customHeight="1" s="4" customFormat="1">
      <c r="A1906" s="4">
        <v>1213</v>
      </c>
      <c r="B1906" s="4" t="s">
        <v>5499</v>
      </c>
      <c r="C1906" s="4" t="s">
        <v>5500</v>
      </c>
      <c r="D1906" s="4"/>
      <c r="E1906" s="4"/>
      <c r="F1906" s="4" t="s">
        <v>8396</v>
      </c>
      <c r="G1906" s="4" t="s">
        <v>6124</v>
      </c>
      <c r="H1906" s="4" t="s">
        <v>8395</v>
      </c>
      <c r="I1906" s="5">
        <v>43006</v>
      </c>
      <c r="J1906" s="4" t="s">
        <v>4798</v>
      </c>
      <c r="K1906" s="4" t="s">
        <v>57</v>
      </c>
      <c r="L1906" s="4"/>
      <c r="M1906" s="4"/>
    </row>
    <row r="1907" ht="16" customHeight="1" s="4" customFormat="1">
      <c r="A1907" s="4">
        <v>1214</v>
      </c>
      <c r="B1907" s="4" t="s">
        <v>5499</v>
      </c>
      <c r="C1907" s="4" t="s">
        <v>5519</v>
      </c>
      <c r="D1907" s="4"/>
      <c r="E1907" s="4" t="s">
        <v>5524</v>
      </c>
      <c r="F1907" s="4" t="s">
        <v>8397</v>
      </c>
      <c r="G1907" s="4" t="s">
        <v>8391</v>
      </c>
      <c r="H1907" s="4" t="s">
        <v>8392</v>
      </c>
      <c r="I1907" s="5">
        <v>43005</v>
      </c>
      <c r="J1907" s="4" t="s">
        <v>4842</v>
      </c>
      <c r="K1907" s="4" t="s">
        <v>57</v>
      </c>
      <c r="L1907" s="4"/>
      <c r="M1907" s="4"/>
    </row>
    <row r="1908" ht="16" customHeight="1" s="4" customFormat="1">
      <c r="A1908" s="4">
        <v>1215</v>
      </c>
      <c r="B1908" s="4" t="s">
        <v>5534</v>
      </c>
      <c r="C1908" s="4" t="s">
        <v>5773</v>
      </c>
      <c r="D1908" s="4"/>
      <c r="E1908" s="4"/>
      <c r="F1908" s="4" t="s">
        <v>8398</v>
      </c>
      <c r="G1908" s="4" t="s">
        <v>5675</v>
      </c>
      <c r="H1908" s="4" t="s">
        <v>5853</v>
      </c>
      <c r="I1908" s="5">
        <v>43003</v>
      </c>
      <c r="J1908" s="4" t="s">
        <v>4798</v>
      </c>
      <c r="K1908" s="4" t="s">
        <v>57</v>
      </c>
      <c r="L1908" s="4"/>
      <c r="M1908" s="4"/>
    </row>
    <row r="1909" ht="16" customHeight="1" s="4" customFormat="1">
      <c r="A1909" s="4">
        <v>1216</v>
      </c>
      <c r="B1909" s="4" t="s">
        <v>5499</v>
      </c>
      <c r="C1909" s="4" t="s">
        <v>5519</v>
      </c>
      <c r="D1909" s="4"/>
      <c r="E1909" s="4" t="s">
        <v>7911</v>
      </c>
      <c r="F1909" s="4" t="s">
        <v>8399</v>
      </c>
      <c r="G1909" s="4" t="s">
        <v>8400</v>
      </c>
      <c r="H1909" s="4" t="s">
        <v>8401</v>
      </c>
      <c r="I1909" s="5">
        <v>43003</v>
      </c>
      <c r="J1909" s="4" t="s">
        <v>4798</v>
      </c>
      <c r="K1909" s="4" t="s">
        <v>57</v>
      </c>
      <c r="L1909" s="4"/>
      <c r="M1909" s="4"/>
    </row>
    <row r="1910" ht="16" customHeight="1" s="4" customFormat="1">
      <c r="A1910" s="4">
        <v>1217</v>
      </c>
      <c r="B1910" s="4" t="s">
        <v>5499</v>
      </c>
      <c r="C1910" s="4" t="s">
        <v>5519</v>
      </c>
      <c r="D1910" s="4"/>
      <c r="E1910" s="4" t="s">
        <v>8402</v>
      </c>
      <c r="F1910" s="4" t="s">
        <v>8403</v>
      </c>
      <c r="G1910" s="4" t="s">
        <v>8404</v>
      </c>
      <c r="H1910" s="4" t="s">
        <v>8405</v>
      </c>
      <c r="I1910" s="5">
        <v>42993</v>
      </c>
      <c r="J1910" s="4" t="s">
        <v>4798</v>
      </c>
      <c r="K1910" s="4" t="s">
        <v>57</v>
      </c>
      <c r="L1910" s="4"/>
      <c r="M1910" s="4"/>
    </row>
    <row r="1911" ht="16" customHeight="1" s="4" customFormat="1">
      <c r="A1911" s="4">
        <v>1218</v>
      </c>
      <c r="B1911" s="4" t="s">
        <v>5534</v>
      </c>
      <c r="C1911" s="4" t="s">
        <v>5773</v>
      </c>
      <c r="D1911" s="4"/>
      <c r="E1911" s="4"/>
      <c r="F1911" s="4" t="s">
        <v>8406</v>
      </c>
      <c r="G1911" s="4" t="s">
        <v>5984</v>
      </c>
      <c r="H1911" s="4" t="s">
        <v>6738</v>
      </c>
      <c r="I1911" s="5">
        <v>42990</v>
      </c>
      <c r="J1911" s="4" t="s">
        <v>4842</v>
      </c>
      <c r="K1911" s="4" t="s">
        <v>57</v>
      </c>
      <c r="L1911" s="4"/>
      <c r="M1911" s="4"/>
    </row>
    <row r="1912" ht="16" customHeight="1" s="4" customFormat="1">
      <c r="A1912" s="4">
        <v>1219</v>
      </c>
      <c r="B1912" s="4" t="s">
        <v>5534</v>
      </c>
      <c r="C1912" s="4" t="s">
        <v>5773</v>
      </c>
      <c r="D1912" s="4"/>
      <c r="E1912" s="4"/>
      <c r="F1912" s="4" t="s">
        <v>8407</v>
      </c>
      <c r="G1912" s="4" t="s">
        <v>5675</v>
      </c>
      <c r="H1912" s="4" t="s">
        <v>8408</v>
      </c>
      <c r="I1912" s="5">
        <v>42989</v>
      </c>
      <c r="J1912" s="4" t="s">
        <v>4842</v>
      </c>
      <c r="K1912" s="4" t="s">
        <v>57</v>
      </c>
      <c r="L1912" s="4"/>
      <c r="M1912" s="4"/>
    </row>
    <row r="1913" ht="16" customHeight="1" s="4" customFormat="1">
      <c r="A1913" s="4">
        <v>1220</v>
      </c>
      <c r="B1913" s="4" t="s">
        <v>5534</v>
      </c>
      <c r="C1913" s="4" t="s">
        <v>5631</v>
      </c>
      <c r="D1913" s="4"/>
      <c r="E1913" s="4"/>
      <c r="F1913" s="4" t="s">
        <v>8409</v>
      </c>
      <c r="G1913" s="4" t="s">
        <v>8129</v>
      </c>
      <c r="H1913" s="4" t="s">
        <v>8130</v>
      </c>
      <c r="I1913" s="5">
        <v>42985</v>
      </c>
      <c r="J1913" s="4" t="s">
        <v>4842</v>
      </c>
      <c r="K1913" s="4" t="s">
        <v>57</v>
      </c>
      <c r="L1913" s="4"/>
      <c r="M1913" s="4"/>
    </row>
    <row r="1914" ht="16" customHeight="1" s="4" customFormat="1">
      <c r="A1914" s="4">
        <v>1221</v>
      </c>
      <c r="B1914" s="4" t="s">
        <v>5694</v>
      </c>
      <c r="C1914" s="4" t="s">
        <v>5695</v>
      </c>
      <c r="D1914" s="4"/>
      <c r="E1914" s="4" t="s">
        <v>5696</v>
      </c>
      <c r="F1914" s="4" t="s">
        <v>8410</v>
      </c>
      <c r="G1914" s="4" t="s">
        <v>5749</v>
      </c>
      <c r="H1914" s="4" t="s">
        <v>5856</v>
      </c>
      <c r="I1914" s="5">
        <v>42984</v>
      </c>
      <c r="J1914" s="4" t="s">
        <v>5506</v>
      </c>
      <c r="K1914" s="4" t="s">
        <v>57</v>
      </c>
      <c r="L1914" s="4"/>
      <c r="M1914" s="4"/>
    </row>
    <row r="1915" ht="16" customHeight="1" s="4" customFormat="1">
      <c r="A1915" s="4">
        <v>1222</v>
      </c>
      <c r="B1915" s="4" t="s">
        <v>5499</v>
      </c>
      <c r="C1915" s="4" t="s">
        <v>5590</v>
      </c>
      <c r="D1915" s="4"/>
      <c r="E1915" s="4" t="s">
        <v>5952</v>
      </c>
      <c r="F1915" s="4" t="s">
        <v>8411</v>
      </c>
      <c r="G1915" s="4" t="s">
        <v>5716</v>
      </c>
      <c r="H1915" s="4" t="s">
        <v>7366</v>
      </c>
      <c r="I1915" s="5">
        <v>42984</v>
      </c>
      <c r="J1915" s="4" t="s">
        <v>4842</v>
      </c>
      <c r="K1915" s="4" t="s">
        <v>57</v>
      </c>
      <c r="L1915" s="4"/>
      <c r="M1915" s="4"/>
    </row>
    <row r="1916" ht="16" customHeight="1" s="4" customFormat="1">
      <c r="A1916" s="4">
        <v>1223</v>
      </c>
      <c r="B1916" s="4" t="s">
        <v>5499</v>
      </c>
      <c r="C1916" s="4" t="s">
        <v>5590</v>
      </c>
      <c r="D1916" s="4" t="s">
        <v>5574</v>
      </c>
      <c r="E1916" s="4" t="s">
        <v>5575</v>
      </c>
      <c r="F1916" s="4" t="s">
        <v>8412</v>
      </c>
      <c r="G1916" s="4" t="s">
        <v>5716</v>
      </c>
      <c r="H1916" s="4" t="s">
        <v>7366</v>
      </c>
      <c r="I1916" s="5">
        <v>42984</v>
      </c>
      <c r="J1916" s="4" t="s">
        <v>4842</v>
      </c>
      <c r="K1916" s="4" t="s">
        <v>57</v>
      </c>
      <c r="L1916" s="4"/>
      <c r="M1916" s="4"/>
    </row>
    <row r="1917" ht="16" customHeight="1" s="4" customFormat="1">
      <c r="A1917" s="4">
        <v>1224</v>
      </c>
      <c r="B1917" s="4" t="s">
        <v>5499</v>
      </c>
      <c r="C1917" s="4" t="s">
        <v>5590</v>
      </c>
      <c r="D1917" s="4"/>
      <c r="E1917" s="4" t="s">
        <v>5952</v>
      </c>
      <c r="F1917" s="4" t="s">
        <v>8413</v>
      </c>
      <c r="G1917" s="4" t="s">
        <v>5716</v>
      </c>
      <c r="H1917" s="4" t="s">
        <v>7366</v>
      </c>
      <c r="I1917" s="5">
        <v>42984</v>
      </c>
      <c r="J1917" s="4" t="s">
        <v>4842</v>
      </c>
      <c r="K1917" s="4" t="s">
        <v>57</v>
      </c>
      <c r="L1917" s="4"/>
      <c r="M1917" s="4"/>
    </row>
    <row r="1918" ht="16" customHeight="1" s="4" customFormat="1">
      <c r="A1918" s="4">
        <v>1225</v>
      </c>
      <c r="B1918" s="4" t="s">
        <v>6161</v>
      </c>
      <c r="C1918" s="4" t="s">
        <v>6618</v>
      </c>
      <c r="D1918" s="4"/>
      <c r="E1918" s="4"/>
      <c r="F1918" s="4" t="s">
        <v>8414</v>
      </c>
      <c r="G1918" s="4" t="s">
        <v>8415</v>
      </c>
      <c r="H1918" s="4" t="s">
        <v>8416</v>
      </c>
      <c r="I1918" s="5">
        <v>42979</v>
      </c>
      <c r="J1918" s="4" t="s">
        <v>4798</v>
      </c>
      <c r="K1918" s="4" t="s">
        <v>57</v>
      </c>
      <c r="L1918" s="4"/>
      <c r="M1918" s="4"/>
    </row>
    <row r="1919" ht="16" customHeight="1" s="4" customFormat="1">
      <c r="A1919" s="4">
        <v>1226</v>
      </c>
      <c r="B1919" s="4" t="s">
        <v>5694</v>
      </c>
      <c r="C1919" s="4" t="s">
        <v>5695</v>
      </c>
      <c r="D1919" s="4"/>
      <c r="E1919" s="4" t="s">
        <v>5696</v>
      </c>
      <c r="F1919" s="4" t="s">
        <v>8417</v>
      </c>
      <c r="G1919" s="4" t="s">
        <v>5712</v>
      </c>
      <c r="H1919" s="4" t="s">
        <v>5856</v>
      </c>
      <c r="I1919" s="5">
        <v>42978</v>
      </c>
      <c r="J1919" s="4" t="s">
        <v>5506</v>
      </c>
      <c r="K1919" s="4" t="s">
        <v>57</v>
      </c>
      <c r="L1919" s="4"/>
      <c r="M1919" s="4"/>
    </row>
    <row r="1920" ht="16" customHeight="1" s="4" customFormat="1">
      <c r="A1920" s="4">
        <v>1227</v>
      </c>
      <c r="B1920" s="4" t="s">
        <v>5499</v>
      </c>
      <c r="C1920" s="4" t="s">
        <v>5590</v>
      </c>
      <c r="D1920" s="4" t="s">
        <v>5591</v>
      </c>
      <c r="E1920" s="4" t="s">
        <v>5592</v>
      </c>
      <c r="F1920" s="4" t="s">
        <v>8418</v>
      </c>
      <c r="G1920" s="4" t="s">
        <v>8419</v>
      </c>
      <c r="H1920" s="4" t="s">
        <v>4850</v>
      </c>
      <c r="I1920" s="5">
        <v>42970</v>
      </c>
      <c r="J1920" s="4" t="s">
        <v>4798</v>
      </c>
      <c r="K1920" s="4" t="s">
        <v>57</v>
      </c>
      <c r="L1920" s="4"/>
      <c r="M1920" s="4"/>
    </row>
    <row r="1921" ht="16" customHeight="1" s="4" customFormat="1">
      <c r="A1921" s="4">
        <v>1228</v>
      </c>
      <c r="B1921" s="4" t="s">
        <v>5499</v>
      </c>
      <c r="C1921" s="4" t="s">
        <v>8420</v>
      </c>
      <c r="D1921" s="4" t="s">
        <v>5574</v>
      </c>
      <c r="E1921" s="4" t="s">
        <v>5575</v>
      </c>
      <c r="F1921" s="4" t="s">
        <v>8421</v>
      </c>
      <c r="G1921" s="4" t="s">
        <v>5712</v>
      </c>
      <c r="H1921" s="4" t="s">
        <v>8422</v>
      </c>
      <c r="I1921" s="5">
        <v>42956</v>
      </c>
      <c r="J1921" s="4" t="s">
        <v>4842</v>
      </c>
      <c r="K1921" s="4" t="s">
        <v>57</v>
      </c>
      <c r="L1921" s="4"/>
      <c r="M1921" s="4"/>
    </row>
    <row r="1922" ht="16" customHeight="1" s="4" customFormat="1">
      <c r="A1922" s="4">
        <v>1229</v>
      </c>
      <c r="B1922" s="4" t="s">
        <v>5499</v>
      </c>
      <c r="C1922" s="4" t="s">
        <v>5590</v>
      </c>
      <c r="D1922" s="4" t="s">
        <v>5501</v>
      </c>
      <c r="E1922" s="4" t="s">
        <v>5502</v>
      </c>
      <c r="F1922" s="4" t="s">
        <v>8423</v>
      </c>
      <c r="G1922" s="4" t="s">
        <v>5683</v>
      </c>
      <c r="H1922" s="4" t="s">
        <v>4850</v>
      </c>
      <c r="I1922" s="5">
        <v>42956</v>
      </c>
      <c r="J1922" s="4" t="s">
        <v>4798</v>
      </c>
      <c r="K1922" s="4" t="s">
        <v>57</v>
      </c>
      <c r="L1922" s="4"/>
      <c r="M1922" s="4"/>
    </row>
    <row r="1923" ht="16" customHeight="1" s="4" customFormat="1">
      <c r="A1923" s="4">
        <v>1230</v>
      </c>
      <c r="B1923" s="4" t="s">
        <v>5499</v>
      </c>
      <c r="C1923" s="4" t="s">
        <v>5590</v>
      </c>
      <c r="D1923" s="4" t="s">
        <v>5591</v>
      </c>
      <c r="E1923" s="4" t="s">
        <v>5592</v>
      </c>
      <c r="F1923" s="4" t="s">
        <v>8424</v>
      </c>
      <c r="G1923" s="4" t="s">
        <v>5683</v>
      </c>
      <c r="H1923" s="4" t="s">
        <v>4850</v>
      </c>
      <c r="I1923" s="5">
        <v>42956</v>
      </c>
      <c r="J1923" s="4" t="s">
        <v>4798</v>
      </c>
      <c r="K1923" s="4" t="s">
        <v>57</v>
      </c>
      <c r="L1923" s="4"/>
      <c r="M1923" s="4"/>
    </row>
    <row r="1924" ht="16" customHeight="1" s="4" customFormat="1">
      <c r="A1924" s="4">
        <v>1231</v>
      </c>
      <c r="B1924" s="4" t="s">
        <v>5499</v>
      </c>
      <c r="C1924" s="4" t="s">
        <v>5519</v>
      </c>
      <c r="D1924" s="4"/>
      <c r="E1924" s="4" t="s">
        <v>5584</v>
      </c>
      <c r="F1924" s="4" t="s">
        <v>8425</v>
      </c>
      <c r="G1924" s="4" t="s">
        <v>8426</v>
      </c>
      <c r="H1924" s="4" t="s">
        <v>8427</v>
      </c>
      <c r="I1924" s="5">
        <v>42951</v>
      </c>
      <c r="J1924" s="4" t="s">
        <v>4842</v>
      </c>
      <c r="K1924" s="4" t="s">
        <v>57</v>
      </c>
      <c r="L1924" s="4"/>
      <c r="M1924" s="4"/>
    </row>
    <row r="1925" ht="16" customHeight="1" s="4" customFormat="1">
      <c r="A1925" s="4">
        <v>1232</v>
      </c>
      <c r="B1925" s="4" t="s">
        <v>5499</v>
      </c>
      <c r="C1925" s="4" t="s">
        <v>6371</v>
      </c>
      <c r="D1925" s="4" t="s">
        <v>5574</v>
      </c>
      <c r="E1925" s="4" t="s">
        <v>5769</v>
      </c>
      <c r="F1925" s="4" t="s">
        <v>8428</v>
      </c>
      <c r="G1925" s="4" t="s">
        <v>8429</v>
      </c>
      <c r="H1925" s="4" t="s">
        <v>8430</v>
      </c>
      <c r="I1925" s="5">
        <v>42948</v>
      </c>
      <c r="J1925" s="4" t="s">
        <v>4798</v>
      </c>
      <c r="K1925" s="4" t="s">
        <v>57</v>
      </c>
      <c r="L1925" s="4"/>
      <c r="M1925" s="4"/>
    </row>
    <row r="1926" ht="16" customHeight="1" s="4" customFormat="1">
      <c r="A1926" s="4">
        <v>1233</v>
      </c>
      <c r="B1926" s="4" t="s">
        <v>5528</v>
      </c>
      <c r="C1926" s="4" t="s">
        <v>7530</v>
      </c>
      <c r="D1926" s="4" t="s">
        <v>5574</v>
      </c>
      <c r="E1926" s="4" t="s">
        <v>7531</v>
      </c>
      <c r="F1926" s="4" t="s">
        <v>8431</v>
      </c>
      <c r="G1926" s="4" t="s">
        <v>8432</v>
      </c>
      <c r="H1926" s="4" t="s">
        <v>8433</v>
      </c>
      <c r="I1926" s="5">
        <v>42944</v>
      </c>
      <c r="J1926" s="4" t="s">
        <v>4798</v>
      </c>
      <c r="K1926" s="4" t="s">
        <v>57</v>
      </c>
      <c r="L1926" s="4"/>
      <c r="M1926" s="4"/>
    </row>
    <row r="1927" ht="16" customHeight="1" s="4" customFormat="1">
      <c r="A1927" s="4">
        <v>1234</v>
      </c>
      <c r="B1927" s="4" t="s">
        <v>5534</v>
      </c>
      <c r="C1927" s="4" t="s">
        <v>5773</v>
      </c>
      <c r="D1927" s="4"/>
      <c r="E1927" s="4"/>
      <c r="F1927" s="4" t="s">
        <v>8434</v>
      </c>
      <c r="G1927" s="4" t="s">
        <v>5675</v>
      </c>
      <c r="H1927" s="4" t="s">
        <v>6497</v>
      </c>
      <c r="I1927" s="5">
        <v>42944</v>
      </c>
      <c r="J1927" s="4" t="s">
        <v>4842</v>
      </c>
      <c r="K1927" s="4" t="s">
        <v>57</v>
      </c>
      <c r="L1927" s="4"/>
      <c r="M1927" s="4"/>
    </row>
    <row r="1928" ht="16" customHeight="1" s="4" customFormat="1">
      <c r="A1928" s="4">
        <v>1235</v>
      </c>
      <c r="B1928" s="4" t="s">
        <v>5534</v>
      </c>
      <c r="C1928" s="4" t="s">
        <v>5773</v>
      </c>
      <c r="D1928" s="4"/>
      <c r="E1928" s="4"/>
      <c r="F1928" s="4" t="s">
        <v>8435</v>
      </c>
      <c r="G1928" s="4" t="s">
        <v>5675</v>
      </c>
      <c r="H1928" s="4" t="s">
        <v>6497</v>
      </c>
      <c r="I1928" s="5">
        <v>42944</v>
      </c>
      <c r="J1928" s="4" t="s">
        <v>4842</v>
      </c>
      <c r="K1928" s="4" t="s">
        <v>57</v>
      </c>
      <c r="L1928" s="4"/>
      <c r="M1928" s="4"/>
    </row>
    <row r="1929" ht="16" customHeight="1" s="4" customFormat="1">
      <c r="A1929" s="4">
        <v>1236</v>
      </c>
      <c r="B1929" s="4" t="s">
        <v>5499</v>
      </c>
      <c r="C1929" s="4" t="s">
        <v>5519</v>
      </c>
      <c r="D1929" s="4"/>
      <c r="E1929" s="4" t="s">
        <v>8436</v>
      </c>
      <c r="F1929" s="4" t="s">
        <v>8437</v>
      </c>
      <c r="G1929" s="4" t="s">
        <v>8438</v>
      </c>
      <c r="H1929" s="4" t="s">
        <v>8439</v>
      </c>
      <c r="I1929" s="5">
        <v>42937</v>
      </c>
      <c r="J1929" s="4" t="s">
        <v>4842</v>
      </c>
      <c r="K1929" s="4" t="s">
        <v>57</v>
      </c>
      <c r="L1929" s="4"/>
      <c r="M1929" s="4"/>
    </row>
    <row r="1930" ht="16" customHeight="1" s="4" customFormat="1">
      <c r="A1930" s="4">
        <v>1237</v>
      </c>
      <c r="B1930" s="4" t="s">
        <v>5600</v>
      </c>
      <c r="C1930" s="4" t="s">
        <v>5600</v>
      </c>
      <c r="D1930" s="4" t="s">
        <v>5618</v>
      </c>
      <c r="E1930" s="4" t="s">
        <v>5619</v>
      </c>
      <c r="F1930" s="4" t="s">
        <v>8440</v>
      </c>
      <c r="G1930" s="4" t="s">
        <v>6885</v>
      </c>
      <c r="H1930" s="4" t="s">
        <v>8441</v>
      </c>
      <c r="I1930" s="5">
        <v>42934</v>
      </c>
      <c r="J1930" s="4" t="s">
        <v>4798</v>
      </c>
      <c r="K1930" s="4" t="s">
        <v>57</v>
      </c>
      <c r="L1930" s="4"/>
      <c r="M1930" s="4"/>
    </row>
    <row r="1931" ht="16" customHeight="1" s="4" customFormat="1">
      <c r="A1931" s="4">
        <v>1238</v>
      </c>
      <c r="B1931" s="4" t="s">
        <v>5600</v>
      </c>
      <c r="C1931" s="4" t="s">
        <v>5600</v>
      </c>
      <c r="D1931" s="4" t="s">
        <v>5618</v>
      </c>
      <c r="E1931" s="4" t="s">
        <v>5619</v>
      </c>
      <c r="F1931" s="4" t="s">
        <v>8442</v>
      </c>
      <c r="G1931" s="4" t="s">
        <v>6885</v>
      </c>
      <c r="H1931" s="4" t="s">
        <v>8441</v>
      </c>
      <c r="I1931" s="5">
        <v>42934</v>
      </c>
      <c r="J1931" s="4" t="s">
        <v>4798</v>
      </c>
      <c r="K1931" s="4" t="s">
        <v>57</v>
      </c>
      <c r="L1931" s="4"/>
      <c r="M1931" s="4"/>
    </row>
    <row r="1932" ht="16" customHeight="1" s="4" customFormat="1">
      <c r="A1932" s="4">
        <v>1239</v>
      </c>
      <c r="B1932" s="4" t="s">
        <v>5499</v>
      </c>
      <c r="C1932" s="4" t="s">
        <v>5573</v>
      </c>
      <c r="D1932" s="4" t="s">
        <v>5574</v>
      </c>
      <c r="E1932" s="4" t="s">
        <v>5575</v>
      </c>
      <c r="F1932" s="4" t="s">
        <v>8443</v>
      </c>
      <c r="G1932" s="4" t="s">
        <v>4850</v>
      </c>
      <c r="H1932" s="4" t="s">
        <v>5588</v>
      </c>
      <c r="I1932" s="5">
        <v>42920</v>
      </c>
      <c r="J1932" s="4" t="s">
        <v>4798</v>
      </c>
      <c r="K1932" s="4" t="s">
        <v>57</v>
      </c>
      <c r="L1932" s="4"/>
      <c r="M1932" s="4"/>
    </row>
    <row r="1933" ht="16" customHeight="1" s="4" customFormat="1">
      <c r="A1933" s="4">
        <v>1240</v>
      </c>
      <c r="B1933" s="4" t="s">
        <v>5499</v>
      </c>
      <c r="C1933" s="4" t="s">
        <v>5500</v>
      </c>
      <c r="D1933" s="4" t="s">
        <v>5574</v>
      </c>
      <c r="E1933" s="4" t="s">
        <v>5706</v>
      </c>
      <c r="F1933" s="4" t="s">
        <v>8444</v>
      </c>
      <c r="G1933" s="4" t="s">
        <v>6431</v>
      </c>
      <c r="H1933" s="4" t="s">
        <v>8350</v>
      </c>
      <c r="I1933" s="5">
        <v>42920</v>
      </c>
      <c r="J1933" s="4" t="s">
        <v>4798</v>
      </c>
      <c r="K1933" s="4" t="s">
        <v>57</v>
      </c>
      <c r="L1933" s="4"/>
      <c r="M1933" s="4"/>
    </row>
    <row r="1934" ht="16" customHeight="1" s="4" customFormat="1">
      <c r="A1934" s="4">
        <v>1241</v>
      </c>
      <c r="B1934" s="4" t="s">
        <v>5528</v>
      </c>
      <c r="C1934" s="4" t="s">
        <v>6140</v>
      </c>
      <c r="D1934" s="4" t="s">
        <v>5574</v>
      </c>
      <c r="E1934" s="4" t="s">
        <v>8445</v>
      </c>
      <c r="F1934" s="4" t="s">
        <v>8446</v>
      </c>
      <c r="G1934" s="4" t="s">
        <v>8447</v>
      </c>
      <c r="H1934" s="4" t="s">
        <v>8448</v>
      </c>
      <c r="I1934" s="5">
        <v>42919</v>
      </c>
      <c r="J1934" s="4" t="s">
        <v>4798</v>
      </c>
      <c r="K1934" s="4" t="s">
        <v>57</v>
      </c>
      <c r="L1934" s="4"/>
      <c r="M1934" s="4"/>
    </row>
    <row r="1935" ht="16" customHeight="1" s="4" customFormat="1">
      <c r="A1935" s="4">
        <v>1242</v>
      </c>
      <c r="B1935" s="4" t="s">
        <v>5499</v>
      </c>
      <c r="C1935" s="4" t="s">
        <v>7045</v>
      </c>
      <c r="D1935" s="4" t="s">
        <v>5574</v>
      </c>
      <c r="E1935" s="4" t="s">
        <v>7046</v>
      </c>
      <c r="F1935" s="4" t="s">
        <v>8449</v>
      </c>
      <c r="G1935" s="4" t="s">
        <v>7171</v>
      </c>
      <c r="H1935" s="4" t="s">
        <v>8450</v>
      </c>
      <c r="I1935" s="5">
        <v>42914</v>
      </c>
      <c r="J1935" s="4" t="s">
        <v>5506</v>
      </c>
      <c r="K1935" s="4" t="s">
        <v>57</v>
      </c>
      <c r="L1935" s="4"/>
      <c r="M1935" s="4"/>
    </row>
    <row r="1936" ht="16" customHeight="1" s="4" customFormat="1">
      <c r="A1936" s="4">
        <v>1243</v>
      </c>
      <c r="B1936" s="4" t="s">
        <v>5534</v>
      </c>
      <c r="C1936" s="4" t="s">
        <v>5773</v>
      </c>
      <c r="D1936" s="4"/>
      <c r="E1936" s="4"/>
      <c r="F1936" s="4" t="s">
        <v>8451</v>
      </c>
      <c r="G1936" s="4" t="s">
        <v>10</v>
      </c>
      <c r="H1936" s="4" t="s">
        <v>5853</v>
      </c>
      <c r="I1936" s="5">
        <v>42913</v>
      </c>
      <c r="J1936" s="4" t="s">
        <v>4798</v>
      </c>
      <c r="K1936" s="4" t="s">
        <v>57</v>
      </c>
      <c r="L1936" s="4"/>
      <c r="M1936" s="4"/>
    </row>
    <row r="1937" ht="16" customHeight="1" s="4" customFormat="1">
      <c r="A1937" s="4">
        <v>1244</v>
      </c>
      <c r="B1937" s="4" t="s">
        <v>5534</v>
      </c>
      <c r="C1937" s="4" t="s">
        <v>5773</v>
      </c>
      <c r="D1937" s="4"/>
      <c r="E1937" s="4"/>
      <c r="F1937" s="4" t="s">
        <v>8452</v>
      </c>
      <c r="G1937" s="4" t="s">
        <v>5675</v>
      </c>
      <c r="H1937" s="4" t="s">
        <v>6366</v>
      </c>
      <c r="I1937" s="5">
        <v>42907</v>
      </c>
      <c r="J1937" s="4" t="s">
        <v>4798</v>
      </c>
      <c r="K1937" s="4" t="s">
        <v>57</v>
      </c>
      <c r="L1937" s="4"/>
      <c r="M1937" s="4"/>
    </row>
    <row r="1938" ht="16" customHeight="1" s="4" customFormat="1">
      <c r="A1938" s="4">
        <v>1245</v>
      </c>
      <c r="B1938" s="4" t="s">
        <v>5528</v>
      </c>
      <c r="C1938" s="4" t="s">
        <v>5529</v>
      </c>
      <c r="D1938" s="4"/>
      <c r="E1938" s="4" t="s">
        <v>5570</v>
      </c>
      <c r="F1938" s="4" t="s">
        <v>8453</v>
      </c>
      <c r="G1938" s="4" t="s">
        <v>8454</v>
      </c>
      <c r="H1938" s="4" t="s">
        <v>5532</v>
      </c>
      <c r="I1938" s="5">
        <v>42906</v>
      </c>
      <c r="J1938" s="4" t="s">
        <v>4798</v>
      </c>
      <c r="K1938" s="4" t="s">
        <v>57</v>
      </c>
      <c r="L1938" s="4"/>
      <c r="M1938" s="4"/>
    </row>
    <row r="1939" ht="16" customHeight="1" s="4" customFormat="1">
      <c r="A1939" s="4">
        <v>1246</v>
      </c>
      <c r="B1939" s="4" t="s">
        <v>5499</v>
      </c>
      <c r="C1939" s="4" t="s">
        <v>5519</v>
      </c>
      <c r="D1939" s="4"/>
      <c r="E1939" s="4" t="s">
        <v>5645</v>
      </c>
      <c r="F1939" s="4" t="s">
        <v>7250</v>
      </c>
      <c r="G1939" s="4" t="s">
        <v>8455</v>
      </c>
      <c r="H1939" s="4" t="s">
        <v>5655</v>
      </c>
      <c r="I1939" s="5">
        <v>42902</v>
      </c>
      <c r="J1939" s="4" t="s">
        <v>4842</v>
      </c>
      <c r="K1939" s="4" t="s">
        <v>57</v>
      </c>
      <c r="L1939" s="4"/>
      <c r="M1939" s="4"/>
    </row>
    <row r="1940" ht="16" customHeight="1" s="4" customFormat="1">
      <c r="A1940" s="4">
        <v>1247</v>
      </c>
      <c r="B1940" s="4" t="s">
        <v>5499</v>
      </c>
      <c r="C1940" s="4" t="s">
        <v>5714</v>
      </c>
      <c r="D1940" s="4" t="s">
        <v>5574</v>
      </c>
      <c r="E1940" s="4" t="s">
        <v>5575</v>
      </c>
      <c r="F1940" s="4" t="s">
        <v>8456</v>
      </c>
      <c r="G1940" s="4" t="s">
        <v>10</v>
      </c>
      <c r="H1940" s="4" t="s">
        <v>8159</v>
      </c>
      <c r="I1940" s="5">
        <v>42902</v>
      </c>
      <c r="J1940" s="4" t="s">
        <v>4842</v>
      </c>
      <c r="K1940" s="4" t="s">
        <v>57</v>
      </c>
      <c r="L1940" s="4"/>
      <c r="M1940" s="4"/>
    </row>
    <row r="1941" ht="16" customHeight="1" s="4" customFormat="1">
      <c r="A1941" s="4">
        <v>1248</v>
      </c>
      <c r="B1941" s="4" t="s">
        <v>5499</v>
      </c>
      <c r="C1941" s="4" t="s">
        <v>5714</v>
      </c>
      <c r="D1941" s="4" t="s">
        <v>5574</v>
      </c>
      <c r="E1941" s="4" t="s">
        <v>5575</v>
      </c>
      <c r="F1941" s="4" t="s">
        <v>8457</v>
      </c>
      <c r="G1941" s="4" t="s">
        <v>8458</v>
      </c>
      <c r="H1941" s="4" t="s">
        <v>8459</v>
      </c>
      <c r="I1941" s="5">
        <v>42902</v>
      </c>
      <c r="J1941" s="4" t="s">
        <v>4842</v>
      </c>
      <c r="K1941" s="4" t="s">
        <v>57</v>
      </c>
      <c r="L1941" s="4"/>
      <c r="M1941" s="4"/>
    </row>
    <row r="1942" ht="16" customHeight="1" s="4" customFormat="1">
      <c r="A1942" s="4">
        <v>1249</v>
      </c>
      <c r="B1942" s="4" t="s">
        <v>5534</v>
      </c>
      <c r="C1942" s="4" t="s">
        <v>5773</v>
      </c>
      <c r="D1942" s="4"/>
      <c r="E1942" s="4"/>
      <c r="F1942" s="4" t="s">
        <v>8460</v>
      </c>
      <c r="G1942" s="4" t="s">
        <v>5675</v>
      </c>
      <c r="H1942" s="4" t="s">
        <v>5778</v>
      </c>
      <c r="I1942" s="5">
        <v>42901</v>
      </c>
      <c r="J1942" s="4" t="s">
        <v>4842</v>
      </c>
      <c r="K1942" s="4" t="s">
        <v>57</v>
      </c>
      <c r="L1942" s="4"/>
      <c r="M1942" s="4"/>
    </row>
    <row r="1943" ht="16" customHeight="1" s="4" customFormat="1">
      <c r="A1943" s="4">
        <v>1250</v>
      </c>
      <c r="B1943" s="4" t="s">
        <v>5499</v>
      </c>
      <c r="C1943" s="4" t="s">
        <v>5519</v>
      </c>
      <c r="D1943" s="4"/>
      <c r="E1943" s="4" t="s">
        <v>5690</v>
      </c>
      <c r="F1943" s="4" t="s">
        <v>8461</v>
      </c>
      <c r="G1943" s="4" t="s">
        <v>8124</v>
      </c>
      <c r="H1943" s="4" t="s">
        <v>8462</v>
      </c>
      <c r="I1943" s="5">
        <v>42901</v>
      </c>
      <c r="J1943" s="4" t="s">
        <v>4798</v>
      </c>
      <c r="K1943" s="4" t="s">
        <v>57</v>
      </c>
      <c r="L1943" s="4"/>
      <c r="M1943" s="4"/>
    </row>
    <row r="1944" ht="16" customHeight="1" s="4" customFormat="1">
      <c r="A1944" s="4">
        <v>1251</v>
      </c>
      <c r="B1944" s="4" t="s">
        <v>5499</v>
      </c>
      <c r="C1944" s="4" t="s">
        <v>5519</v>
      </c>
      <c r="D1944" s="4"/>
      <c r="E1944" s="4" t="s">
        <v>6083</v>
      </c>
      <c r="F1944" s="4" t="s">
        <v>8463</v>
      </c>
      <c r="G1944" s="4" t="s">
        <v>8464</v>
      </c>
      <c r="H1944" s="4" t="s">
        <v>8465</v>
      </c>
      <c r="I1944" s="5">
        <v>42898</v>
      </c>
      <c r="J1944" s="4" t="s">
        <v>4798</v>
      </c>
      <c r="K1944" s="4" t="s">
        <v>57</v>
      </c>
      <c r="L1944" s="4"/>
      <c r="M1944" s="4"/>
    </row>
    <row r="1945" ht="16" customHeight="1" s="4" customFormat="1">
      <c r="A1945" s="4">
        <v>1252</v>
      </c>
      <c r="B1945" s="4" t="s">
        <v>5499</v>
      </c>
      <c r="C1945" s="4" t="s">
        <v>5519</v>
      </c>
      <c r="D1945" s="4"/>
      <c r="E1945" s="4" t="s">
        <v>8466</v>
      </c>
      <c r="F1945" s="4" t="s">
        <v>8467</v>
      </c>
      <c r="G1945" s="4" t="s">
        <v>5815</v>
      </c>
      <c r="H1945" s="4" t="s">
        <v>8468</v>
      </c>
      <c r="I1945" s="5">
        <v>42898</v>
      </c>
      <c r="J1945" s="4" t="s">
        <v>4798</v>
      </c>
      <c r="K1945" s="4" t="s">
        <v>57</v>
      </c>
      <c r="L1945" s="4"/>
      <c r="M1945" s="4"/>
    </row>
    <row r="1946" ht="16" customHeight="1" s="4" customFormat="1">
      <c r="A1946" s="4">
        <v>1253</v>
      </c>
      <c r="B1946" s="4" t="s">
        <v>5499</v>
      </c>
      <c r="C1946" s="4" t="s">
        <v>5519</v>
      </c>
      <c r="D1946" s="4"/>
      <c r="E1946" s="4" t="s">
        <v>5524</v>
      </c>
      <c r="F1946" s="4" t="s">
        <v>8469</v>
      </c>
      <c r="G1946" s="4" t="s">
        <v>8470</v>
      </c>
      <c r="H1946" s="4" t="s">
        <v>8471</v>
      </c>
      <c r="I1946" s="5">
        <v>42894</v>
      </c>
      <c r="J1946" s="4" t="s">
        <v>4842</v>
      </c>
      <c r="K1946" s="4" t="s">
        <v>57</v>
      </c>
      <c r="L1946" s="4"/>
      <c r="M1946" s="4"/>
    </row>
    <row r="1947" ht="16" customHeight="1" s="4" customFormat="1">
      <c r="A1947" s="4">
        <v>1254</v>
      </c>
      <c r="B1947" s="4" t="s">
        <v>5499</v>
      </c>
      <c r="C1947" s="4" t="s">
        <v>5519</v>
      </c>
      <c r="D1947" s="4"/>
      <c r="E1947" s="4" t="s">
        <v>6704</v>
      </c>
      <c r="F1947" s="4" t="s">
        <v>8472</v>
      </c>
      <c r="G1947" s="4" t="s">
        <v>8470</v>
      </c>
      <c r="H1947" s="4" t="s">
        <v>8471</v>
      </c>
      <c r="I1947" s="5">
        <v>42894</v>
      </c>
      <c r="J1947" s="4" t="s">
        <v>4842</v>
      </c>
      <c r="K1947" s="4" t="s">
        <v>57</v>
      </c>
      <c r="L1947" s="4"/>
      <c r="M1947" s="4"/>
    </row>
    <row r="1948" ht="16" customHeight="1" s="4" customFormat="1">
      <c r="A1948" s="4">
        <v>1255</v>
      </c>
      <c r="B1948" s="4" t="s">
        <v>5534</v>
      </c>
      <c r="C1948" s="4" t="s">
        <v>5773</v>
      </c>
      <c r="D1948" s="4"/>
      <c r="E1948" s="4"/>
      <c r="F1948" s="4" t="s">
        <v>8473</v>
      </c>
      <c r="G1948" s="4" t="s">
        <v>10</v>
      </c>
      <c r="H1948" s="4" t="s">
        <v>7914</v>
      </c>
      <c r="I1948" s="5">
        <v>42887</v>
      </c>
      <c r="J1948" s="4" t="s">
        <v>4798</v>
      </c>
      <c r="K1948" s="4" t="s">
        <v>57</v>
      </c>
      <c r="L1948" s="4"/>
      <c r="M1948" s="4"/>
    </row>
    <row r="1949" ht="16" customHeight="1" s="4" customFormat="1">
      <c r="A1949" s="4">
        <v>1256</v>
      </c>
      <c r="B1949" s="4" t="s">
        <v>5534</v>
      </c>
      <c r="C1949" s="4" t="s">
        <v>5773</v>
      </c>
      <c r="D1949" s="4"/>
      <c r="E1949" s="4"/>
      <c r="F1949" s="4" t="s">
        <v>8474</v>
      </c>
      <c r="G1949" s="4" t="s">
        <v>5675</v>
      </c>
      <c r="H1949" s="4" t="s">
        <v>5778</v>
      </c>
      <c r="I1949" s="5">
        <v>42885</v>
      </c>
      <c r="J1949" s="4" t="s">
        <v>4798</v>
      </c>
      <c r="K1949" s="4" t="s">
        <v>57</v>
      </c>
      <c r="L1949" s="4"/>
      <c r="M1949" s="4"/>
    </row>
    <row r="1950" ht="16" customHeight="1" s="4" customFormat="1">
      <c r="A1950" s="4">
        <v>1257</v>
      </c>
      <c r="B1950" s="4" t="s">
        <v>5534</v>
      </c>
      <c r="C1950" s="4" t="s">
        <v>5773</v>
      </c>
      <c r="D1950" s="4"/>
      <c r="E1950" s="4"/>
      <c r="F1950" s="4" t="s">
        <v>8475</v>
      </c>
      <c r="G1950" s="4" t="s">
        <v>5675</v>
      </c>
      <c r="H1950" s="4" t="s">
        <v>5778</v>
      </c>
      <c r="I1950" s="5">
        <v>42885</v>
      </c>
      <c r="J1950" s="4" t="s">
        <v>4798</v>
      </c>
      <c r="K1950" s="4" t="s">
        <v>57</v>
      </c>
      <c r="L1950" s="4"/>
      <c r="M1950" s="4"/>
    </row>
    <row r="1951" ht="16" customHeight="1" s="4" customFormat="1">
      <c r="A1951" s="4">
        <v>1258</v>
      </c>
      <c r="B1951" s="4" t="s">
        <v>5534</v>
      </c>
      <c r="C1951" s="4" t="s">
        <v>5773</v>
      </c>
      <c r="D1951" s="4"/>
      <c r="E1951" s="4"/>
      <c r="F1951" s="4" t="s">
        <v>8476</v>
      </c>
      <c r="G1951" s="4" t="s">
        <v>5675</v>
      </c>
      <c r="H1951" s="4" t="s">
        <v>5778</v>
      </c>
      <c r="I1951" s="5">
        <v>42885</v>
      </c>
      <c r="J1951" s="4" t="s">
        <v>4798</v>
      </c>
      <c r="K1951" s="4" t="s">
        <v>57</v>
      </c>
      <c r="L1951" s="4"/>
      <c r="M1951" s="4"/>
    </row>
    <row r="1952" ht="16" customHeight="1" s="4" customFormat="1">
      <c r="A1952" s="4">
        <v>1259</v>
      </c>
      <c r="B1952" s="4" t="s">
        <v>5534</v>
      </c>
      <c r="C1952" s="4" t="s">
        <v>5773</v>
      </c>
      <c r="D1952" s="4"/>
      <c r="E1952" s="4"/>
      <c r="F1952" s="4" t="s">
        <v>8477</v>
      </c>
      <c r="G1952" s="4" t="s">
        <v>5675</v>
      </c>
      <c r="H1952" s="4" t="s">
        <v>5778</v>
      </c>
      <c r="I1952" s="5">
        <v>42885</v>
      </c>
      <c r="J1952" s="4" t="s">
        <v>4798</v>
      </c>
      <c r="K1952" s="4" t="s">
        <v>57</v>
      </c>
      <c r="L1952" s="4"/>
      <c r="M1952" s="4"/>
    </row>
    <row r="1953" ht="16" customHeight="1" s="4" customFormat="1">
      <c r="A1953" s="4">
        <v>1260</v>
      </c>
      <c r="B1953" s="4" t="s">
        <v>5534</v>
      </c>
      <c r="C1953" s="4" t="s">
        <v>5773</v>
      </c>
      <c r="D1953" s="4"/>
      <c r="E1953" s="4"/>
      <c r="F1953" s="4" t="s">
        <v>8478</v>
      </c>
      <c r="G1953" s="4" t="s">
        <v>5675</v>
      </c>
      <c r="H1953" s="4" t="s">
        <v>5778</v>
      </c>
      <c r="I1953" s="5">
        <v>42885</v>
      </c>
      <c r="J1953" s="4" t="s">
        <v>4798</v>
      </c>
      <c r="K1953" s="4" t="s">
        <v>57</v>
      </c>
      <c r="L1953" s="4"/>
      <c r="M1953" s="4"/>
    </row>
    <row r="1954" ht="16" customHeight="1" s="4" customFormat="1">
      <c r="A1954" s="4">
        <v>1261</v>
      </c>
      <c r="B1954" s="4" t="s">
        <v>5534</v>
      </c>
      <c r="C1954" s="4" t="s">
        <v>5773</v>
      </c>
      <c r="D1954" s="4"/>
      <c r="E1954" s="4"/>
      <c r="F1954" s="4" t="s">
        <v>8479</v>
      </c>
      <c r="G1954" s="4" t="s">
        <v>5675</v>
      </c>
      <c r="H1954" s="4" t="s">
        <v>5778</v>
      </c>
      <c r="I1954" s="5">
        <v>42885</v>
      </c>
      <c r="J1954" s="4" t="s">
        <v>4798</v>
      </c>
      <c r="K1954" s="4" t="s">
        <v>57</v>
      </c>
      <c r="L1954" s="4"/>
      <c r="M1954" s="4"/>
    </row>
    <row r="1955" ht="16" customHeight="1" s="4" customFormat="1">
      <c r="A1955" s="4">
        <v>1262</v>
      </c>
      <c r="B1955" s="4" t="s">
        <v>5534</v>
      </c>
      <c r="C1955" s="4" t="s">
        <v>5773</v>
      </c>
      <c r="D1955" s="4"/>
      <c r="E1955" s="4"/>
      <c r="F1955" s="4" t="s">
        <v>8480</v>
      </c>
      <c r="G1955" s="4" t="s">
        <v>5675</v>
      </c>
      <c r="H1955" s="4" t="s">
        <v>5778</v>
      </c>
      <c r="I1955" s="5">
        <v>42885</v>
      </c>
      <c r="J1955" s="4" t="s">
        <v>4798</v>
      </c>
      <c r="K1955" s="4" t="s">
        <v>57</v>
      </c>
      <c r="L1955" s="4"/>
      <c r="M1955" s="4"/>
    </row>
    <row r="1956" ht="16" customHeight="1" s="4" customFormat="1">
      <c r="A1956" s="4">
        <v>1263</v>
      </c>
      <c r="B1956" s="4" t="s">
        <v>6161</v>
      </c>
      <c r="C1956" s="4" t="s">
        <v>6618</v>
      </c>
      <c r="D1956" s="4"/>
      <c r="E1956" s="4"/>
      <c r="F1956" s="4" t="s">
        <v>8481</v>
      </c>
      <c r="G1956" s="4" t="s">
        <v>8482</v>
      </c>
      <c r="H1956" s="4" t="s">
        <v>8483</v>
      </c>
      <c r="I1956" s="5">
        <v>42881</v>
      </c>
      <c r="J1956" s="4" t="s">
        <v>4842</v>
      </c>
      <c r="K1956" s="4" t="s">
        <v>57</v>
      </c>
      <c r="L1956" s="4"/>
      <c r="M1956" s="4"/>
    </row>
    <row r="1957" ht="16" customHeight="1" s="4" customFormat="1">
      <c r="A1957" s="4">
        <v>1264</v>
      </c>
      <c r="B1957" s="4" t="s">
        <v>5534</v>
      </c>
      <c r="C1957" s="4" t="s">
        <v>5631</v>
      </c>
      <c r="D1957" s="4"/>
      <c r="E1957" s="4"/>
      <c r="F1957" s="4" t="s">
        <v>8484</v>
      </c>
      <c r="G1957" s="4" t="s">
        <v>8485</v>
      </c>
      <c r="H1957" s="4" t="s">
        <v>8486</v>
      </c>
      <c r="I1957" s="5">
        <v>42880</v>
      </c>
      <c r="J1957" s="4" t="s">
        <v>4842</v>
      </c>
      <c r="K1957" s="4" t="s">
        <v>57</v>
      </c>
      <c r="L1957" s="4"/>
      <c r="M1957" s="4"/>
    </row>
    <row r="1958" ht="16" customHeight="1" s="4" customFormat="1">
      <c r="A1958" s="4">
        <v>1265</v>
      </c>
      <c r="B1958" s="4" t="s">
        <v>5528</v>
      </c>
      <c r="C1958" s="4" t="s">
        <v>5724</v>
      </c>
      <c r="D1958" s="4" t="s">
        <v>5591</v>
      </c>
      <c r="E1958" s="4" t="s">
        <v>5592</v>
      </c>
      <c r="F1958" s="4" t="s">
        <v>8487</v>
      </c>
      <c r="G1958" s="4" t="s">
        <v>8488</v>
      </c>
      <c r="H1958" s="4" t="s">
        <v>5680</v>
      </c>
      <c r="I1958" s="5">
        <v>42867</v>
      </c>
      <c r="J1958" s="4" t="s">
        <v>4798</v>
      </c>
      <c r="K1958" s="4" t="s">
        <v>57</v>
      </c>
      <c r="L1958" s="4"/>
      <c r="M1958" s="4"/>
    </row>
    <row r="1959" ht="16" customHeight="1" s="4" customFormat="1">
      <c r="A1959" s="4">
        <v>1266</v>
      </c>
      <c r="B1959" s="4" t="s">
        <v>6161</v>
      </c>
      <c r="C1959" s="4" t="s">
        <v>8489</v>
      </c>
      <c r="D1959" s="4" t="s">
        <v>5728</v>
      </c>
      <c r="E1959" s="4" t="s">
        <v>5729</v>
      </c>
      <c r="F1959" s="4" t="s">
        <v>8490</v>
      </c>
      <c r="G1959" s="4" t="s">
        <v>8491</v>
      </c>
      <c r="H1959" s="4" t="s">
        <v>8492</v>
      </c>
      <c r="I1959" s="5">
        <v>42860</v>
      </c>
      <c r="J1959" s="4" t="s">
        <v>5506</v>
      </c>
      <c r="K1959" s="4" t="s">
        <v>57</v>
      </c>
      <c r="L1959" s="4"/>
      <c r="M1959" s="4"/>
    </row>
    <row r="1960" ht="16" customHeight="1" s="4" customFormat="1">
      <c r="A1960" s="4">
        <v>1267</v>
      </c>
      <c r="B1960" s="4" t="s">
        <v>6161</v>
      </c>
      <c r="C1960" s="4" t="s">
        <v>8489</v>
      </c>
      <c r="D1960" s="4" t="s">
        <v>5728</v>
      </c>
      <c r="E1960" s="4" t="s">
        <v>5729</v>
      </c>
      <c r="F1960" s="4" t="s">
        <v>8493</v>
      </c>
      <c r="G1960" s="4" t="s">
        <v>8491</v>
      </c>
      <c r="H1960" s="4" t="s">
        <v>8492</v>
      </c>
      <c r="I1960" s="5">
        <v>42860</v>
      </c>
      <c r="J1960" s="4" t="s">
        <v>5506</v>
      </c>
      <c r="K1960" s="4" t="s">
        <v>57</v>
      </c>
      <c r="L1960" s="4"/>
      <c r="M1960" s="4"/>
    </row>
    <row r="1961" ht="16" customHeight="1" s="4" customFormat="1">
      <c r="A1961" s="4">
        <v>1268</v>
      </c>
      <c r="B1961" s="4" t="s">
        <v>5600</v>
      </c>
      <c r="C1961" s="4" t="s">
        <v>5600</v>
      </c>
      <c r="D1961" s="4" t="s">
        <v>5514</v>
      </c>
      <c r="E1961" s="4" t="s">
        <v>5515</v>
      </c>
      <c r="F1961" s="4" t="s">
        <v>8494</v>
      </c>
      <c r="G1961" s="4" t="s">
        <v>10</v>
      </c>
      <c r="H1961" s="4" t="s">
        <v>5835</v>
      </c>
      <c r="I1961" s="5">
        <v>42860</v>
      </c>
      <c r="J1961" s="4" t="s">
        <v>4798</v>
      </c>
      <c r="K1961" s="4" t="s">
        <v>57</v>
      </c>
      <c r="L1961" s="4"/>
      <c r="M1961" s="4"/>
    </row>
    <row r="1962" ht="16" customHeight="1" s="4" customFormat="1">
      <c r="A1962" s="4">
        <v>1269</v>
      </c>
      <c r="B1962" s="4" t="s">
        <v>6161</v>
      </c>
      <c r="C1962" s="4" t="s">
        <v>6618</v>
      </c>
      <c r="D1962" s="4"/>
      <c r="E1962" s="4"/>
      <c r="F1962" s="4" t="s">
        <v>8495</v>
      </c>
      <c r="G1962" s="4" t="s">
        <v>5771</v>
      </c>
      <c r="H1962" s="4" t="s">
        <v>8496</v>
      </c>
      <c r="I1962" s="5">
        <v>42860</v>
      </c>
      <c r="J1962" s="4" t="s">
        <v>7580</v>
      </c>
      <c r="K1962" s="4" t="s">
        <v>57</v>
      </c>
      <c r="L1962" s="4"/>
      <c r="M1962" s="4"/>
    </row>
    <row r="1963" ht="16" customHeight="1" s="4" customFormat="1">
      <c r="A1963" s="4">
        <v>1270</v>
      </c>
      <c r="B1963" s="4" t="s">
        <v>6161</v>
      </c>
      <c r="C1963" s="4" t="s">
        <v>6618</v>
      </c>
      <c r="D1963" s="4"/>
      <c r="E1963" s="4"/>
      <c r="F1963" s="4" t="s">
        <v>8497</v>
      </c>
      <c r="G1963" s="4" t="s">
        <v>5771</v>
      </c>
      <c r="H1963" s="4" t="s">
        <v>8496</v>
      </c>
      <c r="I1963" s="5">
        <v>42860</v>
      </c>
      <c r="J1963" s="4" t="s">
        <v>7580</v>
      </c>
      <c r="K1963" s="4" t="s">
        <v>57</v>
      </c>
      <c r="L1963" s="4"/>
      <c r="M1963" s="4"/>
    </row>
    <row r="1964" ht="16" customHeight="1" s="4" customFormat="1">
      <c r="A1964" s="4">
        <v>1271</v>
      </c>
      <c r="B1964" s="4" t="s">
        <v>5534</v>
      </c>
      <c r="C1964" s="4" t="s">
        <v>5773</v>
      </c>
      <c r="D1964" s="4"/>
      <c r="E1964" s="4"/>
      <c r="F1964" s="4" t="s">
        <v>8498</v>
      </c>
      <c r="G1964" s="4" t="s">
        <v>5791</v>
      </c>
      <c r="H1964" s="4" t="s">
        <v>5792</v>
      </c>
      <c r="I1964" s="5">
        <v>42856</v>
      </c>
      <c r="J1964" s="4" t="s">
        <v>4842</v>
      </c>
      <c r="K1964" s="4" t="s">
        <v>57</v>
      </c>
      <c r="L1964" s="4"/>
      <c r="M1964" s="4"/>
    </row>
    <row r="1965" ht="16" customHeight="1" s="4" customFormat="1">
      <c r="A1965" s="4">
        <v>1272</v>
      </c>
      <c r="B1965" s="4" t="s">
        <v>5534</v>
      </c>
      <c r="C1965" s="4" t="s">
        <v>5773</v>
      </c>
      <c r="D1965" s="4"/>
      <c r="E1965" s="4"/>
      <c r="F1965" s="4" t="s">
        <v>8499</v>
      </c>
      <c r="G1965" s="4" t="s">
        <v>5675</v>
      </c>
      <c r="H1965" s="4" t="s">
        <v>5778</v>
      </c>
      <c r="I1965" s="5">
        <v>42850</v>
      </c>
      <c r="J1965" s="4" t="s">
        <v>4842</v>
      </c>
      <c r="K1965" s="4" t="s">
        <v>57</v>
      </c>
      <c r="L1965" s="4"/>
      <c r="M1965" s="4"/>
    </row>
    <row r="1966" ht="16" customHeight="1" s="4" customFormat="1">
      <c r="A1966" s="4">
        <v>1273</v>
      </c>
      <c r="B1966" s="4" t="s">
        <v>5499</v>
      </c>
      <c r="C1966" s="4" t="s">
        <v>5519</v>
      </c>
      <c r="D1966" s="4"/>
      <c r="E1966" s="4" t="s">
        <v>6083</v>
      </c>
      <c r="F1966" s="4" t="s">
        <v>8500</v>
      </c>
      <c r="G1966" s="4" t="s">
        <v>8465</v>
      </c>
      <c r="H1966" s="4" t="s">
        <v>8501</v>
      </c>
      <c r="I1966" s="5">
        <v>42850</v>
      </c>
      <c r="J1966" s="4" t="s">
        <v>4798</v>
      </c>
      <c r="K1966" s="4" t="s">
        <v>57</v>
      </c>
      <c r="L1966" s="4"/>
      <c r="M1966" s="4"/>
    </row>
    <row r="1967" ht="16" customHeight="1" s="4" customFormat="1">
      <c r="A1967" s="4">
        <v>1274</v>
      </c>
      <c r="B1967" s="4" t="s">
        <v>6161</v>
      </c>
      <c r="C1967" s="4" t="s">
        <v>6618</v>
      </c>
      <c r="D1967" s="4"/>
      <c r="E1967" s="4"/>
      <c r="F1967" s="4" t="s">
        <v>8502</v>
      </c>
      <c r="G1967" s="4" t="s">
        <v>5944</v>
      </c>
      <c r="H1967" s="4" t="s">
        <v>8503</v>
      </c>
      <c r="I1967" s="5">
        <v>42849</v>
      </c>
      <c r="J1967" s="4" t="s">
        <v>7580</v>
      </c>
      <c r="K1967" s="4" t="s">
        <v>57</v>
      </c>
      <c r="L1967" s="4"/>
      <c r="M1967" s="4"/>
    </row>
    <row r="1968" ht="16" customHeight="1" s="4" customFormat="1">
      <c r="A1968" s="4">
        <v>1275</v>
      </c>
      <c r="B1968" s="4" t="s">
        <v>5534</v>
      </c>
      <c r="C1968" s="4" t="s">
        <v>5631</v>
      </c>
      <c r="D1968" s="4"/>
      <c r="E1968" s="4"/>
      <c r="F1968" s="4" t="s">
        <v>8504</v>
      </c>
      <c r="G1968" s="4" t="s">
        <v>8485</v>
      </c>
      <c r="H1968" s="4" t="s">
        <v>8127</v>
      </c>
      <c r="I1968" s="5">
        <v>42846</v>
      </c>
      <c r="J1968" s="4" t="s">
        <v>4842</v>
      </c>
      <c r="K1968" s="4" t="s">
        <v>57</v>
      </c>
      <c r="L1968" s="4"/>
      <c r="M1968" s="4"/>
    </row>
    <row r="1969" ht="16" customHeight="1" s="4" customFormat="1">
      <c r="A1969" s="4">
        <v>1276</v>
      </c>
      <c r="B1969" s="4" t="s">
        <v>5600</v>
      </c>
      <c r="C1969" s="4" t="s">
        <v>5600</v>
      </c>
      <c r="D1969" s="4"/>
      <c r="E1969" s="4" t="s">
        <v>8505</v>
      </c>
      <c r="F1969" s="4" t="s">
        <v>8506</v>
      </c>
      <c r="G1969" s="4" t="s">
        <v>8507</v>
      </c>
      <c r="H1969" s="4" t="s">
        <v>8508</v>
      </c>
      <c r="I1969" s="5">
        <v>42846</v>
      </c>
      <c r="J1969" s="4" t="s">
        <v>4798</v>
      </c>
      <c r="K1969" s="4" t="s">
        <v>57</v>
      </c>
      <c r="L1969" s="4"/>
      <c r="M1969" s="4"/>
    </row>
    <row r="1970" ht="16" customHeight="1" s="4" customFormat="1">
      <c r="A1970" s="4">
        <v>1277</v>
      </c>
      <c r="B1970" s="4" t="s">
        <v>5600</v>
      </c>
      <c r="C1970" s="4" t="s">
        <v>5600</v>
      </c>
      <c r="D1970" s="4"/>
      <c r="E1970" s="4"/>
      <c r="F1970" s="4" t="s">
        <v>8509</v>
      </c>
      <c r="G1970" s="4" t="s">
        <v>6000</v>
      </c>
      <c r="H1970" s="4" t="s">
        <v>5511</v>
      </c>
      <c r="I1970" s="5">
        <v>42832</v>
      </c>
      <c r="J1970" s="4" t="s">
        <v>4842</v>
      </c>
      <c r="K1970" s="4" t="s">
        <v>57</v>
      </c>
      <c r="L1970" s="4"/>
      <c r="M1970" s="4"/>
    </row>
    <row r="1971" ht="16" customHeight="1" s="4" customFormat="1">
      <c r="A1971" s="4">
        <v>1278</v>
      </c>
      <c r="B1971" s="4" t="s">
        <v>5499</v>
      </c>
      <c r="C1971" s="4" t="s">
        <v>5519</v>
      </c>
      <c r="D1971" s="4"/>
      <c r="E1971" s="4" t="s">
        <v>5641</v>
      </c>
      <c r="F1971" s="4" t="s">
        <v>8510</v>
      </c>
      <c r="G1971" s="4" t="s">
        <v>5523</v>
      </c>
      <c r="H1971" s="4" t="s">
        <v>8511</v>
      </c>
      <c r="I1971" s="5">
        <v>42831</v>
      </c>
      <c r="J1971" s="4" t="s">
        <v>4842</v>
      </c>
      <c r="K1971" s="4" t="s">
        <v>57</v>
      </c>
      <c r="L1971" s="4"/>
      <c r="M1971" s="4"/>
    </row>
    <row r="1972" ht="16" customHeight="1" s="4" customFormat="1">
      <c r="A1972" s="4">
        <v>1279</v>
      </c>
      <c r="B1972" s="4" t="s">
        <v>5499</v>
      </c>
      <c r="C1972" s="4" t="s">
        <v>5519</v>
      </c>
      <c r="D1972" s="4"/>
      <c r="E1972" s="4" t="s">
        <v>5524</v>
      </c>
      <c r="F1972" s="4" t="s">
        <v>8512</v>
      </c>
      <c r="G1972" s="4" t="s">
        <v>5523</v>
      </c>
      <c r="H1972" s="4" t="s">
        <v>8511</v>
      </c>
      <c r="I1972" s="5">
        <v>42831</v>
      </c>
      <c r="J1972" s="4" t="s">
        <v>4842</v>
      </c>
      <c r="K1972" s="4" t="s">
        <v>57</v>
      </c>
      <c r="L1972" s="4"/>
      <c r="M1972" s="4"/>
    </row>
    <row r="1973" ht="16" customHeight="1" s="4" customFormat="1">
      <c r="A1973" s="4">
        <v>1280</v>
      </c>
      <c r="B1973" s="4" t="s">
        <v>5499</v>
      </c>
      <c r="C1973" s="4" t="s">
        <v>5714</v>
      </c>
      <c r="D1973" s="4" t="s">
        <v>5574</v>
      </c>
      <c r="E1973" s="4" t="s">
        <v>5575</v>
      </c>
      <c r="F1973" s="4" t="s">
        <v>8513</v>
      </c>
      <c r="G1973" s="4" t="s">
        <v>8514</v>
      </c>
      <c r="H1973" s="4" t="s">
        <v>6229</v>
      </c>
      <c r="I1973" s="5">
        <v>42831</v>
      </c>
      <c r="J1973" s="4" t="s">
        <v>4842</v>
      </c>
      <c r="K1973" s="4" t="s">
        <v>57</v>
      </c>
      <c r="L1973" s="4"/>
      <c r="M1973" s="4"/>
    </row>
    <row r="1974" ht="16" customHeight="1" s="4" customFormat="1">
      <c r="A1974" s="4">
        <v>1281</v>
      </c>
      <c r="B1974" s="4" t="s">
        <v>5499</v>
      </c>
      <c r="C1974" s="4" t="s">
        <v>5714</v>
      </c>
      <c r="D1974" s="4" t="s">
        <v>5574</v>
      </c>
      <c r="E1974" s="4" t="s">
        <v>5575</v>
      </c>
      <c r="F1974" s="4" t="s">
        <v>8515</v>
      </c>
      <c r="G1974" s="4" t="s">
        <v>8514</v>
      </c>
      <c r="H1974" s="4" t="s">
        <v>6229</v>
      </c>
      <c r="I1974" s="5">
        <v>42831</v>
      </c>
      <c r="J1974" s="4" t="s">
        <v>4842</v>
      </c>
      <c r="K1974" s="4" t="s">
        <v>57</v>
      </c>
      <c r="L1974" s="4"/>
      <c r="M1974" s="4"/>
    </row>
    <row r="1975" ht="16" customHeight="1" s="4" customFormat="1">
      <c r="A1975" s="4">
        <v>1282</v>
      </c>
      <c r="B1975" s="4" t="s">
        <v>5499</v>
      </c>
      <c r="C1975" s="4" t="s">
        <v>5519</v>
      </c>
      <c r="D1975" s="4"/>
      <c r="E1975" s="4" t="s">
        <v>5524</v>
      </c>
      <c r="F1975" s="4" t="s">
        <v>8516</v>
      </c>
      <c r="G1975" s="4" t="s">
        <v>6631</v>
      </c>
      <c r="H1975" s="4" t="s">
        <v>5984</v>
      </c>
      <c r="I1975" s="5">
        <v>42823</v>
      </c>
      <c r="J1975" s="4" t="s">
        <v>4798</v>
      </c>
      <c r="K1975" s="4" t="s">
        <v>57</v>
      </c>
      <c r="L1975" s="4"/>
      <c r="M1975" s="4"/>
    </row>
    <row r="1976" ht="16" customHeight="1" s="4" customFormat="1">
      <c r="A1976" s="4">
        <v>1283</v>
      </c>
      <c r="B1976" s="4" t="s">
        <v>5499</v>
      </c>
      <c r="C1976" s="4" t="s">
        <v>5519</v>
      </c>
      <c r="D1976" s="4"/>
      <c r="E1976" s="4" t="s">
        <v>5524</v>
      </c>
      <c r="F1976" s="4" t="s">
        <v>8517</v>
      </c>
      <c r="G1976" s="4" t="s">
        <v>6631</v>
      </c>
      <c r="H1976" s="4" t="s">
        <v>5984</v>
      </c>
      <c r="I1976" s="5">
        <v>42823</v>
      </c>
      <c r="J1976" s="4" t="s">
        <v>4798</v>
      </c>
      <c r="K1976" s="4" t="s">
        <v>57</v>
      </c>
      <c r="L1976" s="4"/>
      <c r="M1976" s="4"/>
    </row>
    <row r="1977" ht="16" customHeight="1" s="4" customFormat="1">
      <c r="A1977" s="4">
        <v>1284</v>
      </c>
      <c r="B1977" s="4" t="s">
        <v>5499</v>
      </c>
      <c r="C1977" s="4" t="s">
        <v>5519</v>
      </c>
      <c r="D1977" s="4"/>
      <c r="E1977" s="4" t="s">
        <v>5524</v>
      </c>
      <c r="F1977" s="4" t="s">
        <v>8518</v>
      </c>
      <c r="G1977" s="4" t="s">
        <v>6631</v>
      </c>
      <c r="H1977" s="4" t="s">
        <v>5984</v>
      </c>
      <c r="I1977" s="5">
        <v>42823</v>
      </c>
      <c r="J1977" s="4" t="s">
        <v>4798</v>
      </c>
      <c r="K1977" s="4" t="s">
        <v>57</v>
      </c>
      <c r="L1977" s="4"/>
      <c r="M1977" s="4"/>
    </row>
    <row r="1978" ht="16" customHeight="1" s="4" customFormat="1">
      <c r="A1978" s="4">
        <v>1285</v>
      </c>
      <c r="B1978" s="4" t="s">
        <v>5499</v>
      </c>
      <c r="C1978" s="4" t="s">
        <v>5519</v>
      </c>
      <c r="D1978" s="4"/>
      <c r="E1978" s="4" t="s">
        <v>5524</v>
      </c>
      <c r="F1978" s="4" t="s">
        <v>8519</v>
      </c>
      <c r="G1978" s="4" t="s">
        <v>6631</v>
      </c>
      <c r="H1978" s="4" t="s">
        <v>5984</v>
      </c>
      <c r="I1978" s="5">
        <v>42823</v>
      </c>
      <c r="J1978" s="4" t="s">
        <v>4798</v>
      </c>
      <c r="K1978" s="4" t="s">
        <v>57</v>
      </c>
      <c r="L1978" s="4"/>
      <c r="M1978" s="4"/>
    </row>
    <row r="1979" ht="16" customHeight="1" s="4" customFormat="1">
      <c r="A1979" s="4">
        <v>1286</v>
      </c>
      <c r="B1979" s="4" t="s">
        <v>5499</v>
      </c>
      <c r="C1979" s="4" t="s">
        <v>5519</v>
      </c>
      <c r="D1979" s="4"/>
      <c r="E1979" s="4" t="s">
        <v>5524</v>
      </c>
      <c r="F1979" s="4" t="s">
        <v>8520</v>
      </c>
      <c r="G1979" s="4" t="s">
        <v>6631</v>
      </c>
      <c r="H1979" s="4" t="s">
        <v>5984</v>
      </c>
      <c r="I1979" s="5">
        <v>42823</v>
      </c>
      <c r="J1979" s="4" t="s">
        <v>4798</v>
      </c>
      <c r="K1979" s="4" t="s">
        <v>57</v>
      </c>
      <c r="L1979" s="4"/>
      <c r="M1979" s="4"/>
    </row>
    <row r="1980" ht="16" customHeight="1" s="4" customFormat="1">
      <c r="A1980" s="4">
        <v>1287</v>
      </c>
      <c r="B1980" s="4" t="s">
        <v>5499</v>
      </c>
      <c r="C1980" s="4" t="s">
        <v>5519</v>
      </c>
      <c r="D1980" s="4"/>
      <c r="E1980" s="4" t="s">
        <v>5524</v>
      </c>
      <c r="F1980" s="4" t="s">
        <v>8521</v>
      </c>
      <c r="G1980" s="4" t="s">
        <v>6631</v>
      </c>
      <c r="H1980" s="4" t="s">
        <v>5984</v>
      </c>
      <c r="I1980" s="5">
        <v>42823</v>
      </c>
      <c r="J1980" s="4" t="s">
        <v>4798</v>
      </c>
      <c r="K1980" s="4" t="s">
        <v>57</v>
      </c>
      <c r="L1980" s="4"/>
      <c r="M1980" s="4"/>
    </row>
    <row r="1981" ht="16" customHeight="1" s="4" customFormat="1">
      <c r="A1981" s="4">
        <v>1288</v>
      </c>
      <c r="B1981" s="4" t="s">
        <v>5499</v>
      </c>
      <c r="C1981" s="4" t="s">
        <v>5519</v>
      </c>
      <c r="D1981" s="4"/>
      <c r="E1981" s="4" t="s">
        <v>5524</v>
      </c>
      <c r="F1981" s="4" t="s">
        <v>8522</v>
      </c>
      <c r="G1981" s="4" t="s">
        <v>6631</v>
      </c>
      <c r="H1981" s="4" t="s">
        <v>5984</v>
      </c>
      <c r="I1981" s="5">
        <v>42823</v>
      </c>
      <c r="J1981" s="4" t="s">
        <v>4798</v>
      </c>
      <c r="K1981" s="4" t="s">
        <v>57</v>
      </c>
      <c r="L1981" s="4"/>
      <c r="M1981" s="4"/>
    </row>
    <row r="1982" ht="16" customHeight="1" s="4" customFormat="1">
      <c r="A1982" s="4">
        <v>1289</v>
      </c>
      <c r="B1982" s="4" t="s">
        <v>5499</v>
      </c>
      <c r="C1982" s="4" t="s">
        <v>5519</v>
      </c>
      <c r="D1982" s="4"/>
      <c r="E1982" s="4" t="s">
        <v>5524</v>
      </c>
      <c r="F1982" s="4" t="s">
        <v>8523</v>
      </c>
      <c r="G1982" s="4" t="s">
        <v>6631</v>
      </c>
      <c r="H1982" s="4" t="s">
        <v>5984</v>
      </c>
      <c r="I1982" s="5">
        <v>42823</v>
      </c>
      <c r="J1982" s="4" t="s">
        <v>4798</v>
      </c>
      <c r="K1982" s="4" t="s">
        <v>57</v>
      </c>
      <c r="L1982" s="4"/>
      <c r="M1982" s="4"/>
    </row>
    <row r="1983" ht="16" customHeight="1" s="4" customFormat="1">
      <c r="A1983" s="4">
        <v>1290</v>
      </c>
      <c r="B1983" s="4" t="s">
        <v>5499</v>
      </c>
      <c r="C1983" s="4" t="s">
        <v>5519</v>
      </c>
      <c r="D1983" s="4"/>
      <c r="E1983" s="4" t="s">
        <v>5524</v>
      </c>
      <c r="F1983" s="4" t="s">
        <v>8524</v>
      </c>
      <c r="G1983" s="4" t="s">
        <v>6631</v>
      </c>
      <c r="H1983" s="4" t="s">
        <v>5984</v>
      </c>
      <c r="I1983" s="5">
        <v>42823</v>
      </c>
      <c r="J1983" s="4" t="s">
        <v>4798</v>
      </c>
      <c r="K1983" s="4" t="s">
        <v>57</v>
      </c>
      <c r="L1983" s="4"/>
      <c r="M1983" s="4"/>
    </row>
    <row r="1984" ht="16" customHeight="1" s="4" customFormat="1">
      <c r="A1984" s="4">
        <v>1291</v>
      </c>
      <c r="B1984" s="4" t="s">
        <v>6161</v>
      </c>
      <c r="C1984" s="4" t="s">
        <v>6618</v>
      </c>
      <c r="D1984" s="4"/>
      <c r="E1984" s="4"/>
      <c r="F1984" s="4" t="s">
        <v>8525</v>
      </c>
      <c r="G1984" s="4" t="s">
        <v>8526</v>
      </c>
      <c r="H1984" s="4" t="s">
        <v>8527</v>
      </c>
      <c r="I1984" s="5">
        <v>42823</v>
      </c>
      <c r="J1984" s="4" t="s">
        <v>4842</v>
      </c>
      <c r="K1984" s="4" t="s">
        <v>57</v>
      </c>
      <c r="L1984" s="4"/>
      <c r="M1984" s="4"/>
    </row>
    <row r="1985" ht="16" customHeight="1" s="4" customFormat="1">
      <c r="A1985" s="4">
        <v>1292</v>
      </c>
      <c r="B1985" s="4" t="s">
        <v>5499</v>
      </c>
      <c r="C1985" s="4" t="s">
        <v>5519</v>
      </c>
      <c r="D1985" s="4"/>
      <c r="E1985" s="4" t="s">
        <v>5520</v>
      </c>
      <c r="F1985" s="4" t="s">
        <v>8528</v>
      </c>
      <c r="G1985" s="4" t="s">
        <v>6631</v>
      </c>
      <c r="H1985" s="4" t="s">
        <v>5984</v>
      </c>
      <c r="I1985" s="5">
        <v>42817</v>
      </c>
      <c r="J1985" s="4" t="s">
        <v>4798</v>
      </c>
      <c r="K1985" s="4" t="s">
        <v>57</v>
      </c>
      <c r="L1985" s="4"/>
      <c r="M1985" s="4"/>
    </row>
    <row r="1986" ht="16" customHeight="1" s="4" customFormat="1">
      <c r="A1986" s="4">
        <v>1293</v>
      </c>
      <c r="B1986" s="4" t="s">
        <v>5499</v>
      </c>
      <c r="C1986" s="4" t="s">
        <v>5519</v>
      </c>
      <c r="D1986" s="4"/>
      <c r="E1986" s="4" t="s">
        <v>5520</v>
      </c>
      <c r="F1986" s="4" t="s">
        <v>8529</v>
      </c>
      <c r="G1986" s="4" t="s">
        <v>6631</v>
      </c>
      <c r="H1986" s="4" t="s">
        <v>5984</v>
      </c>
      <c r="I1986" s="5">
        <v>42817</v>
      </c>
      <c r="J1986" s="4" t="s">
        <v>4798</v>
      </c>
      <c r="K1986" s="4" t="s">
        <v>57</v>
      </c>
      <c r="L1986" s="4"/>
      <c r="M1986" s="4"/>
    </row>
    <row r="1987" ht="16" customHeight="1" s="4" customFormat="1">
      <c r="A1987" s="4">
        <v>1294</v>
      </c>
      <c r="B1987" s="4" t="s">
        <v>5499</v>
      </c>
      <c r="C1987" s="4" t="s">
        <v>5519</v>
      </c>
      <c r="D1987" s="4"/>
      <c r="E1987" s="4" t="s">
        <v>5520</v>
      </c>
      <c r="F1987" s="4" t="s">
        <v>8530</v>
      </c>
      <c r="G1987" s="4" t="s">
        <v>6631</v>
      </c>
      <c r="H1987" s="4" t="s">
        <v>5984</v>
      </c>
      <c r="I1987" s="5">
        <v>42817</v>
      </c>
      <c r="J1987" s="4" t="s">
        <v>4798</v>
      </c>
      <c r="K1987" s="4" t="s">
        <v>57</v>
      </c>
      <c r="L1987" s="4"/>
      <c r="M1987" s="4"/>
    </row>
    <row r="1988" ht="16" customHeight="1" s="4" customFormat="1">
      <c r="A1988" s="4">
        <v>1295</v>
      </c>
      <c r="B1988" s="4" t="s">
        <v>5499</v>
      </c>
      <c r="C1988" s="4" t="s">
        <v>5519</v>
      </c>
      <c r="D1988" s="4"/>
      <c r="E1988" s="4" t="s">
        <v>5520</v>
      </c>
      <c r="F1988" s="4" t="s">
        <v>8531</v>
      </c>
      <c r="G1988" s="4" t="s">
        <v>6631</v>
      </c>
      <c r="H1988" s="4" t="s">
        <v>5984</v>
      </c>
      <c r="I1988" s="5">
        <v>42817</v>
      </c>
      <c r="J1988" s="4" t="s">
        <v>4798</v>
      </c>
      <c r="K1988" s="4" t="s">
        <v>57</v>
      </c>
      <c r="L1988" s="4"/>
      <c r="M1988" s="4"/>
    </row>
    <row r="1989" ht="16" customHeight="1" s="4" customFormat="1">
      <c r="A1989" s="4">
        <v>1296</v>
      </c>
      <c r="B1989" s="4" t="s">
        <v>5499</v>
      </c>
      <c r="C1989" s="4" t="s">
        <v>5519</v>
      </c>
      <c r="D1989" s="4"/>
      <c r="E1989" s="4" t="s">
        <v>5520</v>
      </c>
      <c r="F1989" s="4" t="s">
        <v>8532</v>
      </c>
      <c r="G1989" s="4" t="s">
        <v>6631</v>
      </c>
      <c r="H1989" s="4" t="s">
        <v>5984</v>
      </c>
      <c r="I1989" s="5">
        <v>42817</v>
      </c>
      <c r="J1989" s="4" t="s">
        <v>4798</v>
      </c>
      <c r="K1989" s="4" t="s">
        <v>57</v>
      </c>
      <c r="L1989" s="4"/>
      <c r="M1989" s="4"/>
    </row>
    <row r="1990" ht="16" customHeight="1" s="4" customFormat="1">
      <c r="A1990" s="4">
        <v>1297</v>
      </c>
      <c r="B1990" s="4" t="s">
        <v>5499</v>
      </c>
      <c r="C1990" s="4" t="s">
        <v>5519</v>
      </c>
      <c r="D1990" s="4"/>
      <c r="E1990" s="4" t="s">
        <v>5520</v>
      </c>
      <c r="F1990" s="4" t="s">
        <v>8533</v>
      </c>
      <c r="G1990" s="4" t="s">
        <v>6631</v>
      </c>
      <c r="H1990" s="4" t="s">
        <v>5984</v>
      </c>
      <c r="I1990" s="5">
        <v>42817</v>
      </c>
      <c r="J1990" s="4" t="s">
        <v>4798</v>
      </c>
      <c r="K1990" s="4" t="s">
        <v>57</v>
      </c>
      <c r="L1990" s="4"/>
      <c r="M1990" s="4"/>
    </row>
    <row r="1991" ht="16" customHeight="1" s="4" customFormat="1">
      <c r="A1991" s="4">
        <v>1298</v>
      </c>
      <c r="B1991" s="4" t="s">
        <v>5499</v>
      </c>
      <c r="C1991" s="4" t="s">
        <v>5519</v>
      </c>
      <c r="D1991" s="4"/>
      <c r="E1991" s="4" t="s">
        <v>5520</v>
      </c>
      <c r="F1991" s="4" t="s">
        <v>8534</v>
      </c>
      <c r="G1991" s="4" t="s">
        <v>6631</v>
      </c>
      <c r="H1991" s="4" t="s">
        <v>5984</v>
      </c>
      <c r="I1991" s="5">
        <v>42817</v>
      </c>
      <c r="J1991" s="4" t="s">
        <v>4798</v>
      </c>
      <c r="K1991" s="4" t="s">
        <v>57</v>
      </c>
      <c r="L1991" s="4"/>
      <c r="M1991" s="4"/>
    </row>
    <row r="1992" ht="16" customHeight="1" s="4" customFormat="1">
      <c r="A1992" s="4">
        <v>1299</v>
      </c>
      <c r="B1992" s="4" t="s">
        <v>5534</v>
      </c>
      <c r="C1992" s="4" t="s">
        <v>6714</v>
      </c>
      <c r="D1992" s="4"/>
      <c r="E1992" s="4" t="s">
        <v>6121</v>
      </c>
      <c r="F1992" s="4" t="s">
        <v>8535</v>
      </c>
      <c r="G1992" s="4" t="s">
        <v>10</v>
      </c>
      <c r="H1992" s="4" t="s">
        <v>8536</v>
      </c>
      <c r="I1992" s="5">
        <v>42817</v>
      </c>
      <c r="J1992" s="4" t="s">
        <v>5506</v>
      </c>
      <c r="K1992" s="4" t="s">
        <v>57</v>
      </c>
      <c r="L1992" s="4"/>
      <c r="M1992" s="4"/>
    </row>
    <row r="1993" ht="16" customHeight="1" s="4" customFormat="1">
      <c r="A1993" s="4">
        <v>1300</v>
      </c>
      <c r="B1993" s="4" t="s">
        <v>5534</v>
      </c>
      <c r="C1993" s="4" t="s">
        <v>6714</v>
      </c>
      <c r="D1993" s="4"/>
      <c r="E1993" s="4" t="s">
        <v>5574</v>
      </c>
      <c r="F1993" s="4" t="s">
        <v>8537</v>
      </c>
      <c r="G1993" s="4" t="s">
        <v>8538</v>
      </c>
      <c r="H1993" s="4" t="s">
        <v>8539</v>
      </c>
      <c r="I1993" s="5">
        <v>42817</v>
      </c>
      <c r="J1993" s="4" t="s">
        <v>5506</v>
      </c>
      <c r="K1993" s="4" t="s">
        <v>57</v>
      </c>
      <c r="L1993" s="4"/>
      <c r="M1993" s="4"/>
    </row>
    <row r="1994" ht="16" customHeight="1" s="4" customFormat="1">
      <c r="A1994" s="4">
        <v>1301</v>
      </c>
      <c r="B1994" s="4" t="s">
        <v>5499</v>
      </c>
      <c r="C1994" s="4" t="s">
        <v>5519</v>
      </c>
      <c r="D1994" s="4"/>
      <c r="E1994" s="4" t="s">
        <v>5520</v>
      </c>
      <c r="F1994" s="4" t="s">
        <v>8540</v>
      </c>
      <c r="G1994" s="4" t="s">
        <v>6631</v>
      </c>
      <c r="H1994" s="4" t="s">
        <v>5984</v>
      </c>
      <c r="I1994" s="5">
        <v>42817</v>
      </c>
      <c r="J1994" s="4" t="s">
        <v>4798</v>
      </c>
      <c r="K1994" s="4" t="s">
        <v>57</v>
      </c>
      <c r="L1994" s="4"/>
      <c r="M1994" s="4"/>
    </row>
    <row r="1995" ht="16" customHeight="1" s="4" customFormat="1">
      <c r="A1995" s="4">
        <v>1302</v>
      </c>
      <c r="B1995" s="4" t="s">
        <v>5499</v>
      </c>
      <c r="C1995" s="4" t="s">
        <v>5519</v>
      </c>
      <c r="D1995" s="4"/>
      <c r="E1995" s="4" t="s">
        <v>5520</v>
      </c>
      <c r="F1995" s="4" t="s">
        <v>8541</v>
      </c>
      <c r="G1995" s="4" t="s">
        <v>6631</v>
      </c>
      <c r="H1995" s="4" t="s">
        <v>5984</v>
      </c>
      <c r="I1995" s="5">
        <v>42817</v>
      </c>
      <c r="J1995" s="4" t="s">
        <v>4798</v>
      </c>
      <c r="K1995" s="4" t="s">
        <v>57</v>
      </c>
      <c r="L1995" s="4"/>
      <c r="M1995" s="4"/>
    </row>
    <row r="1996" ht="16" customHeight="1" s="4" customFormat="1">
      <c r="A1996" s="4">
        <v>1303</v>
      </c>
      <c r="B1996" s="4" t="s">
        <v>5499</v>
      </c>
      <c r="C1996" s="4" t="s">
        <v>5590</v>
      </c>
      <c r="D1996" s="4" t="s">
        <v>5574</v>
      </c>
      <c r="E1996" s="4" t="s">
        <v>5706</v>
      </c>
      <c r="F1996" s="4" t="s">
        <v>8542</v>
      </c>
      <c r="G1996" s="4" t="s">
        <v>5595</v>
      </c>
      <c r="H1996" s="4" t="s">
        <v>5594</v>
      </c>
      <c r="I1996" s="5">
        <v>42816</v>
      </c>
      <c r="J1996" s="4" t="s">
        <v>4798</v>
      </c>
      <c r="K1996" s="4" t="s">
        <v>57</v>
      </c>
      <c r="L1996" s="4"/>
      <c r="M1996" s="4"/>
    </row>
    <row r="1997" ht="16" customHeight="1" s="4" customFormat="1">
      <c r="A1997" s="4">
        <v>1304</v>
      </c>
      <c r="B1997" s="4" t="s">
        <v>5499</v>
      </c>
      <c r="C1997" s="4" t="s">
        <v>5519</v>
      </c>
      <c r="D1997" s="4"/>
      <c r="E1997" s="4" t="s">
        <v>5668</v>
      </c>
      <c r="F1997" s="4" t="s">
        <v>8543</v>
      </c>
      <c r="G1997" s="4" t="s">
        <v>8544</v>
      </c>
      <c r="H1997" s="4" t="s">
        <v>6429</v>
      </c>
      <c r="I1997" s="5">
        <v>42814</v>
      </c>
      <c r="J1997" s="4" t="s">
        <v>4798</v>
      </c>
      <c r="K1997" s="4" t="s">
        <v>57</v>
      </c>
      <c r="L1997" s="4"/>
      <c r="M1997" s="4"/>
    </row>
    <row r="1998" ht="16" customHeight="1" s="4" customFormat="1">
      <c r="A1998" s="4">
        <v>1305</v>
      </c>
      <c r="B1998" s="4" t="s">
        <v>5534</v>
      </c>
      <c r="C1998" s="4" t="s">
        <v>5773</v>
      </c>
      <c r="D1998" s="4"/>
      <c r="E1998" s="4"/>
      <c r="F1998" s="4" t="s">
        <v>8545</v>
      </c>
      <c r="G1998" s="4"/>
      <c r="H1998" s="4" t="s">
        <v>5791</v>
      </c>
      <c r="I1998" s="5">
        <v>42810</v>
      </c>
      <c r="J1998" s="4" t="s">
        <v>5506</v>
      </c>
      <c r="K1998" s="4" t="s">
        <v>57</v>
      </c>
      <c r="L1998" s="4"/>
      <c r="M1998" s="4"/>
    </row>
    <row r="1999" ht="16" customHeight="1" s="4" customFormat="1">
      <c r="A1999" s="4">
        <v>1306</v>
      </c>
      <c r="B1999" s="4" t="s">
        <v>5499</v>
      </c>
      <c r="C1999" s="4" t="s">
        <v>5500</v>
      </c>
      <c r="D1999" s="4" t="s">
        <v>6391</v>
      </c>
      <c r="E1999" s="4" t="s">
        <v>6392</v>
      </c>
      <c r="F1999" s="4" t="s">
        <v>8546</v>
      </c>
      <c r="G1999" s="4" t="s">
        <v>4850</v>
      </c>
      <c r="H1999" s="4" t="s">
        <v>8547</v>
      </c>
      <c r="I1999" s="5">
        <v>42809</v>
      </c>
      <c r="J1999" s="4" t="s">
        <v>4798</v>
      </c>
      <c r="K1999" s="4" t="s">
        <v>57</v>
      </c>
      <c r="L1999" s="4"/>
      <c r="M1999" s="4"/>
    </row>
    <row r="2000" ht="16" customHeight="1" s="4" customFormat="1">
      <c r="A2000" s="4">
        <v>1307</v>
      </c>
      <c r="B2000" s="4" t="s">
        <v>5600</v>
      </c>
      <c r="C2000" s="4" t="s">
        <v>5600</v>
      </c>
      <c r="D2000" s="4"/>
      <c r="E2000" s="4"/>
      <c r="F2000" s="4" t="s">
        <v>8548</v>
      </c>
      <c r="G2000" s="4" t="s">
        <v>8549</v>
      </c>
      <c r="H2000" s="4" t="s">
        <v>8550</v>
      </c>
      <c r="I2000" s="5">
        <v>42804</v>
      </c>
      <c r="J2000" s="4" t="s">
        <v>8551</v>
      </c>
      <c r="K2000" s="4" t="s">
        <v>57</v>
      </c>
      <c r="L2000" s="4"/>
      <c r="M2000" s="4"/>
    </row>
    <row r="2001" ht="16" customHeight="1" s="4" customFormat="1">
      <c r="A2001" s="4">
        <v>1308</v>
      </c>
      <c r="B2001" s="4" t="s">
        <v>5600</v>
      </c>
      <c r="C2001" s="4" t="s">
        <v>5600</v>
      </c>
      <c r="D2001" s="4"/>
      <c r="E2001" s="4"/>
      <c r="F2001" s="4" t="s">
        <v>8552</v>
      </c>
      <c r="G2001" s="4" t="s">
        <v>8553</v>
      </c>
      <c r="H2001" s="4" t="s">
        <v>8550</v>
      </c>
      <c r="I2001" s="5">
        <v>42804</v>
      </c>
      <c r="J2001" s="4" t="s">
        <v>8551</v>
      </c>
      <c r="K2001" s="4" t="s">
        <v>57</v>
      </c>
      <c r="L2001" s="4"/>
      <c r="M2001" s="4"/>
    </row>
    <row r="2002" ht="16" customHeight="1" s="4" customFormat="1">
      <c r="A2002" s="4">
        <v>1309</v>
      </c>
      <c r="B2002" s="4" t="s">
        <v>5600</v>
      </c>
      <c r="C2002" s="4" t="s">
        <v>5600</v>
      </c>
      <c r="D2002" s="4"/>
      <c r="E2002" s="4" t="s">
        <v>8554</v>
      </c>
      <c r="F2002" s="4" t="s">
        <v>8555</v>
      </c>
      <c r="G2002" s="4" t="s">
        <v>6788</v>
      </c>
      <c r="H2002" s="4" t="s">
        <v>8556</v>
      </c>
      <c r="I2002" s="5">
        <v>42804</v>
      </c>
      <c r="J2002" s="4" t="s">
        <v>4798</v>
      </c>
      <c r="K2002" s="4" t="s">
        <v>57</v>
      </c>
      <c r="L2002" s="4"/>
      <c r="M2002" s="4"/>
    </row>
    <row r="2003" ht="16" customHeight="1" s="4" customFormat="1">
      <c r="A2003" s="4">
        <v>1310</v>
      </c>
      <c r="B2003" s="4" t="s">
        <v>5600</v>
      </c>
      <c r="C2003" s="4" t="s">
        <v>5600</v>
      </c>
      <c r="D2003" s="4"/>
      <c r="E2003" s="4" t="s">
        <v>8554</v>
      </c>
      <c r="F2003" s="4" t="s">
        <v>8557</v>
      </c>
      <c r="G2003" s="4" t="s">
        <v>6773</v>
      </c>
      <c r="H2003" s="4" t="s">
        <v>8558</v>
      </c>
      <c r="I2003" s="5">
        <v>42804</v>
      </c>
      <c r="J2003" s="4" t="s">
        <v>4798</v>
      </c>
      <c r="K2003" s="4" t="s">
        <v>57</v>
      </c>
      <c r="L2003" s="4"/>
      <c r="M2003" s="4"/>
    </row>
    <row r="2004" ht="16" customHeight="1" s="4" customFormat="1">
      <c r="A2004" s="4">
        <v>1311</v>
      </c>
      <c r="B2004" s="4" t="s">
        <v>5600</v>
      </c>
      <c r="C2004" s="4" t="s">
        <v>5600</v>
      </c>
      <c r="D2004" s="4"/>
      <c r="E2004" s="4"/>
      <c r="F2004" s="4" t="s">
        <v>8559</v>
      </c>
      <c r="G2004" s="4" t="s">
        <v>6000</v>
      </c>
      <c r="H2004" s="4" t="s">
        <v>5511</v>
      </c>
      <c r="I2004" s="5">
        <v>42797</v>
      </c>
      <c r="J2004" s="4" t="s">
        <v>4842</v>
      </c>
      <c r="K2004" s="4" t="s">
        <v>57</v>
      </c>
      <c r="L2004" s="4"/>
      <c r="M2004" s="4"/>
    </row>
    <row r="2005" ht="16" customHeight="1" s="4" customFormat="1">
      <c r="A2005" s="4">
        <v>1312</v>
      </c>
      <c r="B2005" s="4" t="s">
        <v>5499</v>
      </c>
      <c r="C2005" s="4" t="s">
        <v>5519</v>
      </c>
      <c r="D2005" s="4"/>
      <c r="E2005" s="4" t="s">
        <v>5524</v>
      </c>
      <c r="F2005" s="4" t="s">
        <v>8560</v>
      </c>
      <c r="G2005" s="4" t="s">
        <v>8561</v>
      </c>
      <c r="H2005" s="4" t="s">
        <v>5523</v>
      </c>
      <c r="I2005" s="5">
        <v>42795</v>
      </c>
      <c r="J2005" s="4" t="s">
        <v>4842</v>
      </c>
      <c r="K2005" s="4" t="s">
        <v>57</v>
      </c>
      <c r="L2005" s="4"/>
      <c r="M2005" s="4"/>
    </row>
    <row r="2006" ht="16" customHeight="1" s="4" customFormat="1">
      <c r="A2006" s="4">
        <v>529</v>
      </c>
      <c r="B2006" s="4" t="s">
        <v>6161</v>
      </c>
      <c r="C2006" s="4" t="s">
        <v>6618</v>
      </c>
      <c r="D2006" s="4"/>
      <c r="E2006" s="4"/>
      <c r="F2006" s="4" t="s">
        <v>8562</v>
      </c>
      <c r="G2006" s="4" t="s">
        <v>5791</v>
      </c>
      <c r="H2006" s="4" t="s">
        <v>8563</v>
      </c>
      <c r="I2006" s="5">
        <v>44095</v>
      </c>
      <c r="J2006" s="4" t="s">
        <v>4798</v>
      </c>
      <c r="K2006" s="4" t="s">
        <v>57</v>
      </c>
      <c r="L2006" s="4"/>
      <c r="M2006" s="4"/>
    </row>
    <row r="2007" ht="16" customHeight="1" s="4" customFormat="1">
      <c r="A2007" s="4">
        <v>530</v>
      </c>
      <c r="B2007" s="4" t="s">
        <v>5528</v>
      </c>
      <c r="C2007" s="4" t="s">
        <v>5529</v>
      </c>
      <c r="D2007" s="4"/>
      <c r="E2007" s="4" t="s">
        <v>5570</v>
      </c>
      <c r="F2007" s="4" t="s">
        <v>8564</v>
      </c>
      <c r="G2007" s="4" t="s">
        <v>4850</v>
      </c>
      <c r="H2007" s="4" t="s">
        <v>8565</v>
      </c>
      <c r="I2007" s="5">
        <v>44090</v>
      </c>
      <c r="J2007" s="4" t="s">
        <v>4798</v>
      </c>
      <c r="K2007" s="4" t="s">
        <v>57</v>
      </c>
      <c r="L2007" s="4"/>
      <c r="M2007" s="4"/>
    </row>
    <row r="2008" ht="16" customHeight="1" s="4" customFormat="1">
      <c r="A2008" s="4">
        <v>531</v>
      </c>
      <c r="B2008" s="4" t="s">
        <v>5499</v>
      </c>
      <c r="C2008" s="4" t="s">
        <v>6371</v>
      </c>
      <c r="D2008" s="4" t="s">
        <v>6450</v>
      </c>
      <c r="E2008" s="4" t="s">
        <v>8336</v>
      </c>
      <c r="F2008" s="4" t="s">
        <v>8566</v>
      </c>
      <c r="G2008" s="4" t="s">
        <v>8567</v>
      </c>
      <c r="H2008" s="4" t="s">
        <v>6830</v>
      </c>
      <c r="I2008" s="5">
        <v>44084</v>
      </c>
      <c r="J2008" s="4" t="s">
        <v>4798</v>
      </c>
      <c r="K2008" s="4" t="s">
        <v>57</v>
      </c>
      <c r="L2008" s="4"/>
      <c r="M2008" s="4"/>
    </row>
    <row r="2009" ht="16" customHeight="1" s="4" customFormat="1">
      <c r="A2009" s="4">
        <v>532</v>
      </c>
      <c r="B2009" s="4" t="s">
        <v>5528</v>
      </c>
      <c r="C2009" s="4" t="s">
        <v>5529</v>
      </c>
      <c r="D2009" s="4"/>
      <c r="E2009" s="4" t="s">
        <v>5570</v>
      </c>
      <c r="F2009" s="4" t="s">
        <v>8568</v>
      </c>
      <c r="G2009" s="4" t="s">
        <v>4850</v>
      </c>
      <c r="H2009" s="4" t="s">
        <v>8569</v>
      </c>
      <c r="I2009" s="5">
        <v>44081</v>
      </c>
      <c r="J2009" s="4" t="s">
        <v>4798</v>
      </c>
      <c r="K2009" s="4" t="s">
        <v>57</v>
      </c>
      <c r="L2009" s="4"/>
      <c r="M2009" s="4"/>
    </row>
    <row r="2010" ht="16" customHeight="1" s="4" customFormat="1">
      <c r="A2010" s="4">
        <v>533</v>
      </c>
      <c r="B2010" s="4" t="s">
        <v>5534</v>
      </c>
      <c r="C2010" s="4" t="s">
        <v>5773</v>
      </c>
      <c r="D2010" s="4"/>
      <c r="E2010" s="4"/>
      <c r="F2010" s="4" t="s">
        <v>8570</v>
      </c>
      <c r="G2010" s="4" t="s">
        <v>8571</v>
      </c>
      <c r="H2010" s="4" t="s">
        <v>8572</v>
      </c>
      <c r="I2010" s="5">
        <v>44075</v>
      </c>
      <c r="J2010" s="4" t="s">
        <v>4842</v>
      </c>
      <c r="K2010" s="4" t="s">
        <v>57</v>
      </c>
      <c r="L2010" s="4"/>
      <c r="M2010" s="4"/>
    </row>
    <row r="2011" ht="16" customHeight="1" s="4" customFormat="1">
      <c r="A2011" s="4">
        <v>534</v>
      </c>
      <c r="B2011" s="4" t="s">
        <v>5534</v>
      </c>
      <c r="C2011" s="4" t="s">
        <v>5773</v>
      </c>
      <c r="D2011" s="4"/>
      <c r="E2011" s="4"/>
      <c r="F2011" s="4" t="s">
        <v>8573</v>
      </c>
      <c r="G2011" s="4" t="s">
        <v>10</v>
      </c>
      <c r="H2011" s="4" t="s">
        <v>8572</v>
      </c>
      <c r="I2011" s="5">
        <v>44075</v>
      </c>
      <c r="J2011" s="4" t="s">
        <v>4842</v>
      </c>
      <c r="K2011" s="4" t="s">
        <v>57</v>
      </c>
      <c r="L2011" s="4"/>
      <c r="M2011" s="4"/>
    </row>
    <row r="2012" ht="16" customHeight="1" s="4" customFormat="1">
      <c r="A2012" s="4">
        <v>535</v>
      </c>
      <c r="B2012" s="4" t="s">
        <v>5499</v>
      </c>
      <c r="C2012" s="4" t="s">
        <v>5590</v>
      </c>
      <c r="D2012" s="4" t="s">
        <v>5574</v>
      </c>
      <c r="E2012" s="4" t="s">
        <v>5575</v>
      </c>
      <c r="F2012" s="4" t="s">
        <v>8574</v>
      </c>
      <c r="G2012" s="4" t="s">
        <v>7062</v>
      </c>
      <c r="H2012" s="4" t="s">
        <v>7886</v>
      </c>
      <c r="I2012" s="5">
        <v>44067</v>
      </c>
      <c r="J2012" s="4" t="s">
        <v>4798</v>
      </c>
      <c r="K2012" s="4" t="s">
        <v>57</v>
      </c>
      <c r="L2012" s="4"/>
      <c r="M2012" s="4"/>
    </row>
    <row r="2013" ht="16" customHeight="1" s="4" customFormat="1">
      <c r="A2013" s="4">
        <v>536</v>
      </c>
      <c r="B2013" s="4" t="s">
        <v>5600</v>
      </c>
      <c r="C2013" s="4" t="s">
        <v>5600</v>
      </c>
      <c r="D2013" s="4"/>
      <c r="E2013" s="4" t="s">
        <v>8575</v>
      </c>
      <c r="F2013" s="4" t="s">
        <v>8576</v>
      </c>
      <c r="G2013" s="4" t="s">
        <v>5712</v>
      </c>
      <c r="H2013" s="4" t="s">
        <v>8577</v>
      </c>
      <c r="I2013" s="5">
        <v>44062</v>
      </c>
      <c r="J2013" s="4" t="s">
        <v>4798</v>
      </c>
      <c r="K2013" s="4" t="s">
        <v>57</v>
      </c>
      <c r="L2013" s="4"/>
      <c r="M2013" s="4"/>
    </row>
    <row r="2014" ht="16" customHeight="1" s="4" customFormat="1">
      <c r="A2014" s="4">
        <v>537</v>
      </c>
      <c r="B2014" s="4" t="s">
        <v>5499</v>
      </c>
      <c r="C2014" s="4" t="s">
        <v>5590</v>
      </c>
      <c r="D2014" s="4" t="s">
        <v>5574</v>
      </c>
      <c r="E2014" s="4" t="s">
        <v>5575</v>
      </c>
      <c r="F2014" s="4" t="s">
        <v>8578</v>
      </c>
      <c r="G2014" s="4" t="s">
        <v>7014</v>
      </c>
      <c r="H2014" s="4" t="s">
        <v>7366</v>
      </c>
      <c r="I2014" s="5">
        <v>44061</v>
      </c>
      <c r="J2014" s="4" t="s">
        <v>4798</v>
      </c>
      <c r="K2014" s="4" t="s">
        <v>57</v>
      </c>
      <c r="L2014" s="4"/>
      <c r="M2014" s="4"/>
    </row>
    <row r="2015" ht="16" customHeight="1" s="4" customFormat="1">
      <c r="A2015" s="4">
        <v>538</v>
      </c>
      <c r="B2015" s="4" t="s">
        <v>5499</v>
      </c>
      <c r="C2015" s="4" t="s">
        <v>5590</v>
      </c>
      <c r="D2015" s="4" t="s">
        <v>5574</v>
      </c>
      <c r="E2015" s="4" t="s">
        <v>5575</v>
      </c>
      <c r="F2015" s="4" t="s">
        <v>8579</v>
      </c>
      <c r="G2015" s="4" t="s">
        <v>7014</v>
      </c>
      <c r="H2015" s="4" t="s">
        <v>7366</v>
      </c>
      <c r="I2015" s="5">
        <v>44061</v>
      </c>
      <c r="J2015" s="4" t="s">
        <v>5506</v>
      </c>
      <c r="K2015" s="4" t="s">
        <v>57</v>
      </c>
      <c r="L2015" s="4"/>
      <c r="M2015" s="4"/>
    </row>
    <row r="2016" ht="16" customHeight="1" s="4" customFormat="1">
      <c r="A2016" s="4">
        <v>539</v>
      </c>
      <c r="B2016" s="4" t="s">
        <v>5499</v>
      </c>
      <c r="C2016" s="4" t="s">
        <v>5590</v>
      </c>
      <c r="D2016" s="4" t="s">
        <v>5574</v>
      </c>
      <c r="E2016" s="4" t="s">
        <v>5575</v>
      </c>
      <c r="F2016" s="4" t="s">
        <v>8580</v>
      </c>
      <c r="G2016" s="4" t="s">
        <v>7014</v>
      </c>
      <c r="H2016" s="4" t="s">
        <v>7366</v>
      </c>
      <c r="I2016" s="5">
        <v>44061</v>
      </c>
      <c r="J2016" s="4" t="s">
        <v>5506</v>
      </c>
      <c r="K2016" s="4" t="s">
        <v>57</v>
      </c>
      <c r="L2016" s="4"/>
      <c r="M2016" s="4"/>
    </row>
    <row r="2017" ht="16" customHeight="1" s="4" customFormat="1">
      <c r="A2017" s="4">
        <v>540</v>
      </c>
      <c r="B2017" s="4" t="s">
        <v>5499</v>
      </c>
      <c r="C2017" s="4" t="s">
        <v>5590</v>
      </c>
      <c r="D2017" s="4" t="s">
        <v>5574</v>
      </c>
      <c r="E2017" s="4" t="s">
        <v>5575</v>
      </c>
      <c r="F2017" s="4" t="s">
        <v>8581</v>
      </c>
      <c r="G2017" s="4" t="s">
        <v>7014</v>
      </c>
      <c r="H2017" s="4" t="s">
        <v>7366</v>
      </c>
      <c r="I2017" s="5">
        <v>44061</v>
      </c>
      <c r="J2017" s="4" t="s">
        <v>4798</v>
      </c>
      <c r="K2017" s="4" t="s">
        <v>57</v>
      </c>
      <c r="L2017" s="4"/>
      <c r="M2017" s="4"/>
    </row>
    <row r="2018" ht="16" customHeight="1" s="4" customFormat="1">
      <c r="A2018" s="4">
        <v>541</v>
      </c>
      <c r="B2018" s="4" t="s">
        <v>5499</v>
      </c>
      <c r="C2018" s="4" t="s">
        <v>5590</v>
      </c>
      <c r="D2018" s="4" t="s">
        <v>5574</v>
      </c>
      <c r="E2018" s="4" t="s">
        <v>5575</v>
      </c>
      <c r="F2018" s="4" t="s">
        <v>8582</v>
      </c>
      <c r="G2018" s="4" t="s">
        <v>7014</v>
      </c>
      <c r="H2018" s="4" t="s">
        <v>7366</v>
      </c>
      <c r="I2018" s="5">
        <v>44061</v>
      </c>
      <c r="J2018" s="4" t="s">
        <v>4798</v>
      </c>
      <c r="K2018" s="4" t="s">
        <v>57</v>
      </c>
      <c r="L2018" s="4"/>
      <c r="M2018" s="4"/>
    </row>
    <row r="2019" ht="16" customHeight="1" s="4" customFormat="1">
      <c r="A2019" s="4">
        <v>542</v>
      </c>
      <c r="B2019" s="4" t="s">
        <v>5600</v>
      </c>
      <c r="C2019" s="4" t="s">
        <v>5600</v>
      </c>
      <c r="D2019" s="4"/>
      <c r="E2019" s="4" t="s">
        <v>8583</v>
      </c>
      <c r="F2019" s="4" t="s">
        <v>8584</v>
      </c>
      <c r="G2019" s="4" t="s">
        <v>8585</v>
      </c>
      <c r="H2019" s="4" t="s">
        <v>8586</v>
      </c>
      <c r="I2019" s="5">
        <v>44049</v>
      </c>
      <c r="J2019" s="4" t="s">
        <v>4798</v>
      </c>
      <c r="K2019" s="4" t="s">
        <v>57</v>
      </c>
      <c r="L2019" s="4"/>
      <c r="M2019" s="4"/>
    </row>
    <row r="2020" ht="16" customHeight="1" s="4" customFormat="1">
      <c r="A2020" s="4">
        <v>543</v>
      </c>
      <c r="B2020" s="4" t="s">
        <v>6161</v>
      </c>
      <c r="C2020" s="4" t="s">
        <v>6618</v>
      </c>
      <c r="D2020" s="4"/>
      <c r="E2020" s="4"/>
      <c r="F2020" s="4" t="s">
        <v>8587</v>
      </c>
      <c r="G2020" s="4" t="s">
        <v>8588</v>
      </c>
      <c r="H2020" s="4" t="s">
        <v>8589</v>
      </c>
      <c r="I2020" s="5">
        <v>43999</v>
      </c>
      <c r="J2020" s="4" t="s">
        <v>4798</v>
      </c>
      <c r="K2020" s="4" t="s">
        <v>57</v>
      </c>
      <c r="L2020" s="4"/>
      <c r="M2020" s="4"/>
    </row>
    <row r="2021" ht="16" customHeight="1" s="4" customFormat="1">
      <c r="A2021" s="4">
        <v>544</v>
      </c>
      <c r="B2021" s="4" t="s">
        <v>5499</v>
      </c>
      <c r="C2021" s="4" t="s">
        <v>5519</v>
      </c>
      <c r="D2021" s="4"/>
      <c r="E2021" s="4" t="s">
        <v>7288</v>
      </c>
      <c r="F2021" s="4" t="s">
        <v>8590</v>
      </c>
      <c r="G2021" s="4" t="s">
        <v>8591</v>
      </c>
      <c r="H2021" s="4" t="s">
        <v>8592</v>
      </c>
      <c r="I2021" s="5">
        <v>43997</v>
      </c>
      <c r="J2021" s="4" t="s">
        <v>4842</v>
      </c>
      <c r="K2021" s="4" t="s">
        <v>57</v>
      </c>
      <c r="L2021" s="4"/>
      <c r="M2021" s="4"/>
    </row>
    <row r="2022" ht="16" customHeight="1" s="4" customFormat="1">
      <c r="A2022" s="4">
        <v>545</v>
      </c>
      <c r="B2022" s="4" t="s">
        <v>5600</v>
      </c>
      <c r="C2022" s="4" t="s">
        <v>5600</v>
      </c>
      <c r="D2022" s="4"/>
      <c r="E2022" s="4"/>
      <c r="F2022" s="4" t="s">
        <v>8593</v>
      </c>
      <c r="G2022" s="4" t="s">
        <v>7562</v>
      </c>
      <c r="H2022" s="4" t="s">
        <v>5712</v>
      </c>
      <c r="I2022" s="5">
        <v>43977</v>
      </c>
      <c r="J2022" s="4" t="s">
        <v>4842</v>
      </c>
      <c r="K2022" s="4" t="s">
        <v>57</v>
      </c>
      <c r="L2022" s="4"/>
      <c r="M2022" s="4"/>
    </row>
    <row r="2023" ht="16" customHeight="1" s="4" customFormat="1">
      <c r="A2023" s="4">
        <v>546</v>
      </c>
      <c r="B2023" s="4" t="s">
        <v>5600</v>
      </c>
      <c r="C2023" s="4" t="s">
        <v>5600</v>
      </c>
      <c r="D2023" s="4"/>
      <c r="E2023" s="4"/>
      <c r="F2023" s="4" t="s">
        <v>8594</v>
      </c>
      <c r="G2023" s="4" t="s">
        <v>7562</v>
      </c>
      <c r="H2023" s="4" t="s">
        <v>5712</v>
      </c>
      <c r="I2023" s="5">
        <v>43976</v>
      </c>
      <c r="J2023" s="4" t="s">
        <v>4842</v>
      </c>
      <c r="K2023" s="4" t="s">
        <v>57</v>
      </c>
      <c r="L2023" s="4"/>
      <c r="M2023" s="4"/>
    </row>
    <row r="2024" ht="16" customHeight="1" s="4" customFormat="1">
      <c r="A2024" s="4">
        <v>547</v>
      </c>
      <c r="B2024" s="4" t="s">
        <v>5499</v>
      </c>
      <c r="C2024" s="4" t="s">
        <v>5509</v>
      </c>
      <c r="D2024" s="4"/>
      <c r="E2024" s="4"/>
      <c r="F2024" s="4" t="s">
        <v>8595</v>
      </c>
      <c r="G2024" s="4" t="s">
        <v>8596</v>
      </c>
      <c r="H2024" s="4" t="s">
        <v>5837</v>
      </c>
      <c r="I2024" s="5">
        <v>43966</v>
      </c>
      <c r="J2024" s="4" t="s">
        <v>4798</v>
      </c>
      <c r="K2024" s="4" t="s">
        <v>57</v>
      </c>
      <c r="L2024" s="4"/>
      <c r="M2024" s="4"/>
    </row>
    <row r="2025" ht="16" customHeight="1" s="4" customFormat="1">
      <c r="A2025" s="4">
        <v>548</v>
      </c>
      <c r="B2025" s="4" t="s">
        <v>5499</v>
      </c>
      <c r="C2025" s="4" t="s">
        <v>5509</v>
      </c>
      <c r="D2025" s="4"/>
      <c r="E2025" s="4"/>
      <c r="F2025" s="4" t="s">
        <v>8597</v>
      </c>
      <c r="G2025" s="4" t="s">
        <v>8598</v>
      </c>
      <c r="H2025" s="4" t="s">
        <v>5837</v>
      </c>
      <c r="I2025" s="5">
        <v>43955</v>
      </c>
      <c r="J2025" s="4" t="s">
        <v>4798</v>
      </c>
      <c r="K2025" s="4" t="s">
        <v>57</v>
      </c>
      <c r="L2025" s="4"/>
      <c r="M2025" s="4"/>
    </row>
    <row r="2026" ht="16" customHeight="1" s="4" customFormat="1">
      <c r="A2026" s="4">
        <v>549</v>
      </c>
      <c r="B2026" s="4" t="s">
        <v>5499</v>
      </c>
      <c r="C2026" s="4" t="s">
        <v>5509</v>
      </c>
      <c r="D2026" s="4"/>
      <c r="E2026" s="4"/>
      <c r="F2026" s="4" t="s">
        <v>8599</v>
      </c>
      <c r="G2026" s="4" t="s">
        <v>8598</v>
      </c>
      <c r="H2026" s="4" t="s">
        <v>5837</v>
      </c>
      <c r="I2026" s="5">
        <v>43955</v>
      </c>
      <c r="J2026" s="4" t="s">
        <v>4798</v>
      </c>
      <c r="K2026" s="4" t="s">
        <v>57</v>
      </c>
      <c r="L2026" s="4"/>
      <c r="M2026" s="4"/>
    </row>
    <row r="2027" ht="16" customHeight="1" s="4" customFormat="1">
      <c r="A2027" s="4">
        <v>550</v>
      </c>
      <c r="B2027" s="4" t="s">
        <v>5499</v>
      </c>
      <c r="C2027" s="4" t="s">
        <v>5519</v>
      </c>
      <c r="D2027" s="4"/>
      <c r="E2027" s="4" t="s">
        <v>7292</v>
      </c>
      <c r="F2027" s="4" t="s">
        <v>8600</v>
      </c>
      <c r="G2027" s="4" t="s">
        <v>8601</v>
      </c>
      <c r="H2027" s="4" t="s">
        <v>8602</v>
      </c>
      <c r="I2027" s="5">
        <v>43933</v>
      </c>
      <c r="J2027" s="4" t="s">
        <v>4842</v>
      </c>
      <c r="K2027" s="4" t="s">
        <v>57</v>
      </c>
      <c r="L2027" s="4"/>
      <c r="M2027" s="4"/>
    </row>
    <row r="2028" ht="16" customHeight="1" s="4" customFormat="1">
      <c r="A2028" s="4">
        <v>551</v>
      </c>
      <c r="B2028" s="4" t="s">
        <v>5534</v>
      </c>
      <c r="C2028" s="4" t="s">
        <v>5773</v>
      </c>
      <c r="D2028" s="4"/>
      <c r="E2028" s="4"/>
      <c r="F2028" s="4" t="s">
        <v>8603</v>
      </c>
      <c r="G2028" s="4" t="s">
        <v>5791</v>
      </c>
      <c r="H2028" s="4" t="s">
        <v>7819</v>
      </c>
      <c r="I2028" s="5">
        <v>43928</v>
      </c>
      <c r="J2028" s="4" t="s">
        <v>4842</v>
      </c>
      <c r="K2028" s="4" t="s">
        <v>57</v>
      </c>
      <c r="L2028" s="4"/>
      <c r="M2028" s="4"/>
    </row>
    <row r="2029" ht="16" customHeight="1" s="4" customFormat="1">
      <c r="A2029" s="4">
        <v>552</v>
      </c>
      <c r="B2029" s="4" t="s">
        <v>5534</v>
      </c>
      <c r="C2029" s="4" t="s">
        <v>5773</v>
      </c>
      <c r="D2029" s="4"/>
      <c r="E2029" s="4"/>
      <c r="F2029" s="4" t="s">
        <v>8604</v>
      </c>
      <c r="G2029" s="4" t="s">
        <v>5791</v>
      </c>
      <c r="H2029" s="4" t="s">
        <v>7819</v>
      </c>
      <c r="I2029" s="5">
        <v>43928</v>
      </c>
      <c r="J2029" s="4" t="s">
        <v>4842</v>
      </c>
      <c r="K2029" s="4" t="s">
        <v>57</v>
      </c>
      <c r="L2029" s="4"/>
      <c r="M2029" s="4"/>
    </row>
    <row r="2030" ht="16" customHeight="1" s="4" customFormat="1">
      <c r="A2030" s="4">
        <v>553</v>
      </c>
      <c r="B2030" s="4" t="s">
        <v>5534</v>
      </c>
      <c r="C2030" s="4" t="s">
        <v>5773</v>
      </c>
      <c r="D2030" s="4"/>
      <c r="E2030" s="4"/>
      <c r="F2030" s="4" t="s">
        <v>8605</v>
      </c>
      <c r="G2030" s="4" t="s">
        <v>5791</v>
      </c>
      <c r="H2030" s="4" t="s">
        <v>7819</v>
      </c>
      <c r="I2030" s="5">
        <v>43920</v>
      </c>
      <c r="J2030" s="4" t="s">
        <v>4842</v>
      </c>
      <c r="K2030" s="4" t="s">
        <v>57</v>
      </c>
      <c r="L2030" s="4"/>
      <c r="M2030" s="4"/>
    </row>
    <row r="2031" ht="16" customHeight="1" s="4" customFormat="1">
      <c r="A2031" s="4">
        <v>554</v>
      </c>
      <c r="B2031" s="4" t="s">
        <v>5534</v>
      </c>
      <c r="C2031" s="4" t="s">
        <v>5773</v>
      </c>
      <c r="D2031" s="4"/>
      <c r="E2031" s="4"/>
      <c r="F2031" s="4" t="s">
        <v>8606</v>
      </c>
      <c r="G2031" s="4" t="s">
        <v>5791</v>
      </c>
      <c r="H2031" s="4" t="s">
        <v>7819</v>
      </c>
      <c r="I2031" s="5">
        <v>43920</v>
      </c>
      <c r="J2031" s="4" t="s">
        <v>4842</v>
      </c>
      <c r="K2031" s="4" t="s">
        <v>57</v>
      </c>
      <c r="L2031" s="4"/>
      <c r="M2031" s="4"/>
    </row>
    <row r="2032" ht="16" customHeight="1" s="4" customFormat="1">
      <c r="A2032" s="4">
        <v>555</v>
      </c>
      <c r="B2032" s="4" t="s">
        <v>5534</v>
      </c>
      <c r="C2032" s="4" t="s">
        <v>5773</v>
      </c>
      <c r="D2032" s="4"/>
      <c r="E2032" s="4"/>
      <c r="F2032" s="4" t="s">
        <v>8607</v>
      </c>
      <c r="G2032" s="4" t="s">
        <v>5791</v>
      </c>
      <c r="H2032" s="4" t="s">
        <v>7819</v>
      </c>
      <c r="I2032" s="5">
        <v>43920</v>
      </c>
      <c r="J2032" s="4" t="s">
        <v>4842</v>
      </c>
      <c r="K2032" s="4" t="s">
        <v>57</v>
      </c>
      <c r="L2032" s="4"/>
      <c r="M2032" s="4"/>
    </row>
    <row r="2033" ht="16" customHeight="1" s="4" customFormat="1">
      <c r="A2033" s="4">
        <v>556</v>
      </c>
      <c r="B2033" s="4" t="s">
        <v>5534</v>
      </c>
      <c r="C2033" s="4" t="s">
        <v>5773</v>
      </c>
      <c r="D2033" s="4"/>
      <c r="E2033" s="4"/>
      <c r="F2033" s="4" t="s">
        <v>8608</v>
      </c>
      <c r="G2033" s="4" t="s">
        <v>5791</v>
      </c>
      <c r="H2033" s="4" t="s">
        <v>7819</v>
      </c>
      <c r="I2033" s="5">
        <v>43920</v>
      </c>
      <c r="J2033" s="4" t="s">
        <v>4842</v>
      </c>
      <c r="K2033" s="4" t="s">
        <v>57</v>
      </c>
      <c r="L2033" s="4"/>
      <c r="M2033" s="4"/>
    </row>
    <row r="2034" ht="16" customHeight="1" s="4" customFormat="1">
      <c r="A2034" s="4">
        <v>557</v>
      </c>
      <c r="B2034" s="4" t="s">
        <v>5534</v>
      </c>
      <c r="C2034" s="4" t="s">
        <v>5773</v>
      </c>
      <c r="D2034" s="4"/>
      <c r="E2034" s="4"/>
      <c r="F2034" s="4" t="s">
        <v>8609</v>
      </c>
      <c r="G2034" s="4" t="s">
        <v>5791</v>
      </c>
      <c r="H2034" s="4" t="s">
        <v>7819</v>
      </c>
      <c r="I2034" s="5">
        <v>43920</v>
      </c>
      <c r="J2034" s="4" t="s">
        <v>4842</v>
      </c>
      <c r="K2034" s="4" t="s">
        <v>57</v>
      </c>
      <c r="L2034" s="4"/>
      <c r="M2034" s="4"/>
    </row>
    <row r="2035" ht="16" customHeight="1" s="4" customFormat="1">
      <c r="A2035" s="4">
        <v>558</v>
      </c>
      <c r="B2035" s="4" t="s">
        <v>5528</v>
      </c>
      <c r="C2035" s="4" t="s">
        <v>7530</v>
      </c>
      <c r="D2035" s="4" t="s">
        <v>1391</v>
      </c>
      <c r="E2035" s="4" t="s">
        <v>8610</v>
      </c>
      <c r="F2035" s="4" t="s">
        <v>8611</v>
      </c>
      <c r="G2035" s="4" t="s">
        <v>8612</v>
      </c>
      <c r="H2035" s="4" t="s">
        <v>8613</v>
      </c>
      <c r="I2035" s="5">
        <v>43914</v>
      </c>
      <c r="J2035" s="4" t="s">
        <v>4842</v>
      </c>
      <c r="K2035" s="4" t="s">
        <v>57</v>
      </c>
      <c r="L2035" s="4"/>
      <c r="M2035" s="4"/>
    </row>
    <row r="2036" ht="16" customHeight="1" s="4" customFormat="1">
      <c r="A2036" s="4">
        <v>559</v>
      </c>
      <c r="B2036" s="4" t="s">
        <v>5534</v>
      </c>
      <c r="C2036" s="4" t="s">
        <v>5773</v>
      </c>
      <c r="D2036" s="4"/>
      <c r="E2036" s="4"/>
      <c r="F2036" s="4" t="s">
        <v>8614</v>
      </c>
      <c r="G2036" s="4" t="s">
        <v>5791</v>
      </c>
      <c r="H2036" s="4" t="s">
        <v>7819</v>
      </c>
      <c r="I2036" s="5">
        <v>43913</v>
      </c>
      <c r="J2036" s="4" t="s">
        <v>4842</v>
      </c>
      <c r="K2036" s="4" t="s">
        <v>57</v>
      </c>
      <c r="L2036" s="4"/>
      <c r="M2036" s="4"/>
    </row>
    <row r="2037" ht="16" customHeight="1" s="4" customFormat="1">
      <c r="A2037" s="4">
        <v>560</v>
      </c>
      <c r="B2037" s="4" t="s">
        <v>5534</v>
      </c>
      <c r="C2037" s="4" t="s">
        <v>5773</v>
      </c>
      <c r="D2037" s="4"/>
      <c r="E2037" s="4"/>
      <c r="F2037" s="4" t="s">
        <v>8615</v>
      </c>
      <c r="G2037" s="4" t="s">
        <v>5791</v>
      </c>
      <c r="H2037" s="4" t="s">
        <v>7819</v>
      </c>
      <c r="I2037" s="5">
        <v>43913</v>
      </c>
      <c r="J2037" s="4" t="s">
        <v>4842</v>
      </c>
      <c r="K2037" s="4" t="s">
        <v>57</v>
      </c>
      <c r="L2037" s="4"/>
      <c r="M2037" s="4"/>
    </row>
    <row r="2038" ht="16" customHeight="1" s="4" customFormat="1">
      <c r="A2038" s="4">
        <v>561</v>
      </c>
      <c r="B2038" s="4" t="s">
        <v>5534</v>
      </c>
      <c r="C2038" s="4" t="s">
        <v>5773</v>
      </c>
      <c r="D2038" s="4"/>
      <c r="E2038" s="4"/>
      <c r="F2038" s="4" t="s">
        <v>8616</v>
      </c>
      <c r="G2038" s="4" t="s">
        <v>5791</v>
      </c>
      <c r="H2038" s="4" t="s">
        <v>7819</v>
      </c>
      <c r="I2038" s="5">
        <v>43913</v>
      </c>
      <c r="J2038" s="4" t="s">
        <v>4842</v>
      </c>
      <c r="K2038" s="4" t="s">
        <v>57</v>
      </c>
      <c r="L2038" s="4"/>
      <c r="M2038" s="4"/>
    </row>
    <row r="2039" ht="16" customHeight="1" s="4" customFormat="1">
      <c r="A2039" s="4">
        <v>562</v>
      </c>
      <c r="B2039" s="4" t="s">
        <v>5534</v>
      </c>
      <c r="C2039" s="4" t="s">
        <v>5773</v>
      </c>
      <c r="D2039" s="4"/>
      <c r="E2039" s="4"/>
      <c r="F2039" s="4" t="s">
        <v>8617</v>
      </c>
      <c r="G2039" s="4" t="s">
        <v>5791</v>
      </c>
      <c r="H2039" s="4" t="s">
        <v>7819</v>
      </c>
      <c r="I2039" s="5">
        <v>43913</v>
      </c>
      <c r="J2039" s="4" t="s">
        <v>4842</v>
      </c>
      <c r="K2039" s="4" t="s">
        <v>57</v>
      </c>
      <c r="L2039" s="4"/>
      <c r="M2039" s="4"/>
    </row>
    <row r="2040" ht="16" customHeight="1" s="4" customFormat="1">
      <c r="A2040" s="4">
        <v>563</v>
      </c>
      <c r="B2040" s="4" t="s">
        <v>5534</v>
      </c>
      <c r="C2040" s="4" t="s">
        <v>5773</v>
      </c>
      <c r="D2040" s="4"/>
      <c r="E2040" s="4"/>
      <c r="F2040" s="4" t="s">
        <v>8618</v>
      </c>
      <c r="G2040" s="4" t="s">
        <v>5791</v>
      </c>
      <c r="H2040" s="4" t="s">
        <v>7819</v>
      </c>
      <c r="I2040" s="5">
        <v>43913</v>
      </c>
      <c r="J2040" s="4" t="s">
        <v>4842</v>
      </c>
      <c r="K2040" s="4" t="s">
        <v>57</v>
      </c>
      <c r="L2040" s="4"/>
      <c r="M2040" s="4"/>
    </row>
    <row r="2041" ht="16" customHeight="1" s="4" customFormat="1">
      <c r="A2041" s="4">
        <v>564</v>
      </c>
      <c r="B2041" s="4" t="s">
        <v>5534</v>
      </c>
      <c r="C2041" s="4" t="s">
        <v>5773</v>
      </c>
      <c r="D2041" s="4"/>
      <c r="E2041" s="4"/>
      <c r="F2041" s="4" t="s">
        <v>8619</v>
      </c>
      <c r="G2041" s="4" t="s">
        <v>5984</v>
      </c>
      <c r="H2041" s="4" t="s">
        <v>6781</v>
      </c>
      <c r="I2041" s="5">
        <v>43908</v>
      </c>
      <c r="J2041" s="4" t="s">
        <v>4798</v>
      </c>
      <c r="K2041" s="4" t="s">
        <v>57</v>
      </c>
      <c r="L2041" s="4"/>
      <c r="M2041" s="4"/>
    </row>
    <row r="2042" ht="16" customHeight="1" s="4" customFormat="1">
      <c r="A2042" s="4">
        <v>565</v>
      </c>
      <c r="B2042" s="4" t="s">
        <v>5534</v>
      </c>
      <c r="C2042" s="4" t="s">
        <v>5773</v>
      </c>
      <c r="D2042" s="4"/>
      <c r="E2042" s="4"/>
      <c r="F2042" s="4" t="s">
        <v>8620</v>
      </c>
      <c r="G2042" s="4" t="s">
        <v>5984</v>
      </c>
      <c r="H2042" s="4" t="s">
        <v>6781</v>
      </c>
      <c r="I2042" s="5">
        <v>43908</v>
      </c>
      <c r="J2042" s="4" t="s">
        <v>4798</v>
      </c>
      <c r="K2042" s="4" t="s">
        <v>57</v>
      </c>
      <c r="L2042" s="4"/>
      <c r="M2042" s="4"/>
    </row>
    <row r="2043" ht="16" customHeight="1" s="4" customFormat="1">
      <c r="A2043" s="4">
        <v>566</v>
      </c>
      <c r="B2043" s="4" t="s">
        <v>5534</v>
      </c>
      <c r="C2043" s="4" t="s">
        <v>5773</v>
      </c>
      <c r="D2043" s="4"/>
      <c r="E2043" s="4"/>
      <c r="F2043" s="4" t="s">
        <v>8621</v>
      </c>
      <c r="G2043" s="4" t="s">
        <v>5984</v>
      </c>
      <c r="H2043" s="4" t="s">
        <v>6781</v>
      </c>
      <c r="I2043" s="5">
        <v>43908</v>
      </c>
      <c r="J2043" s="4" t="s">
        <v>4798</v>
      </c>
      <c r="K2043" s="4" t="s">
        <v>57</v>
      </c>
      <c r="L2043" s="4"/>
      <c r="M2043" s="4"/>
    </row>
    <row r="2044" ht="16" customHeight="1" s="4" customFormat="1">
      <c r="A2044" s="4">
        <v>567</v>
      </c>
      <c r="B2044" s="4" t="s">
        <v>5534</v>
      </c>
      <c r="C2044" s="4" t="s">
        <v>5773</v>
      </c>
      <c r="D2044" s="4"/>
      <c r="E2044" s="4"/>
      <c r="F2044" s="4" t="s">
        <v>8622</v>
      </c>
      <c r="G2044" s="4" t="s">
        <v>5984</v>
      </c>
      <c r="H2044" s="4" t="s">
        <v>6781</v>
      </c>
      <c r="I2044" s="5">
        <v>43908</v>
      </c>
      <c r="J2044" s="4" t="s">
        <v>4798</v>
      </c>
      <c r="K2044" s="4" t="s">
        <v>57</v>
      </c>
      <c r="L2044" s="4"/>
      <c r="M2044" s="4"/>
    </row>
    <row r="2045" ht="16" customHeight="1" s="4" customFormat="1">
      <c r="A2045" s="4">
        <v>568</v>
      </c>
      <c r="B2045" s="4" t="s">
        <v>5534</v>
      </c>
      <c r="C2045" s="4" t="s">
        <v>5773</v>
      </c>
      <c r="D2045" s="4"/>
      <c r="E2045" s="4"/>
      <c r="F2045" s="4" t="s">
        <v>8623</v>
      </c>
      <c r="G2045" s="4" t="s">
        <v>5511</v>
      </c>
      <c r="H2045" s="4" t="s">
        <v>6781</v>
      </c>
      <c r="I2045" s="5">
        <v>43908</v>
      </c>
      <c r="J2045" s="4" t="s">
        <v>4798</v>
      </c>
      <c r="K2045" s="4" t="s">
        <v>57</v>
      </c>
      <c r="L2045" s="4"/>
      <c r="M2045" s="4"/>
    </row>
    <row r="2046" ht="16" customHeight="1" s="4" customFormat="1">
      <c r="A2046" s="4">
        <v>569</v>
      </c>
      <c r="B2046" s="4" t="s">
        <v>5534</v>
      </c>
      <c r="C2046" s="4" t="s">
        <v>5773</v>
      </c>
      <c r="D2046" s="4"/>
      <c r="E2046" s="4"/>
      <c r="F2046" s="4" t="s">
        <v>8624</v>
      </c>
      <c r="G2046" s="4" t="s">
        <v>5511</v>
      </c>
      <c r="H2046" s="4" t="s">
        <v>6781</v>
      </c>
      <c r="I2046" s="5">
        <v>43908</v>
      </c>
      <c r="J2046" s="4" t="s">
        <v>4798</v>
      </c>
      <c r="K2046" s="4" t="s">
        <v>57</v>
      </c>
      <c r="L2046" s="4"/>
      <c r="M2046" s="4"/>
    </row>
    <row r="2047" ht="16" customHeight="1" s="4" customFormat="1">
      <c r="A2047" s="4">
        <v>570</v>
      </c>
      <c r="B2047" s="4" t="s">
        <v>5534</v>
      </c>
      <c r="C2047" s="4" t="s">
        <v>5773</v>
      </c>
      <c r="D2047" s="4"/>
      <c r="E2047" s="4"/>
      <c r="F2047" s="4" t="s">
        <v>8625</v>
      </c>
      <c r="G2047" s="4" t="s">
        <v>5511</v>
      </c>
      <c r="H2047" s="4" t="s">
        <v>6781</v>
      </c>
      <c r="I2047" s="5">
        <v>43908</v>
      </c>
      <c r="J2047" s="4" t="s">
        <v>4798</v>
      </c>
      <c r="K2047" s="4" t="s">
        <v>57</v>
      </c>
      <c r="L2047" s="4"/>
      <c r="M2047" s="4"/>
    </row>
    <row r="2048" ht="16" customHeight="1" s="4" customFormat="1">
      <c r="A2048" s="4">
        <v>571</v>
      </c>
      <c r="B2048" s="4" t="s">
        <v>5534</v>
      </c>
      <c r="C2048" s="4" t="s">
        <v>5773</v>
      </c>
      <c r="D2048" s="4"/>
      <c r="E2048" s="4"/>
      <c r="F2048" s="4" t="s">
        <v>8626</v>
      </c>
      <c r="G2048" s="4" t="s">
        <v>5511</v>
      </c>
      <c r="H2048" s="4" t="s">
        <v>6781</v>
      </c>
      <c r="I2048" s="5">
        <v>43908</v>
      </c>
      <c r="J2048" s="4" t="s">
        <v>4798</v>
      </c>
      <c r="K2048" s="4" t="s">
        <v>57</v>
      </c>
      <c r="L2048" s="4"/>
      <c r="M2048" s="4"/>
    </row>
    <row r="2049" ht="16" customHeight="1" s="4" customFormat="1">
      <c r="A2049" s="4">
        <v>572</v>
      </c>
      <c r="B2049" s="4" t="s">
        <v>5528</v>
      </c>
      <c r="C2049" s="4" t="s">
        <v>8627</v>
      </c>
      <c r="D2049" s="4"/>
      <c r="E2049" s="4" t="s">
        <v>8628</v>
      </c>
      <c r="F2049" s="4" t="s">
        <v>8629</v>
      </c>
      <c r="G2049" s="4" t="s">
        <v>4850</v>
      </c>
      <c r="H2049" s="4" t="s">
        <v>8630</v>
      </c>
      <c r="I2049" s="5">
        <v>43907</v>
      </c>
      <c r="J2049" s="4" t="s">
        <v>4798</v>
      </c>
      <c r="K2049" s="4" t="s">
        <v>57</v>
      </c>
      <c r="L2049" s="4"/>
      <c r="M2049" s="4"/>
    </row>
    <row r="2050" ht="16" customHeight="1" s="4" customFormat="1">
      <c r="A2050" s="4">
        <v>573</v>
      </c>
      <c r="B2050" s="4" t="s">
        <v>5499</v>
      </c>
      <c r="C2050" s="4" t="s">
        <v>5500</v>
      </c>
      <c r="D2050" s="4" t="s">
        <v>1391</v>
      </c>
      <c r="E2050" s="4" t="s">
        <v>8610</v>
      </c>
      <c r="F2050" s="4" t="s">
        <v>8631</v>
      </c>
      <c r="G2050" s="4" t="s">
        <v>8632</v>
      </c>
      <c r="H2050" s="4" t="s">
        <v>8633</v>
      </c>
      <c r="I2050" s="5">
        <v>43907</v>
      </c>
      <c r="J2050" s="4" t="s">
        <v>5506</v>
      </c>
      <c r="K2050" s="4" t="s">
        <v>57</v>
      </c>
      <c r="L2050" s="4"/>
      <c r="M2050" s="4"/>
    </row>
    <row r="2051" ht="16" customHeight="1" s="4" customFormat="1">
      <c r="A2051" s="4">
        <v>574</v>
      </c>
      <c r="B2051" s="4" t="s">
        <v>5499</v>
      </c>
      <c r="C2051" s="4" t="s">
        <v>5714</v>
      </c>
      <c r="D2051" s="4"/>
      <c r="E2051" s="4"/>
      <c r="F2051" s="4" t="s">
        <v>8634</v>
      </c>
      <c r="G2051" s="4" t="s">
        <v>7871</v>
      </c>
      <c r="H2051" s="4" t="s">
        <v>7870</v>
      </c>
      <c r="I2051" s="5">
        <v>43896</v>
      </c>
      <c r="J2051" s="4" t="s">
        <v>4842</v>
      </c>
      <c r="K2051" s="4" t="s">
        <v>57</v>
      </c>
      <c r="L2051" s="4"/>
      <c r="M2051" s="4"/>
    </row>
    <row r="2052" ht="16" customHeight="1" s="4" customFormat="1">
      <c r="A2052" s="4">
        <v>575</v>
      </c>
      <c r="B2052" s="4" t="s">
        <v>5534</v>
      </c>
      <c r="C2052" s="4" t="s">
        <v>5773</v>
      </c>
      <c r="D2052" s="4"/>
      <c r="E2052" s="4"/>
      <c r="F2052" s="4" t="s">
        <v>8635</v>
      </c>
      <c r="G2052" s="4" t="s">
        <v>10</v>
      </c>
      <c r="H2052" s="4" t="s">
        <v>8636</v>
      </c>
      <c r="I2052" s="5">
        <v>43895</v>
      </c>
      <c r="J2052" s="4" t="s">
        <v>4798</v>
      </c>
      <c r="K2052" s="4" t="s">
        <v>57</v>
      </c>
      <c r="L2052" s="4"/>
      <c r="M2052" s="4"/>
    </row>
    <row r="2053" ht="16" customHeight="1" s="4" customFormat="1">
      <c r="A2053" s="4">
        <v>576</v>
      </c>
      <c r="B2053" s="4" t="s">
        <v>5534</v>
      </c>
      <c r="C2053" s="4" t="s">
        <v>5773</v>
      </c>
      <c r="D2053" s="4"/>
      <c r="E2053" s="4"/>
      <c r="F2053" s="4" t="s">
        <v>8637</v>
      </c>
      <c r="G2053" s="4" t="s">
        <v>5984</v>
      </c>
      <c r="H2053" s="4" t="s">
        <v>6621</v>
      </c>
      <c r="I2053" s="5">
        <v>43895</v>
      </c>
      <c r="J2053" s="4" t="s">
        <v>4798</v>
      </c>
      <c r="K2053" s="4" t="s">
        <v>57</v>
      </c>
      <c r="L2053" s="4"/>
      <c r="M2053" s="4"/>
    </row>
    <row r="2054" ht="16" customHeight="1" s="4" customFormat="1">
      <c r="A2054" s="4">
        <v>577</v>
      </c>
      <c r="B2054" s="4" t="s">
        <v>5534</v>
      </c>
      <c r="C2054" s="4" t="s">
        <v>5773</v>
      </c>
      <c r="D2054" s="4"/>
      <c r="E2054" s="4"/>
      <c r="F2054" s="4" t="s">
        <v>8638</v>
      </c>
      <c r="G2054" s="4" t="s">
        <v>10</v>
      </c>
      <c r="H2054" s="4" t="s">
        <v>8639</v>
      </c>
      <c r="I2054" s="5">
        <v>43895</v>
      </c>
      <c r="J2054" s="4" t="s">
        <v>4798</v>
      </c>
      <c r="K2054" s="4" t="s">
        <v>57</v>
      </c>
      <c r="L2054" s="4"/>
      <c r="M2054" s="4"/>
    </row>
    <row r="2055" ht="16" customHeight="1" s="4" customFormat="1">
      <c r="A2055" s="4">
        <v>578</v>
      </c>
      <c r="B2055" s="4" t="s">
        <v>5499</v>
      </c>
      <c r="C2055" s="4" t="s">
        <v>5590</v>
      </c>
      <c r="D2055" s="4" t="s">
        <v>5574</v>
      </c>
      <c r="E2055" s="4" t="s">
        <v>5575</v>
      </c>
      <c r="F2055" s="4" t="s">
        <v>8640</v>
      </c>
      <c r="G2055" s="4" t="s">
        <v>5843</v>
      </c>
      <c r="H2055" s="4" t="s">
        <v>7009</v>
      </c>
      <c r="I2055" s="5">
        <v>43895</v>
      </c>
      <c r="J2055" s="4" t="s">
        <v>5506</v>
      </c>
      <c r="K2055" s="4" t="s">
        <v>57</v>
      </c>
      <c r="L2055" s="4"/>
      <c r="M2055" s="4"/>
    </row>
    <row r="2056" ht="16" customHeight="1" s="4" customFormat="1">
      <c r="A2056" s="4">
        <v>579</v>
      </c>
      <c r="B2056" s="4" t="s">
        <v>5499</v>
      </c>
      <c r="C2056" s="4" t="s">
        <v>5590</v>
      </c>
      <c r="D2056" s="4" t="s">
        <v>5574</v>
      </c>
      <c r="E2056" s="4" t="s">
        <v>5575</v>
      </c>
      <c r="F2056" s="4" t="s">
        <v>8641</v>
      </c>
      <c r="G2056" s="4" t="s">
        <v>5843</v>
      </c>
      <c r="H2056" s="4" t="s">
        <v>7009</v>
      </c>
      <c r="I2056" s="5">
        <v>43895</v>
      </c>
      <c r="J2056" s="4" t="s">
        <v>5506</v>
      </c>
      <c r="K2056" s="4" t="s">
        <v>57</v>
      </c>
      <c r="L2056" s="4"/>
      <c r="M2056" s="4"/>
    </row>
    <row r="2057" ht="16" customHeight="1" s="4" customFormat="1">
      <c r="A2057" s="4">
        <v>580</v>
      </c>
      <c r="B2057" s="4" t="s">
        <v>5499</v>
      </c>
      <c r="C2057" s="4" t="s">
        <v>5590</v>
      </c>
      <c r="D2057" s="4" t="s">
        <v>5574</v>
      </c>
      <c r="E2057" s="4" t="s">
        <v>5575</v>
      </c>
      <c r="F2057" s="4" t="s">
        <v>8642</v>
      </c>
      <c r="G2057" s="4" t="s">
        <v>5843</v>
      </c>
      <c r="H2057" s="4" t="s">
        <v>7009</v>
      </c>
      <c r="I2057" s="5">
        <v>43895</v>
      </c>
      <c r="J2057" s="4" t="s">
        <v>5506</v>
      </c>
      <c r="K2057" s="4" t="s">
        <v>57</v>
      </c>
      <c r="L2057" s="4"/>
      <c r="M2057" s="4"/>
    </row>
    <row r="2058" ht="16" customHeight="1" s="4" customFormat="1">
      <c r="A2058" s="4">
        <v>581</v>
      </c>
      <c r="B2058" s="4" t="s">
        <v>5499</v>
      </c>
      <c r="C2058" s="4" t="s">
        <v>5590</v>
      </c>
      <c r="D2058" s="4" t="s">
        <v>5574</v>
      </c>
      <c r="E2058" s="4" t="s">
        <v>5575</v>
      </c>
      <c r="F2058" s="4" t="s">
        <v>8643</v>
      </c>
      <c r="G2058" s="4" t="s">
        <v>5843</v>
      </c>
      <c r="H2058" s="4" t="s">
        <v>7009</v>
      </c>
      <c r="I2058" s="5">
        <v>43895</v>
      </c>
      <c r="J2058" s="4" t="s">
        <v>5506</v>
      </c>
      <c r="K2058" s="4" t="s">
        <v>57</v>
      </c>
      <c r="L2058" s="4"/>
      <c r="M2058" s="4"/>
    </row>
    <row r="2059" ht="16" customHeight="1" s="4" customFormat="1">
      <c r="A2059" s="4">
        <v>582</v>
      </c>
      <c r="B2059" s="4" t="s">
        <v>5499</v>
      </c>
      <c r="C2059" s="4" t="s">
        <v>5590</v>
      </c>
      <c r="D2059" s="4" t="s">
        <v>5574</v>
      </c>
      <c r="E2059" s="4" t="s">
        <v>5575</v>
      </c>
      <c r="F2059" s="4" t="s">
        <v>8644</v>
      </c>
      <c r="G2059" s="4" t="s">
        <v>5843</v>
      </c>
      <c r="H2059" s="4" t="s">
        <v>7009</v>
      </c>
      <c r="I2059" s="5">
        <v>43895</v>
      </c>
      <c r="J2059" s="4" t="s">
        <v>5506</v>
      </c>
      <c r="K2059" s="4" t="s">
        <v>57</v>
      </c>
      <c r="L2059" s="4"/>
      <c r="M2059" s="4"/>
    </row>
    <row r="2060" ht="16" customHeight="1" s="4" customFormat="1">
      <c r="A2060" s="4">
        <v>583</v>
      </c>
      <c r="B2060" s="4" t="s">
        <v>5499</v>
      </c>
      <c r="C2060" s="4" t="s">
        <v>5590</v>
      </c>
      <c r="D2060" s="4" t="s">
        <v>5574</v>
      </c>
      <c r="E2060" s="4" t="s">
        <v>5575</v>
      </c>
      <c r="F2060" s="4" t="s">
        <v>8645</v>
      </c>
      <c r="G2060" s="4" t="s">
        <v>5843</v>
      </c>
      <c r="H2060" s="4" t="s">
        <v>7009</v>
      </c>
      <c r="I2060" s="5">
        <v>43895</v>
      </c>
      <c r="J2060" s="4" t="s">
        <v>5506</v>
      </c>
      <c r="K2060" s="4" t="s">
        <v>57</v>
      </c>
      <c r="L2060" s="4"/>
      <c r="M2060" s="4"/>
    </row>
    <row r="2061" ht="16" customHeight="1" s="4" customFormat="1">
      <c r="A2061" s="4">
        <v>584</v>
      </c>
      <c r="B2061" s="4" t="s">
        <v>5499</v>
      </c>
      <c r="C2061" s="4" t="s">
        <v>5519</v>
      </c>
      <c r="D2061" s="4"/>
      <c r="E2061" s="4" t="s">
        <v>8646</v>
      </c>
      <c r="F2061" s="4" t="s">
        <v>8647</v>
      </c>
      <c r="G2061" s="4" t="s">
        <v>8648</v>
      </c>
      <c r="H2061" s="4" t="s">
        <v>8649</v>
      </c>
      <c r="I2061" s="5">
        <v>43893</v>
      </c>
      <c r="J2061" s="4" t="s">
        <v>4798</v>
      </c>
      <c r="K2061" s="4" t="s">
        <v>57</v>
      </c>
      <c r="L2061" s="4"/>
      <c r="M2061" s="4"/>
    </row>
    <row r="2062" ht="16" customHeight="1" s="4" customFormat="1">
      <c r="A2062" s="4">
        <v>585</v>
      </c>
      <c r="B2062" s="4" t="s">
        <v>5499</v>
      </c>
      <c r="C2062" s="4" t="s">
        <v>5519</v>
      </c>
      <c r="D2062" s="4"/>
      <c r="E2062" s="4" t="s">
        <v>8646</v>
      </c>
      <c r="F2062" s="4" t="s">
        <v>8650</v>
      </c>
      <c r="G2062" s="4" t="s">
        <v>8648</v>
      </c>
      <c r="H2062" s="4" t="s">
        <v>8649</v>
      </c>
      <c r="I2062" s="5">
        <v>43893</v>
      </c>
      <c r="J2062" s="4" t="s">
        <v>4798</v>
      </c>
      <c r="K2062" s="4" t="s">
        <v>57</v>
      </c>
      <c r="L2062" s="4"/>
      <c r="M2062" s="4"/>
    </row>
    <row r="2063" ht="16" customHeight="1" s="4" customFormat="1">
      <c r="A2063" s="4">
        <v>586</v>
      </c>
      <c r="B2063" s="4" t="s">
        <v>5499</v>
      </c>
      <c r="C2063" s="4" t="s">
        <v>5509</v>
      </c>
      <c r="D2063" s="4"/>
      <c r="E2063" s="4"/>
      <c r="F2063" s="4" t="s">
        <v>8651</v>
      </c>
      <c r="G2063" s="4" t="s">
        <v>10</v>
      </c>
      <c r="H2063" s="4" t="s">
        <v>6322</v>
      </c>
      <c r="I2063" s="5">
        <v>43889</v>
      </c>
      <c r="J2063" s="4" t="s">
        <v>4798</v>
      </c>
      <c r="K2063" s="4" t="s">
        <v>57</v>
      </c>
      <c r="L2063" s="4"/>
      <c r="M2063" s="4"/>
    </row>
    <row r="2064" ht="16" customHeight="1" s="4" customFormat="1">
      <c r="A2064" s="4">
        <v>587</v>
      </c>
      <c r="B2064" s="4" t="s">
        <v>5600</v>
      </c>
      <c r="C2064" s="4" t="s">
        <v>5600</v>
      </c>
      <c r="D2064" s="4"/>
      <c r="E2064" s="4" t="s">
        <v>8652</v>
      </c>
      <c r="F2064" s="4" t="s">
        <v>8653</v>
      </c>
      <c r="G2064" s="4" t="s">
        <v>8654</v>
      </c>
      <c r="H2064" s="4" t="s">
        <v>8655</v>
      </c>
      <c r="I2064" s="5">
        <v>43889</v>
      </c>
      <c r="J2064" s="4" t="s">
        <v>4842</v>
      </c>
      <c r="K2064" s="4" t="s">
        <v>57</v>
      </c>
      <c r="L2064" s="4"/>
      <c r="M2064" s="4"/>
    </row>
    <row r="2065" ht="16" customHeight="1" s="4" customFormat="1">
      <c r="A2065" s="4">
        <v>588</v>
      </c>
      <c r="B2065" s="4" t="s">
        <v>5499</v>
      </c>
      <c r="C2065" s="4" t="s">
        <v>5519</v>
      </c>
      <c r="D2065" s="4"/>
      <c r="E2065" s="4" t="s">
        <v>5687</v>
      </c>
      <c r="F2065" s="4" t="s">
        <v>8656</v>
      </c>
      <c r="G2065" s="4" t="s">
        <v>5983</v>
      </c>
      <c r="H2065" s="4" t="s">
        <v>6005</v>
      </c>
      <c r="I2065" s="5">
        <v>43886</v>
      </c>
      <c r="J2065" s="4" t="s">
        <v>4798</v>
      </c>
      <c r="K2065" s="4" t="s">
        <v>57</v>
      </c>
      <c r="L2065" s="4"/>
      <c r="M2065" s="4"/>
    </row>
    <row r="2066" ht="16" customHeight="1" s="4" customFormat="1">
      <c r="A2066" s="4">
        <v>589</v>
      </c>
      <c r="B2066" s="4" t="s">
        <v>5499</v>
      </c>
      <c r="C2066" s="4" t="s">
        <v>5590</v>
      </c>
      <c r="D2066" s="4" t="s">
        <v>5514</v>
      </c>
      <c r="E2066" s="4" t="s">
        <v>5515</v>
      </c>
      <c r="F2066" s="4" t="s">
        <v>8657</v>
      </c>
      <c r="G2066" s="4" t="s">
        <v>8658</v>
      </c>
      <c r="H2066" s="4" t="s">
        <v>7886</v>
      </c>
      <c r="I2066" s="5">
        <v>43881</v>
      </c>
      <c r="J2066" s="4" t="s">
        <v>5506</v>
      </c>
      <c r="K2066" s="4" t="s">
        <v>57</v>
      </c>
      <c r="L2066" s="4"/>
      <c r="M2066" s="4"/>
    </row>
    <row r="2067" ht="16" customHeight="1" s="4" customFormat="1">
      <c r="A2067" s="4">
        <v>590</v>
      </c>
      <c r="B2067" s="4" t="s">
        <v>5499</v>
      </c>
      <c r="C2067" s="4" t="s">
        <v>5714</v>
      </c>
      <c r="D2067" s="4"/>
      <c r="E2067" s="4"/>
      <c r="F2067" s="4" t="s">
        <v>8659</v>
      </c>
      <c r="G2067" s="4" t="s">
        <v>8660</v>
      </c>
      <c r="H2067" s="4" t="s">
        <v>8661</v>
      </c>
      <c r="I2067" s="5">
        <v>43878</v>
      </c>
      <c r="J2067" s="4" t="s">
        <v>4798</v>
      </c>
      <c r="K2067" s="4" t="s">
        <v>57</v>
      </c>
      <c r="L2067" s="4"/>
      <c r="M2067" s="4"/>
    </row>
    <row r="2068" ht="16" customHeight="1" s="4" customFormat="1">
      <c r="A2068" s="4">
        <v>591</v>
      </c>
      <c r="B2068" s="4" t="s">
        <v>5499</v>
      </c>
      <c r="C2068" s="4" t="s">
        <v>5590</v>
      </c>
      <c r="D2068" s="4" t="s">
        <v>5514</v>
      </c>
      <c r="E2068" s="4" t="s">
        <v>5515</v>
      </c>
      <c r="F2068" s="4" t="s">
        <v>8662</v>
      </c>
      <c r="G2068" s="4" t="s">
        <v>5930</v>
      </c>
      <c r="H2068" s="4" t="s">
        <v>7030</v>
      </c>
      <c r="I2068" s="5">
        <v>43868</v>
      </c>
      <c r="J2068" s="4" t="s">
        <v>4798</v>
      </c>
      <c r="K2068" s="4" t="s">
        <v>57</v>
      </c>
      <c r="L2068" s="4"/>
      <c r="M2068" s="4"/>
    </row>
    <row r="2069" ht="16" customHeight="1" s="4" customFormat="1">
      <c r="A2069" s="4">
        <v>592</v>
      </c>
      <c r="B2069" s="4" t="s">
        <v>5499</v>
      </c>
      <c r="C2069" s="4" t="s">
        <v>5714</v>
      </c>
      <c r="D2069" s="4"/>
      <c r="E2069" s="4"/>
      <c r="F2069" s="4" t="s">
        <v>8663</v>
      </c>
      <c r="G2069" s="4" t="s">
        <v>6461</v>
      </c>
      <c r="H2069" s="4" t="s">
        <v>5835</v>
      </c>
      <c r="I2069" s="5">
        <v>43867</v>
      </c>
      <c r="J2069" s="4" t="s">
        <v>4842</v>
      </c>
      <c r="K2069" s="4" t="s">
        <v>57</v>
      </c>
      <c r="L2069" s="4"/>
      <c r="M2069" s="4"/>
    </row>
    <row r="2070" ht="16" customHeight="1" s="4" customFormat="1">
      <c r="A2070" s="4">
        <v>593</v>
      </c>
      <c r="B2070" s="4" t="s">
        <v>5499</v>
      </c>
      <c r="C2070" s="4" t="s">
        <v>5714</v>
      </c>
      <c r="D2070" s="4"/>
      <c r="E2070" s="4"/>
      <c r="F2070" s="4" t="s">
        <v>8664</v>
      </c>
      <c r="G2070" s="4" t="s">
        <v>6461</v>
      </c>
      <c r="H2070" s="4" t="s">
        <v>5835</v>
      </c>
      <c r="I2070" s="5">
        <v>43867</v>
      </c>
      <c r="J2070" s="4" t="s">
        <v>4842</v>
      </c>
      <c r="K2070" s="4" t="s">
        <v>57</v>
      </c>
      <c r="L2070" s="4"/>
      <c r="M2070" s="4"/>
    </row>
    <row r="2071" ht="16" customHeight="1" s="4" customFormat="1">
      <c r="A2071" s="4">
        <v>594</v>
      </c>
      <c r="B2071" s="4" t="s">
        <v>5499</v>
      </c>
      <c r="C2071" s="4" t="s">
        <v>5714</v>
      </c>
      <c r="D2071" s="4"/>
      <c r="E2071" s="4"/>
      <c r="F2071" s="4" t="s">
        <v>8665</v>
      </c>
      <c r="G2071" s="4" t="s">
        <v>6461</v>
      </c>
      <c r="H2071" s="4" t="s">
        <v>5835</v>
      </c>
      <c r="I2071" s="5">
        <v>43867</v>
      </c>
      <c r="J2071" s="4" t="s">
        <v>4842</v>
      </c>
      <c r="K2071" s="4" t="s">
        <v>57</v>
      </c>
      <c r="L2071" s="4"/>
      <c r="M2071" s="4"/>
    </row>
    <row r="2072" ht="16" customHeight="1" s="4" customFormat="1">
      <c r="A2072" s="4">
        <v>595</v>
      </c>
      <c r="B2072" s="4" t="s">
        <v>5499</v>
      </c>
      <c r="C2072" s="4" t="s">
        <v>5714</v>
      </c>
      <c r="D2072" s="4"/>
      <c r="E2072" s="4"/>
      <c r="F2072" s="4" t="s">
        <v>8666</v>
      </c>
      <c r="G2072" s="4" t="s">
        <v>6461</v>
      </c>
      <c r="H2072" s="4" t="s">
        <v>5835</v>
      </c>
      <c r="I2072" s="5">
        <v>43867</v>
      </c>
      <c r="J2072" s="4" t="s">
        <v>4842</v>
      </c>
      <c r="K2072" s="4" t="s">
        <v>57</v>
      </c>
      <c r="L2072" s="4"/>
      <c r="M2072" s="4"/>
    </row>
    <row r="2073" ht="16" customHeight="1" s="4" customFormat="1">
      <c r="A2073" s="4">
        <v>596</v>
      </c>
      <c r="B2073" s="4" t="s">
        <v>5600</v>
      </c>
      <c r="C2073" s="4" t="s">
        <v>5600</v>
      </c>
      <c r="D2073" s="4"/>
      <c r="E2073" s="4" t="s">
        <v>7298</v>
      </c>
      <c r="F2073" s="4" t="s">
        <v>8667</v>
      </c>
      <c r="G2073" s="4" t="s">
        <v>6885</v>
      </c>
      <c r="H2073" s="4" t="s">
        <v>7300</v>
      </c>
      <c r="I2073" s="5">
        <v>43866</v>
      </c>
      <c r="J2073" s="4" t="s">
        <v>4798</v>
      </c>
      <c r="K2073" s="4" t="s">
        <v>57</v>
      </c>
      <c r="L2073" s="4"/>
      <c r="M2073" s="4"/>
    </row>
    <row r="2074" ht="16" customHeight="1" s="4" customFormat="1">
      <c r="A2074" s="4">
        <v>597</v>
      </c>
      <c r="B2074" s="4" t="s">
        <v>5499</v>
      </c>
      <c r="C2074" s="4" t="s">
        <v>5519</v>
      </c>
      <c r="D2074" s="4"/>
      <c r="E2074" s="4" t="s">
        <v>7292</v>
      </c>
      <c r="F2074" s="4" t="s">
        <v>8668</v>
      </c>
      <c r="G2074" s="4" t="s">
        <v>8669</v>
      </c>
      <c r="H2074" s="4" t="s">
        <v>8670</v>
      </c>
      <c r="I2074" s="5">
        <v>43865</v>
      </c>
      <c r="J2074" s="4" t="s">
        <v>4842</v>
      </c>
      <c r="K2074" s="4" t="s">
        <v>57</v>
      </c>
      <c r="L2074" s="4"/>
      <c r="M2074" s="4"/>
    </row>
    <row r="2075" ht="16" customHeight="1" s="4" customFormat="1">
      <c r="A2075" s="4">
        <v>598</v>
      </c>
      <c r="B2075" s="4" t="s">
        <v>5534</v>
      </c>
      <c r="C2075" s="4" t="s">
        <v>5773</v>
      </c>
      <c r="D2075" s="4"/>
      <c r="E2075" s="4"/>
      <c r="F2075" s="4" t="s">
        <v>8671</v>
      </c>
      <c r="G2075" s="4" t="s">
        <v>5791</v>
      </c>
      <c r="H2075" s="4" t="s">
        <v>7819</v>
      </c>
      <c r="I2075" s="5">
        <v>43865</v>
      </c>
      <c r="J2075" s="4" t="s">
        <v>4798</v>
      </c>
      <c r="K2075" s="4" t="s">
        <v>57</v>
      </c>
      <c r="L2075" s="4"/>
      <c r="M2075" s="4"/>
    </row>
    <row r="2076" ht="16" customHeight="1" s="4" customFormat="1">
      <c r="A2076" s="4">
        <v>599</v>
      </c>
      <c r="B2076" s="4" t="s">
        <v>5499</v>
      </c>
      <c r="C2076" s="4" t="s">
        <v>5702</v>
      </c>
      <c r="D2076" s="4" t="s">
        <v>5574</v>
      </c>
      <c r="E2076" s="4" t="s">
        <v>5575</v>
      </c>
      <c r="F2076" s="4" t="s">
        <v>8672</v>
      </c>
      <c r="G2076" s="4" t="s">
        <v>5704</v>
      </c>
      <c r="H2076" s="4" t="s">
        <v>7009</v>
      </c>
      <c r="I2076" s="5">
        <v>43864</v>
      </c>
      <c r="J2076" s="4" t="s">
        <v>5506</v>
      </c>
      <c r="K2076" s="4" t="s">
        <v>57</v>
      </c>
      <c r="L2076" s="4"/>
      <c r="M2076" s="4"/>
    </row>
    <row r="2077" ht="16" customHeight="1" s="4" customFormat="1">
      <c r="A2077" s="4">
        <v>600</v>
      </c>
      <c r="B2077" s="4" t="s">
        <v>5600</v>
      </c>
      <c r="C2077" s="4" t="s">
        <v>5600</v>
      </c>
      <c r="D2077" s="4"/>
      <c r="E2077" s="4" t="s">
        <v>5956</v>
      </c>
      <c r="F2077" s="4" t="s">
        <v>8673</v>
      </c>
      <c r="G2077" s="4" t="s">
        <v>8674</v>
      </c>
      <c r="H2077" s="4" t="s">
        <v>8675</v>
      </c>
      <c r="I2077" s="5">
        <v>43860</v>
      </c>
      <c r="J2077" s="4" t="s">
        <v>4798</v>
      </c>
      <c r="K2077" s="4" t="s">
        <v>57</v>
      </c>
      <c r="L2077" s="4"/>
      <c r="M2077" s="4"/>
    </row>
    <row r="2078" ht="16" customHeight="1" s="4" customFormat="1">
      <c r="A2078" s="4">
        <v>601</v>
      </c>
      <c r="B2078" s="4" t="s">
        <v>5600</v>
      </c>
      <c r="C2078" s="4" t="s">
        <v>5600</v>
      </c>
      <c r="D2078" s="4"/>
      <c r="E2078" s="4" t="s">
        <v>8676</v>
      </c>
      <c r="F2078" s="4" t="s">
        <v>8677</v>
      </c>
      <c r="G2078" s="4" t="s">
        <v>8678</v>
      </c>
      <c r="H2078" s="4" t="s">
        <v>8679</v>
      </c>
      <c r="I2078" s="5">
        <v>43860</v>
      </c>
      <c r="J2078" s="4" t="s">
        <v>4798</v>
      </c>
      <c r="K2078" s="4" t="s">
        <v>57</v>
      </c>
      <c r="L2078" s="4"/>
      <c r="M2078" s="4"/>
    </row>
    <row r="2079" ht="16" customHeight="1" s="4" customFormat="1">
      <c r="A2079" s="4">
        <v>602</v>
      </c>
      <c r="B2079" s="4" t="s">
        <v>5600</v>
      </c>
      <c r="C2079" s="4" t="s">
        <v>5600</v>
      </c>
      <c r="D2079" s="4"/>
      <c r="E2079" s="4" t="s">
        <v>5956</v>
      </c>
      <c r="F2079" s="4" t="s">
        <v>8680</v>
      </c>
      <c r="G2079" s="4" t="s">
        <v>7873</v>
      </c>
      <c r="H2079" s="4" t="s">
        <v>7874</v>
      </c>
      <c r="I2079" s="5">
        <v>43860</v>
      </c>
      <c r="J2079" s="4" t="s">
        <v>4798</v>
      </c>
      <c r="K2079" s="4" t="s">
        <v>57</v>
      </c>
      <c r="L2079" s="4"/>
      <c r="M2079" s="4"/>
    </row>
    <row r="2080" ht="16" customHeight="1" s="4" customFormat="1">
      <c r="A2080" s="4">
        <v>603</v>
      </c>
      <c r="B2080" s="4" t="s">
        <v>5600</v>
      </c>
      <c r="C2080" s="4" t="s">
        <v>5600</v>
      </c>
      <c r="D2080" s="4"/>
      <c r="E2080" s="4" t="s">
        <v>5956</v>
      </c>
      <c r="F2080" s="4" t="s">
        <v>8681</v>
      </c>
      <c r="G2080" s="4" t="s">
        <v>8674</v>
      </c>
      <c r="H2080" s="4" t="s">
        <v>8682</v>
      </c>
      <c r="I2080" s="5">
        <v>43860</v>
      </c>
      <c r="J2080" s="4" t="s">
        <v>4798</v>
      </c>
      <c r="K2080" s="4" t="s">
        <v>57</v>
      </c>
      <c r="L2080" s="4"/>
      <c r="M2080" s="4"/>
    </row>
    <row r="2081" ht="16" customHeight="1" s="4" customFormat="1">
      <c r="A2081" s="4">
        <v>604</v>
      </c>
      <c r="B2081" s="4" t="s">
        <v>5600</v>
      </c>
      <c r="C2081" s="4" t="s">
        <v>5600</v>
      </c>
      <c r="D2081" s="4"/>
      <c r="E2081" s="4" t="s">
        <v>5956</v>
      </c>
      <c r="F2081" s="4" t="s">
        <v>8683</v>
      </c>
      <c r="G2081" s="4" t="s">
        <v>8684</v>
      </c>
      <c r="H2081" s="4" t="s">
        <v>8685</v>
      </c>
      <c r="I2081" s="5">
        <v>43860</v>
      </c>
      <c r="J2081" s="4" t="s">
        <v>4798</v>
      </c>
      <c r="K2081" s="4" t="s">
        <v>57</v>
      </c>
      <c r="L2081" s="4"/>
      <c r="M2081" s="4"/>
    </row>
    <row r="2082" ht="16" customHeight="1" s="4" customFormat="1">
      <c r="A2082" s="4">
        <v>605</v>
      </c>
      <c r="B2082" s="4" t="s">
        <v>5534</v>
      </c>
      <c r="C2082" s="4" t="s">
        <v>5773</v>
      </c>
      <c r="D2082" s="4"/>
      <c r="E2082" s="4"/>
      <c r="F2082" s="4" t="s">
        <v>8686</v>
      </c>
      <c r="G2082" s="4" t="s">
        <v>5791</v>
      </c>
      <c r="H2082" s="4" t="s">
        <v>7297</v>
      </c>
      <c r="I2082" s="5">
        <v>43859</v>
      </c>
      <c r="J2082" s="4" t="s">
        <v>4798</v>
      </c>
      <c r="K2082" s="4" t="s">
        <v>57</v>
      </c>
      <c r="L2082" s="4"/>
      <c r="M2082" s="4"/>
    </row>
    <row r="2083" ht="16" customHeight="1" s="4" customFormat="1">
      <c r="A2083" s="4">
        <v>606</v>
      </c>
      <c r="B2083" s="4" t="s">
        <v>5499</v>
      </c>
      <c r="C2083" s="4" t="s">
        <v>5519</v>
      </c>
      <c r="D2083" s="4"/>
      <c r="E2083" s="4" t="s">
        <v>5690</v>
      </c>
      <c r="F2083" s="4" t="s">
        <v>8687</v>
      </c>
      <c r="G2083" s="4" t="s">
        <v>8688</v>
      </c>
      <c r="H2083" s="4" t="s">
        <v>8689</v>
      </c>
      <c r="I2083" s="5">
        <v>43853</v>
      </c>
      <c r="J2083" s="4" t="s">
        <v>4798</v>
      </c>
      <c r="K2083" s="4" t="s">
        <v>57</v>
      </c>
      <c r="L2083" s="4"/>
      <c r="M2083" s="4"/>
    </row>
    <row r="2084" ht="16" customHeight="1" s="4" customFormat="1">
      <c r="A2084" s="4">
        <v>607</v>
      </c>
      <c r="B2084" s="4" t="s">
        <v>5499</v>
      </c>
      <c r="C2084" s="4" t="s">
        <v>5519</v>
      </c>
      <c r="D2084" s="4"/>
      <c r="E2084" s="4" t="s">
        <v>5613</v>
      </c>
      <c r="F2084" s="4" t="s">
        <v>8690</v>
      </c>
      <c r="G2084" s="4" t="s">
        <v>8601</v>
      </c>
      <c r="H2084" s="4" t="s">
        <v>8602</v>
      </c>
      <c r="I2084" s="5">
        <v>43845</v>
      </c>
      <c r="J2084" s="4" t="s">
        <v>4842</v>
      </c>
      <c r="K2084" s="4" t="s">
        <v>57</v>
      </c>
      <c r="L2084" s="4"/>
      <c r="M2084" s="4"/>
    </row>
    <row r="2085" ht="16" customHeight="1" s="4" customFormat="1">
      <c r="A2085" s="4">
        <v>608</v>
      </c>
      <c r="B2085" s="4" t="s">
        <v>5600</v>
      </c>
      <c r="C2085" s="4" t="s">
        <v>5600</v>
      </c>
      <c r="D2085" s="4"/>
      <c r="E2085" s="4" t="s">
        <v>8575</v>
      </c>
      <c r="F2085" s="4" t="s">
        <v>8691</v>
      </c>
      <c r="G2085" s="4" t="s">
        <v>7562</v>
      </c>
      <c r="H2085" s="4" t="s">
        <v>7563</v>
      </c>
      <c r="I2085" s="5">
        <v>43844</v>
      </c>
      <c r="J2085" s="4" t="s">
        <v>4798</v>
      </c>
      <c r="K2085" s="4" t="s">
        <v>57</v>
      </c>
      <c r="L2085" s="4"/>
      <c r="M2085" s="4"/>
    </row>
    <row r="2086" ht="16" customHeight="1" s="4" customFormat="1">
      <c r="A2086" s="4">
        <v>609</v>
      </c>
      <c r="B2086" s="4" t="s">
        <v>5600</v>
      </c>
      <c r="C2086" s="4" t="s">
        <v>5600</v>
      </c>
      <c r="D2086" s="4" t="s">
        <v>5601</v>
      </c>
      <c r="E2086" s="4" t="s">
        <v>5602</v>
      </c>
      <c r="F2086" s="4" t="s">
        <v>8692</v>
      </c>
      <c r="G2086" s="4" t="s">
        <v>5577</v>
      </c>
      <c r="H2086" s="4" t="s">
        <v>8693</v>
      </c>
      <c r="I2086" s="5">
        <v>43843</v>
      </c>
      <c r="J2086" s="4" t="s">
        <v>4798</v>
      </c>
      <c r="K2086" s="4" t="s">
        <v>57</v>
      </c>
      <c r="L2086" s="4"/>
      <c r="M2086" s="4"/>
    </row>
    <row r="2087" ht="16" customHeight="1" s="4" customFormat="1">
      <c r="A2087" s="4">
        <v>610</v>
      </c>
      <c r="B2087" s="4" t="s">
        <v>5600</v>
      </c>
      <c r="C2087" s="4" t="s">
        <v>5600</v>
      </c>
      <c r="D2087" s="4"/>
      <c r="E2087" s="4" t="s">
        <v>8694</v>
      </c>
      <c r="F2087" s="4" t="s">
        <v>8695</v>
      </c>
      <c r="G2087" s="4" t="s">
        <v>5577</v>
      </c>
      <c r="H2087" s="4" t="s">
        <v>8696</v>
      </c>
      <c r="I2087" s="5">
        <v>43843</v>
      </c>
      <c r="J2087" s="4" t="s">
        <v>4798</v>
      </c>
      <c r="K2087" s="4" t="s">
        <v>57</v>
      </c>
      <c r="L2087" s="4"/>
      <c r="M2087" s="4"/>
    </row>
    <row r="2088" ht="16" customHeight="1" s="4" customFormat="1">
      <c r="A2088" s="4">
        <v>611</v>
      </c>
      <c r="B2088" s="4" t="s">
        <v>6161</v>
      </c>
      <c r="C2088" s="4" t="s">
        <v>6618</v>
      </c>
      <c r="D2088" s="4"/>
      <c r="E2088" s="4"/>
      <c r="F2088" s="4" t="s">
        <v>8697</v>
      </c>
      <c r="G2088" s="4" t="s">
        <v>5791</v>
      </c>
      <c r="H2088" s="4" t="s">
        <v>8563</v>
      </c>
      <c r="I2088" s="5">
        <v>43840</v>
      </c>
      <c r="J2088" s="4" t="s">
        <v>4798</v>
      </c>
      <c r="K2088" s="4" t="s">
        <v>57</v>
      </c>
      <c r="L2088" s="4"/>
      <c r="M2088" s="4"/>
    </row>
    <row r="2089" ht="16" customHeight="1" s="4" customFormat="1">
      <c r="A2089" s="4">
        <v>613</v>
      </c>
      <c r="B2089" s="4" t="s">
        <v>6161</v>
      </c>
      <c r="C2089" s="4" t="s">
        <v>6618</v>
      </c>
      <c r="D2089" s="4"/>
      <c r="E2089" s="4"/>
      <c r="F2089" s="4" t="s">
        <v>8698</v>
      </c>
      <c r="G2089" s="4" t="s">
        <v>8699</v>
      </c>
      <c r="H2089" s="4" t="s">
        <v>8346</v>
      </c>
      <c r="I2089" s="5">
        <v>43823</v>
      </c>
      <c r="J2089" s="4" t="s">
        <v>4798</v>
      </c>
      <c r="K2089" s="4" t="s">
        <v>57</v>
      </c>
      <c r="L2089" s="4"/>
      <c r="M2089" s="4"/>
    </row>
    <row r="2090" ht="16" customHeight="1" s="4" customFormat="1">
      <c r="A2090" s="4">
        <v>614</v>
      </c>
      <c r="B2090" s="4" t="s">
        <v>5600</v>
      </c>
      <c r="C2090" s="4" t="s">
        <v>5600</v>
      </c>
      <c r="D2090" s="4"/>
      <c r="E2090" s="4"/>
      <c r="F2090" s="4" t="s">
        <v>8700</v>
      </c>
      <c r="G2090" s="4" t="s">
        <v>8701</v>
      </c>
      <c r="H2090" s="4" t="s">
        <v>7300</v>
      </c>
      <c r="I2090" s="5">
        <v>43819</v>
      </c>
      <c r="J2090" s="4" t="s">
        <v>4798</v>
      </c>
      <c r="K2090" s="4" t="s">
        <v>57</v>
      </c>
      <c r="L2090" s="4"/>
      <c r="M2090" s="4"/>
    </row>
    <row r="2091" ht="16" customHeight="1" s="4" customFormat="1">
      <c r="A2091" s="4">
        <v>615</v>
      </c>
      <c r="B2091" s="4" t="s">
        <v>5499</v>
      </c>
      <c r="C2091" s="4" t="s">
        <v>5509</v>
      </c>
      <c r="D2091" s="4"/>
      <c r="E2091" s="4"/>
      <c r="F2091" s="4" t="s">
        <v>8702</v>
      </c>
      <c r="G2091" s="4" t="s">
        <v>10</v>
      </c>
      <c r="H2091" s="4" t="s">
        <v>8703</v>
      </c>
      <c r="I2091" s="5">
        <v>43818</v>
      </c>
      <c r="J2091" s="4" t="s">
        <v>4798</v>
      </c>
      <c r="K2091" s="4" t="s">
        <v>57</v>
      </c>
      <c r="L2091" s="4"/>
      <c r="M2091" s="4"/>
    </row>
    <row r="2092" ht="16" customHeight="1" s="4" customFormat="1">
      <c r="A2092" s="4">
        <v>616</v>
      </c>
      <c r="B2092" s="4" t="s">
        <v>6161</v>
      </c>
      <c r="C2092" s="4" t="s">
        <v>6618</v>
      </c>
      <c r="D2092" s="4"/>
      <c r="E2092" s="4"/>
      <c r="F2092" s="4" t="s">
        <v>8704</v>
      </c>
      <c r="G2092" s="4" t="s">
        <v>8705</v>
      </c>
      <c r="H2092" s="4" t="s">
        <v>8346</v>
      </c>
      <c r="I2092" s="5">
        <v>43815</v>
      </c>
      <c r="J2092" s="4" t="s">
        <v>5506</v>
      </c>
      <c r="K2092" s="4" t="s">
        <v>57</v>
      </c>
      <c r="L2092" s="4"/>
      <c r="M2092" s="4"/>
    </row>
    <row r="2093" ht="16" customHeight="1" s="4" customFormat="1">
      <c r="A2093" s="4">
        <v>617</v>
      </c>
      <c r="B2093" s="4" t="s">
        <v>6161</v>
      </c>
      <c r="C2093" s="4" t="s">
        <v>6618</v>
      </c>
      <c r="D2093" s="4"/>
      <c r="E2093" s="4"/>
      <c r="F2093" s="4" t="s">
        <v>8706</v>
      </c>
      <c r="G2093" s="4" t="s">
        <v>8705</v>
      </c>
      <c r="H2093" s="4" t="s">
        <v>8707</v>
      </c>
      <c r="I2093" s="5">
        <v>43815</v>
      </c>
      <c r="J2093" s="4" t="s">
        <v>4798</v>
      </c>
      <c r="K2093" s="4" t="s">
        <v>57</v>
      </c>
      <c r="L2093" s="4"/>
      <c r="M2093" s="4"/>
    </row>
    <row r="2094" ht="16" customHeight="1" s="4" customFormat="1">
      <c r="A2094" s="4">
        <v>618</v>
      </c>
      <c r="B2094" s="4" t="s">
        <v>6161</v>
      </c>
      <c r="C2094" s="4" t="s">
        <v>6618</v>
      </c>
      <c r="D2094" s="4"/>
      <c r="E2094" s="4"/>
      <c r="F2094" s="4" t="s">
        <v>8708</v>
      </c>
      <c r="G2094" s="4" t="s">
        <v>8705</v>
      </c>
      <c r="H2094" s="4" t="s">
        <v>8707</v>
      </c>
      <c r="I2094" s="5">
        <v>43815</v>
      </c>
      <c r="J2094" s="4" t="s">
        <v>4798</v>
      </c>
      <c r="K2094" s="4" t="s">
        <v>57</v>
      </c>
      <c r="L2094" s="4"/>
      <c r="M2094" s="4"/>
    </row>
    <row r="2095" ht="16" customHeight="1" s="4" customFormat="1">
      <c r="A2095" s="4">
        <v>619</v>
      </c>
      <c r="B2095" s="4" t="s">
        <v>6161</v>
      </c>
      <c r="C2095" s="4" t="s">
        <v>6618</v>
      </c>
      <c r="D2095" s="4"/>
      <c r="E2095" s="4"/>
      <c r="F2095" s="4" t="s">
        <v>8709</v>
      </c>
      <c r="G2095" s="4" t="s">
        <v>8699</v>
      </c>
      <c r="H2095" s="4" t="s">
        <v>8707</v>
      </c>
      <c r="I2095" s="5">
        <v>43815</v>
      </c>
      <c r="J2095" s="4" t="s">
        <v>4798</v>
      </c>
      <c r="K2095" s="4" t="s">
        <v>57</v>
      </c>
      <c r="L2095" s="4"/>
      <c r="M2095" s="4"/>
    </row>
    <row r="2096" ht="16" customHeight="1" s="4" customFormat="1">
      <c r="A2096" s="4">
        <v>620</v>
      </c>
      <c r="B2096" s="4" t="s">
        <v>6161</v>
      </c>
      <c r="C2096" s="4" t="s">
        <v>6618</v>
      </c>
      <c r="D2096" s="4"/>
      <c r="E2096" s="4"/>
      <c r="F2096" s="4" t="s">
        <v>8710</v>
      </c>
      <c r="G2096" s="4" t="s">
        <v>10</v>
      </c>
      <c r="H2096" s="4" t="s">
        <v>8711</v>
      </c>
      <c r="I2096" s="5">
        <v>43812</v>
      </c>
      <c r="J2096" s="4" t="s">
        <v>5506</v>
      </c>
      <c r="K2096" s="4" t="s">
        <v>57</v>
      </c>
      <c r="L2096" s="4"/>
      <c r="M2096" s="4"/>
    </row>
    <row r="2097" ht="16" customHeight="1" s="4" customFormat="1">
      <c r="A2097" s="4">
        <v>621</v>
      </c>
      <c r="B2097" s="4" t="s">
        <v>5534</v>
      </c>
      <c r="C2097" s="4" t="s">
        <v>5773</v>
      </c>
      <c r="D2097" s="4"/>
      <c r="E2097" s="4"/>
      <c r="F2097" s="4" t="s">
        <v>8712</v>
      </c>
      <c r="G2097" s="4" t="s">
        <v>10</v>
      </c>
      <c r="H2097" s="4" t="s">
        <v>7617</v>
      </c>
      <c r="I2097" s="5">
        <v>43812</v>
      </c>
      <c r="J2097" s="4" t="s">
        <v>4798</v>
      </c>
      <c r="K2097" s="4" t="s">
        <v>57</v>
      </c>
      <c r="L2097" s="4"/>
      <c r="M2097" s="4"/>
    </row>
    <row r="2098" ht="16" customHeight="1" s="4" customFormat="1">
      <c r="A2098" s="4">
        <v>622</v>
      </c>
      <c r="B2098" s="4" t="s">
        <v>5499</v>
      </c>
      <c r="C2098" s="4" t="s">
        <v>5509</v>
      </c>
      <c r="D2098" s="4"/>
      <c r="E2098" s="4"/>
      <c r="F2098" s="4" t="s">
        <v>8713</v>
      </c>
      <c r="G2098" s="4" t="s">
        <v>7624</v>
      </c>
      <c r="H2098" s="4" t="s">
        <v>8714</v>
      </c>
      <c r="I2098" s="5">
        <v>43810</v>
      </c>
      <c r="J2098" s="4" t="s">
        <v>4842</v>
      </c>
      <c r="K2098" s="4" t="s">
        <v>57</v>
      </c>
      <c r="L2098" s="4"/>
      <c r="M2098" s="4"/>
    </row>
    <row r="2099" ht="16" customHeight="1" s="4" customFormat="1">
      <c r="A2099" s="4">
        <v>623</v>
      </c>
      <c r="B2099" s="4" t="s">
        <v>5499</v>
      </c>
      <c r="C2099" s="4" t="s">
        <v>5509</v>
      </c>
      <c r="D2099" s="4"/>
      <c r="E2099" s="4"/>
      <c r="F2099" s="4" t="s">
        <v>8715</v>
      </c>
      <c r="G2099" s="4" t="s">
        <v>10</v>
      </c>
      <c r="H2099" s="4" t="s">
        <v>8703</v>
      </c>
      <c r="I2099" s="5">
        <v>43810</v>
      </c>
      <c r="J2099" s="4" t="s">
        <v>4842</v>
      </c>
      <c r="K2099" s="4" t="s">
        <v>57</v>
      </c>
      <c r="L2099" s="4"/>
      <c r="M2099" s="4"/>
    </row>
    <row r="2100" ht="16" customHeight="1" s="4" customFormat="1">
      <c r="A2100" s="4">
        <v>624</v>
      </c>
      <c r="B2100" s="4" t="s">
        <v>5499</v>
      </c>
      <c r="C2100" s="4" t="s">
        <v>5519</v>
      </c>
      <c r="D2100" s="4"/>
      <c r="E2100" s="4" t="s">
        <v>6831</v>
      </c>
      <c r="F2100" s="4" t="s">
        <v>8716</v>
      </c>
      <c r="G2100" s="4" t="s">
        <v>8717</v>
      </c>
      <c r="H2100" s="4" t="s">
        <v>8718</v>
      </c>
      <c r="I2100" s="5">
        <v>43808</v>
      </c>
      <c r="J2100" s="4" t="s">
        <v>4842</v>
      </c>
      <c r="K2100" s="4" t="s">
        <v>57</v>
      </c>
      <c r="L2100" s="4"/>
      <c r="M2100" s="4"/>
    </row>
    <row r="2101" ht="16" customHeight="1" s="4" customFormat="1">
      <c r="A2101" s="4">
        <v>625</v>
      </c>
      <c r="B2101" s="4" t="s">
        <v>5499</v>
      </c>
      <c r="C2101" s="4" t="s">
        <v>5509</v>
      </c>
      <c r="D2101" s="4"/>
      <c r="E2101" s="4"/>
      <c r="F2101" s="4" t="s">
        <v>8719</v>
      </c>
      <c r="G2101" s="4" t="s">
        <v>8720</v>
      </c>
      <c r="H2101" s="4" t="s">
        <v>10</v>
      </c>
      <c r="I2101" s="5">
        <v>43803</v>
      </c>
      <c r="J2101" s="4" t="s">
        <v>4798</v>
      </c>
      <c r="K2101" s="4" t="s">
        <v>57</v>
      </c>
      <c r="L2101" s="4"/>
      <c r="M2101" s="4"/>
    </row>
    <row r="2102" ht="16" customHeight="1" s="4" customFormat="1">
      <c r="A2102" s="4">
        <v>626</v>
      </c>
      <c r="B2102" s="4" t="s">
        <v>5534</v>
      </c>
      <c r="C2102" s="4" t="s">
        <v>5773</v>
      </c>
      <c r="D2102" s="4"/>
      <c r="E2102" s="4"/>
      <c r="F2102" s="4" t="s">
        <v>8721</v>
      </c>
      <c r="G2102" s="4" t="s">
        <v>10</v>
      </c>
      <c r="H2102" s="4" t="s">
        <v>8722</v>
      </c>
      <c r="I2102" s="5">
        <v>43801</v>
      </c>
      <c r="J2102" s="4" t="s">
        <v>4798</v>
      </c>
      <c r="K2102" s="4" t="s">
        <v>57</v>
      </c>
      <c r="L2102" s="4"/>
      <c r="M2102" s="4"/>
    </row>
    <row r="2103" ht="16" customHeight="1" s="4" customFormat="1">
      <c r="A2103" s="4">
        <v>627</v>
      </c>
      <c r="B2103" s="4" t="s">
        <v>5600</v>
      </c>
      <c r="C2103" s="4" t="s">
        <v>5600</v>
      </c>
      <c r="D2103" s="4"/>
      <c r="E2103" s="4" t="s">
        <v>7639</v>
      </c>
      <c r="F2103" s="4" t="s">
        <v>8723</v>
      </c>
      <c r="G2103" s="4" t="s">
        <v>7879</v>
      </c>
      <c r="H2103" s="4" t="s">
        <v>8724</v>
      </c>
      <c r="I2103" s="5">
        <v>43796</v>
      </c>
      <c r="J2103" s="4" t="s">
        <v>4798</v>
      </c>
      <c r="K2103" s="4" t="s">
        <v>57</v>
      </c>
      <c r="L2103" s="4"/>
      <c r="M2103" s="4"/>
    </row>
    <row r="2104" ht="16" customHeight="1" s="4" customFormat="1">
      <c r="A2104" s="4">
        <v>628</v>
      </c>
      <c r="B2104" s="4" t="s">
        <v>5600</v>
      </c>
      <c r="C2104" s="4" t="s">
        <v>5600</v>
      </c>
      <c r="D2104" s="4"/>
      <c r="E2104" s="4" t="s">
        <v>7639</v>
      </c>
      <c r="F2104" s="4" t="s">
        <v>8725</v>
      </c>
      <c r="G2104" s="4" t="s">
        <v>8726</v>
      </c>
      <c r="H2104" s="4" t="s">
        <v>8727</v>
      </c>
      <c r="I2104" s="5">
        <v>43796</v>
      </c>
      <c r="J2104" s="4" t="s">
        <v>4798</v>
      </c>
      <c r="K2104" s="4" t="s">
        <v>57</v>
      </c>
      <c r="L2104" s="4"/>
      <c r="M2104" s="4"/>
    </row>
    <row r="2105" ht="16" customHeight="1" s="4" customFormat="1">
      <c r="A2105" s="4">
        <v>629</v>
      </c>
      <c r="B2105" s="4" t="s">
        <v>5600</v>
      </c>
      <c r="C2105" s="4" t="s">
        <v>5600</v>
      </c>
      <c r="D2105" s="4"/>
      <c r="E2105" s="4" t="s">
        <v>7639</v>
      </c>
      <c r="F2105" s="4" t="s">
        <v>8728</v>
      </c>
      <c r="G2105" s="4" t="s">
        <v>8729</v>
      </c>
      <c r="H2105" s="4" t="s">
        <v>7642</v>
      </c>
      <c r="I2105" s="5">
        <v>43796</v>
      </c>
      <c r="J2105" s="4" t="s">
        <v>4798</v>
      </c>
      <c r="K2105" s="4" t="s">
        <v>57</v>
      </c>
      <c r="L2105" s="4"/>
      <c r="M2105" s="4"/>
    </row>
    <row r="2106" ht="16" customHeight="1" s="4" customFormat="1">
      <c r="A2106" s="4">
        <v>630</v>
      </c>
      <c r="B2106" s="4" t="s">
        <v>5600</v>
      </c>
      <c r="C2106" s="4" t="s">
        <v>5600</v>
      </c>
      <c r="D2106" s="4"/>
      <c r="E2106" s="4" t="s">
        <v>7639</v>
      </c>
      <c r="F2106" s="4" t="s">
        <v>8730</v>
      </c>
      <c r="G2106" s="4" t="s">
        <v>5124</v>
      </c>
      <c r="H2106" s="4" t="s">
        <v>8731</v>
      </c>
      <c r="I2106" s="5">
        <v>43796</v>
      </c>
      <c r="J2106" s="4" t="s">
        <v>4798</v>
      </c>
      <c r="K2106" s="4" t="s">
        <v>57</v>
      </c>
      <c r="L2106" s="4"/>
      <c r="M2106" s="4"/>
    </row>
    <row r="2107" ht="16" customHeight="1" s="4" customFormat="1">
      <c r="A2107" s="4">
        <v>631</v>
      </c>
      <c r="B2107" s="4" t="s">
        <v>5600</v>
      </c>
      <c r="C2107" s="4" t="s">
        <v>5600</v>
      </c>
      <c r="D2107" s="4"/>
      <c r="E2107" s="4" t="s">
        <v>7639</v>
      </c>
      <c r="F2107" s="4" t="s">
        <v>8732</v>
      </c>
      <c r="G2107" s="4" t="s">
        <v>5140</v>
      </c>
      <c r="H2107" s="4" t="s">
        <v>8733</v>
      </c>
      <c r="I2107" s="5">
        <v>43796</v>
      </c>
      <c r="J2107" s="4" t="s">
        <v>4798</v>
      </c>
      <c r="K2107" s="4" t="s">
        <v>57</v>
      </c>
      <c r="L2107" s="4"/>
      <c r="M2107" s="4"/>
    </row>
    <row r="2108" ht="16" customHeight="1" s="4" customFormat="1">
      <c r="A2108" s="4">
        <v>632</v>
      </c>
      <c r="B2108" s="4" t="s">
        <v>5600</v>
      </c>
      <c r="C2108" s="4" t="s">
        <v>5600</v>
      </c>
      <c r="D2108" s="4"/>
      <c r="E2108" s="4" t="s">
        <v>7639</v>
      </c>
      <c r="F2108" s="4" t="s">
        <v>8734</v>
      </c>
      <c r="G2108" s="4" t="s">
        <v>8735</v>
      </c>
      <c r="H2108" s="4" t="s">
        <v>8736</v>
      </c>
      <c r="I2108" s="5">
        <v>43796</v>
      </c>
      <c r="J2108" s="4" t="s">
        <v>4798</v>
      </c>
      <c r="K2108" s="4" t="s">
        <v>57</v>
      </c>
      <c r="L2108" s="4"/>
      <c r="M2108" s="4"/>
    </row>
    <row r="2109" ht="16" customHeight="1" s="4" customFormat="1">
      <c r="A2109" s="4">
        <v>633</v>
      </c>
      <c r="B2109" s="4" t="s">
        <v>5600</v>
      </c>
      <c r="C2109" s="4" t="s">
        <v>5600</v>
      </c>
      <c r="D2109" s="4"/>
      <c r="E2109" s="4" t="s">
        <v>7639</v>
      </c>
      <c r="F2109" s="4" t="s">
        <v>8737</v>
      </c>
      <c r="G2109" s="4" t="s">
        <v>8738</v>
      </c>
      <c r="H2109" s="4" t="s">
        <v>8739</v>
      </c>
      <c r="I2109" s="5">
        <v>43796</v>
      </c>
      <c r="J2109" s="4" t="s">
        <v>4798</v>
      </c>
      <c r="K2109" s="4" t="s">
        <v>57</v>
      </c>
      <c r="L2109" s="4"/>
      <c r="M2109" s="4"/>
    </row>
    <row r="2110" ht="16" customHeight="1" s="4" customFormat="1">
      <c r="A2110" s="4">
        <v>634</v>
      </c>
      <c r="B2110" s="4" t="s">
        <v>5600</v>
      </c>
      <c r="C2110" s="4" t="s">
        <v>5600</v>
      </c>
      <c r="D2110" s="4"/>
      <c r="E2110" s="4" t="s">
        <v>7639</v>
      </c>
      <c r="F2110" s="4" t="s">
        <v>8740</v>
      </c>
      <c r="G2110" s="4" t="s">
        <v>8741</v>
      </c>
      <c r="H2110" s="4" t="s">
        <v>8742</v>
      </c>
      <c r="I2110" s="5">
        <v>43796</v>
      </c>
      <c r="J2110" s="4" t="s">
        <v>4798</v>
      </c>
      <c r="K2110" s="4" t="s">
        <v>57</v>
      </c>
      <c r="L2110" s="4"/>
      <c r="M2110" s="4"/>
    </row>
    <row r="2111" ht="16" customHeight="1" s="4" customFormat="1">
      <c r="A2111" s="4">
        <v>635</v>
      </c>
      <c r="B2111" s="4" t="s">
        <v>5600</v>
      </c>
      <c r="C2111" s="4" t="s">
        <v>5600</v>
      </c>
      <c r="D2111" s="4"/>
      <c r="E2111" s="4" t="s">
        <v>7639</v>
      </c>
      <c r="F2111" s="4" t="s">
        <v>8743</v>
      </c>
      <c r="G2111" s="4" t="s">
        <v>8744</v>
      </c>
      <c r="H2111" s="4" t="s">
        <v>8745</v>
      </c>
      <c r="I2111" s="5">
        <v>43794</v>
      </c>
      <c r="J2111" s="4" t="s">
        <v>4798</v>
      </c>
      <c r="K2111" s="4" t="s">
        <v>57</v>
      </c>
      <c r="L2111" s="4"/>
      <c r="M2111" s="4"/>
    </row>
    <row r="2112" ht="16" customHeight="1" s="4" customFormat="1">
      <c r="A2112" s="4">
        <v>636</v>
      </c>
      <c r="B2112" s="4" t="s">
        <v>5600</v>
      </c>
      <c r="C2112" s="4" t="s">
        <v>5600</v>
      </c>
      <c r="D2112" s="4"/>
      <c r="E2112" s="4" t="s">
        <v>7639</v>
      </c>
      <c r="F2112" s="4" t="s">
        <v>8746</v>
      </c>
      <c r="G2112" s="4" t="s">
        <v>8747</v>
      </c>
      <c r="H2112" s="4" t="s">
        <v>8748</v>
      </c>
      <c r="I2112" s="5">
        <v>43794</v>
      </c>
      <c r="J2112" s="4" t="s">
        <v>4798</v>
      </c>
      <c r="K2112" s="4" t="s">
        <v>57</v>
      </c>
      <c r="L2112" s="4"/>
      <c r="M2112" s="4"/>
    </row>
    <row r="2113" ht="16" customHeight="1" s="4" customFormat="1">
      <c r="A2113" s="4">
        <v>637</v>
      </c>
      <c r="B2113" s="4" t="s">
        <v>5600</v>
      </c>
      <c r="C2113" s="4" t="s">
        <v>5600</v>
      </c>
      <c r="D2113" s="4"/>
      <c r="E2113" s="4" t="s">
        <v>7639</v>
      </c>
      <c r="F2113" s="4" t="s">
        <v>8749</v>
      </c>
      <c r="G2113" s="4" t="s">
        <v>8750</v>
      </c>
      <c r="H2113" s="4" t="s">
        <v>8751</v>
      </c>
      <c r="I2113" s="5">
        <v>43794</v>
      </c>
      <c r="J2113" s="4" t="s">
        <v>4798</v>
      </c>
      <c r="K2113" s="4" t="s">
        <v>57</v>
      </c>
      <c r="L2113" s="4"/>
      <c r="M2113" s="4"/>
    </row>
    <row r="2114" ht="16" customHeight="1" s="4" customFormat="1">
      <c r="A2114" s="4">
        <v>638</v>
      </c>
      <c r="B2114" s="4" t="s">
        <v>5499</v>
      </c>
      <c r="C2114" s="4" t="s">
        <v>5519</v>
      </c>
      <c r="D2114" s="4"/>
      <c r="E2114" s="4" t="s">
        <v>5690</v>
      </c>
      <c r="F2114" s="4" t="s">
        <v>8752</v>
      </c>
      <c r="G2114" s="4" t="s">
        <v>8753</v>
      </c>
      <c r="H2114" s="4" t="s">
        <v>8754</v>
      </c>
      <c r="I2114" s="5">
        <v>43794</v>
      </c>
      <c r="J2114" s="4" t="s">
        <v>4798</v>
      </c>
      <c r="K2114" s="4" t="s">
        <v>57</v>
      </c>
      <c r="L2114" s="4"/>
      <c r="M2114" s="4"/>
    </row>
    <row r="2115" ht="16" customHeight="1" s="4" customFormat="1">
      <c r="A2115" s="4">
        <v>639</v>
      </c>
      <c r="B2115" s="4" t="s">
        <v>5499</v>
      </c>
      <c r="C2115" s="4" t="s">
        <v>5519</v>
      </c>
      <c r="D2115" s="4"/>
      <c r="E2115" s="4" t="s">
        <v>5668</v>
      </c>
      <c r="F2115" s="4" t="s">
        <v>8755</v>
      </c>
      <c r="G2115" s="4" t="s">
        <v>8756</v>
      </c>
      <c r="H2115" s="4" t="s">
        <v>8757</v>
      </c>
      <c r="I2115" s="5">
        <v>43780</v>
      </c>
      <c r="J2115" s="4" t="s">
        <v>4842</v>
      </c>
      <c r="K2115" s="4" t="s">
        <v>57</v>
      </c>
      <c r="L2115" s="4"/>
      <c r="M2115" s="4"/>
    </row>
    <row r="2116" ht="16" customHeight="1" s="4" customFormat="1">
      <c r="A2116" s="4">
        <v>640</v>
      </c>
      <c r="B2116" s="4" t="s">
        <v>5499</v>
      </c>
      <c r="C2116" s="4" t="s">
        <v>5519</v>
      </c>
      <c r="D2116" s="4"/>
      <c r="E2116" s="4" t="s">
        <v>5668</v>
      </c>
      <c r="F2116" s="4" t="s">
        <v>8758</v>
      </c>
      <c r="G2116" s="4" t="s">
        <v>8756</v>
      </c>
      <c r="H2116" s="4" t="s">
        <v>8757</v>
      </c>
      <c r="I2116" s="5">
        <v>43780</v>
      </c>
      <c r="J2116" s="4" t="s">
        <v>4842</v>
      </c>
      <c r="K2116" s="4" t="s">
        <v>57</v>
      </c>
      <c r="L2116" s="4"/>
      <c r="M2116" s="4"/>
    </row>
    <row r="2117" ht="16" customHeight="1" s="4" customFormat="1">
      <c r="A2117" s="4">
        <v>641</v>
      </c>
      <c r="B2117" s="4" t="s">
        <v>5499</v>
      </c>
      <c r="C2117" s="4" t="s">
        <v>5519</v>
      </c>
      <c r="D2117" s="4"/>
      <c r="E2117" s="4" t="s">
        <v>5668</v>
      </c>
      <c r="F2117" s="4" t="s">
        <v>8759</v>
      </c>
      <c r="G2117" s="4" t="s">
        <v>8756</v>
      </c>
      <c r="H2117" s="4" t="s">
        <v>8757</v>
      </c>
      <c r="I2117" s="5">
        <v>43780</v>
      </c>
      <c r="J2117" s="4" t="s">
        <v>4842</v>
      </c>
      <c r="K2117" s="4" t="s">
        <v>57</v>
      </c>
      <c r="L2117" s="4"/>
      <c r="M2117" s="4"/>
    </row>
    <row r="2118" ht="16" customHeight="1" s="4" customFormat="1">
      <c r="A2118" s="4">
        <v>642</v>
      </c>
      <c r="B2118" s="4" t="s">
        <v>5499</v>
      </c>
      <c r="C2118" s="4" t="s">
        <v>5519</v>
      </c>
      <c r="D2118" s="4"/>
      <c r="E2118" s="4" t="s">
        <v>5668</v>
      </c>
      <c r="F2118" s="4" t="s">
        <v>8760</v>
      </c>
      <c r="G2118" s="4" t="s">
        <v>8756</v>
      </c>
      <c r="H2118" s="4" t="s">
        <v>8757</v>
      </c>
      <c r="I2118" s="5">
        <v>43780</v>
      </c>
      <c r="J2118" s="4" t="s">
        <v>4842</v>
      </c>
      <c r="K2118" s="4" t="s">
        <v>57</v>
      </c>
      <c r="L2118" s="4"/>
      <c r="M2118" s="4"/>
    </row>
    <row r="2119" ht="16" customHeight="1" s="4" customFormat="1">
      <c r="A2119" s="4">
        <v>643</v>
      </c>
      <c r="B2119" s="4" t="s">
        <v>5499</v>
      </c>
      <c r="C2119" s="4" t="s">
        <v>5519</v>
      </c>
      <c r="D2119" s="4"/>
      <c r="E2119" s="4" t="s">
        <v>5668</v>
      </c>
      <c r="F2119" s="4" t="s">
        <v>8761</v>
      </c>
      <c r="G2119" s="4" t="s">
        <v>8756</v>
      </c>
      <c r="H2119" s="4" t="s">
        <v>8757</v>
      </c>
      <c r="I2119" s="5">
        <v>43780</v>
      </c>
      <c r="J2119" s="4" t="s">
        <v>4842</v>
      </c>
      <c r="K2119" s="4" t="s">
        <v>57</v>
      </c>
      <c r="L2119" s="4"/>
      <c r="M2119" s="4"/>
    </row>
    <row r="2120" ht="16" customHeight="1" s="4" customFormat="1">
      <c r="A2120" s="4">
        <v>644</v>
      </c>
      <c r="B2120" s="4" t="s">
        <v>5499</v>
      </c>
      <c r="C2120" s="4" t="s">
        <v>5519</v>
      </c>
      <c r="D2120" s="4"/>
      <c r="E2120" s="4" t="s">
        <v>5668</v>
      </c>
      <c r="F2120" s="4" t="s">
        <v>8762</v>
      </c>
      <c r="G2120" s="4" t="s">
        <v>8756</v>
      </c>
      <c r="H2120" s="4" t="s">
        <v>8757</v>
      </c>
      <c r="I2120" s="5">
        <v>43780</v>
      </c>
      <c r="J2120" s="4" t="s">
        <v>4842</v>
      </c>
      <c r="K2120" s="4" t="s">
        <v>57</v>
      </c>
      <c r="L2120" s="4"/>
      <c r="M2120" s="4"/>
    </row>
    <row r="2121" ht="16" customHeight="1" s="4" customFormat="1">
      <c r="A2121" s="4">
        <v>645</v>
      </c>
      <c r="B2121" s="4" t="s">
        <v>5534</v>
      </c>
      <c r="C2121" s="4" t="s">
        <v>5773</v>
      </c>
      <c r="D2121" s="4"/>
      <c r="E2121" s="4"/>
      <c r="F2121" s="4" t="s">
        <v>8763</v>
      </c>
      <c r="G2121" s="4" t="s">
        <v>10</v>
      </c>
      <c r="H2121" s="4" t="s">
        <v>7819</v>
      </c>
      <c r="I2121" s="5">
        <v>43768</v>
      </c>
      <c r="J2121" s="4" t="s">
        <v>4842</v>
      </c>
      <c r="K2121" s="4" t="s">
        <v>57</v>
      </c>
      <c r="L2121" s="4"/>
      <c r="M2121" s="4"/>
    </row>
    <row r="2122" ht="16" customHeight="1" s="4" customFormat="1">
      <c r="A2122" s="4">
        <v>646</v>
      </c>
      <c r="B2122" s="4" t="s">
        <v>5534</v>
      </c>
      <c r="C2122" s="4" t="s">
        <v>5773</v>
      </c>
      <c r="D2122" s="4"/>
      <c r="E2122" s="4"/>
      <c r="F2122" s="4" t="s">
        <v>8764</v>
      </c>
      <c r="G2122" s="4" t="s">
        <v>10</v>
      </c>
      <c r="H2122" s="4" t="s">
        <v>7831</v>
      </c>
      <c r="I2122" s="5">
        <v>43760</v>
      </c>
      <c r="J2122" s="4" t="s">
        <v>4798</v>
      </c>
      <c r="K2122" s="4" t="s">
        <v>57</v>
      </c>
      <c r="L2122" s="4"/>
      <c r="M2122" s="4"/>
    </row>
    <row r="2123" ht="16" customHeight="1" s="4" customFormat="1">
      <c r="A2123" s="4">
        <v>647</v>
      </c>
      <c r="B2123" s="4" t="s">
        <v>5534</v>
      </c>
      <c r="C2123" s="4" t="s">
        <v>5773</v>
      </c>
      <c r="D2123" s="4"/>
      <c r="E2123" s="4"/>
      <c r="F2123" s="4" t="s">
        <v>8765</v>
      </c>
      <c r="G2123" s="4" t="s">
        <v>10</v>
      </c>
      <c r="H2123" s="4" t="s">
        <v>7831</v>
      </c>
      <c r="I2123" s="5">
        <v>43760</v>
      </c>
      <c r="J2123" s="4" t="s">
        <v>4798</v>
      </c>
      <c r="K2123" s="4" t="s">
        <v>57</v>
      </c>
      <c r="L2123" s="4"/>
      <c r="M2123" s="4"/>
    </row>
    <row r="2124" ht="16" customHeight="1" s="4" customFormat="1">
      <c r="A2124" s="4">
        <v>648</v>
      </c>
      <c r="B2124" s="4" t="s">
        <v>5534</v>
      </c>
      <c r="C2124" s="4" t="s">
        <v>5773</v>
      </c>
      <c r="D2124" s="4"/>
      <c r="E2124" s="4"/>
      <c r="F2124" s="4" t="s">
        <v>8766</v>
      </c>
      <c r="G2124" s="4" t="s">
        <v>10</v>
      </c>
      <c r="H2124" s="4" t="s">
        <v>7831</v>
      </c>
      <c r="I2124" s="5">
        <v>43760</v>
      </c>
      <c r="J2124" s="4" t="s">
        <v>4798</v>
      </c>
      <c r="K2124" s="4" t="s">
        <v>57</v>
      </c>
      <c r="L2124" s="4"/>
      <c r="M2124" s="4"/>
    </row>
    <row r="2125" ht="16" customHeight="1" s="4" customFormat="1">
      <c r="A2125" s="4">
        <v>649</v>
      </c>
      <c r="B2125" s="4" t="s">
        <v>5534</v>
      </c>
      <c r="C2125" s="4" t="s">
        <v>5773</v>
      </c>
      <c r="D2125" s="4"/>
      <c r="E2125" s="4"/>
      <c r="F2125" s="4" t="s">
        <v>8767</v>
      </c>
      <c r="G2125" s="4" t="s">
        <v>10</v>
      </c>
      <c r="H2125" s="4" t="s">
        <v>7831</v>
      </c>
      <c r="I2125" s="5">
        <v>43760</v>
      </c>
      <c r="J2125" s="4" t="s">
        <v>4798</v>
      </c>
      <c r="K2125" s="4" t="s">
        <v>57</v>
      </c>
      <c r="L2125" s="4"/>
      <c r="M2125" s="4"/>
    </row>
    <row r="2126" ht="16" customHeight="1" s="4" customFormat="1">
      <c r="A2126" s="4">
        <v>650</v>
      </c>
      <c r="B2126" s="4" t="s">
        <v>5534</v>
      </c>
      <c r="C2126" s="4" t="s">
        <v>5773</v>
      </c>
      <c r="D2126" s="4"/>
      <c r="E2126" s="4"/>
      <c r="F2126" s="4" t="s">
        <v>8768</v>
      </c>
      <c r="G2126" s="4" t="s">
        <v>10</v>
      </c>
      <c r="H2126" s="4" t="s">
        <v>7831</v>
      </c>
      <c r="I2126" s="5">
        <v>43760</v>
      </c>
      <c r="J2126" s="4" t="s">
        <v>4798</v>
      </c>
      <c r="K2126" s="4" t="s">
        <v>57</v>
      </c>
      <c r="L2126" s="4"/>
      <c r="M2126" s="4"/>
    </row>
    <row r="2127" ht="16" customHeight="1" s="4" customFormat="1">
      <c r="A2127" s="4">
        <v>651</v>
      </c>
      <c r="B2127" s="4" t="s">
        <v>5534</v>
      </c>
      <c r="C2127" s="4" t="s">
        <v>5773</v>
      </c>
      <c r="D2127" s="4"/>
      <c r="E2127" s="4"/>
      <c r="F2127" s="4" t="s">
        <v>8769</v>
      </c>
      <c r="G2127" s="4" t="s">
        <v>5778</v>
      </c>
      <c r="H2127" s="4" t="s">
        <v>5984</v>
      </c>
      <c r="I2127" s="5">
        <v>43760</v>
      </c>
      <c r="J2127" s="4" t="s">
        <v>4798</v>
      </c>
      <c r="K2127" s="4" t="s">
        <v>57</v>
      </c>
      <c r="L2127" s="4"/>
      <c r="M2127" s="4"/>
    </row>
    <row r="2128" ht="16" customHeight="1" s="4" customFormat="1">
      <c r="A2128" s="4">
        <v>652</v>
      </c>
      <c r="B2128" s="4" t="s">
        <v>5499</v>
      </c>
      <c r="C2128" s="4" t="s">
        <v>5590</v>
      </c>
      <c r="D2128" s="4" t="s">
        <v>5574</v>
      </c>
      <c r="E2128" s="4" t="s">
        <v>5575</v>
      </c>
      <c r="F2128" s="4" t="s">
        <v>8770</v>
      </c>
      <c r="G2128" s="4" t="s">
        <v>8771</v>
      </c>
      <c r="H2128" s="4" t="s">
        <v>8772</v>
      </c>
      <c r="I2128" s="5">
        <v>43760</v>
      </c>
      <c r="J2128" s="4" t="s">
        <v>4798</v>
      </c>
      <c r="K2128" s="4" t="s">
        <v>57</v>
      </c>
      <c r="L2128" s="4"/>
      <c r="M2128" s="4"/>
    </row>
    <row r="2129" ht="16" customHeight="1" s="4" customFormat="1">
      <c r="A2129" s="4">
        <v>653</v>
      </c>
      <c r="B2129" s="4" t="s">
        <v>5600</v>
      </c>
      <c r="C2129" s="4" t="s">
        <v>5600</v>
      </c>
      <c r="D2129" s="4"/>
      <c r="E2129" s="4" t="s">
        <v>8652</v>
      </c>
      <c r="F2129" s="4" t="s">
        <v>8773</v>
      </c>
      <c r="G2129" s="4" t="s">
        <v>8774</v>
      </c>
      <c r="H2129" s="4" t="s">
        <v>8775</v>
      </c>
      <c r="I2129" s="5">
        <v>43756</v>
      </c>
      <c r="J2129" s="4" t="s">
        <v>4798</v>
      </c>
      <c r="K2129" s="4" t="s">
        <v>57</v>
      </c>
      <c r="L2129" s="4"/>
      <c r="M2129" s="4"/>
    </row>
    <row r="2130" ht="16" customHeight="1" s="4" customFormat="1">
      <c r="A2130" s="4">
        <v>654</v>
      </c>
      <c r="B2130" s="4" t="s">
        <v>5600</v>
      </c>
      <c r="C2130" s="4" t="s">
        <v>5600</v>
      </c>
      <c r="D2130" s="4"/>
      <c r="E2130" s="4" t="s">
        <v>7298</v>
      </c>
      <c r="F2130" s="4" t="s">
        <v>8776</v>
      </c>
      <c r="G2130" s="4" t="s">
        <v>7302</v>
      </c>
      <c r="H2130" s="4" t="s">
        <v>7303</v>
      </c>
      <c r="I2130" s="5">
        <v>43754</v>
      </c>
      <c r="J2130" s="4" t="s">
        <v>4798</v>
      </c>
      <c r="K2130" s="4" t="s">
        <v>57</v>
      </c>
      <c r="L2130" s="4"/>
      <c r="M2130" s="4"/>
    </row>
    <row r="2131" ht="16" customHeight="1" s="4" customFormat="1">
      <c r="A2131" s="4">
        <v>655</v>
      </c>
      <c r="B2131" s="4" t="s">
        <v>5499</v>
      </c>
      <c r="C2131" s="4" t="s">
        <v>5590</v>
      </c>
      <c r="D2131" s="4" t="s">
        <v>5591</v>
      </c>
      <c r="E2131" s="4" t="s">
        <v>5592</v>
      </c>
      <c r="F2131" s="4" t="s">
        <v>8777</v>
      </c>
      <c r="G2131" s="4" t="s">
        <v>4850</v>
      </c>
      <c r="H2131" s="4" t="s">
        <v>8778</v>
      </c>
      <c r="I2131" s="5">
        <v>43742</v>
      </c>
      <c r="J2131" s="4" t="s">
        <v>4798</v>
      </c>
      <c r="K2131" s="4" t="s">
        <v>57</v>
      </c>
      <c r="L2131" s="4"/>
      <c r="M2131" s="4"/>
    </row>
    <row r="2132" ht="16" customHeight="1" s="4" customFormat="1">
      <c r="A2132" s="4">
        <v>656</v>
      </c>
      <c r="B2132" s="4" t="s">
        <v>5499</v>
      </c>
      <c r="C2132" s="4" t="s">
        <v>5590</v>
      </c>
      <c r="D2132" s="4" t="s">
        <v>5501</v>
      </c>
      <c r="E2132" s="4" t="s">
        <v>5502</v>
      </c>
      <c r="F2132" s="4" t="s">
        <v>8779</v>
      </c>
      <c r="G2132" s="4" t="s">
        <v>4850</v>
      </c>
      <c r="H2132" s="4" t="s">
        <v>8778</v>
      </c>
      <c r="I2132" s="5">
        <v>43742</v>
      </c>
      <c r="J2132" s="4" t="s">
        <v>4798</v>
      </c>
      <c r="K2132" s="4" t="s">
        <v>57</v>
      </c>
      <c r="L2132" s="4"/>
      <c r="M2132" s="4"/>
    </row>
    <row r="2133" ht="16" customHeight="1" s="4" customFormat="1">
      <c r="A2133" s="4">
        <v>657</v>
      </c>
      <c r="B2133" s="4" t="s">
        <v>5534</v>
      </c>
      <c r="C2133" s="4" t="s">
        <v>5773</v>
      </c>
      <c r="D2133" s="4"/>
      <c r="E2133" s="4"/>
      <c r="F2133" s="4" t="s">
        <v>8780</v>
      </c>
      <c r="G2133" s="4" t="s">
        <v>10</v>
      </c>
      <c r="H2133" s="4" t="s">
        <v>7819</v>
      </c>
      <c r="I2133" s="5">
        <v>43741</v>
      </c>
      <c r="J2133" s="4" t="s">
        <v>4842</v>
      </c>
      <c r="K2133" s="4" t="s">
        <v>57</v>
      </c>
      <c r="L2133" s="4"/>
      <c r="M2133" s="4"/>
    </row>
    <row r="2134" ht="16" customHeight="1" s="4" customFormat="1">
      <c r="A2134" s="4">
        <v>658</v>
      </c>
      <c r="B2134" s="4" t="s">
        <v>5534</v>
      </c>
      <c r="C2134" s="4" t="s">
        <v>5773</v>
      </c>
      <c r="D2134" s="4"/>
      <c r="E2134" s="4"/>
      <c r="F2134" s="4" t="s">
        <v>8781</v>
      </c>
      <c r="G2134" s="4" t="s">
        <v>10</v>
      </c>
      <c r="H2134" s="4" t="s">
        <v>7819</v>
      </c>
      <c r="I2134" s="5">
        <v>43741</v>
      </c>
      <c r="J2134" s="4" t="s">
        <v>4842</v>
      </c>
      <c r="K2134" s="4" t="s">
        <v>57</v>
      </c>
      <c r="L2134" s="4"/>
      <c r="M2134" s="4"/>
    </row>
    <row r="2135" ht="16" customHeight="1" s="4" customFormat="1">
      <c r="A2135" s="4">
        <v>659</v>
      </c>
      <c r="B2135" s="4" t="s">
        <v>5600</v>
      </c>
      <c r="C2135" s="4" t="s">
        <v>5600</v>
      </c>
      <c r="D2135" s="4"/>
      <c r="E2135" s="4"/>
      <c r="F2135" s="4" t="s">
        <v>8782</v>
      </c>
      <c r="G2135" s="4" t="s">
        <v>8783</v>
      </c>
      <c r="H2135" s="4" t="s">
        <v>8784</v>
      </c>
      <c r="I2135" s="5">
        <v>43738</v>
      </c>
      <c r="J2135" s="4" t="s">
        <v>4798</v>
      </c>
      <c r="K2135" s="4" t="s">
        <v>57</v>
      </c>
      <c r="L2135" s="4"/>
      <c r="M2135" s="4"/>
    </row>
    <row r="2136" ht="16" customHeight="1" s="4" customFormat="1">
      <c r="A2136" s="4">
        <v>660</v>
      </c>
      <c r="B2136" s="4" t="s">
        <v>5600</v>
      </c>
      <c r="C2136" s="4" t="s">
        <v>5600</v>
      </c>
      <c r="D2136" s="4"/>
      <c r="E2136" s="4" t="s">
        <v>7298</v>
      </c>
      <c r="F2136" s="4" t="s">
        <v>8785</v>
      </c>
      <c r="G2136" s="4" t="s">
        <v>5768</v>
      </c>
      <c r="H2136" s="4" t="s">
        <v>8786</v>
      </c>
      <c r="I2136" s="5">
        <v>43738</v>
      </c>
      <c r="J2136" s="4" t="s">
        <v>4842</v>
      </c>
      <c r="K2136" s="4" t="s">
        <v>57</v>
      </c>
      <c r="L2136" s="4"/>
      <c r="M2136" s="4"/>
    </row>
    <row r="2137" ht="16" customHeight="1" s="4" customFormat="1">
      <c r="A2137" s="4">
        <v>661</v>
      </c>
      <c r="B2137" s="4" t="s">
        <v>5499</v>
      </c>
      <c r="C2137" s="4" t="s">
        <v>5509</v>
      </c>
      <c r="D2137" s="4"/>
      <c r="E2137" s="4"/>
      <c r="F2137" s="4" t="s">
        <v>8787</v>
      </c>
      <c r="G2137" s="4" t="s">
        <v>8788</v>
      </c>
      <c r="H2137" s="4" t="s">
        <v>8789</v>
      </c>
      <c r="I2137" s="5">
        <v>43735</v>
      </c>
      <c r="J2137" s="4" t="s">
        <v>8790</v>
      </c>
      <c r="K2137" s="4" t="s">
        <v>57</v>
      </c>
      <c r="L2137" s="4"/>
      <c r="M2137" s="4"/>
    </row>
    <row r="2138" ht="16" customHeight="1" s="4" customFormat="1">
      <c r="A2138" s="4">
        <v>662</v>
      </c>
      <c r="B2138" s="4" t="s">
        <v>5499</v>
      </c>
      <c r="C2138" s="4" t="s">
        <v>5519</v>
      </c>
      <c r="D2138" s="4"/>
      <c r="E2138" s="4" t="s">
        <v>5668</v>
      </c>
      <c r="F2138" s="4" t="s">
        <v>8791</v>
      </c>
      <c r="G2138" s="4" t="s">
        <v>8756</v>
      </c>
      <c r="H2138" s="4" t="s">
        <v>8757</v>
      </c>
      <c r="I2138" s="5">
        <v>43731</v>
      </c>
      <c r="J2138" s="4" t="s">
        <v>4842</v>
      </c>
      <c r="K2138" s="4" t="s">
        <v>57</v>
      </c>
      <c r="L2138" s="4"/>
      <c r="M2138" s="4"/>
    </row>
    <row r="2139" ht="16" customHeight="1" s="4" customFormat="1">
      <c r="A2139" s="4">
        <v>663</v>
      </c>
      <c r="B2139" s="4" t="s">
        <v>5499</v>
      </c>
      <c r="C2139" s="4" t="s">
        <v>5500</v>
      </c>
      <c r="D2139" s="4"/>
      <c r="E2139" s="4"/>
      <c r="F2139" s="4" t="s">
        <v>8792</v>
      </c>
      <c r="G2139" s="4" t="s">
        <v>6124</v>
      </c>
      <c r="H2139" s="4" t="s">
        <v>8793</v>
      </c>
      <c r="I2139" s="5">
        <v>43724</v>
      </c>
      <c r="J2139" s="4" t="s">
        <v>4798</v>
      </c>
      <c r="K2139" s="4" t="s">
        <v>57</v>
      </c>
      <c r="L2139" s="4"/>
      <c r="M2139" s="4"/>
    </row>
    <row r="2140" ht="16" customHeight="1" s="4" customFormat="1">
      <c r="A2140" s="4">
        <v>664</v>
      </c>
      <c r="B2140" s="4" t="s">
        <v>5528</v>
      </c>
      <c r="C2140" s="4" t="s">
        <v>8794</v>
      </c>
      <c r="D2140" s="4"/>
      <c r="E2140" s="4" t="s">
        <v>8795</v>
      </c>
      <c r="F2140" s="4" t="s">
        <v>8796</v>
      </c>
      <c r="G2140" s="4" t="s">
        <v>8797</v>
      </c>
      <c r="H2140" s="4" t="s">
        <v>6431</v>
      </c>
      <c r="I2140" s="5">
        <v>43722</v>
      </c>
      <c r="J2140" s="4" t="s">
        <v>4798</v>
      </c>
      <c r="K2140" s="4" t="s">
        <v>57</v>
      </c>
      <c r="L2140" s="4"/>
      <c r="M2140" s="4"/>
    </row>
    <row r="2141" ht="16" customHeight="1" s="4" customFormat="1">
      <c r="A2141" s="4">
        <v>665</v>
      </c>
      <c r="B2141" s="4" t="s">
        <v>6161</v>
      </c>
      <c r="C2141" s="4" t="s">
        <v>6618</v>
      </c>
      <c r="D2141" s="4"/>
      <c r="E2141" s="4"/>
      <c r="F2141" s="4" t="s">
        <v>8798</v>
      </c>
      <c r="G2141" s="4" t="s">
        <v>7602</v>
      </c>
      <c r="H2141" s="4" t="s">
        <v>7318</v>
      </c>
      <c r="I2141" s="5">
        <v>43714</v>
      </c>
      <c r="J2141" s="4" t="s">
        <v>5506</v>
      </c>
      <c r="K2141" s="4" t="s">
        <v>57</v>
      </c>
      <c r="L2141" s="4"/>
      <c r="M2141" s="4"/>
    </row>
    <row r="2142" ht="16" customHeight="1" s="4" customFormat="1">
      <c r="A2142" s="4">
        <v>666</v>
      </c>
      <c r="B2142" s="4" t="s">
        <v>5528</v>
      </c>
      <c r="C2142" s="4" t="s">
        <v>7530</v>
      </c>
      <c r="D2142" s="4" t="s">
        <v>5574</v>
      </c>
      <c r="E2142" s="4" t="s">
        <v>7531</v>
      </c>
      <c r="F2142" s="4" t="s">
        <v>8799</v>
      </c>
      <c r="G2142" s="4" t="s">
        <v>8800</v>
      </c>
      <c r="H2142" s="4" t="s">
        <v>8801</v>
      </c>
      <c r="I2142" s="5">
        <v>43706</v>
      </c>
      <c r="J2142" s="4" t="s">
        <v>4798</v>
      </c>
      <c r="K2142" s="4" t="s">
        <v>57</v>
      </c>
      <c r="L2142" s="4"/>
      <c r="M2142" s="4"/>
    </row>
    <row r="2143" ht="16" customHeight="1" s="4" customFormat="1">
      <c r="A2143" s="4">
        <v>667</v>
      </c>
      <c r="B2143" s="4" t="s">
        <v>5499</v>
      </c>
      <c r="C2143" s="4" t="s">
        <v>5590</v>
      </c>
      <c r="D2143" s="4" t="s">
        <v>5514</v>
      </c>
      <c r="E2143" s="4" t="s">
        <v>5515</v>
      </c>
      <c r="F2143" s="4" t="s">
        <v>8802</v>
      </c>
      <c r="G2143" s="4" t="s">
        <v>6431</v>
      </c>
      <c r="H2143" s="4" t="s">
        <v>8803</v>
      </c>
      <c r="I2143" s="5">
        <v>43705</v>
      </c>
      <c r="J2143" s="4" t="s">
        <v>4798</v>
      </c>
      <c r="K2143" s="4" t="s">
        <v>57</v>
      </c>
      <c r="L2143" s="4"/>
      <c r="M2143" s="4"/>
    </row>
    <row r="2144" ht="16" customHeight="1" s="4" customFormat="1">
      <c r="A2144" s="4">
        <v>668</v>
      </c>
      <c r="B2144" s="4" t="s">
        <v>5499</v>
      </c>
      <c r="C2144" s="4" t="s">
        <v>5590</v>
      </c>
      <c r="D2144" s="4" t="s">
        <v>5574</v>
      </c>
      <c r="E2144" s="4" t="s">
        <v>5575</v>
      </c>
      <c r="F2144" s="4" t="s">
        <v>8804</v>
      </c>
      <c r="G2144" s="4" t="s">
        <v>6431</v>
      </c>
      <c r="H2144" s="4" t="s">
        <v>8803</v>
      </c>
      <c r="I2144" s="5">
        <v>43705</v>
      </c>
      <c r="J2144" s="4" t="s">
        <v>4798</v>
      </c>
      <c r="K2144" s="4" t="s">
        <v>57</v>
      </c>
      <c r="L2144" s="4"/>
      <c r="M2144" s="4"/>
    </row>
    <row r="2145" ht="16" customHeight="1" s="4" customFormat="1">
      <c r="A2145" s="4">
        <v>669</v>
      </c>
      <c r="B2145" s="4" t="s">
        <v>5499</v>
      </c>
      <c r="C2145" s="4" t="s">
        <v>5500</v>
      </c>
      <c r="D2145" s="4"/>
      <c r="E2145" s="4"/>
      <c r="F2145" s="4" t="s">
        <v>8805</v>
      </c>
      <c r="G2145" s="4" t="s">
        <v>6124</v>
      </c>
      <c r="H2145" s="4" t="s">
        <v>8806</v>
      </c>
      <c r="I2145" s="5">
        <v>43704</v>
      </c>
      <c r="J2145" s="4" t="s">
        <v>4842</v>
      </c>
      <c r="K2145" s="4" t="s">
        <v>57</v>
      </c>
      <c r="L2145" s="4"/>
      <c r="M2145" s="4"/>
    </row>
    <row r="2146" ht="16" customHeight="1" s="4" customFormat="1">
      <c r="A2146" s="4">
        <v>670</v>
      </c>
      <c r="B2146" s="4" t="s">
        <v>6161</v>
      </c>
      <c r="C2146" s="4" t="s">
        <v>6618</v>
      </c>
      <c r="D2146" s="4"/>
      <c r="E2146" s="4"/>
      <c r="F2146" s="4" t="s">
        <v>8807</v>
      </c>
      <c r="G2146" s="4" t="s">
        <v>7318</v>
      </c>
      <c r="H2146" s="4" t="s">
        <v>5771</v>
      </c>
      <c r="I2146" s="5">
        <v>43700</v>
      </c>
      <c r="J2146" s="4" t="s">
        <v>4798</v>
      </c>
      <c r="K2146" s="4" t="s">
        <v>57</v>
      </c>
      <c r="L2146" s="4"/>
      <c r="M2146" s="4"/>
    </row>
    <row r="2147" ht="16" customHeight="1" s="4" customFormat="1">
      <c r="A2147" s="4">
        <v>671</v>
      </c>
      <c r="B2147" s="4" t="s">
        <v>5499</v>
      </c>
      <c r="C2147" s="4" t="s">
        <v>5519</v>
      </c>
      <c r="D2147" s="4"/>
      <c r="E2147" s="4" t="s">
        <v>5690</v>
      </c>
      <c r="F2147" s="4" t="s">
        <v>8808</v>
      </c>
      <c r="G2147" s="4" t="s">
        <v>8809</v>
      </c>
      <c r="H2147" s="4" t="s">
        <v>8810</v>
      </c>
      <c r="I2147" s="5">
        <v>43699</v>
      </c>
      <c r="J2147" s="4" t="s">
        <v>4842</v>
      </c>
      <c r="K2147" s="4" t="s">
        <v>57</v>
      </c>
      <c r="L2147" s="4"/>
      <c r="M2147" s="4"/>
    </row>
    <row r="2148" ht="16" customHeight="1" s="4" customFormat="1">
      <c r="A2148" s="4">
        <v>672</v>
      </c>
      <c r="B2148" s="4" t="s">
        <v>5534</v>
      </c>
      <c r="C2148" s="4" t="s">
        <v>5773</v>
      </c>
      <c r="D2148" s="4"/>
      <c r="E2148" s="4"/>
      <c r="F2148" s="4" t="s">
        <v>8811</v>
      </c>
      <c r="G2148" s="4" t="s">
        <v>10</v>
      </c>
      <c r="H2148" s="4" t="s">
        <v>7617</v>
      </c>
      <c r="I2148" s="5">
        <v>43693</v>
      </c>
      <c r="J2148" s="4" t="s">
        <v>4842</v>
      </c>
      <c r="K2148" s="4" t="s">
        <v>57</v>
      </c>
      <c r="L2148" s="4"/>
      <c r="M2148" s="4"/>
    </row>
    <row r="2149" ht="16" customHeight="1" s="4" customFormat="1">
      <c r="A2149" s="4">
        <v>673</v>
      </c>
      <c r="B2149" s="4" t="s">
        <v>5534</v>
      </c>
      <c r="C2149" s="4" t="s">
        <v>5773</v>
      </c>
      <c r="D2149" s="4"/>
      <c r="E2149" s="4"/>
      <c r="F2149" s="4" t="s">
        <v>8812</v>
      </c>
      <c r="G2149" s="4" t="s">
        <v>10</v>
      </c>
      <c r="H2149" s="4" t="s">
        <v>7617</v>
      </c>
      <c r="I2149" s="5">
        <v>43693</v>
      </c>
      <c r="J2149" s="4" t="s">
        <v>4842</v>
      </c>
      <c r="K2149" s="4" t="s">
        <v>57</v>
      </c>
      <c r="L2149" s="4"/>
      <c r="M2149" s="4"/>
    </row>
    <row r="2150" ht="16" customHeight="1" s="4" customFormat="1">
      <c r="A2150" s="4">
        <v>674</v>
      </c>
      <c r="B2150" s="4" t="s">
        <v>5499</v>
      </c>
      <c r="C2150" s="4" t="s">
        <v>5702</v>
      </c>
      <c r="D2150" s="4" t="s">
        <v>5574</v>
      </c>
      <c r="E2150" s="4" t="s">
        <v>5575</v>
      </c>
      <c r="F2150" s="4" t="s">
        <v>8813</v>
      </c>
      <c r="G2150" s="4" t="s">
        <v>7160</v>
      </c>
      <c r="H2150" s="4" t="s">
        <v>7009</v>
      </c>
      <c r="I2150" s="5">
        <v>43693</v>
      </c>
      <c r="J2150" s="4" t="s">
        <v>4798</v>
      </c>
      <c r="K2150" s="4" t="s">
        <v>57</v>
      </c>
      <c r="L2150" s="4"/>
      <c r="M2150" s="4"/>
    </row>
    <row r="2151" ht="16" customHeight="1" s="4" customFormat="1">
      <c r="A2151" s="4">
        <v>675</v>
      </c>
      <c r="B2151" s="4" t="s">
        <v>5534</v>
      </c>
      <c r="C2151" s="4" t="s">
        <v>5773</v>
      </c>
      <c r="D2151" s="4"/>
      <c r="E2151" s="4"/>
      <c r="F2151" s="4" t="s">
        <v>8814</v>
      </c>
      <c r="G2151" s="4" t="s">
        <v>5791</v>
      </c>
      <c r="H2151" s="4" t="s">
        <v>7617</v>
      </c>
      <c r="I2151" s="5">
        <v>43693</v>
      </c>
      <c r="J2151" s="4" t="s">
        <v>4842</v>
      </c>
      <c r="K2151" s="4" t="s">
        <v>57</v>
      </c>
      <c r="L2151" s="4"/>
      <c r="M2151" s="4"/>
    </row>
    <row r="2152" ht="16" customHeight="1" s="4" customFormat="1">
      <c r="A2152" s="4">
        <v>676</v>
      </c>
      <c r="B2152" s="4" t="s">
        <v>5534</v>
      </c>
      <c r="C2152" s="4" t="s">
        <v>5773</v>
      </c>
      <c r="D2152" s="4"/>
      <c r="E2152" s="4"/>
      <c r="F2152" s="4" t="s">
        <v>8815</v>
      </c>
      <c r="G2152" s="4" t="s">
        <v>5791</v>
      </c>
      <c r="H2152" s="4" t="s">
        <v>7617</v>
      </c>
      <c r="I2152" s="5">
        <v>43693</v>
      </c>
      <c r="J2152" s="4" t="s">
        <v>4842</v>
      </c>
      <c r="K2152" s="4" t="s">
        <v>57</v>
      </c>
      <c r="L2152" s="4"/>
      <c r="M2152" s="4"/>
    </row>
    <row r="2153" ht="16" customHeight="1" s="4" customFormat="1">
      <c r="A2153" s="4">
        <v>677</v>
      </c>
      <c r="B2153" s="4" t="s">
        <v>5499</v>
      </c>
      <c r="C2153" s="4" t="s">
        <v>5590</v>
      </c>
      <c r="D2153" s="4" t="s">
        <v>5501</v>
      </c>
      <c r="E2153" s="4" t="s">
        <v>5502</v>
      </c>
      <c r="F2153" s="4" t="s">
        <v>8816</v>
      </c>
      <c r="G2153" s="4" t="s">
        <v>4850</v>
      </c>
      <c r="H2153" s="4" t="s">
        <v>8817</v>
      </c>
      <c r="I2153" s="5">
        <v>43679</v>
      </c>
      <c r="J2153" s="4" t="s">
        <v>4798</v>
      </c>
      <c r="K2153" s="4" t="s">
        <v>57</v>
      </c>
      <c r="L2153" s="4"/>
      <c r="M2153" s="4"/>
    </row>
    <row r="2154" ht="16" customHeight="1" s="4" customFormat="1">
      <c r="A2154" s="4">
        <v>678</v>
      </c>
      <c r="B2154" s="4" t="s">
        <v>5499</v>
      </c>
      <c r="C2154" s="4" t="s">
        <v>5590</v>
      </c>
      <c r="D2154" s="4" t="s">
        <v>5591</v>
      </c>
      <c r="E2154" s="4" t="s">
        <v>5592</v>
      </c>
      <c r="F2154" s="4" t="s">
        <v>8818</v>
      </c>
      <c r="G2154" s="4" t="s">
        <v>4850</v>
      </c>
      <c r="H2154" s="4" t="s">
        <v>8817</v>
      </c>
      <c r="I2154" s="5">
        <v>43679</v>
      </c>
      <c r="J2154" s="4" t="s">
        <v>4798</v>
      </c>
      <c r="K2154" s="4" t="s">
        <v>57</v>
      </c>
      <c r="L2154" s="4"/>
      <c r="M2154" s="4"/>
    </row>
    <row r="2155" ht="16" customHeight="1" s="4" customFormat="1">
      <c r="A2155" s="4">
        <v>679</v>
      </c>
      <c r="B2155" s="4" t="s">
        <v>5499</v>
      </c>
      <c r="C2155" s="4" t="s">
        <v>5590</v>
      </c>
      <c r="D2155" s="4" t="s">
        <v>5591</v>
      </c>
      <c r="E2155" s="4" t="s">
        <v>5592</v>
      </c>
      <c r="F2155" s="4" t="s">
        <v>8819</v>
      </c>
      <c r="G2155" s="4" t="s">
        <v>8817</v>
      </c>
      <c r="H2155" s="4" t="s">
        <v>5843</v>
      </c>
      <c r="I2155" s="5">
        <v>43679</v>
      </c>
      <c r="J2155" s="4" t="s">
        <v>4798</v>
      </c>
      <c r="K2155" s="4" t="s">
        <v>57</v>
      </c>
      <c r="L2155" s="4"/>
      <c r="M2155" s="4"/>
    </row>
    <row r="2156" ht="16" customHeight="1" s="4" customFormat="1">
      <c r="A2156" s="4">
        <v>680</v>
      </c>
      <c r="B2156" s="4" t="s">
        <v>5499</v>
      </c>
      <c r="C2156" s="4" t="s">
        <v>5509</v>
      </c>
      <c r="D2156" s="4"/>
      <c r="E2156" s="4"/>
      <c r="F2156" s="4" t="s">
        <v>8820</v>
      </c>
      <c r="G2156" s="4" t="s">
        <v>7597</v>
      </c>
      <c r="H2156" s="4" t="s">
        <v>7598</v>
      </c>
      <c r="I2156" s="5">
        <v>43676</v>
      </c>
      <c r="J2156" s="4" t="s">
        <v>8790</v>
      </c>
      <c r="K2156" s="4" t="s">
        <v>57</v>
      </c>
      <c r="L2156" s="4"/>
      <c r="M2156" s="4"/>
    </row>
    <row r="2157" ht="16" customHeight="1" s="4" customFormat="1">
      <c r="A2157" s="4">
        <v>681</v>
      </c>
      <c r="B2157" s="4" t="s">
        <v>5499</v>
      </c>
      <c r="C2157" s="4" t="s">
        <v>5702</v>
      </c>
      <c r="D2157" s="4" t="s">
        <v>5574</v>
      </c>
      <c r="E2157" s="4" t="s">
        <v>5575</v>
      </c>
      <c r="F2157" s="4" t="s">
        <v>8821</v>
      </c>
      <c r="G2157" s="4" t="s">
        <v>8822</v>
      </c>
      <c r="H2157" s="4" t="s">
        <v>7009</v>
      </c>
      <c r="I2157" s="5">
        <v>43675</v>
      </c>
      <c r="J2157" s="4" t="s">
        <v>4798</v>
      </c>
      <c r="K2157" s="4" t="s">
        <v>57</v>
      </c>
      <c r="L2157" s="4"/>
      <c r="M2157" s="4"/>
    </row>
    <row r="2158" ht="16" customHeight="1" s="4" customFormat="1">
      <c r="A2158" s="4">
        <v>682</v>
      </c>
      <c r="B2158" s="4" t="s">
        <v>5600</v>
      </c>
      <c r="C2158" s="4" t="s">
        <v>5600</v>
      </c>
      <c r="D2158" s="4"/>
      <c r="E2158" s="4" t="s">
        <v>7555</v>
      </c>
      <c r="F2158" s="4" t="s">
        <v>8823</v>
      </c>
      <c r="G2158" s="4" t="s">
        <v>7557</v>
      </c>
      <c r="H2158" s="4" t="s">
        <v>10</v>
      </c>
      <c r="I2158" s="5">
        <v>43670</v>
      </c>
      <c r="J2158" s="4" t="s">
        <v>4798</v>
      </c>
      <c r="K2158" s="4" t="s">
        <v>57</v>
      </c>
      <c r="L2158" s="4"/>
      <c r="M2158" s="4"/>
    </row>
    <row r="2159" ht="16" customHeight="1" s="4" customFormat="1">
      <c r="A2159" s="4">
        <v>683</v>
      </c>
      <c r="B2159" s="4" t="s">
        <v>5499</v>
      </c>
      <c r="C2159" s="4" t="s">
        <v>5702</v>
      </c>
      <c r="D2159" s="4" t="s">
        <v>5574</v>
      </c>
      <c r="E2159" s="4" t="s">
        <v>5575</v>
      </c>
      <c r="F2159" s="4" t="s">
        <v>8824</v>
      </c>
      <c r="G2159" s="4" t="s">
        <v>6431</v>
      </c>
      <c r="H2159" s="4" t="s">
        <v>7241</v>
      </c>
      <c r="I2159" s="5">
        <v>43669</v>
      </c>
      <c r="J2159" s="4" t="s">
        <v>4798</v>
      </c>
      <c r="K2159" s="4" t="s">
        <v>57</v>
      </c>
      <c r="L2159" s="4"/>
      <c r="M2159" s="4"/>
    </row>
    <row r="2160" ht="16" customHeight="1" s="4" customFormat="1">
      <c r="A2160" s="4">
        <v>684</v>
      </c>
      <c r="B2160" s="4" t="s">
        <v>5528</v>
      </c>
      <c r="C2160" s="4" t="s">
        <v>7530</v>
      </c>
      <c r="D2160" s="4" t="s">
        <v>5574</v>
      </c>
      <c r="E2160" s="4" t="s">
        <v>5706</v>
      </c>
      <c r="F2160" s="4" t="s">
        <v>8825</v>
      </c>
      <c r="G2160" s="4" t="s">
        <v>4850</v>
      </c>
      <c r="H2160" s="4" t="s">
        <v>8826</v>
      </c>
      <c r="I2160" s="5">
        <v>43668</v>
      </c>
      <c r="J2160" s="4" t="s">
        <v>4798</v>
      </c>
      <c r="K2160" s="4" t="s">
        <v>57</v>
      </c>
      <c r="L2160" s="4"/>
      <c r="M2160" s="4"/>
    </row>
    <row r="2161" ht="16" customHeight="1" s="4" customFormat="1">
      <c r="A2161" s="4">
        <v>685</v>
      </c>
      <c r="B2161" s="4" t="s">
        <v>5528</v>
      </c>
      <c r="C2161" s="4" t="s">
        <v>7530</v>
      </c>
      <c r="D2161" s="4" t="s">
        <v>5591</v>
      </c>
      <c r="E2161" s="4" t="s">
        <v>5592</v>
      </c>
      <c r="F2161" s="4" t="s">
        <v>8827</v>
      </c>
      <c r="G2161" s="4" t="s">
        <v>8828</v>
      </c>
      <c r="H2161" s="4" t="s">
        <v>8829</v>
      </c>
      <c r="I2161" s="5">
        <v>43666</v>
      </c>
      <c r="J2161" s="4" t="s">
        <v>4798</v>
      </c>
      <c r="K2161" s="4" t="s">
        <v>57</v>
      </c>
      <c r="L2161" s="4"/>
      <c r="M2161" s="4"/>
    </row>
    <row r="2162" ht="16" customHeight="1" s="4" customFormat="1">
      <c r="A2162" s="4">
        <v>686</v>
      </c>
      <c r="B2162" s="4" t="s">
        <v>5499</v>
      </c>
      <c r="C2162" s="4" t="s">
        <v>5573</v>
      </c>
      <c r="D2162" s="4" t="s">
        <v>5574</v>
      </c>
      <c r="E2162" s="4" t="s">
        <v>5575</v>
      </c>
      <c r="F2162" s="4" t="s">
        <v>8830</v>
      </c>
      <c r="G2162" s="4" t="s">
        <v>4850</v>
      </c>
      <c r="H2162" s="4" t="s">
        <v>8831</v>
      </c>
      <c r="I2162" s="5">
        <v>43665</v>
      </c>
      <c r="J2162" s="4" t="s">
        <v>4798</v>
      </c>
      <c r="K2162" s="4" t="s">
        <v>57</v>
      </c>
      <c r="L2162" s="4"/>
      <c r="M2162" s="4"/>
    </row>
    <row r="2163" ht="16" customHeight="1" s="4" customFormat="1">
      <c r="A2163" s="4">
        <v>687</v>
      </c>
      <c r="B2163" s="4" t="s">
        <v>5499</v>
      </c>
      <c r="C2163" s="4" t="s">
        <v>7045</v>
      </c>
      <c r="D2163" s="4" t="s">
        <v>5574</v>
      </c>
      <c r="E2163" s="4" t="s">
        <v>5575</v>
      </c>
      <c r="F2163" s="4" t="s">
        <v>8832</v>
      </c>
      <c r="G2163" s="4" t="s">
        <v>7171</v>
      </c>
      <c r="H2163" s="4" t="s">
        <v>8450</v>
      </c>
      <c r="I2163" s="5">
        <v>43661</v>
      </c>
      <c r="J2163" s="4" t="s">
        <v>4798</v>
      </c>
      <c r="K2163" s="4" t="s">
        <v>57</v>
      </c>
      <c r="L2163" s="4"/>
      <c r="M2163" s="4"/>
    </row>
    <row r="2164" ht="16" customHeight="1" s="4" customFormat="1">
      <c r="A2164" s="4">
        <v>688</v>
      </c>
      <c r="B2164" s="4" t="s">
        <v>5499</v>
      </c>
      <c r="C2164" s="4" t="s">
        <v>5519</v>
      </c>
      <c r="D2164" s="4"/>
      <c r="E2164" s="4" t="s">
        <v>8833</v>
      </c>
      <c r="F2164" s="4" t="s">
        <v>8834</v>
      </c>
      <c r="G2164" s="4" t="s">
        <v>8835</v>
      </c>
      <c r="H2164" s="4" t="s">
        <v>8836</v>
      </c>
      <c r="I2164" s="5">
        <v>43661</v>
      </c>
      <c r="J2164" s="4" t="s">
        <v>4842</v>
      </c>
      <c r="K2164" s="4" t="s">
        <v>57</v>
      </c>
      <c r="L2164" s="4"/>
      <c r="M2164" s="4"/>
    </row>
    <row r="2165" ht="16" customHeight="1" s="4" customFormat="1">
      <c r="A2165" s="4">
        <v>689</v>
      </c>
      <c r="B2165" s="4" t="s">
        <v>5528</v>
      </c>
      <c r="C2165" s="4" t="s">
        <v>8837</v>
      </c>
      <c r="D2165" s="4" t="s">
        <v>5501</v>
      </c>
      <c r="E2165" s="4" t="s">
        <v>5502</v>
      </c>
      <c r="F2165" s="4" t="s">
        <v>8838</v>
      </c>
      <c r="G2165" s="4" t="s">
        <v>8839</v>
      </c>
      <c r="H2165" s="4" t="s">
        <v>8840</v>
      </c>
      <c r="I2165" s="5">
        <v>43655</v>
      </c>
      <c r="J2165" s="4" t="s">
        <v>4798</v>
      </c>
      <c r="K2165" s="4" t="s">
        <v>57</v>
      </c>
      <c r="L2165" s="4"/>
      <c r="M2165" s="4"/>
    </row>
    <row r="2166" ht="16" customHeight="1" s="4" customFormat="1">
      <c r="A2166" s="4">
        <v>2830</v>
      </c>
      <c r="B2166" s="4" t="s">
        <v>5499</v>
      </c>
      <c r="C2166" s="4" t="s">
        <v>7045</v>
      </c>
      <c r="D2166" s="4" t="s">
        <v>5574</v>
      </c>
      <c r="E2166" s="4" t="s">
        <v>5575</v>
      </c>
      <c r="F2166" s="4" t="s">
        <v>8841</v>
      </c>
      <c r="G2166" s="4" t="s">
        <v>8842</v>
      </c>
      <c r="H2166" s="4" t="s">
        <v>7072</v>
      </c>
      <c r="I2166" s="4"/>
      <c r="J2166" s="4" t="s">
        <v>4798</v>
      </c>
      <c r="K2166" s="4" t="s">
        <v>57</v>
      </c>
      <c r="L2166" s="4"/>
      <c r="M2166" s="4"/>
    </row>
    <row r="2167" ht="16" customHeight="1" s="4" customFormat="1">
      <c r="A2167" s="4">
        <v>2831</v>
      </c>
      <c r="B2167" s="4" t="s">
        <v>5499</v>
      </c>
      <c r="C2167" s="4" t="s">
        <v>5500</v>
      </c>
      <c r="D2167" s="4" t="s">
        <v>5574</v>
      </c>
      <c r="E2167" s="4" t="s">
        <v>5706</v>
      </c>
      <c r="F2167" s="4" t="s">
        <v>8843</v>
      </c>
      <c r="G2167" s="4" t="s">
        <v>8844</v>
      </c>
      <c r="H2167" s="4" t="s">
        <v>7566</v>
      </c>
      <c r="I2167" s="4"/>
      <c r="J2167" s="4" t="s">
        <v>5506</v>
      </c>
      <c r="K2167" s="4" t="s">
        <v>57</v>
      </c>
      <c r="L2167" s="4"/>
      <c r="M2167" s="4"/>
    </row>
    <row r="2168" ht="16" customHeight="1" s="4" customFormat="1">
      <c r="A2168" s="4">
        <v>2832</v>
      </c>
      <c r="B2168" s="4" t="s">
        <v>5499</v>
      </c>
      <c r="C2168" s="4" t="s">
        <v>5509</v>
      </c>
      <c r="D2168" s="4"/>
      <c r="E2168" s="4"/>
      <c r="F2168" s="4" t="s">
        <v>8845</v>
      </c>
      <c r="G2168" s="4" t="s">
        <v>8846</v>
      </c>
      <c r="H2168" s="4" t="s">
        <v>5768</v>
      </c>
      <c r="I2168" s="4"/>
      <c r="J2168" s="4" t="s">
        <v>4798</v>
      </c>
      <c r="K2168" s="4" t="s">
        <v>57</v>
      </c>
      <c r="L2168" s="4"/>
      <c r="M2168" s="4"/>
    </row>
    <row r="2169" ht="16" customHeight="1" s="4" customFormat="1">
      <c r="A2169" s="4">
        <v>2833</v>
      </c>
      <c r="B2169" s="4" t="s">
        <v>5499</v>
      </c>
      <c r="C2169" s="4" t="s">
        <v>5573</v>
      </c>
      <c r="D2169" s="4" t="s">
        <v>6450</v>
      </c>
      <c r="E2169" s="4" t="s">
        <v>6451</v>
      </c>
      <c r="F2169" s="4" t="s">
        <v>8847</v>
      </c>
      <c r="G2169" s="4" t="s">
        <v>4850</v>
      </c>
      <c r="H2169" s="4" t="s">
        <v>5588</v>
      </c>
      <c r="I2169" s="4"/>
      <c r="J2169" s="4" t="s">
        <v>5506</v>
      </c>
      <c r="K2169" s="4" t="s">
        <v>57</v>
      </c>
      <c r="L2169" s="4"/>
      <c r="M2169" s="4"/>
    </row>
    <row r="2170" ht="16" customHeight="1" s="4" customFormat="1">
      <c r="A2170" s="4">
        <v>2834</v>
      </c>
      <c r="B2170" s="4" t="s">
        <v>5528</v>
      </c>
      <c r="C2170" s="4" t="s">
        <v>8794</v>
      </c>
      <c r="D2170" s="4"/>
      <c r="E2170" s="4" t="s">
        <v>8848</v>
      </c>
      <c r="F2170" s="4" t="s">
        <v>8849</v>
      </c>
      <c r="G2170" s="4" t="s">
        <v>8850</v>
      </c>
      <c r="H2170" s="4" t="s">
        <v>4850</v>
      </c>
      <c r="I2170" s="4"/>
      <c r="J2170" s="4" t="s">
        <v>4798</v>
      </c>
      <c r="K2170" s="4" t="s">
        <v>57</v>
      </c>
      <c r="L2170" s="4"/>
      <c r="M2170" s="4"/>
    </row>
    <row r="2171" ht="16" customHeight="1" s="4" customFormat="1">
      <c r="A2171" s="4">
        <v>2835</v>
      </c>
      <c r="B2171" s="4" t="s">
        <v>5499</v>
      </c>
      <c r="C2171" s="4" t="s">
        <v>5590</v>
      </c>
      <c r="D2171" s="4" t="s">
        <v>5574</v>
      </c>
      <c r="E2171" s="4" t="s">
        <v>5575</v>
      </c>
      <c r="F2171" s="4" t="s">
        <v>8851</v>
      </c>
      <c r="G2171" s="4" t="s">
        <v>8852</v>
      </c>
      <c r="H2171" s="4" t="s">
        <v>8853</v>
      </c>
      <c r="I2171" s="4"/>
      <c r="J2171" s="4" t="s">
        <v>4842</v>
      </c>
      <c r="K2171" s="4" t="s">
        <v>57</v>
      </c>
      <c r="L2171" s="4"/>
      <c r="M2171" s="4"/>
    </row>
    <row r="2172" ht="16" customHeight="1" s="4" customFormat="1">
      <c r="A2172" s="4">
        <v>2836</v>
      </c>
      <c r="B2172" s="4" t="s">
        <v>5528</v>
      </c>
      <c r="C2172" s="4" t="s">
        <v>5529</v>
      </c>
      <c r="D2172" s="4"/>
      <c r="E2172" s="4" t="s">
        <v>6309</v>
      </c>
      <c r="F2172" s="4" t="s">
        <v>8854</v>
      </c>
      <c r="G2172" s="4" t="s">
        <v>5532</v>
      </c>
      <c r="H2172" s="4" t="s">
        <v>8855</v>
      </c>
      <c r="I2172" s="4"/>
      <c r="J2172" s="4" t="s">
        <v>4798</v>
      </c>
      <c r="K2172" s="4" t="s">
        <v>57</v>
      </c>
      <c r="L2172" s="4"/>
      <c r="M2172" s="4"/>
    </row>
    <row r="2173" ht="16" customHeight="1" s="4" customFormat="1">
      <c r="A2173" s="4">
        <v>2837</v>
      </c>
      <c r="B2173" s="4" t="s">
        <v>5499</v>
      </c>
      <c r="C2173" s="4" t="s">
        <v>5590</v>
      </c>
      <c r="D2173" s="4" t="s">
        <v>5574</v>
      </c>
      <c r="E2173" s="4" t="s">
        <v>5575</v>
      </c>
      <c r="F2173" s="4" t="s">
        <v>8856</v>
      </c>
      <c r="G2173" s="4" t="s">
        <v>4850</v>
      </c>
      <c r="H2173" s="4" t="s">
        <v>7038</v>
      </c>
      <c r="I2173" s="4"/>
      <c r="J2173" s="4" t="s">
        <v>5506</v>
      </c>
      <c r="K2173" s="4" t="s">
        <v>57</v>
      </c>
      <c r="L2173" s="4"/>
      <c r="M2173" s="4"/>
    </row>
    <row r="2174" ht="16" customHeight="1" s="4" customFormat="1">
      <c r="A2174" s="4">
        <v>2838</v>
      </c>
      <c r="B2174" s="4" t="s">
        <v>5499</v>
      </c>
      <c r="C2174" s="4" t="s">
        <v>5590</v>
      </c>
      <c r="D2174" s="4" t="s">
        <v>5574</v>
      </c>
      <c r="E2174" s="4" t="s">
        <v>5575</v>
      </c>
      <c r="F2174" s="4" t="s">
        <v>8857</v>
      </c>
      <c r="G2174" s="4" t="s">
        <v>4850</v>
      </c>
      <c r="H2174" s="4" t="s">
        <v>7038</v>
      </c>
      <c r="I2174" s="4"/>
      <c r="J2174" s="4" t="s">
        <v>4798</v>
      </c>
      <c r="K2174" s="4" t="s">
        <v>57</v>
      </c>
      <c r="L2174" s="4"/>
      <c r="M2174" s="4"/>
    </row>
    <row r="2175" ht="16" customHeight="1" s="4" customFormat="1">
      <c r="A2175" s="4">
        <v>2839</v>
      </c>
      <c r="B2175" s="4" t="s">
        <v>5499</v>
      </c>
      <c r="C2175" s="4" t="s">
        <v>5590</v>
      </c>
      <c r="D2175" s="4" t="s">
        <v>5574</v>
      </c>
      <c r="E2175" s="4" t="s">
        <v>5575</v>
      </c>
      <c r="F2175" s="4" t="s">
        <v>8858</v>
      </c>
      <c r="G2175" s="4" t="s">
        <v>8859</v>
      </c>
      <c r="H2175" s="4" t="s">
        <v>8113</v>
      </c>
      <c r="I2175" s="4"/>
      <c r="J2175" s="4" t="s">
        <v>5506</v>
      </c>
      <c r="K2175" s="4" t="s">
        <v>57</v>
      </c>
      <c r="L2175" s="4"/>
      <c r="M2175" s="4"/>
    </row>
    <row r="2176" ht="16" customHeight="1" s="4" customFormat="1">
      <c r="A2176" s="4">
        <v>2840</v>
      </c>
      <c r="B2176" s="4" t="s">
        <v>5528</v>
      </c>
      <c r="C2176" s="4" t="s">
        <v>5529</v>
      </c>
      <c r="D2176" s="4"/>
      <c r="E2176" s="4" t="s">
        <v>6309</v>
      </c>
      <c r="F2176" s="4" t="s">
        <v>8860</v>
      </c>
      <c r="G2176" s="4" t="s">
        <v>5680</v>
      </c>
      <c r="H2176" s="4" t="s">
        <v>8861</v>
      </c>
      <c r="I2176" s="4"/>
      <c r="J2176" s="4" t="s">
        <v>4798</v>
      </c>
      <c r="K2176" s="4" t="s">
        <v>57</v>
      </c>
      <c r="L2176" s="4"/>
      <c r="M2176" s="4"/>
    </row>
    <row r="2177" ht="16" customHeight="1" s="4" customFormat="1">
      <c r="A2177" s="4">
        <v>2841</v>
      </c>
      <c r="B2177" s="4" t="s">
        <v>5499</v>
      </c>
      <c r="C2177" s="4" t="s">
        <v>5500</v>
      </c>
      <c r="D2177" s="4" t="s">
        <v>5574</v>
      </c>
      <c r="E2177" s="4" t="s">
        <v>5575</v>
      </c>
      <c r="F2177" s="4" t="s">
        <v>8862</v>
      </c>
      <c r="G2177" s="4" t="s">
        <v>8863</v>
      </c>
      <c r="H2177" s="4" t="s">
        <v>8864</v>
      </c>
      <c r="I2177" s="4"/>
      <c r="J2177" s="4" t="s">
        <v>5506</v>
      </c>
      <c r="K2177" s="4" t="s">
        <v>57</v>
      </c>
      <c r="L2177" s="4"/>
      <c r="M2177" s="4"/>
    </row>
    <row r="2178" ht="16" customHeight="1" s="4" customFormat="1">
      <c r="A2178" s="4">
        <v>2842</v>
      </c>
      <c r="B2178" s="4" t="s">
        <v>5499</v>
      </c>
      <c r="C2178" s="4" t="s">
        <v>5509</v>
      </c>
      <c r="D2178" s="4"/>
      <c r="E2178" s="4"/>
      <c r="F2178" s="4" t="s">
        <v>8865</v>
      </c>
      <c r="G2178" s="4" t="s">
        <v>7744</v>
      </c>
      <c r="H2178" s="4" t="s">
        <v>5837</v>
      </c>
      <c r="I2178" s="4"/>
      <c r="J2178" s="4" t="s">
        <v>4798</v>
      </c>
      <c r="K2178" s="4" t="s">
        <v>57</v>
      </c>
      <c r="L2178" s="4"/>
      <c r="M2178" s="4"/>
    </row>
    <row r="2179" ht="16" customHeight="1" s="4" customFormat="1">
      <c r="A2179" s="4">
        <v>2843</v>
      </c>
      <c r="B2179" s="4" t="s">
        <v>5499</v>
      </c>
      <c r="C2179" s="4" t="s">
        <v>5500</v>
      </c>
      <c r="D2179" s="4" t="s">
        <v>5574</v>
      </c>
      <c r="E2179" s="4" t="s">
        <v>5706</v>
      </c>
      <c r="F2179" s="4" t="s">
        <v>8866</v>
      </c>
      <c r="G2179" s="4" t="s">
        <v>8867</v>
      </c>
      <c r="H2179" s="4" t="s">
        <v>8868</v>
      </c>
      <c r="I2179" s="4"/>
      <c r="J2179" s="4" t="s">
        <v>5506</v>
      </c>
      <c r="K2179" s="4" t="s">
        <v>57</v>
      </c>
      <c r="L2179" s="4"/>
      <c r="M2179" s="4"/>
    </row>
    <row r="2180" ht="16" customHeight="1" s="4" customFormat="1">
      <c r="A2180" s="4">
        <v>2844</v>
      </c>
      <c r="B2180" s="4" t="s">
        <v>5499</v>
      </c>
      <c r="C2180" s="4" t="s">
        <v>5500</v>
      </c>
      <c r="D2180" s="4" t="s">
        <v>5574</v>
      </c>
      <c r="E2180" s="4" t="s">
        <v>5575</v>
      </c>
      <c r="F2180" s="4" t="s">
        <v>8869</v>
      </c>
      <c r="G2180" s="4" t="s">
        <v>8870</v>
      </c>
      <c r="H2180" s="4" t="s">
        <v>7257</v>
      </c>
      <c r="I2180" s="4"/>
      <c r="J2180" s="4" t="s">
        <v>5506</v>
      </c>
      <c r="K2180" s="4" t="s">
        <v>57</v>
      </c>
      <c r="L2180" s="4"/>
      <c r="M2180" s="4"/>
    </row>
    <row r="2181" ht="16" customHeight="1" s="4" customFormat="1">
      <c r="A2181" s="4">
        <v>2845</v>
      </c>
      <c r="B2181" s="4" t="s">
        <v>5499</v>
      </c>
      <c r="C2181" s="4" t="s">
        <v>5500</v>
      </c>
      <c r="D2181" s="4" t="s">
        <v>5574</v>
      </c>
      <c r="E2181" s="4" t="s">
        <v>5575</v>
      </c>
      <c r="F2181" s="4" t="s">
        <v>8871</v>
      </c>
      <c r="G2181" s="4" t="s">
        <v>8867</v>
      </c>
      <c r="H2181" s="4" t="s">
        <v>6995</v>
      </c>
      <c r="I2181" s="4"/>
      <c r="J2181" s="4" t="s">
        <v>5506</v>
      </c>
      <c r="K2181" s="4" t="s">
        <v>57</v>
      </c>
      <c r="L2181" s="4"/>
      <c r="M2181" s="4"/>
    </row>
    <row r="2182" ht="16" customHeight="1" s="4" customFormat="1">
      <c r="A2182" s="4">
        <v>2846</v>
      </c>
      <c r="B2182" s="4" t="s">
        <v>5499</v>
      </c>
      <c r="C2182" s="4" t="s">
        <v>5500</v>
      </c>
      <c r="D2182" s="4" t="s">
        <v>5514</v>
      </c>
      <c r="E2182" s="4" t="s">
        <v>6417</v>
      </c>
      <c r="F2182" s="4" t="s">
        <v>8872</v>
      </c>
      <c r="G2182" s="4" t="s">
        <v>8873</v>
      </c>
      <c r="H2182" s="4" t="s">
        <v>8874</v>
      </c>
      <c r="I2182" s="4"/>
      <c r="J2182" s="4" t="s">
        <v>5506</v>
      </c>
      <c r="K2182" s="4" t="s">
        <v>57</v>
      </c>
      <c r="L2182" s="4"/>
      <c r="M2182" s="4"/>
    </row>
    <row r="2183" ht="16" customHeight="1" s="4" customFormat="1">
      <c r="A2183" s="4">
        <v>2847</v>
      </c>
      <c r="B2183" s="4" t="s">
        <v>5499</v>
      </c>
      <c r="C2183" s="4" t="s">
        <v>5573</v>
      </c>
      <c r="D2183" s="4" t="s">
        <v>5574</v>
      </c>
      <c r="E2183" s="4" t="s">
        <v>7696</v>
      </c>
      <c r="F2183" s="4" t="s">
        <v>8875</v>
      </c>
      <c r="G2183" s="4" t="s">
        <v>8876</v>
      </c>
      <c r="H2183" s="4" t="s">
        <v>4850</v>
      </c>
      <c r="I2183" s="4"/>
      <c r="J2183" s="4" t="s">
        <v>5506</v>
      </c>
      <c r="K2183" s="4" t="s">
        <v>57</v>
      </c>
      <c r="L2183" s="4"/>
      <c r="M2183" s="4"/>
    </row>
    <row r="2184" ht="16" customHeight="1" s="4" customFormat="1">
      <c r="A2184" s="4">
        <v>2848</v>
      </c>
      <c r="B2184" s="4" t="s">
        <v>5499</v>
      </c>
      <c r="C2184" s="4" t="s">
        <v>5573</v>
      </c>
      <c r="D2184" s="4" t="s">
        <v>5574</v>
      </c>
      <c r="E2184" s="4" t="s">
        <v>7696</v>
      </c>
      <c r="F2184" s="4" t="s">
        <v>8877</v>
      </c>
      <c r="G2184" s="4" t="s">
        <v>4850</v>
      </c>
      <c r="H2184" s="4" t="s">
        <v>8878</v>
      </c>
      <c r="I2184" s="4"/>
      <c r="J2184" s="4" t="s">
        <v>5506</v>
      </c>
      <c r="K2184" s="4" t="s">
        <v>57</v>
      </c>
      <c r="L2184" s="4"/>
      <c r="M2184" s="4"/>
    </row>
    <row r="2185" ht="16" customHeight="1" s="4" customFormat="1">
      <c r="A2185" s="4">
        <v>2849</v>
      </c>
      <c r="B2185" s="4" t="s">
        <v>5499</v>
      </c>
      <c r="C2185" s="4" t="s">
        <v>5573</v>
      </c>
      <c r="D2185" s="4" t="s">
        <v>5574</v>
      </c>
      <c r="E2185" s="4" t="s">
        <v>5575</v>
      </c>
      <c r="F2185" s="4" t="s">
        <v>8879</v>
      </c>
      <c r="G2185" s="4" t="s">
        <v>4850</v>
      </c>
      <c r="H2185" s="4" t="s">
        <v>7009</v>
      </c>
      <c r="I2185" s="4"/>
      <c r="J2185" s="4" t="s">
        <v>5506</v>
      </c>
      <c r="K2185" s="4" t="s">
        <v>57</v>
      </c>
      <c r="L2185" s="4"/>
      <c r="M2185" s="4"/>
    </row>
    <row r="2186" ht="16" customHeight="1" s="4" customFormat="1">
      <c r="A2186" s="4">
        <v>2850</v>
      </c>
      <c r="B2186" s="4" t="s">
        <v>5499</v>
      </c>
      <c r="C2186" s="4" t="s">
        <v>5573</v>
      </c>
      <c r="D2186" s="4" t="s">
        <v>6450</v>
      </c>
      <c r="E2186" s="4" t="s">
        <v>6451</v>
      </c>
      <c r="F2186" s="4" t="s">
        <v>8880</v>
      </c>
      <c r="G2186" s="4" t="s">
        <v>4850</v>
      </c>
      <c r="H2186" s="4" t="s">
        <v>8881</v>
      </c>
      <c r="I2186" s="4"/>
      <c r="J2186" s="4" t="s">
        <v>4798</v>
      </c>
      <c r="K2186" s="4" t="s">
        <v>57</v>
      </c>
      <c r="L2186" s="4"/>
      <c r="M2186" s="4"/>
    </row>
    <row r="2187" ht="16" customHeight="1" s="4" customFormat="1">
      <c r="A2187" s="4">
        <v>2851</v>
      </c>
      <c r="B2187" s="4" t="s">
        <v>5499</v>
      </c>
      <c r="C2187" s="4" t="s">
        <v>5573</v>
      </c>
      <c r="D2187" s="4" t="s">
        <v>5574</v>
      </c>
      <c r="E2187" s="4" t="s">
        <v>7696</v>
      </c>
      <c r="F2187" s="4" t="s">
        <v>8882</v>
      </c>
      <c r="G2187" s="4" t="s">
        <v>8883</v>
      </c>
      <c r="H2187" s="4" t="s">
        <v>4850</v>
      </c>
      <c r="I2187" s="4"/>
      <c r="J2187" s="4" t="s">
        <v>4798</v>
      </c>
      <c r="K2187" s="4" t="s">
        <v>57</v>
      </c>
      <c r="L2187" s="4"/>
      <c r="M2187" s="4"/>
    </row>
    <row r="2188" ht="16" customHeight="1" s="4" customFormat="1">
      <c r="A2188" s="4">
        <v>2852</v>
      </c>
      <c r="B2188" s="4" t="s">
        <v>5499</v>
      </c>
      <c r="C2188" s="4" t="s">
        <v>5573</v>
      </c>
      <c r="D2188" s="4" t="s">
        <v>5574</v>
      </c>
      <c r="E2188" s="4" t="s">
        <v>5575</v>
      </c>
      <c r="F2188" s="4" t="s">
        <v>8884</v>
      </c>
      <c r="G2188" s="4" t="s">
        <v>4850</v>
      </c>
      <c r="H2188" s="4" t="s">
        <v>5588</v>
      </c>
      <c r="I2188" s="4"/>
      <c r="J2188" s="4" t="s">
        <v>4798</v>
      </c>
      <c r="K2188" s="4" t="s">
        <v>57</v>
      </c>
      <c r="L2188" s="4"/>
      <c r="M2188" s="4"/>
    </row>
    <row r="2189" ht="16" customHeight="1" s="4" customFormat="1">
      <c r="A2189" s="4">
        <v>2853</v>
      </c>
      <c r="B2189" s="4" t="s">
        <v>5499</v>
      </c>
      <c r="C2189" s="4" t="s">
        <v>5573</v>
      </c>
      <c r="D2189" s="4" t="s">
        <v>6450</v>
      </c>
      <c r="E2189" s="4" t="s">
        <v>6451</v>
      </c>
      <c r="F2189" s="4" t="s">
        <v>8885</v>
      </c>
      <c r="G2189" s="4" t="s">
        <v>5587</v>
      </c>
      <c r="H2189" s="4" t="s">
        <v>5588</v>
      </c>
      <c r="I2189" s="4"/>
      <c r="J2189" s="4" t="s">
        <v>4798</v>
      </c>
      <c r="K2189" s="4" t="s">
        <v>57</v>
      </c>
      <c r="L2189" s="4"/>
      <c r="M2189" s="4"/>
    </row>
    <row r="2190" ht="16" customHeight="1" s="4" customFormat="1">
      <c r="A2190" s="4">
        <v>2854</v>
      </c>
      <c r="B2190" s="4" t="s">
        <v>5499</v>
      </c>
      <c r="C2190" s="4" t="s">
        <v>5500</v>
      </c>
      <c r="D2190" s="4"/>
      <c r="E2190" s="4" t="s">
        <v>5676</v>
      </c>
      <c r="F2190" s="4" t="s">
        <v>5943</v>
      </c>
      <c r="G2190" s="4" t="s">
        <v>8886</v>
      </c>
      <c r="H2190" s="4" t="s">
        <v>8822</v>
      </c>
      <c r="I2190" s="4"/>
      <c r="J2190" s="4" t="s">
        <v>5506</v>
      </c>
      <c r="K2190" s="4" t="s">
        <v>57</v>
      </c>
      <c r="L2190" s="4"/>
      <c r="M2190" s="4"/>
    </row>
    <row r="2191" ht="16" customHeight="1" s="4" customFormat="1">
      <c r="A2191" s="4">
        <v>2855</v>
      </c>
      <c r="B2191" s="4" t="s">
        <v>5499</v>
      </c>
      <c r="C2191" s="4" t="s">
        <v>5500</v>
      </c>
      <c r="D2191" s="4" t="s">
        <v>5845</v>
      </c>
      <c r="E2191" s="4" t="s">
        <v>6984</v>
      </c>
      <c r="F2191" s="4" t="s">
        <v>6729</v>
      </c>
      <c r="G2191" s="4" t="s">
        <v>8887</v>
      </c>
      <c r="H2191" s="4" t="s">
        <v>8888</v>
      </c>
      <c r="I2191" s="4"/>
      <c r="J2191" s="4" t="s">
        <v>5506</v>
      </c>
      <c r="K2191" s="4" t="s">
        <v>57</v>
      </c>
      <c r="L2191" s="4"/>
      <c r="M2191" s="4"/>
    </row>
    <row r="2192" ht="16" customHeight="1" s="4" customFormat="1">
      <c r="A2192" s="4">
        <v>2856</v>
      </c>
      <c r="B2192" s="4" t="s">
        <v>5499</v>
      </c>
      <c r="C2192" s="4" t="s">
        <v>5500</v>
      </c>
      <c r="D2192" s="4" t="s">
        <v>5845</v>
      </c>
      <c r="E2192" s="4" t="s">
        <v>6984</v>
      </c>
      <c r="F2192" s="4" t="s">
        <v>6727</v>
      </c>
      <c r="G2192" s="4" t="s">
        <v>8887</v>
      </c>
      <c r="H2192" s="4" t="s">
        <v>8888</v>
      </c>
      <c r="I2192" s="4"/>
      <c r="J2192" s="4" t="s">
        <v>5506</v>
      </c>
      <c r="K2192" s="4" t="s">
        <v>57</v>
      </c>
      <c r="L2192" s="4"/>
      <c r="M2192" s="4"/>
    </row>
    <row r="2193" ht="16" customHeight="1" s="4" customFormat="1">
      <c r="A2193" s="4">
        <v>2857</v>
      </c>
      <c r="B2193" s="4" t="s">
        <v>5499</v>
      </c>
      <c r="C2193" s="4" t="s">
        <v>5500</v>
      </c>
      <c r="D2193" s="4" t="s">
        <v>5574</v>
      </c>
      <c r="E2193" s="4" t="s">
        <v>5575</v>
      </c>
      <c r="F2193" s="4" t="s">
        <v>6730</v>
      </c>
      <c r="G2193" s="4" t="s">
        <v>8887</v>
      </c>
      <c r="H2193" s="4" t="s">
        <v>8888</v>
      </c>
      <c r="I2193" s="4"/>
      <c r="J2193" s="4" t="s">
        <v>5506</v>
      </c>
      <c r="K2193" s="4" t="s">
        <v>57</v>
      </c>
      <c r="L2193" s="4"/>
      <c r="M2193" s="4"/>
    </row>
    <row r="2194" ht="16" customHeight="1" s="4" customFormat="1">
      <c r="A2194" s="4">
        <v>2858</v>
      </c>
      <c r="B2194" s="4" t="s">
        <v>5499</v>
      </c>
      <c r="C2194" s="4" t="s">
        <v>5500</v>
      </c>
      <c r="D2194" s="4" t="s">
        <v>5574</v>
      </c>
      <c r="E2194" s="4" t="s">
        <v>5706</v>
      </c>
      <c r="F2194" s="4" t="s">
        <v>6291</v>
      </c>
      <c r="G2194" s="4" t="s">
        <v>8889</v>
      </c>
      <c r="H2194" s="4" t="s">
        <v>8890</v>
      </c>
      <c r="I2194" s="4"/>
      <c r="J2194" s="4" t="s">
        <v>4798</v>
      </c>
      <c r="K2194" s="4" t="s">
        <v>57</v>
      </c>
      <c r="L2194" s="4"/>
      <c r="M2194" s="4"/>
    </row>
    <row r="2195" ht="16" customHeight="1" s="4" customFormat="1">
      <c r="A2195" s="4">
        <v>2859</v>
      </c>
      <c r="B2195" s="4" t="s">
        <v>5499</v>
      </c>
      <c r="C2195" s="4" t="s">
        <v>5500</v>
      </c>
      <c r="D2195" s="4"/>
      <c r="E2195" s="4" t="s">
        <v>5676</v>
      </c>
      <c r="F2195" s="4" t="s">
        <v>6596</v>
      </c>
      <c r="G2195" s="4" t="s">
        <v>8891</v>
      </c>
      <c r="H2195" s="4" t="s">
        <v>8892</v>
      </c>
      <c r="I2195" s="4"/>
      <c r="J2195" s="4" t="s">
        <v>5506</v>
      </c>
      <c r="K2195" s="4" t="s">
        <v>57</v>
      </c>
      <c r="L2195" s="4"/>
      <c r="M2195" s="4"/>
    </row>
    <row r="2196" ht="16" customHeight="1" s="4" customFormat="1">
      <c r="A2196" s="4">
        <v>2860</v>
      </c>
      <c r="B2196" s="4" t="s">
        <v>5499</v>
      </c>
      <c r="C2196" s="4" t="s">
        <v>5500</v>
      </c>
      <c r="D2196" s="4"/>
      <c r="E2196" s="4" t="s">
        <v>5676</v>
      </c>
      <c r="F2196" s="4" t="s">
        <v>6597</v>
      </c>
      <c r="G2196" s="4" t="s">
        <v>8891</v>
      </c>
      <c r="H2196" s="4" t="s">
        <v>8892</v>
      </c>
      <c r="I2196" s="4"/>
      <c r="J2196" s="4" t="s">
        <v>5506</v>
      </c>
      <c r="K2196" s="4" t="s">
        <v>57</v>
      </c>
      <c r="L2196" s="4"/>
      <c r="M2196" s="4"/>
    </row>
    <row r="2197" ht="16" customHeight="1" s="4" customFormat="1">
      <c r="A2197" s="4">
        <v>2861</v>
      </c>
      <c r="B2197" s="4" t="s">
        <v>5499</v>
      </c>
      <c r="C2197" s="4" t="s">
        <v>5500</v>
      </c>
      <c r="D2197" s="4"/>
      <c r="E2197" s="4" t="s">
        <v>5676</v>
      </c>
      <c r="F2197" s="4" t="s">
        <v>6740</v>
      </c>
      <c r="G2197" s="4" t="s">
        <v>5657</v>
      </c>
      <c r="H2197" s="4" t="s">
        <v>8893</v>
      </c>
      <c r="I2197" s="4"/>
      <c r="J2197" s="4" t="s">
        <v>5506</v>
      </c>
      <c r="K2197" s="4" t="s">
        <v>57</v>
      </c>
      <c r="L2197" s="4"/>
      <c r="M2197" s="4"/>
    </row>
    <row r="2198" ht="16" customHeight="1" s="4" customFormat="1">
      <c r="A2198" s="4">
        <v>2862</v>
      </c>
      <c r="B2198" s="4" t="s">
        <v>5499</v>
      </c>
      <c r="C2198" s="4" t="s">
        <v>5500</v>
      </c>
      <c r="D2198" s="4" t="s">
        <v>5845</v>
      </c>
      <c r="E2198" s="4" t="s">
        <v>6984</v>
      </c>
      <c r="F2198" s="4" t="s">
        <v>8531</v>
      </c>
      <c r="G2198" s="4" t="s">
        <v>8894</v>
      </c>
      <c r="H2198" s="4" t="s">
        <v>8892</v>
      </c>
      <c r="I2198" s="4"/>
      <c r="J2198" s="4" t="s">
        <v>5506</v>
      </c>
      <c r="K2198" s="4" t="s">
        <v>57</v>
      </c>
      <c r="L2198" s="4"/>
      <c r="M2198" s="4"/>
    </row>
    <row r="2199" ht="16" customHeight="1" s="4" customFormat="1">
      <c r="A2199" s="4">
        <v>2863</v>
      </c>
      <c r="B2199" s="4" t="s">
        <v>5499</v>
      </c>
      <c r="C2199" s="4" t="s">
        <v>5500</v>
      </c>
      <c r="D2199" s="4" t="s">
        <v>5845</v>
      </c>
      <c r="E2199" s="4" t="s">
        <v>6984</v>
      </c>
      <c r="F2199" s="4" t="s">
        <v>8528</v>
      </c>
      <c r="G2199" s="4" t="s">
        <v>8894</v>
      </c>
      <c r="H2199" s="4" t="s">
        <v>8892</v>
      </c>
      <c r="I2199" s="4"/>
      <c r="J2199" s="4" t="s">
        <v>5506</v>
      </c>
      <c r="K2199" s="4" t="s">
        <v>57</v>
      </c>
      <c r="L2199" s="4"/>
      <c r="M2199" s="4"/>
    </row>
    <row r="2200" ht="16" customHeight="1" s="4" customFormat="1">
      <c r="A2200" s="4">
        <v>2864</v>
      </c>
      <c r="B2200" s="4" t="s">
        <v>5499</v>
      </c>
      <c r="C2200" s="4" t="s">
        <v>5500</v>
      </c>
      <c r="D2200" s="4" t="s">
        <v>5845</v>
      </c>
      <c r="E2200" s="4" t="s">
        <v>6984</v>
      </c>
      <c r="F2200" s="4" t="s">
        <v>8529</v>
      </c>
      <c r="G2200" s="4" t="s">
        <v>8894</v>
      </c>
      <c r="H2200" s="4" t="s">
        <v>8892</v>
      </c>
      <c r="I2200" s="4"/>
      <c r="J2200" s="4" t="s">
        <v>5506</v>
      </c>
      <c r="K2200" s="4" t="s">
        <v>57</v>
      </c>
      <c r="L2200" s="4"/>
      <c r="M2200" s="4"/>
    </row>
    <row r="2201" ht="16" customHeight="1" s="4" customFormat="1">
      <c r="A2201" s="4">
        <v>2865</v>
      </c>
      <c r="B2201" s="4" t="s">
        <v>5499</v>
      </c>
      <c r="C2201" s="4" t="s">
        <v>5500</v>
      </c>
      <c r="D2201" s="4" t="s">
        <v>5845</v>
      </c>
      <c r="E2201" s="4" t="s">
        <v>6984</v>
      </c>
      <c r="F2201" s="4" t="s">
        <v>8534</v>
      </c>
      <c r="G2201" s="4" t="s">
        <v>8894</v>
      </c>
      <c r="H2201" s="4" t="s">
        <v>8892</v>
      </c>
      <c r="I2201" s="4"/>
      <c r="J2201" s="4" t="s">
        <v>5506</v>
      </c>
      <c r="K2201" s="4" t="s">
        <v>57</v>
      </c>
      <c r="L2201" s="4"/>
      <c r="M2201" s="4"/>
    </row>
    <row r="2202" ht="16" customHeight="1" s="4" customFormat="1">
      <c r="A2202" s="4">
        <v>2866</v>
      </c>
      <c r="B2202" s="4" t="s">
        <v>5499</v>
      </c>
      <c r="C2202" s="4" t="s">
        <v>5500</v>
      </c>
      <c r="D2202" s="4" t="s">
        <v>5574</v>
      </c>
      <c r="E2202" s="4" t="s">
        <v>5575</v>
      </c>
      <c r="F2202" s="4" t="s">
        <v>8895</v>
      </c>
      <c r="G2202" s="4" t="s">
        <v>5657</v>
      </c>
      <c r="H2202" s="4" t="s">
        <v>8896</v>
      </c>
      <c r="I2202" s="4"/>
      <c r="J2202" s="4" t="s">
        <v>5506</v>
      </c>
      <c r="K2202" s="4" t="s">
        <v>57</v>
      </c>
      <c r="L2202" s="4"/>
      <c r="M2202" s="4"/>
    </row>
    <row r="2203" ht="16" customHeight="1" s="4" customFormat="1">
      <c r="A2203" s="4">
        <v>2867</v>
      </c>
      <c r="B2203" s="4" t="s">
        <v>5499</v>
      </c>
      <c r="C2203" s="4" t="s">
        <v>5500</v>
      </c>
      <c r="D2203" s="4" t="s">
        <v>5574</v>
      </c>
      <c r="E2203" s="4" t="s">
        <v>5575</v>
      </c>
      <c r="F2203" s="4" t="s">
        <v>8897</v>
      </c>
      <c r="G2203" s="4" t="s">
        <v>8898</v>
      </c>
      <c r="H2203" s="4" t="s">
        <v>8899</v>
      </c>
      <c r="I2203" s="4"/>
      <c r="J2203" s="4" t="s">
        <v>5506</v>
      </c>
      <c r="K2203" s="4" t="s">
        <v>57</v>
      </c>
      <c r="L2203" s="4"/>
      <c r="M2203" s="4"/>
    </row>
    <row r="2204" ht="16" customHeight="1" s="4" customFormat="1">
      <c r="A2204" s="4">
        <v>2868</v>
      </c>
      <c r="B2204" s="4" t="s">
        <v>5499</v>
      </c>
      <c r="C2204" s="4" t="s">
        <v>5500</v>
      </c>
      <c r="D2204" s="4"/>
      <c r="E2204" s="4" t="s">
        <v>8900</v>
      </c>
      <c r="F2204" s="4" t="s">
        <v>8901</v>
      </c>
      <c r="G2204" s="4" t="s">
        <v>8902</v>
      </c>
      <c r="H2204" s="4" t="s">
        <v>8903</v>
      </c>
      <c r="I2204" s="4"/>
      <c r="J2204" s="4" t="s">
        <v>5506</v>
      </c>
      <c r="K2204" s="4" t="s">
        <v>57</v>
      </c>
      <c r="L2204" s="4"/>
      <c r="M2204" s="4"/>
    </row>
    <row r="2205" ht="16" customHeight="1" s="4" customFormat="1">
      <c r="A2205" s="4">
        <v>2869</v>
      </c>
      <c r="B2205" s="4" t="s">
        <v>5499</v>
      </c>
      <c r="C2205" s="4" t="s">
        <v>5500</v>
      </c>
      <c r="D2205" s="4"/>
      <c r="E2205" s="4" t="s">
        <v>5676</v>
      </c>
      <c r="F2205" s="4" t="s">
        <v>7256</v>
      </c>
      <c r="G2205" s="4" t="s">
        <v>5657</v>
      </c>
      <c r="H2205" s="4" t="s">
        <v>7257</v>
      </c>
      <c r="I2205" s="4"/>
      <c r="J2205" s="4" t="s">
        <v>5506</v>
      </c>
      <c r="K2205" s="4" t="s">
        <v>57</v>
      </c>
      <c r="L2205" s="4"/>
      <c r="M2205" s="4"/>
    </row>
    <row r="2206" ht="16" customHeight="1" s="4" customFormat="1">
      <c r="A2206" s="4">
        <v>2870</v>
      </c>
      <c r="B2206" s="4" t="s">
        <v>5499</v>
      </c>
      <c r="C2206" s="4" t="s">
        <v>5500</v>
      </c>
      <c r="D2206" s="4"/>
      <c r="E2206" s="4" t="s">
        <v>5676</v>
      </c>
      <c r="F2206" s="4" t="s">
        <v>6594</v>
      </c>
      <c r="G2206" s="4" t="s">
        <v>8891</v>
      </c>
      <c r="H2206" s="4" t="s">
        <v>8892</v>
      </c>
      <c r="I2206" s="4"/>
      <c r="J2206" s="4" t="s">
        <v>5506</v>
      </c>
      <c r="K2206" s="4" t="s">
        <v>57</v>
      </c>
      <c r="L2206" s="4"/>
      <c r="M2206" s="4"/>
    </row>
    <row r="2207" ht="16" customHeight="1" s="4" customFormat="1">
      <c r="A2207" s="4">
        <v>2871</v>
      </c>
      <c r="B2207" s="4" t="s">
        <v>5499</v>
      </c>
      <c r="C2207" s="4" t="s">
        <v>5500</v>
      </c>
      <c r="D2207" s="4"/>
      <c r="E2207" s="4" t="s">
        <v>6598</v>
      </c>
      <c r="F2207" s="4" t="s">
        <v>6599</v>
      </c>
      <c r="G2207" s="4" t="s">
        <v>8891</v>
      </c>
      <c r="H2207" s="4" t="s">
        <v>8892</v>
      </c>
      <c r="I2207" s="4"/>
      <c r="J2207" s="4" t="s">
        <v>5506</v>
      </c>
      <c r="K2207" s="4" t="s">
        <v>57</v>
      </c>
      <c r="L2207" s="4"/>
      <c r="M2207" s="4"/>
    </row>
    <row r="2208" ht="16" customHeight="1" s="4" customFormat="1">
      <c r="A2208" s="4">
        <v>2872</v>
      </c>
      <c r="B2208" s="4" t="s">
        <v>5499</v>
      </c>
      <c r="C2208" s="4" t="s">
        <v>5500</v>
      </c>
      <c r="D2208" s="4"/>
      <c r="E2208" s="4" t="s">
        <v>6598</v>
      </c>
      <c r="F2208" s="4" t="s">
        <v>6752</v>
      </c>
      <c r="G2208" s="4" t="s">
        <v>5657</v>
      </c>
      <c r="H2208" s="4" t="s">
        <v>8893</v>
      </c>
      <c r="I2208" s="4"/>
      <c r="J2208" s="4" t="s">
        <v>5506</v>
      </c>
      <c r="K2208" s="4" t="s">
        <v>57</v>
      </c>
      <c r="L2208" s="4"/>
      <c r="M2208" s="4"/>
    </row>
    <row r="2209" ht="16" customHeight="1" s="4" customFormat="1">
      <c r="A2209" s="4">
        <v>2873</v>
      </c>
      <c r="B2209" s="4" t="s">
        <v>5499</v>
      </c>
      <c r="C2209" s="4" t="s">
        <v>5500</v>
      </c>
      <c r="D2209" s="4" t="s">
        <v>5845</v>
      </c>
      <c r="E2209" s="4" t="s">
        <v>6984</v>
      </c>
      <c r="F2209" s="4" t="s">
        <v>8541</v>
      </c>
      <c r="G2209" s="4" t="s">
        <v>8894</v>
      </c>
      <c r="H2209" s="4" t="s">
        <v>8892</v>
      </c>
      <c r="I2209" s="4"/>
      <c r="J2209" s="4" t="s">
        <v>5506</v>
      </c>
      <c r="K2209" s="4" t="s">
        <v>57</v>
      </c>
      <c r="L2209" s="4"/>
      <c r="M2209" s="4"/>
    </row>
    <row r="2210" ht="16" customHeight="1" s="4" customFormat="1">
      <c r="A2210" s="4">
        <v>2874</v>
      </c>
      <c r="B2210" s="4" t="s">
        <v>5499</v>
      </c>
      <c r="C2210" s="4" t="s">
        <v>5500</v>
      </c>
      <c r="D2210" s="4" t="s">
        <v>5845</v>
      </c>
      <c r="E2210" s="4" t="s">
        <v>6984</v>
      </c>
      <c r="F2210" s="4" t="s">
        <v>8530</v>
      </c>
      <c r="G2210" s="4" t="s">
        <v>8894</v>
      </c>
      <c r="H2210" s="4" t="s">
        <v>8892</v>
      </c>
      <c r="I2210" s="4"/>
      <c r="J2210" s="4" t="s">
        <v>5506</v>
      </c>
      <c r="K2210" s="4" t="s">
        <v>57</v>
      </c>
      <c r="L2210" s="4"/>
      <c r="M2210" s="4"/>
    </row>
    <row r="2211" ht="16" customHeight="1" s="4" customFormat="1">
      <c r="A2211" s="4">
        <v>2875</v>
      </c>
      <c r="B2211" s="4" t="s">
        <v>5499</v>
      </c>
      <c r="C2211" s="4" t="s">
        <v>5500</v>
      </c>
      <c r="D2211" s="4" t="s">
        <v>5845</v>
      </c>
      <c r="E2211" s="4" t="s">
        <v>6984</v>
      </c>
      <c r="F2211" s="4" t="s">
        <v>8540</v>
      </c>
      <c r="G2211" s="4" t="s">
        <v>8894</v>
      </c>
      <c r="H2211" s="4" t="s">
        <v>8892</v>
      </c>
      <c r="I2211" s="4"/>
      <c r="J2211" s="4" t="s">
        <v>5506</v>
      </c>
      <c r="K2211" s="4" t="s">
        <v>57</v>
      </c>
      <c r="L2211" s="4"/>
      <c r="M2211" s="4"/>
    </row>
    <row r="2212" ht="16" customHeight="1" s="4" customFormat="1">
      <c r="A2212" s="4">
        <v>2876</v>
      </c>
      <c r="B2212" s="4" t="s">
        <v>5499</v>
      </c>
      <c r="C2212" s="4" t="s">
        <v>5500</v>
      </c>
      <c r="D2212" s="4" t="s">
        <v>5845</v>
      </c>
      <c r="E2212" s="4" t="s">
        <v>6984</v>
      </c>
      <c r="F2212" s="4" t="s">
        <v>8532</v>
      </c>
      <c r="G2212" s="4" t="s">
        <v>8894</v>
      </c>
      <c r="H2212" s="4" t="s">
        <v>8892</v>
      </c>
      <c r="I2212" s="4"/>
      <c r="J2212" s="4" t="s">
        <v>5506</v>
      </c>
      <c r="K2212" s="4" t="s">
        <v>57</v>
      </c>
      <c r="L2212" s="4"/>
      <c r="M2212" s="4"/>
    </row>
    <row r="2213" ht="16" customHeight="1" s="4" customFormat="1">
      <c r="A2213" s="4">
        <v>2877</v>
      </c>
      <c r="B2213" s="4" t="s">
        <v>5499</v>
      </c>
      <c r="C2213" s="4" t="s">
        <v>5500</v>
      </c>
      <c r="D2213" s="4" t="s">
        <v>5845</v>
      </c>
      <c r="E2213" s="4" t="s">
        <v>6984</v>
      </c>
      <c r="F2213" s="4" t="s">
        <v>8533</v>
      </c>
      <c r="G2213" s="4" t="s">
        <v>8894</v>
      </c>
      <c r="H2213" s="4" t="s">
        <v>8892</v>
      </c>
      <c r="I2213" s="4"/>
      <c r="J2213" s="4" t="s">
        <v>5506</v>
      </c>
      <c r="K2213" s="4" t="s">
        <v>57</v>
      </c>
      <c r="L2213" s="4"/>
      <c r="M2213" s="4"/>
    </row>
    <row r="2214" ht="16" customHeight="1" s="4" customFormat="1">
      <c r="A2214" s="4">
        <v>2878</v>
      </c>
      <c r="B2214" s="4" t="s">
        <v>5499</v>
      </c>
      <c r="C2214" s="4" t="s">
        <v>5500</v>
      </c>
      <c r="D2214" s="4"/>
      <c r="E2214" s="4" t="s">
        <v>5664</v>
      </c>
      <c r="F2214" s="4" t="s">
        <v>8904</v>
      </c>
      <c r="G2214" s="4" t="s">
        <v>8889</v>
      </c>
      <c r="H2214" s="4" t="s">
        <v>8905</v>
      </c>
      <c r="I2214" s="4"/>
      <c r="J2214" s="4" t="s">
        <v>5506</v>
      </c>
      <c r="K2214" s="4" t="s">
        <v>57</v>
      </c>
      <c r="L2214" s="4"/>
      <c r="M2214" s="4"/>
    </row>
    <row r="2215" ht="16" customHeight="1" s="4" customFormat="1">
      <c r="A2215" s="4">
        <v>2879</v>
      </c>
      <c r="B2215" s="4" t="s">
        <v>5499</v>
      </c>
      <c r="C2215" s="4" t="s">
        <v>5573</v>
      </c>
      <c r="D2215" s="4" t="s">
        <v>5574</v>
      </c>
      <c r="E2215" s="4" t="s">
        <v>5575</v>
      </c>
      <c r="F2215" s="4" t="s">
        <v>8906</v>
      </c>
      <c r="G2215" s="4" t="s">
        <v>6419</v>
      </c>
      <c r="H2215" s="4" t="s">
        <v>5588</v>
      </c>
      <c r="I2215" s="4"/>
      <c r="J2215" s="4" t="s">
        <v>4798</v>
      </c>
      <c r="K2215" s="4" t="s">
        <v>57</v>
      </c>
      <c r="L2215" s="4"/>
      <c r="M2215" s="4"/>
    </row>
    <row r="2216" ht="16" customHeight="1" s="4" customFormat="1">
      <c r="A2216" s="4">
        <v>2880</v>
      </c>
      <c r="B2216" s="4" t="s">
        <v>5499</v>
      </c>
      <c r="C2216" s="4" t="s">
        <v>5573</v>
      </c>
      <c r="D2216" s="4" t="s">
        <v>6450</v>
      </c>
      <c r="E2216" s="4" t="s">
        <v>6451</v>
      </c>
      <c r="F2216" s="4" t="s">
        <v>8907</v>
      </c>
      <c r="G2216" s="4" t="s">
        <v>8908</v>
      </c>
      <c r="H2216" s="4" t="s">
        <v>8909</v>
      </c>
      <c r="I2216" s="4"/>
      <c r="J2216" s="4" t="s">
        <v>4798</v>
      </c>
      <c r="K2216" s="4" t="s">
        <v>57</v>
      </c>
      <c r="L2216" s="4"/>
      <c r="M2216" s="4"/>
    </row>
    <row r="2217" ht="16" customHeight="1" s="4" customFormat="1">
      <c r="A2217" s="4">
        <v>2881</v>
      </c>
      <c r="B2217" s="4" t="s">
        <v>5499</v>
      </c>
      <c r="C2217" s="4" t="s">
        <v>5500</v>
      </c>
      <c r="D2217" s="4" t="s">
        <v>5574</v>
      </c>
      <c r="E2217" s="4" t="s">
        <v>5706</v>
      </c>
      <c r="F2217" s="4" t="s">
        <v>8910</v>
      </c>
      <c r="G2217" s="4" t="s">
        <v>8911</v>
      </c>
      <c r="H2217" s="4" t="s">
        <v>8912</v>
      </c>
      <c r="I2217" s="4"/>
      <c r="J2217" s="4" t="s">
        <v>5506</v>
      </c>
      <c r="K2217" s="4" t="s">
        <v>57</v>
      </c>
      <c r="L2217" s="4"/>
      <c r="M2217" s="4"/>
    </row>
    <row r="2218" ht="16" customHeight="1" s="4" customFormat="1">
      <c r="A2218" s="4">
        <v>2882</v>
      </c>
      <c r="B2218" s="4" t="s">
        <v>5499</v>
      </c>
      <c r="C2218" s="4" t="s">
        <v>5500</v>
      </c>
      <c r="D2218" s="4"/>
      <c r="E2218" s="4" t="s">
        <v>6146</v>
      </c>
      <c r="F2218" s="4" t="s">
        <v>6562</v>
      </c>
      <c r="G2218" s="4" t="s">
        <v>5732</v>
      </c>
      <c r="H2218" s="4" t="s">
        <v>6964</v>
      </c>
      <c r="I2218" s="4"/>
      <c r="J2218" s="4" t="s">
        <v>5506</v>
      </c>
      <c r="K2218" s="4" t="s">
        <v>57</v>
      </c>
      <c r="L2218" s="4"/>
      <c r="M2218" s="4"/>
    </row>
    <row r="2219" ht="16" customHeight="1" s="4" customFormat="1">
      <c r="A2219" s="4">
        <v>2883</v>
      </c>
      <c r="B2219" s="4" t="s">
        <v>5499</v>
      </c>
      <c r="C2219" s="4" t="s">
        <v>5500</v>
      </c>
      <c r="D2219" s="4"/>
      <c r="E2219" s="4" t="s">
        <v>6146</v>
      </c>
      <c r="F2219" s="4" t="s">
        <v>6584</v>
      </c>
      <c r="G2219" s="4" t="s">
        <v>8913</v>
      </c>
      <c r="H2219" s="4" t="s">
        <v>6964</v>
      </c>
      <c r="I2219" s="4"/>
      <c r="J2219" s="4" t="s">
        <v>5506</v>
      </c>
      <c r="K2219" s="4" t="s">
        <v>57</v>
      </c>
      <c r="L2219" s="4"/>
      <c r="M2219" s="4"/>
    </row>
    <row r="2220" ht="16" customHeight="1" s="4" customFormat="1">
      <c r="A2220" s="4">
        <v>2884</v>
      </c>
      <c r="B2220" s="4" t="s">
        <v>5499</v>
      </c>
      <c r="C2220" s="4" t="s">
        <v>5500</v>
      </c>
      <c r="D2220" s="4"/>
      <c r="E2220" s="4" t="s">
        <v>6146</v>
      </c>
      <c r="F2220" s="4" t="s">
        <v>6585</v>
      </c>
      <c r="G2220" s="4" t="s">
        <v>6983</v>
      </c>
      <c r="H2220" s="4" t="s">
        <v>6964</v>
      </c>
      <c r="I2220" s="4"/>
      <c r="J2220" s="4" t="s">
        <v>5506</v>
      </c>
      <c r="K2220" s="4" t="s">
        <v>57</v>
      </c>
      <c r="L2220" s="4"/>
      <c r="M2220" s="4"/>
    </row>
    <row r="2221" ht="16" customHeight="1" s="4" customFormat="1">
      <c r="A2221" s="4">
        <v>2885</v>
      </c>
      <c r="B2221" s="4" t="s">
        <v>5499</v>
      </c>
      <c r="C2221" s="4" t="s">
        <v>5500</v>
      </c>
      <c r="D2221" s="4"/>
      <c r="E2221" s="4" t="s">
        <v>5676</v>
      </c>
      <c r="F2221" s="4" t="s">
        <v>6563</v>
      </c>
      <c r="G2221" s="4" t="s">
        <v>5732</v>
      </c>
      <c r="H2221" s="4" t="s">
        <v>6964</v>
      </c>
      <c r="I2221" s="4"/>
      <c r="J2221" s="4" t="s">
        <v>5506</v>
      </c>
      <c r="K2221" s="4" t="s">
        <v>57</v>
      </c>
      <c r="L2221" s="4"/>
      <c r="M2221" s="4"/>
    </row>
    <row r="2222" ht="16" customHeight="1" s="4" customFormat="1">
      <c r="A2222" s="4">
        <v>2886</v>
      </c>
      <c r="B2222" s="4" t="s">
        <v>5499</v>
      </c>
      <c r="C2222" s="4" t="s">
        <v>5500</v>
      </c>
      <c r="D2222" s="4"/>
      <c r="E2222" s="4" t="s">
        <v>5676</v>
      </c>
      <c r="F2222" s="4" t="s">
        <v>5941</v>
      </c>
      <c r="G2222" s="4" t="s">
        <v>8886</v>
      </c>
      <c r="H2222" s="4" t="s">
        <v>6970</v>
      </c>
      <c r="I2222" s="4"/>
      <c r="J2222" s="4" t="s">
        <v>5506</v>
      </c>
      <c r="K2222" s="4" t="s">
        <v>57</v>
      </c>
      <c r="L2222" s="4"/>
      <c r="M2222" s="4"/>
    </row>
    <row r="2223" ht="16" customHeight="1" s="4" customFormat="1">
      <c r="A2223" s="4">
        <v>2887</v>
      </c>
      <c r="B2223" s="4" t="s">
        <v>5499</v>
      </c>
      <c r="C2223" s="4" t="s">
        <v>5500</v>
      </c>
      <c r="D2223" s="4"/>
      <c r="E2223" s="4" t="s">
        <v>5676</v>
      </c>
      <c r="F2223" s="4" t="s">
        <v>6662</v>
      </c>
      <c r="G2223" s="4" t="s">
        <v>6982</v>
      </c>
      <c r="H2223" s="4" t="s">
        <v>6967</v>
      </c>
      <c r="I2223" s="4"/>
      <c r="J2223" s="4" t="s">
        <v>5506</v>
      </c>
      <c r="K2223" s="4" t="s">
        <v>57</v>
      </c>
      <c r="L2223" s="4"/>
      <c r="M2223" s="4"/>
    </row>
    <row r="2224" ht="16" customHeight="1" s="4" customFormat="1">
      <c r="A2224" s="4">
        <v>2888</v>
      </c>
      <c r="B2224" s="4" t="s">
        <v>5499</v>
      </c>
      <c r="C2224" s="4" t="s">
        <v>5500</v>
      </c>
      <c r="D2224" s="4"/>
      <c r="E2224" s="4" t="s">
        <v>5676</v>
      </c>
      <c r="F2224" s="4" t="s">
        <v>5841</v>
      </c>
      <c r="G2224" s="4" t="s">
        <v>6970</v>
      </c>
      <c r="H2224" s="4" t="s">
        <v>6971</v>
      </c>
      <c r="I2224" s="4"/>
      <c r="J2224" s="4" t="s">
        <v>5506</v>
      </c>
      <c r="K2224" s="4" t="s">
        <v>57</v>
      </c>
      <c r="L2224" s="4"/>
      <c r="M2224" s="4"/>
    </row>
    <row r="2225" ht="16" customHeight="1" s="4" customFormat="1">
      <c r="A2225" s="4">
        <v>2889</v>
      </c>
      <c r="B2225" s="4" t="s">
        <v>5499</v>
      </c>
      <c r="C2225" s="4" t="s">
        <v>5500</v>
      </c>
      <c r="D2225" s="4"/>
      <c r="E2225" s="4" t="s">
        <v>5676</v>
      </c>
      <c r="F2225" s="4" t="s">
        <v>6622</v>
      </c>
      <c r="G2225" s="4" t="s">
        <v>5732</v>
      </c>
      <c r="H2225" s="4" t="s">
        <v>6964</v>
      </c>
      <c r="I2225" s="4"/>
      <c r="J2225" s="4" t="s">
        <v>5506</v>
      </c>
      <c r="K2225" s="4" t="s">
        <v>57</v>
      </c>
      <c r="L2225" s="4"/>
      <c r="M2225" s="4"/>
    </row>
    <row r="2226" ht="16" customHeight="1" s="4" customFormat="1">
      <c r="A2226" s="4">
        <v>2890</v>
      </c>
      <c r="B2226" s="4" t="s">
        <v>5499</v>
      </c>
      <c r="C2226" s="4" t="s">
        <v>5500</v>
      </c>
      <c r="D2226" s="4"/>
      <c r="E2226" s="4" t="s">
        <v>5676</v>
      </c>
      <c r="F2226" s="4" t="s">
        <v>6623</v>
      </c>
      <c r="G2226" s="4" t="s">
        <v>5732</v>
      </c>
      <c r="H2226" s="4" t="s">
        <v>6964</v>
      </c>
      <c r="I2226" s="4"/>
      <c r="J2226" s="4" t="s">
        <v>5506</v>
      </c>
      <c r="K2226" s="4" t="s">
        <v>57</v>
      </c>
      <c r="L2226" s="4"/>
      <c r="M2226" s="4"/>
    </row>
    <row r="2227" ht="16" customHeight="1" s="4" customFormat="1">
      <c r="A2227" s="4">
        <v>2891</v>
      </c>
      <c r="B2227" s="4" t="s">
        <v>5499</v>
      </c>
      <c r="C2227" s="4" t="s">
        <v>5500</v>
      </c>
      <c r="D2227" s="4"/>
      <c r="E2227" s="4" t="s">
        <v>5676</v>
      </c>
      <c r="F2227" s="4" t="s">
        <v>6604</v>
      </c>
      <c r="G2227" s="4" t="s">
        <v>8914</v>
      </c>
      <c r="H2227" s="4" t="s">
        <v>6964</v>
      </c>
      <c r="I2227" s="4"/>
      <c r="J2227" s="4" t="s">
        <v>5506</v>
      </c>
      <c r="K2227" s="4" t="s">
        <v>57</v>
      </c>
      <c r="L2227" s="4"/>
      <c r="M2227" s="4"/>
    </row>
    <row r="2228" ht="16" customHeight="1" s="4" customFormat="1">
      <c r="A2228" s="4">
        <v>2892</v>
      </c>
      <c r="B2228" s="4" t="s">
        <v>5499</v>
      </c>
      <c r="C2228" s="4" t="s">
        <v>5500</v>
      </c>
      <c r="D2228" s="4"/>
      <c r="E2228" s="4" t="s">
        <v>5676</v>
      </c>
      <c r="F2228" s="4" t="s">
        <v>6606</v>
      </c>
      <c r="G2228" s="4" t="s">
        <v>8915</v>
      </c>
      <c r="H2228" s="4" t="s">
        <v>6964</v>
      </c>
      <c r="I2228" s="4"/>
      <c r="J2228" s="4" t="s">
        <v>5506</v>
      </c>
      <c r="K2228" s="4" t="s">
        <v>57</v>
      </c>
      <c r="L2228" s="4"/>
      <c r="M2228" s="4"/>
    </row>
    <row r="2229" ht="16" customHeight="1" s="4" customFormat="1">
      <c r="A2229" s="4">
        <v>2893</v>
      </c>
      <c r="B2229" s="4" t="s">
        <v>5499</v>
      </c>
      <c r="C2229" s="4" t="s">
        <v>5500</v>
      </c>
      <c r="D2229" s="4"/>
      <c r="E2229" s="4" t="s">
        <v>5676</v>
      </c>
      <c r="F2229" s="4" t="s">
        <v>6580</v>
      </c>
      <c r="G2229" s="4" t="s">
        <v>8913</v>
      </c>
      <c r="H2229" s="4" t="s">
        <v>6964</v>
      </c>
      <c r="I2229" s="4"/>
      <c r="J2229" s="4" t="s">
        <v>5506</v>
      </c>
      <c r="K2229" s="4" t="s">
        <v>57</v>
      </c>
      <c r="L2229" s="4"/>
      <c r="M2229" s="4"/>
    </row>
    <row r="2230" ht="16" customHeight="1" s="4" customFormat="1">
      <c r="A2230" s="4">
        <v>2894</v>
      </c>
      <c r="B2230" s="4" t="s">
        <v>5499</v>
      </c>
      <c r="C2230" s="4" t="s">
        <v>5500</v>
      </c>
      <c r="D2230" s="4"/>
      <c r="E2230" s="4" t="s">
        <v>6598</v>
      </c>
      <c r="F2230" s="4" t="s">
        <v>6589</v>
      </c>
      <c r="G2230" s="4" t="s">
        <v>6964</v>
      </c>
      <c r="H2230" s="4" t="s">
        <v>6968</v>
      </c>
      <c r="I2230" s="4"/>
      <c r="J2230" s="4" t="s">
        <v>5506</v>
      </c>
      <c r="K2230" s="4" t="s">
        <v>57</v>
      </c>
      <c r="L2230" s="4"/>
      <c r="M2230" s="4"/>
    </row>
    <row r="2231" ht="16" customHeight="1" s="4" customFormat="1">
      <c r="A2231" s="4">
        <v>2895</v>
      </c>
      <c r="B2231" s="4" t="s">
        <v>5499</v>
      </c>
      <c r="C2231" s="4" t="s">
        <v>5500</v>
      </c>
      <c r="D2231" s="4" t="s">
        <v>5845</v>
      </c>
      <c r="E2231" s="4" t="s">
        <v>6984</v>
      </c>
      <c r="F2231" s="4" t="s">
        <v>7252</v>
      </c>
      <c r="G2231" s="4" t="s">
        <v>7253</v>
      </c>
      <c r="H2231" s="4" t="s">
        <v>6989</v>
      </c>
      <c r="I2231" s="4"/>
      <c r="J2231" s="4" t="s">
        <v>5506</v>
      </c>
      <c r="K2231" s="4" t="s">
        <v>57</v>
      </c>
      <c r="L2231" s="4"/>
      <c r="M2231" s="4"/>
    </row>
    <row r="2232" ht="16" customHeight="1" s="4" customFormat="1">
      <c r="A2232" s="4">
        <v>2896</v>
      </c>
      <c r="B2232" s="4" t="s">
        <v>5499</v>
      </c>
      <c r="C2232" s="4" t="s">
        <v>5500</v>
      </c>
      <c r="D2232" s="4" t="s">
        <v>5845</v>
      </c>
      <c r="E2232" s="4" t="s">
        <v>6984</v>
      </c>
      <c r="F2232" s="4" t="s">
        <v>8916</v>
      </c>
      <c r="G2232" s="4" t="s">
        <v>6967</v>
      </c>
      <c r="H2232" s="4" t="s">
        <v>8917</v>
      </c>
      <c r="I2232" s="4"/>
      <c r="J2232" s="4" t="s">
        <v>5506</v>
      </c>
      <c r="K2232" s="4" t="s">
        <v>57</v>
      </c>
      <c r="L2232" s="4"/>
      <c r="M2232" s="4"/>
    </row>
    <row r="2233" ht="16" customHeight="1" s="4" customFormat="1">
      <c r="A2233" s="4">
        <v>2897</v>
      </c>
      <c r="B2233" s="4" t="s">
        <v>5499</v>
      </c>
      <c r="C2233" s="4" t="s">
        <v>5500</v>
      </c>
      <c r="D2233" s="4" t="s">
        <v>5845</v>
      </c>
      <c r="E2233" s="4" t="s">
        <v>6984</v>
      </c>
      <c r="F2233" s="4" t="s">
        <v>8918</v>
      </c>
      <c r="G2233" s="4" t="s">
        <v>8919</v>
      </c>
      <c r="H2233" s="4" t="s">
        <v>8912</v>
      </c>
      <c r="I2233" s="4"/>
      <c r="J2233" s="4" t="s">
        <v>5506</v>
      </c>
      <c r="K2233" s="4" t="s">
        <v>57</v>
      </c>
      <c r="L2233" s="4"/>
      <c r="M2233" s="4"/>
    </row>
    <row r="2234" ht="16" customHeight="1" s="4" customFormat="1">
      <c r="A2234" s="4">
        <v>2898</v>
      </c>
      <c r="B2234" s="4" t="s">
        <v>5499</v>
      </c>
      <c r="C2234" s="4" t="s">
        <v>5500</v>
      </c>
      <c r="D2234" s="4" t="s">
        <v>5845</v>
      </c>
      <c r="E2234" s="4" t="s">
        <v>6984</v>
      </c>
      <c r="F2234" s="4" t="s">
        <v>8920</v>
      </c>
      <c r="G2234" s="4" t="s">
        <v>8921</v>
      </c>
      <c r="H2234" s="4" t="s">
        <v>8922</v>
      </c>
      <c r="I2234" s="4"/>
      <c r="J2234" s="4" t="s">
        <v>5506</v>
      </c>
      <c r="K2234" s="4" t="s">
        <v>57</v>
      </c>
      <c r="L2234" s="4"/>
      <c r="M2234" s="4"/>
    </row>
    <row r="2235" ht="16" customHeight="1" s="4" customFormat="1">
      <c r="A2235" s="4">
        <v>2899</v>
      </c>
      <c r="B2235" s="4" t="s">
        <v>5499</v>
      </c>
      <c r="C2235" s="4" t="s">
        <v>5500</v>
      </c>
      <c r="D2235" s="4"/>
      <c r="E2235" s="4" t="s">
        <v>6990</v>
      </c>
      <c r="F2235" s="4" t="s">
        <v>8923</v>
      </c>
      <c r="G2235" s="4" t="s">
        <v>8924</v>
      </c>
      <c r="H2235" s="4" t="s">
        <v>8912</v>
      </c>
      <c r="I2235" s="4"/>
      <c r="J2235" s="4" t="s">
        <v>5506</v>
      </c>
      <c r="K2235" s="4" t="s">
        <v>57</v>
      </c>
      <c r="L2235" s="4"/>
      <c r="M2235" s="4"/>
    </row>
    <row r="2236" ht="16" customHeight="1" s="4" customFormat="1">
      <c r="A2236" s="4">
        <v>2900</v>
      </c>
      <c r="B2236" s="4" t="s">
        <v>5499</v>
      </c>
      <c r="C2236" s="4" t="s">
        <v>5500</v>
      </c>
      <c r="D2236" s="4"/>
      <c r="E2236" s="4" t="s">
        <v>5664</v>
      </c>
      <c r="F2236" s="4" t="s">
        <v>6113</v>
      </c>
      <c r="G2236" s="4" t="s">
        <v>6967</v>
      </c>
      <c r="H2236" s="4" t="s">
        <v>8925</v>
      </c>
      <c r="I2236" s="4"/>
      <c r="J2236" s="4" t="s">
        <v>5506</v>
      </c>
      <c r="K2236" s="4" t="s">
        <v>57</v>
      </c>
      <c r="L2236" s="4"/>
      <c r="M2236" s="4"/>
    </row>
    <row r="2237" ht="16" customHeight="1" s="4" customFormat="1">
      <c r="A2237" s="4">
        <v>2901</v>
      </c>
      <c r="B2237" s="4" t="s">
        <v>5499</v>
      </c>
      <c r="C2237" s="4" t="s">
        <v>5500</v>
      </c>
      <c r="D2237" s="4"/>
      <c r="E2237" s="4" t="s">
        <v>5664</v>
      </c>
      <c r="F2237" s="4" t="s">
        <v>6117</v>
      </c>
      <c r="G2237" s="4" t="s">
        <v>6964</v>
      </c>
      <c r="H2237" s="4" t="s">
        <v>8925</v>
      </c>
      <c r="I2237" s="4"/>
      <c r="J2237" s="4" t="s">
        <v>5506</v>
      </c>
      <c r="K2237" s="4" t="s">
        <v>57</v>
      </c>
      <c r="L2237" s="4"/>
      <c r="M2237" s="4"/>
    </row>
    <row r="2238" ht="16" customHeight="1" s="4" customFormat="1">
      <c r="A2238" s="4">
        <v>2902</v>
      </c>
      <c r="B2238" s="4" t="s">
        <v>5499</v>
      </c>
      <c r="C2238" s="4" t="s">
        <v>5500</v>
      </c>
      <c r="D2238" s="4"/>
      <c r="E2238" s="4" t="s">
        <v>5664</v>
      </c>
      <c r="F2238" s="4" t="s">
        <v>6685</v>
      </c>
      <c r="G2238" s="4" t="s">
        <v>6964</v>
      </c>
      <c r="H2238" s="4" t="s">
        <v>8926</v>
      </c>
      <c r="I2238" s="4"/>
      <c r="J2238" s="4" t="s">
        <v>5506</v>
      </c>
      <c r="K2238" s="4" t="s">
        <v>57</v>
      </c>
      <c r="L2238" s="4"/>
      <c r="M2238" s="4"/>
    </row>
    <row r="2239" ht="16" customHeight="1" s="4" customFormat="1">
      <c r="A2239" s="4">
        <v>2903</v>
      </c>
      <c r="B2239" s="4" t="s">
        <v>5499</v>
      </c>
      <c r="C2239" s="4" t="s">
        <v>5500</v>
      </c>
      <c r="D2239" s="4"/>
      <c r="E2239" s="4" t="s">
        <v>5664</v>
      </c>
      <c r="F2239" s="4" t="s">
        <v>5982</v>
      </c>
      <c r="G2239" s="4" t="s">
        <v>8927</v>
      </c>
      <c r="H2239" s="4" t="s">
        <v>6964</v>
      </c>
      <c r="I2239" s="4"/>
      <c r="J2239" s="4" t="s">
        <v>5506</v>
      </c>
      <c r="K2239" s="4" t="s">
        <v>57</v>
      </c>
      <c r="L2239" s="4"/>
      <c r="M2239" s="4"/>
    </row>
    <row r="2240" ht="16" customHeight="1" s="4" customFormat="1">
      <c r="A2240" s="4">
        <v>2904</v>
      </c>
      <c r="B2240" s="4" t="s">
        <v>5499</v>
      </c>
      <c r="C2240" s="4" t="s">
        <v>5500</v>
      </c>
      <c r="D2240" s="4" t="s">
        <v>5574</v>
      </c>
      <c r="E2240" s="4" t="s">
        <v>5575</v>
      </c>
      <c r="F2240" s="4" t="s">
        <v>6544</v>
      </c>
      <c r="G2240" s="4" t="s">
        <v>6964</v>
      </c>
      <c r="H2240" s="4" t="s">
        <v>8928</v>
      </c>
      <c r="I2240" s="4"/>
      <c r="J2240" s="4" t="s">
        <v>5506</v>
      </c>
      <c r="K2240" s="4" t="s">
        <v>57</v>
      </c>
      <c r="L2240" s="4"/>
      <c r="M2240" s="4"/>
    </row>
    <row r="2241" ht="16" customHeight="1" s="4" customFormat="1">
      <c r="A2241" s="4">
        <v>2905</v>
      </c>
      <c r="B2241" s="4" t="s">
        <v>5499</v>
      </c>
      <c r="C2241" s="4" t="s">
        <v>5500</v>
      </c>
      <c r="D2241" s="4" t="s">
        <v>5574</v>
      </c>
      <c r="E2241" s="4" t="s">
        <v>5575</v>
      </c>
      <c r="F2241" s="4" t="s">
        <v>6543</v>
      </c>
      <c r="G2241" s="4" t="s">
        <v>6967</v>
      </c>
      <c r="H2241" s="4" t="s">
        <v>8929</v>
      </c>
      <c r="I2241" s="4"/>
      <c r="J2241" s="4" t="s">
        <v>5506</v>
      </c>
      <c r="K2241" s="4" t="s">
        <v>57</v>
      </c>
      <c r="L2241" s="4"/>
      <c r="M2241" s="4"/>
    </row>
    <row r="2242" ht="16" customHeight="1" s="4" customFormat="1">
      <c r="A2242" s="4">
        <v>2906</v>
      </c>
      <c r="B2242" s="4" t="s">
        <v>5499</v>
      </c>
      <c r="C2242" s="4" t="s">
        <v>5500</v>
      </c>
      <c r="D2242" s="4" t="s">
        <v>5574</v>
      </c>
      <c r="E2242" s="4" t="s">
        <v>5575</v>
      </c>
      <c r="F2242" s="4" t="s">
        <v>6687</v>
      </c>
      <c r="G2242" s="4" t="s">
        <v>6964</v>
      </c>
      <c r="H2242" s="4" t="s">
        <v>8930</v>
      </c>
      <c r="I2242" s="4"/>
      <c r="J2242" s="4" t="s">
        <v>5506</v>
      </c>
      <c r="K2242" s="4" t="s">
        <v>57</v>
      </c>
      <c r="L2242" s="4"/>
      <c r="M2242" s="4"/>
    </row>
    <row r="2243" ht="16" customHeight="1" s="4" customFormat="1">
      <c r="A2243" s="4">
        <v>2907</v>
      </c>
      <c r="B2243" s="4" t="s">
        <v>5499</v>
      </c>
      <c r="C2243" s="4" t="s">
        <v>5500</v>
      </c>
      <c r="D2243" s="4" t="s">
        <v>5574</v>
      </c>
      <c r="E2243" s="4" t="s">
        <v>8931</v>
      </c>
      <c r="F2243" s="4" t="s">
        <v>8932</v>
      </c>
      <c r="G2243" s="4" t="s">
        <v>6964</v>
      </c>
      <c r="H2243" s="4" t="s">
        <v>8933</v>
      </c>
      <c r="I2243" s="4"/>
      <c r="J2243" s="4" t="s">
        <v>5506</v>
      </c>
      <c r="K2243" s="4" t="s">
        <v>57</v>
      </c>
      <c r="L2243" s="4"/>
      <c r="M2243" s="4"/>
    </row>
    <row r="2244" ht="16" customHeight="1" s="4" customFormat="1">
      <c r="A2244" s="4">
        <v>2717</v>
      </c>
      <c r="B2244" s="4" t="s">
        <v>5499</v>
      </c>
      <c r="C2244" s="4" t="s">
        <v>5702</v>
      </c>
      <c r="D2244" s="4"/>
      <c r="E2244" s="4"/>
      <c r="F2244" s="4" t="s">
        <v>8934</v>
      </c>
      <c r="G2244" s="4" t="s">
        <v>5771</v>
      </c>
      <c r="H2244" s="4" t="s">
        <v>6423</v>
      </c>
      <c r="I2244" s="5">
        <v>2</v>
      </c>
      <c r="J2244" s="4" t="s">
        <v>4842</v>
      </c>
      <c r="K2244" s="4" t="s">
        <v>57</v>
      </c>
      <c r="L2244" s="4"/>
      <c r="M2244" s="4"/>
    </row>
    <row r="2245" ht="16" customHeight="1" s="4" customFormat="1">
      <c r="A2245" s="4">
        <v>2718</v>
      </c>
      <c r="B2245" s="4" t="s">
        <v>5499</v>
      </c>
      <c r="C2245" s="4" t="s">
        <v>5702</v>
      </c>
      <c r="D2245" s="4"/>
      <c r="E2245" s="4"/>
      <c r="F2245" s="4" t="s">
        <v>8935</v>
      </c>
      <c r="G2245" s="4" t="s">
        <v>8936</v>
      </c>
      <c r="H2245" s="4" t="s">
        <v>6423</v>
      </c>
      <c r="I2245" s="5">
        <v>2</v>
      </c>
      <c r="J2245" s="4" t="s">
        <v>4842</v>
      </c>
      <c r="K2245" s="4" t="s">
        <v>57</v>
      </c>
      <c r="L2245" s="4"/>
      <c r="M2245" s="4"/>
    </row>
    <row r="2246" ht="16" customHeight="1" s="4" customFormat="1">
      <c r="A2246" s="4">
        <v>2719</v>
      </c>
      <c r="B2246" s="4" t="s">
        <v>5528</v>
      </c>
      <c r="C2246" s="4" t="s">
        <v>8937</v>
      </c>
      <c r="D2246" s="4"/>
      <c r="E2246" s="4" t="s">
        <v>8938</v>
      </c>
      <c r="F2246" s="4" t="s">
        <v>8939</v>
      </c>
      <c r="G2246" s="4" t="s">
        <v>7171</v>
      </c>
      <c r="H2246" s="4" t="s">
        <v>8940</v>
      </c>
      <c r="I2246" s="5">
        <v>2</v>
      </c>
      <c r="J2246" s="4" t="s">
        <v>4798</v>
      </c>
      <c r="K2246" s="4" t="s">
        <v>57</v>
      </c>
      <c r="L2246" s="4"/>
      <c r="M2246" s="4"/>
    </row>
    <row r="2247" ht="16" customHeight="1" s="4" customFormat="1">
      <c r="A2247" s="4">
        <v>2720</v>
      </c>
      <c r="B2247" s="4" t="s">
        <v>5528</v>
      </c>
      <c r="C2247" s="4" t="s">
        <v>8941</v>
      </c>
      <c r="D2247" s="4"/>
      <c r="E2247" s="4" t="s">
        <v>8942</v>
      </c>
      <c r="F2247" s="4" t="s">
        <v>8943</v>
      </c>
      <c r="G2247" s="4" t="s">
        <v>8944</v>
      </c>
      <c r="H2247" s="4" t="s">
        <v>8945</v>
      </c>
      <c r="I2247" s="5">
        <v>2</v>
      </c>
      <c r="J2247" s="4" t="s">
        <v>4798</v>
      </c>
      <c r="K2247" s="4" t="s">
        <v>57</v>
      </c>
      <c r="L2247" s="4"/>
      <c r="M2247" s="4"/>
    </row>
    <row r="2248" ht="16" customHeight="1" s="4" customFormat="1">
      <c r="A2248" s="4">
        <v>2721</v>
      </c>
      <c r="B2248" s="4" t="s">
        <v>5528</v>
      </c>
      <c r="C2248" s="4" t="s">
        <v>8941</v>
      </c>
      <c r="D2248" s="4"/>
      <c r="E2248" s="4" t="s">
        <v>8942</v>
      </c>
      <c r="F2248" s="4" t="s">
        <v>8946</v>
      </c>
      <c r="G2248" s="4" t="s">
        <v>8944</v>
      </c>
      <c r="H2248" s="4" t="s">
        <v>8945</v>
      </c>
      <c r="I2248" s="5">
        <v>2</v>
      </c>
      <c r="J2248" s="4" t="s">
        <v>4798</v>
      </c>
      <c r="K2248" s="4" t="s">
        <v>57</v>
      </c>
      <c r="L2248" s="4"/>
      <c r="M2248" s="4"/>
    </row>
    <row r="2249" ht="16" customHeight="1" s="4" customFormat="1">
      <c r="A2249" s="4">
        <v>2722</v>
      </c>
      <c r="B2249" s="4" t="s">
        <v>5528</v>
      </c>
      <c r="C2249" s="4" t="s">
        <v>7692</v>
      </c>
      <c r="D2249" s="4"/>
      <c r="E2249" s="4" t="s">
        <v>8947</v>
      </c>
      <c r="F2249" s="4" t="s">
        <v>8948</v>
      </c>
      <c r="G2249" s="4" t="s">
        <v>8949</v>
      </c>
      <c r="H2249" s="4" t="s">
        <v>8950</v>
      </c>
      <c r="I2249" s="5">
        <v>2</v>
      </c>
      <c r="J2249" s="4" t="s">
        <v>4798</v>
      </c>
      <c r="K2249" s="4" t="s">
        <v>57</v>
      </c>
      <c r="L2249" s="4"/>
      <c r="M2249" s="4"/>
    </row>
    <row r="2250" ht="16" customHeight="1" s="4" customFormat="1">
      <c r="A2250" s="4">
        <v>2723</v>
      </c>
      <c r="B2250" s="4" t="s">
        <v>5528</v>
      </c>
      <c r="C2250" s="4" t="s">
        <v>7603</v>
      </c>
      <c r="D2250" s="4" t="s">
        <v>5574</v>
      </c>
      <c r="E2250" s="4" t="s">
        <v>8951</v>
      </c>
      <c r="F2250" s="4" t="s">
        <v>8952</v>
      </c>
      <c r="G2250" s="4" t="s">
        <v>4850</v>
      </c>
      <c r="H2250" s="4" t="s">
        <v>7605</v>
      </c>
      <c r="I2250" s="5">
        <v>2</v>
      </c>
      <c r="J2250" s="4" t="s">
        <v>4798</v>
      </c>
      <c r="K2250" s="4" t="s">
        <v>57</v>
      </c>
      <c r="L2250" s="4"/>
      <c r="M2250" s="4"/>
    </row>
    <row r="2251" ht="16" customHeight="1" s="4" customFormat="1">
      <c r="A2251" s="4">
        <v>2724</v>
      </c>
      <c r="B2251" s="4" t="s">
        <v>5528</v>
      </c>
      <c r="C2251" s="4" t="s">
        <v>8794</v>
      </c>
      <c r="D2251" s="4"/>
      <c r="E2251" s="4" t="s">
        <v>8795</v>
      </c>
      <c r="F2251" s="4" t="s">
        <v>8953</v>
      </c>
      <c r="G2251" s="4" t="s">
        <v>8797</v>
      </c>
      <c r="H2251" s="4" t="s">
        <v>4850</v>
      </c>
      <c r="I2251" s="5">
        <v>2</v>
      </c>
      <c r="J2251" s="4" t="s">
        <v>4798</v>
      </c>
      <c r="K2251" s="4" t="s">
        <v>57</v>
      </c>
      <c r="L2251" s="4"/>
      <c r="M2251" s="4"/>
    </row>
    <row r="2252" ht="16" customHeight="1" s="4" customFormat="1">
      <c r="A2252" s="4">
        <v>2725</v>
      </c>
      <c r="B2252" s="4" t="s">
        <v>5499</v>
      </c>
      <c r="C2252" s="4" t="s">
        <v>5590</v>
      </c>
      <c r="D2252" s="4" t="s">
        <v>5574</v>
      </c>
      <c r="E2252" s="4" t="s">
        <v>5575</v>
      </c>
      <c r="F2252" s="4" t="s">
        <v>8954</v>
      </c>
      <c r="G2252" s="4" t="s">
        <v>5675</v>
      </c>
      <c r="H2252" s="4" t="s">
        <v>8200</v>
      </c>
      <c r="I2252" s="4"/>
      <c r="J2252" s="4" t="s">
        <v>4842</v>
      </c>
      <c r="K2252" s="4" t="s">
        <v>57</v>
      </c>
      <c r="L2252" s="4"/>
      <c r="M2252" s="4"/>
    </row>
    <row r="2253" ht="16" customHeight="1" s="4" customFormat="1">
      <c r="A2253" s="4">
        <v>2726</v>
      </c>
      <c r="B2253" s="4" t="s">
        <v>5499</v>
      </c>
      <c r="C2253" s="4" t="s">
        <v>5590</v>
      </c>
      <c r="D2253" s="4" t="s">
        <v>5574</v>
      </c>
      <c r="E2253" s="4" t="s">
        <v>5575</v>
      </c>
      <c r="F2253" s="4" t="s">
        <v>8955</v>
      </c>
      <c r="G2253" s="4" t="s">
        <v>5675</v>
      </c>
      <c r="H2253" s="4" t="s">
        <v>8200</v>
      </c>
      <c r="I2253" s="4"/>
      <c r="J2253" s="4" t="s">
        <v>4842</v>
      </c>
      <c r="K2253" s="4" t="s">
        <v>57</v>
      </c>
      <c r="L2253" s="4"/>
      <c r="M2253" s="4"/>
    </row>
    <row r="2254" ht="16" customHeight="1" s="4" customFormat="1">
      <c r="A2254" s="4">
        <v>2727</v>
      </c>
      <c r="B2254" s="4" t="s">
        <v>5499</v>
      </c>
      <c r="C2254" s="4" t="s">
        <v>5590</v>
      </c>
      <c r="D2254" s="4" t="s">
        <v>5574</v>
      </c>
      <c r="E2254" s="4" t="s">
        <v>5575</v>
      </c>
      <c r="F2254" s="4" t="s">
        <v>8956</v>
      </c>
      <c r="G2254" s="4" t="s">
        <v>5675</v>
      </c>
      <c r="H2254" s="4" t="s">
        <v>8200</v>
      </c>
      <c r="I2254" s="4"/>
      <c r="J2254" s="4" t="s">
        <v>4842</v>
      </c>
      <c r="K2254" s="4" t="s">
        <v>57</v>
      </c>
      <c r="L2254" s="4"/>
      <c r="M2254" s="4"/>
    </row>
    <row r="2255" ht="16" customHeight="1" s="4" customFormat="1">
      <c r="A2255" s="4">
        <v>2728</v>
      </c>
      <c r="B2255" s="4" t="s">
        <v>5499</v>
      </c>
      <c r="C2255" s="4" t="s">
        <v>5590</v>
      </c>
      <c r="D2255" s="4" t="s">
        <v>5574</v>
      </c>
      <c r="E2255" s="4" t="s">
        <v>5575</v>
      </c>
      <c r="F2255" s="4" t="s">
        <v>8957</v>
      </c>
      <c r="G2255" s="4" t="s">
        <v>5675</v>
      </c>
      <c r="H2255" s="4" t="s">
        <v>8200</v>
      </c>
      <c r="I2255" s="4"/>
      <c r="J2255" s="4" t="s">
        <v>4842</v>
      </c>
      <c r="K2255" s="4" t="s">
        <v>57</v>
      </c>
      <c r="L2255" s="4"/>
      <c r="M2255" s="4"/>
    </row>
    <row r="2256" ht="16" customHeight="1" s="4" customFormat="1">
      <c r="A2256" s="4">
        <v>2729</v>
      </c>
      <c r="B2256" s="4" t="s">
        <v>5499</v>
      </c>
      <c r="C2256" s="4" t="s">
        <v>5590</v>
      </c>
      <c r="D2256" s="4" t="s">
        <v>5574</v>
      </c>
      <c r="E2256" s="4" t="s">
        <v>5575</v>
      </c>
      <c r="F2256" s="4" t="s">
        <v>8958</v>
      </c>
      <c r="G2256" s="4" t="s">
        <v>6716</v>
      </c>
      <c r="H2256" s="4" t="s">
        <v>6229</v>
      </c>
      <c r="I2256" s="4"/>
      <c r="J2256" s="4" t="s">
        <v>4842</v>
      </c>
      <c r="K2256" s="4" t="s">
        <v>57</v>
      </c>
      <c r="L2256" s="4"/>
      <c r="M2256" s="4"/>
    </row>
    <row r="2257" ht="16" customHeight="1" s="4" customFormat="1">
      <c r="A2257" s="4">
        <v>2730</v>
      </c>
      <c r="B2257" s="4" t="s">
        <v>5600</v>
      </c>
      <c r="C2257" s="4" t="s">
        <v>5600</v>
      </c>
      <c r="D2257" s="4" t="s">
        <v>5728</v>
      </c>
      <c r="E2257" s="4" t="s">
        <v>6355</v>
      </c>
      <c r="F2257" s="4" t="s">
        <v>8959</v>
      </c>
      <c r="G2257" s="4" t="s">
        <v>5768</v>
      </c>
      <c r="H2257" s="4" t="s">
        <v>8786</v>
      </c>
      <c r="I2257" s="4"/>
      <c r="J2257" s="4" t="s">
        <v>4842</v>
      </c>
      <c r="K2257" s="4" t="s">
        <v>57</v>
      </c>
      <c r="L2257" s="4"/>
      <c r="M2257" s="4"/>
    </row>
    <row r="2258" ht="16" customHeight="1" s="4" customFormat="1">
      <c r="A2258" s="4">
        <v>2731</v>
      </c>
      <c r="B2258" s="4" t="s">
        <v>5600</v>
      </c>
      <c r="C2258" s="4" t="s">
        <v>5600</v>
      </c>
      <c r="D2258" s="4" t="s">
        <v>6191</v>
      </c>
      <c r="E2258" s="4" t="s">
        <v>6192</v>
      </c>
      <c r="F2258" s="4" t="s">
        <v>8960</v>
      </c>
      <c r="G2258" s="4" t="s">
        <v>8961</v>
      </c>
      <c r="H2258" s="4" t="s">
        <v>8962</v>
      </c>
      <c r="I2258" s="4"/>
      <c r="J2258" s="4" t="s">
        <v>4842</v>
      </c>
      <c r="K2258" s="4" t="s">
        <v>57</v>
      </c>
      <c r="L2258" s="4"/>
      <c r="M2258" s="4"/>
    </row>
    <row r="2259" ht="16" customHeight="1" s="4" customFormat="1">
      <c r="A2259" s="4">
        <v>2732</v>
      </c>
      <c r="B2259" s="4" t="s">
        <v>5600</v>
      </c>
      <c r="C2259" s="4" t="s">
        <v>5600</v>
      </c>
      <c r="D2259" s="4" t="s">
        <v>5728</v>
      </c>
      <c r="E2259" s="4" t="s">
        <v>6355</v>
      </c>
      <c r="F2259" s="4" t="s">
        <v>8963</v>
      </c>
      <c r="G2259" s="4" t="s">
        <v>6507</v>
      </c>
      <c r="H2259" s="4" t="s">
        <v>8964</v>
      </c>
      <c r="I2259" s="4"/>
      <c r="J2259" s="4" t="s">
        <v>4842</v>
      </c>
      <c r="K2259" s="4" t="s">
        <v>57</v>
      </c>
      <c r="L2259" s="4"/>
      <c r="M2259" s="4"/>
    </row>
    <row r="2260" ht="16" customHeight="1" s="4" customFormat="1">
      <c r="A2260" s="4">
        <v>2733</v>
      </c>
      <c r="B2260" s="4" t="s">
        <v>5600</v>
      </c>
      <c r="C2260" s="4" t="s">
        <v>5600</v>
      </c>
      <c r="D2260" s="4" t="s">
        <v>5728</v>
      </c>
      <c r="E2260" s="4" t="s">
        <v>6355</v>
      </c>
      <c r="F2260" s="4" t="s">
        <v>8965</v>
      </c>
      <c r="G2260" s="4" t="s">
        <v>6507</v>
      </c>
      <c r="H2260" s="4" t="s">
        <v>8964</v>
      </c>
      <c r="I2260" s="4"/>
      <c r="J2260" s="4" t="s">
        <v>4842</v>
      </c>
      <c r="K2260" s="4" t="s">
        <v>57</v>
      </c>
      <c r="L2260" s="4"/>
      <c r="M2260" s="4"/>
    </row>
    <row r="2261" ht="16" customHeight="1" s="4" customFormat="1">
      <c r="A2261" s="4">
        <v>2734</v>
      </c>
      <c r="B2261" s="4" t="s">
        <v>5600</v>
      </c>
      <c r="C2261" s="4" t="s">
        <v>5600</v>
      </c>
      <c r="D2261" s="4" t="s">
        <v>5728</v>
      </c>
      <c r="E2261" s="4" t="s">
        <v>6355</v>
      </c>
      <c r="F2261" s="4" t="s">
        <v>8966</v>
      </c>
      <c r="G2261" s="4" t="s">
        <v>6507</v>
      </c>
      <c r="H2261" s="4" t="s">
        <v>8964</v>
      </c>
      <c r="I2261" s="4"/>
      <c r="J2261" s="4" t="s">
        <v>4842</v>
      </c>
      <c r="K2261" s="4" t="s">
        <v>57</v>
      </c>
      <c r="L2261" s="4"/>
      <c r="M2261" s="4"/>
    </row>
    <row r="2262" ht="16" customHeight="1" s="4" customFormat="1">
      <c r="A2262" s="4">
        <v>2735</v>
      </c>
      <c r="B2262" s="4" t="s">
        <v>5600</v>
      </c>
      <c r="C2262" s="4" t="s">
        <v>5600</v>
      </c>
      <c r="D2262" s="4" t="s">
        <v>5728</v>
      </c>
      <c r="E2262" s="4" t="s">
        <v>6355</v>
      </c>
      <c r="F2262" s="4" t="s">
        <v>8967</v>
      </c>
      <c r="G2262" s="4" t="s">
        <v>8968</v>
      </c>
      <c r="H2262" s="4" t="s">
        <v>8969</v>
      </c>
      <c r="I2262" s="4"/>
      <c r="J2262" s="4" t="s">
        <v>4842</v>
      </c>
      <c r="K2262" s="4" t="s">
        <v>57</v>
      </c>
      <c r="L2262" s="4"/>
      <c r="M2262" s="4"/>
    </row>
    <row r="2263" ht="16" customHeight="1" s="4" customFormat="1">
      <c r="A2263" s="4">
        <v>2736</v>
      </c>
      <c r="B2263" s="4" t="s">
        <v>5499</v>
      </c>
      <c r="C2263" s="4" t="s">
        <v>5702</v>
      </c>
      <c r="D2263" s="4" t="s">
        <v>5574</v>
      </c>
      <c r="E2263" s="4" t="s">
        <v>5575</v>
      </c>
      <c r="F2263" s="4" t="s">
        <v>8970</v>
      </c>
      <c r="G2263" s="4" t="s">
        <v>5704</v>
      </c>
      <c r="H2263" s="4" t="s">
        <v>6194</v>
      </c>
      <c r="I2263" s="4"/>
      <c r="J2263" s="4" t="s">
        <v>4842</v>
      </c>
      <c r="K2263" s="4" t="s">
        <v>57</v>
      </c>
      <c r="L2263" s="4"/>
      <c r="M2263" s="4"/>
    </row>
    <row r="2264" ht="16" customHeight="1" s="4" customFormat="1">
      <c r="A2264" s="4">
        <v>2737</v>
      </c>
      <c r="B2264" s="4" t="s">
        <v>5499</v>
      </c>
      <c r="C2264" s="4" t="s">
        <v>5590</v>
      </c>
      <c r="D2264" s="4" t="s">
        <v>5728</v>
      </c>
      <c r="E2264" s="4" t="s">
        <v>5515</v>
      </c>
      <c r="F2264" s="4" t="s">
        <v>8971</v>
      </c>
      <c r="G2264" s="4" t="s">
        <v>6792</v>
      </c>
      <c r="H2264" s="4" t="s">
        <v>8972</v>
      </c>
      <c r="I2264" s="4"/>
      <c r="J2264" s="4" t="s">
        <v>4842</v>
      </c>
      <c r="K2264" s="4" t="s">
        <v>57</v>
      </c>
      <c r="L2264" s="4"/>
      <c r="M2264" s="4"/>
    </row>
    <row r="2265" ht="16" customHeight="1" s="4" customFormat="1">
      <c r="A2265" s="4">
        <v>2738</v>
      </c>
      <c r="B2265" s="4" t="s">
        <v>5499</v>
      </c>
      <c r="C2265" s="4" t="s">
        <v>5590</v>
      </c>
      <c r="D2265" s="4" t="s">
        <v>5574</v>
      </c>
      <c r="E2265" s="4" t="s">
        <v>5575</v>
      </c>
      <c r="F2265" s="4" t="s">
        <v>8973</v>
      </c>
      <c r="G2265" s="4" t="s">
        <v>8124</v>
      </c>
      <c r="H2265" s="4" t="s">
        <v>8974</v>
      </c>
      <c r="I2265" s="4"/>
      <c r="J2265" s="4" t="s">
        <v>4842</v>
      </c>
      <c r="K2265" s="4" t="s">
        <v>57</v>
      </c>
      <c r="L2265" s="4"/>
      <c r="M2265" s="4"/>
    </row>
    <row r="2266" ht="16" customHeight="1" s="4" customFormat="1">
      <c r="A2266" s="4">
        <v>2739</v>
      </c>
      <c r="B2266" s="4" t="s">
        <v>5499</v>
      </c>
      <c r="C2266" s="4" t="s">
        <v>5590</v>
      </c>
      <c r="D2266" s="4" t="s">
        <v>5574</v>
      </c>
      <c r="E2266" s="4" t="s">
        <v>5575</v>
      </c>
      <c r="F2266" s="4" t="s">
        <v>8975</v>
      </c>
      <c r="G2266" s="4" t="s">
        <v>6278</v>
      </c>
      <c r="H2266" s="4" t="s">
        <v>6281</v>
      </c>
      <c r="I2266" s="4"/>
      <c r="J2266" s="4" t="s">
        <v>4842</v>
      </c>
      <c r="K2266" s="4" t="s">
        <v>57</v>
      </c>
      <c r="L2266" s="4"/>
      <c r="M2266" s="4"/>
    </row>
    <row r="2267" ht="16" customHeight="1" s="4" customFormat="1">
      <c r="A2267" s="4">
        <v>2741</v>
      </c>
      <c r="B2267" s="4" t="s">
        <v>5600</v>
      </c>
      <c r="C2267" s="4" t="s">
        <v>5600</v>
      </c>
      <c r="D2267" s="4" t="s">
        <v>5618</v>
      </c>
      <c r="E2267" s="4" t="s">
        <v>5619</v>
      </c>
      <c r="F2267" s="4" t="s">
        <v>8976</v>
      </c>
      <c r="G2267" s="4" t="s">
        <v>5624</v>
      </c>
      <c r="H2267" s="4" t="s">
        <v>8977</v>
      </c>
      <c r="I2267" s="4"/>
      <c r="J2267" s="4" t="s">
        <v>5506</v>
      </c>
      <c r="K2267" s="4" t="s">
        <v>57</v>
      </c>
      <c r="L2267" s="4"/>
      <c r="M2267" s="4"/>
    </row>
    <row r="2268" ht="16" customHeight="1" s="4" customFormat="1">
      <c r="A2268" s="4">
        <v>2742</v>
      </c>
      <c r="B2268" s="4" t="s">
        <v>5600</v>
      </c>
      <c r="C2268" s="4" t="s">
        <v>5600</v>
      </c>
      <c r="D2268" s="4" t="s">
        <v>6191</v>
      </c>
      <c r="E2268" s="4" t="s">
        <v>6192</v>
      </c>
      <c r="F2268" s="4" t="s">
        <v>8978</v>
      </c>
      <c r="G2268" s="4" t="s">
        <v>8979</v>
      </c>
      <c r="H2268" s="4" t="s">
        <v>8980</v>
      </c>
      <c r="I2268" s="4"/>
      <c r="J2268" s="4" t="s">
        <v>5506</v>
      </c>
      <c r="K2268" s="4" t="s">
        <v>57</v>
      </c>
      <c r="L2268" s="4"/>
      <c r="M2268" s="4"/>
    </row>
    <row r="2269" ht="16" customHeight="1" s="4" customFormat="1">
      <c r="A2269" s="4">
        <v>2743</v>
      </c>
      <c r="B2269" s="4" t="s">
        <v>5600</v>
      </c>
      <c r="C2269" s="4" t="s">
        <v>5600</v>
      </c>
      <c r="D2269" s="4" t="s">
        <v>6121</v>
      </c>
      <c r="E2269" s="4" t="s">
        <v>6128</v>
      </c>
      <c r="F2269" s="4" t="s">
        <v>8981</v>
      </c>
      <c r="G2269" s="4" t="s">
        <v>8982</v>
      </c>
      <c r="H2269" s="4" t="s">
        <v>8983</v>
      </c>
      <c r="I2269" s="4"/>
      <c r="J2269" s="4" t="s">
        <v>5506</v>
      </c>
      <c r="K2269" s="4" t="s">
        <v>57</v>
      </c>
      <c r="L2269" s="4"/>
      <c r="M2269" s="4"/>
    </row>
    <row r="2270" ht="16" customHeight="1" s="4" customFormat="1">
      <c r="A2270" s="4">
        <v>2744</v>
      </c>
      <c r="B2270" s="4" t="s">
        <v>5600</v>
      </c>
      <c r="C2270" s="4" t="s">
        <v>5600</v>
      </c>
      <c r="D2270" s="4" t="s">
        <v>5728</v>
      </c>
      <c r="E2270" s="4" t="s">
        <v>6011</v>
      </c>
      <c r="F2270" s="4" t="s">
        <v>8984</v>
      </c>
      <c r="G2270" s="4" t="s">
        <v>8985</v>
      </c>
      <c r="H2270" s="4" t="s">
        <v>8986</v>
      </c>
      <c r="I2270" s="4"/>
      <c r="J2270" s="4" t="s">
        <v>5506</v>
      </c>
      <c r="K2270" s="4" t="s">
        <v>57</v>
      </c>
      <c r="L2270" s="4"/>
      <c r="M2270" s="4"/>
    </row>
    <row r="2271" ht="16" customHeight="1" s="4" customFormat="1">
      <c r="A2271" s="4">
        <v>2745</v>
      </c>
      <c r="B2271" s="4" t="s">
        <v>5600</v>
      </c>
      <c r="C2271" s="4" t="s">
        <v>5600</v>
      </c>
      <c r="D2271" s="4" t="s">
        <v>5574</v>
      </c>
      <c r="E2271" s="4" t="s">
        <v>5606</v>
      </c>
      <c r="F2271" s="4" t="s">
        <v>8987</v>
      </c>
      <c r="G2271" s="4" t="s">
        <v>8988</v>
      </c>
      <c r="H2271" s="4" t="s">
        <v>8989</v>
      </c>
      <c r="I2271" s="4"/>
      <c r="J2271" s="4" t="s">
        <v>5506</v>
      </c>
      <c r="K2271" s="4" t="s">
        <v>57</v>
      </c>
      <c r="L2271" s="4"/>
      <c r="M2271" s="4"/>
    </row>
    <row r="2272" ht="16" customHeight="1" s="4" customFormat="1">
      <c r="A2272" s="4">
        <v>2746</v>
      </c>
      <c r="B2272" s="4" t="s">
        <v>5600</v>
      </c>
      <c r="C2272" s="4" t="s">
        <v>5600</v>
      </c>
      <c r="D2272" s="4" t="s">
        <v>5618</v>
      </c>
      <c r="E2272" s="4" t="s">
        <v>5619</v>
      </c>
      <c r="F2272" s="4" t="s">
        <v>8990</v>
      </c>
      <c r="G2272" s="4" t="s">
        <v>8991</v>
      </c>
      <c r="H2272" s="4" t="s">
        <v>8992</v>
      </c>
      <c r="I2272" s="4"/>
      <c r="J2272" s="4" t="s">
        <v>5506</v>
      </c>
      <c r="K2272" s="4" t="s">
        <v>57</v>
      </c>
      <c r="L2272" s="4"/>
      <c r="M2272" s="4"/>
    </row>
    <row r="2273" ht="16" customHeight="1" s="4" customFormat="1">
      <c r="A2273" s="4">
        <v>2747</v>
      </c>
      <c r="B2273" s="4" t="s">
        <v>5600</v>
      </c>
      <c r="C2273" s="4" t="s">
        <v>5600</v>
      </c>
      <c r="D2273" s="4" t="s">
        <v>6191</v>
      </c>
      <c r="E2273" s="4" t="s">
        <v>6192</v>
      </c>
      <c r="F2273" s="4" t="s">
        <v>8993</v>
      </c>
      <c r="G2273" s="4" t="s">
        <v>8979</v>
      </c>
      <c r="H2273" s="4" t="s">
        <v>8980</v>
      </c>
      <c r="I2273" s="4"/>
      <c r="J2273" s="4" t="s">
        <v>5506</v>
      </c>
      <c r="K2273" s="4" t="s">
        <v>57</v>
      </c>
      <c r="L2273" s="4"/>
      <c r="M2273" s="4"/>
    </row>
    <row r="2274" ht="16" customHeight="1" s="4" customFormat="1">
      <c r="A2274" s="4">
        <v>2748</v>
      </c>
      <c r="B2274" s="4" t="s">
        <v>5600</v>
      </c>
      <c r="C2274" s="4" t="s">
        <v>5600</v>
      </c>
      <c r="D2274" s="4" t="s">
        <v>5728</v>
      </c>
      <c r="E2274" s="4" t="s">
        <v>5729</v>
      </c>
      <c r="F2274" s="4" t="s">
        <v>8994</v>
      </c>
      <c r="G2274" s="4" t="s">
        <v>8995</v>
      </c>
      <c r="H2274" s="4" t="s">
        <v>8996</v>
      </c>
      <c r="I2274" s="4"/>
      <c r="J2274" s="4" t="s">
        <v>5506</v>
      </c>
      <c r="K2274" s="4" t="s">
        <v>57</v>
      </c>
      <c r="L2274" s="4"/>
      <c r="M2274" s="4"/>
    </row>
    <row r="2275" ht="16" customHeight="1" s="4" customFormat="1">
      <c r="A2275" s="4">
        <v>2749</v>
      </c>
      <c r="B2275" s="4" t="s">
        <v>5600</v>
      </c>
      <c r="C2275" s="4" t="s">
        <v>5600</v>
      </c>
      <c r="D2275" s="4" t="s">
        <v>5728</v>
      </c>
      <c r="E2275" s="4" t="s">
        <v>6011</v>
      </c>
      <c r="F2275" s="4" t="s">
        <v>8997</v>
      </c>
      <c r="G2275" s="4" t="s">
        <v>8998</v>
      </c>
      <c r="H2275" s="4" t="s">
        <v>8999</v>
      </c>
      <c r="I2275" s="4"/>
      <c r="J2275" s="4" t="s">
        <v>5506</v>
      </c>
      <c r="K2275" s="4" t="s">
        <v>57</v>
      </c>
      <c r="L2275" s="4"/>
      <c r="M2275" s="4"/>
    </row>
    <row r="2276" ht="16" customHeight="1" s="4" customFormat="1">
      <c r="A2276" s="4">
        <v>2750</v>
      </c>
      <c r="B2276" s="4" t="s">
        <v>5600</v>
      </c>
      <c r="C2276" s="4" t="s">
        <v>5600</v>
      </c>
      <c r="D2276" s="4" t="s">
        <v>6191</v>
      </c>
      <c r="E2276" s="4" t="s">
        <v>6192</v>
      </c>
      <c r="F2276" s="4" t="s">
        <v>9000</v>
      </c>
      <c r="G2276" s="4" t="s">
        <v>9001</v>
      </c>
      <c r="H2276" s="4" t="s">
        <v>9002</v>
      </c>
      <c r="I2276" s="4"/>
      <c r="J2276" s="4" t="s">
        <v>5506</v>
      </c>
      <c r="K2276" s="4" t="s">
        <v>57</v>
      </c>
      <c r="L2276" s="4"/>
      <c r="M2276" s="4"/>
    </row>
    <row r="2277" ht="16" customHeight="1" s="4" customFormat="1">
      <c r="A2277" s="4">
        <v>2751</v>
      </c>
      <c r="B2277" s="4" t="s">
        <v>5600</v>
      </c>
      <c r="C2277" s="4" t="s">
        <v>5600</v>
      </c>
      <c r="D2277" s="4" t="s">
        <v>5728</v>
      </c>
      <c r="E2277" s="4" t="s">
        <v>6011</v>
      </c>
      <c r="F2277" s="4" t="s">
        <v>9003</v>
      </c>
      <c r="G2277" s="4" t="s">
        <v>6823</v>
      </c>
      <c r="H2277" s="4" t="s">
        <v>8992</v>
      </c>
      <c r="I2277" s="4"/>
      <c r="J2277" s="4" t="s">
        <v>5506</v>
      </c>
      <c r="K2277" s="4" t="s">
        <v>57</v>
      </c>
      <c r="L2277" s="4"/>
      <c r="M2277" s="4"/>
    </row>
    <row r="2278" ht="16" customHeight="1" s="4" customFormat="1">
      <c r="A2278" s="4">
        <v>2752</v>
      </c>
      <c r="B2278" s="4" t="s">
        <v>5600</v>
      </c>
      <c r="C2278" s="4" t="s">
        <v>5600</v>
      </c>
      <c r="D2278" s="4" t="s">
        <v>5728</v>
      </c>
      <c r="E2278" s="4" t="s">
        <v>6011</v>
      </c>
      <c r="F2278" s="4" t="s">
        <v>9004</v>
      </c>
      <c r="G2278" s="4" t="s">
        <v>9005</v>
      </c>
      <c r="H2278" s="4" t="s">
        <v>9006</v>
      </c>
      <c r="I2278" s="4"/>
      <c r="J2278" s="4" t="s">
        <v>5506</v>
      </c>
      <c r="K2278" s="4" t="s">
        <v>57</v>
      </c>
      <c r="L2278" s="4"/>
      <c r="M2278" s="4"/>
    </row>
    <row r="2279" ht="16" customHeight="1" s="4" customFormat="1">
      <c r="A2279" s="4">
        <v>2753</v>
      </c>
      <c r="B2279" s="4" t="s">
        <v>5600</v>
      </c>
      <c r="C2279" s="4" t="s">
        <v>5600</v>
      </c>
      <c r="D2279" s="4" t="s">
        <v>5728</v>
      </c>
      <c r="E2279" s="4" t="s">
        <v>5729</v>
      </c>
      <c r="F2279" s="4" t="s">
        <v>9007</v>
      </c>
      <c r="G2279" s="4" t="s">
        <v>9008</v>
      </c>
      <c r="H2279" s="4" t="s">
        <v>8996</v>
      </c>
      <c r="I2279" s="4"/>
      <c r="J2279" s="4" t="s">
        <v>5506</v>
      </c>
      <c r="K2279" s="4" t="s">
        <v>57</v>
      </c>
      <c r="L2279" s="4"/>
      <c r="M2279" s="4"/>
    </row>
    <row r="2280" ht="16" customHeight="1" s="4" customFormat="1">
      <c r="A2280" s="4">
        <v>2754</v>
      </c>
      <c r="B2280" s="4" t="s">
        <v>5600</v>
      </c>
      <c r="C2280" s="4" t="s">
        <v>5600</v>
      </c>
      <c r="D2280" s="4" t="s">
        <v>5618</v>
      </c>
      <c r="E2280" s="4" t="s">
        <v>5619</v>
      </c>
      <c r="F2280" s="4" t="s">
        <v>9009</v>
      </c>
      <c r="G2280" s="4" t="s">
        <v>8991</v>
      </c>
      <c r="H2280" s="4" t="s">
        <v>8992</v>
      </c>
      <c r="I2280" s="4"/>
      <c r="J2280" s="4" t="s">
        <v>5506</v>
      </c>
      <c r="K2280" s="4" t="s">
        <v>57</v>
      </c>
      <c r="L2280" s="4"/>
      <c r="M2280" s="4"/>
    </row>
    <row r="2281" ht="16" customHeight="1" s="4" customFormat="1">
      <c r="A2281" s="4">
        <v>2755</v>
      </c>
      <c r="B2281" s="4" t="s">
        <v>5600</v>
      </c>
      <c r="C2281" s="4" t="s">
        <v>5600</v>
      </c>
      <c r="D2281" s="4" t="s">
        <v>5728</v>
      </c>
      <c r="E2281" s="4" t="s">
        <v>5729</v>
      </c>
      <c r="F2281" s="4" t="s">
        <v>9010</v>
      </c>
      <c r="G2281" s="4" t="s">
        <v>9011</v>
      </c>
      <c r="H2281" s="4" t="s">
        <v>9012</v>
      </c>
      <c r="I2281" s="4"/>
      <c r="J2281" s="4" t="s">
        <v>5506</v>
      </c>
      <c r="K2281" s="4" t="s">
        <v>57</v>
      </c>
      <c r="L2281" s="4"/>
      <c r="M2281" s="4"/>
    </row>
    <row r="2282" ht="16" customHeight="1" s="4" customFormat="1">
      <c r="A2282" s="4">
        <v>2756</v>
      </c>
      <c r="B2282" s="4" t="s">
        <v>5600</v>
      </c>
      <c r="C2282" s="4" t="s">
        <v>5600</v>
      </c>
      <c r="D2282" s="4" t="s">
        <v>6450</v>
      </c>
      <c r="E2282" s="4" t="s">
        <v>8336</v>
      </c>
      <c r="F2282" s="4" t="s">
        <v>9013</v>
      </c>
      <c r="G2282" s="4" t="s">
        <v>8338</v>
      </c>
      <c r="H2282" s="4" t="s">
        <v>8339</v>
      </c>
      <c r="I2282" s="4"/>
      <c r="J2282" s="4" t="s">
        <v>5506</v>
      </c>
      <c r="K2282" s="4" t="s">
        <v>57</v>
      </c>
      <c r="L2282" s="4"/>
      <c r="M2282" s="4"/>
    </row>
    <row r="2283" ht="16" customHeight="1" s="4" customFormat="1">
      <c r="A2283" s="4">
        <v>2757</v>
      </c>
      <c r="B2283" s="4" t="s">
        <v>5600</v>
      </c>
      <c r="C2283" s="4" t="s">
        <v>5600</v>
      </c>
      <c r="D2283" s="4" t="s">
        <v>5728</v>
      </c>
      <c r="E2283" s="4" t="s">
        <v>5729</v>
      </c>
      <c r="F2283" s="4" t="s">
        <v>9014</v>
      </c>
      <c r="G2283" s="4" t="s">
        <v>9015</v>
      </c>
      <c r="H2283" s="4" t="s">
        <v>6827</v>
      </c>
      <c r="I2283" s="4"/>
      <c r="J2283" s="4" t="s">
        <v>5506</v>
      </c>
      <c r="K2283" s="4" t="s">
        <v>57</v>
      </c>
      <c r="L2283" s="4"/>
      <c r="M2283" s="4"/>
    </row>
    <row r="2284" ht="16" customHeight="1" s="4" customFormat="1">
      <c r="A2284" s="4">
        <v>2758</v>
      </c>
      <c r="B2284" s="4" t="s">
        <v>5499</v>
      </c>
      <c r="C2284" s="4" t="s">
        <v>5590</v>
      </c>
      <c r="D2284" s="4"/>
      <c r="E2284" s="4"/>
      <c r="F2284" s="4" t="s">
        <v>9016</v>
      </c>
      <c r="G2284" s="4" t="s">
        <v>9017</v>
      </c>
      <c r="H2284" s="4" t="s">
        <v>9018</v>
      </c>
      <c r="I2284" s="4"/>
      <c r="J2284" s="4" t="s">
        <v>4842</v>
      </c>
      <c r="K2284" s="4" t="s">
        <v>57</v>
      </c>
      <c r="L2284" s="4"/>
      <c r="M2284" s="4"/>
    </row>
    <row r="2285" ht="16" customHeight="1" s="4" customFormat="1">
      <c r="A2285" s="4">
        <v>2759</v>
      </c>
      <c r="B2285" s="4" t="s">
        <v>5499</v>
      </c>
      <c r="C2285" s="4" t="s">
        <v>5590</v>
      </c>
      <c r="D2285" s="4"/>
      <c r="E2285" s="4"/>
      <c r="F2285" s="4" t="s">
        <v>9019</v>
      </c>
      <c r="G2285" s="4" t="s">
        <v>5843</v>
      </c>
      <c r="H2285" s="4" t="s">
        <v>9020</v>
      </c>
      <c r="I2285" s="4"/>
      <c r="J2285" s="4" t="s">
        <v>4842</v>
      </c>
      <c r="K2285" s="4" t="s">
        <v>57</v>
      </c>
      <c r="L2285" s="4"/>
      <c r="M2285" s="4"/>
    </row>
    <row r="2286" ht="16" customHeight="1" s="4" customFormat="1">
      <c r="A2286" s="4">
        <v>2760</v>
      </c>
      <c r="B2286" s="4" t="s">
        <v>5499</v>
      </c>
      <c r="C2286" s="4" t="s">
        <v>5702</v>
      </c>
      <c r="D2286" s="4"/>
      <c r="E2286" s="4"/>
      <c r="F2286" s="4" t="s">
        <v>9021</v>
      </c>
      <c r="G2286" s="4" t="s">
        <v>5704</v>
      </c>
      <c r="H2286" s="4" t="s">
        <v>6194</v>
      </c>
      <c r="I2286" s="4"/>
      <c r="J2286" s="4" t="s">
        <v>4842</v>
      </c>
      <c r="K2286" s="4" t="s">
        <v>57</v>
      </c>
      <c r="L2286" s="4"/>
      <c r="M2286" s="4"/>
    </row>
    <row r="2287" ht="16" customHeight="1" s="4" customFormat="1">
      <c r="A2287" s="4">
        <v>2761</v>
      </c>
      <c r="B2287" s="4" t="s">
        <v>5600</v>
      </c>
      <c r="C2287" s="4" t="s">
        <v>5600</v>
      </c>
      <c r="D2287" s="4"/>
      <c r="E2287" s="4"/>
      <c r="F2287" s="4" t="s">
        <v>9022</v>
      </c>
      <c r="G2287" s="4" t="s">
        <v>9023</v>
      </c>
      <c r="H2287" s="4" t="s">
        <v>8550</v>
      </c>
      <c r="I2287" s="4"/>
      <c r="J2287" s="4" t="s">
        <v>4842</v>
      </c>
      <c r="K2287" s="4" t="s">
        <v>57</v>
      </c>
      <c r="L2287" s="4"/>
      <c r="M2287" s="4"/>
    </row>
    <row r="2288" ht="16" customHeight="1" s="4" customFormat="1">
      <c r="A2288" s="4">
        <v>2762</v>
      </c>
      <c r="B2288" s="4" t="s">
        <v>5600</v>
      </c>
      <c r="C2288" s="4" t="s">
        <v>5600</v>
      </c>
      <c r="D2288" s="4"/>
      <c r="E2288" s="4"/>
      <c r="F2288" s="4" t="s">
        <v>9024</v>
      </c>
      <c r="G2288" s="4" t="s">
        <v>9025</v>
      </c>
      <c r="H2288" s="4" t="s">
        <v>8508</v>
      </c>
      <c r="I2288" s="4"/>
      <c r="J2288" s="4" t="s">
        <v>8551</v>
      </c>
      <c r="K2288" s="4" t="s">
        <v>57</v>
      </c>
      <c r="L2288" s="4"/>
      <c r="M2288" s="4"/>
    </row>
    <row r="2289" ht="16" customHeight="1" s="4" customFormat="1">
      <c r="A2289" s="4">
        <v>2763</v>
      </c>
      <c r="B2289" s="4" t="s">
        <v>5499</v>
      </c>
      <c r="C2289" s="4" t="s">
        <v>5590</v>
      </c>
      <c r="D2289" s="4"/>
      <c r="E2289" s="4"/>
      <c r="F2289" s="4" t="s">
        <v>9026</v>
      </c>
      <c r="G2289" s="4" t="s">
        <v>5598</v>
      </c>
      <c r="H2289" s="4" t="s">
        <v>9027</v>
      </c>
      <c r="I2289" s="4"/>
      <c r="J2289" s="4" t="s">
        <v>4842</v>
      </c>
      <c r="K2289" s="4" t="s">
        <v>57</v>
      </c>
      <c r="L2289" s="4"/>
      <c r="M2289" s="4"/>
    </row>
    <row r="2290" ht="16" customHeight="1" s="4" customFormat="1">
      <c r="A2290" s="4">
        <v>2764</v>
      </c>
      <c r="B2290" s="4" t="s">
        <v>5499</v>
      </c>
      <c r="C2290" s="4" t="s">
        <v>5590</v>
      </c>
      <c r="D2290" s="4"/>
      <c r="E2290" s="4"/>
      <c r="F2290" s="4" t="s">
        <v>9028</v>
      </c>
      <c r="G2290" s="4" t="s">
        <v>9029</v>
      </c>
      <c r="H2290" s="4" t="s">
        <v>9030</v>
      </c>
      <c r="I2290" s="4"/>
      <c r="J2290" s="4" t="s">
        <v>4798</v>
      </c>
      <c r="K2290" s="4" t="s">
        <v>57</v>
      </c>
      <c r="L2290" s="4"/>
      <c r="M2290" s="4"/>
    </row>
    <row r="2291" ht="16" customHeight="1" s="4" customFormat="1">
      <c r="A2291" s="4">
        <v>2765</v>
      </c>
      <c r="B2291" s="4" t="s">
        <v>5499</v>
      </c>
      <c r="C2291" s="4" t="s">
        <v>5714</v>
      </c>
      <c r="D2291" s="4" t="s">
        <v>5574</v>
      </c>
      <c r="E2291" s="4" t="s">
        <v>5575</v>
      </c>
      <c r="F2291" s="4" t="s">
        <v>9031</v>
      </c>
      <c r="G2291" s="4" t="s">
        <v>9032</v>
      </c>
      <c r="H2291" s="4" t="s">
        <v>9033</v>
      </c>
      <c r="I2291" s="4"/>
      <c r="J2291" s="4" t="s">
        <v>4842</v>
      </c>
      <c r="K2291" s="4" t="s">
        <v>57</v>
      </c>
      <c r="L2291" s="4"/>
      <c r="M2291" s="4"/>
    </row>
    <row r="2292" ht="16" customHeight="1" s="4" customFormat="1">
      <c r="A2292" s="4">
        <v>2766</v>
      </c>
      <c r="B2292" s="4" t="s">
        <v>5499</v>
      </c>
      <c r="C2292" s="4" t="s">
        <v>5714</v>
      </c>
      <c r="D2292" s="4" t="s">
        <v>5574</v>
      </c>
      <c r="E2292" s="4" t="s">
        <v>5575</v>
      </c>
      <c r="F2292" s="4" t="s">
        <v>9034</v>
      </c>
      <c r="G2292" s="4" t="s">
        <v>8124</v>
      </c>
      <c r="H2292" s="4" t="s">
        <v>6231</v>
      </c>
      <c r="I2292" s="4"/>
      <c r="J2292" s="4" t="s">
        <v>4842</v>
      </c>
      <c r="K2292" s="4" t="s">
        <v>57</v>
      </c>
      <c r="L2292" s="4"/>
      <c r="M2292" s="4"/>
    </row>
    <row r="2293" ht="16" customHeight="1" s="4" customFormat="1">
      <c r="A2293" s="4">
        <v>2767</v>
      </c>
      <c r="B2293" s="4" t="s">
        <v>5499</v>
      </c>
      <c r="C2293" s="4" t="s">
        <v>5714</v>
      </c>
      <c r="D2293" s="4" t="s">
        <v>5574</v>
      </c>
      <c r="E2293" s="4" t="s">
        <v>5575</v>
      </c>
      <c r="F2293" s="4" t="s">
        <v>9035</v>
      </c>
      <c r="G2293" s="4" t="s">
        <v>8124</v>
      </c>
      <c r="H2293" s="4" t="s">
        <v>6231</v>
      </c>
      <c r="I2293" s="4"/>
      <c r="J2293" s="4" t="s">
        <v>4842</v>
      </c>
      <c r="K2293" s="4" t="s">
        <v>57</v>
      </c>
      <c r="L2293" s="4"/>
      <c r="M2293" s="4"/>
    </row>
    <row r="2294" ht="16" customHeight="1" s="4" customFormat="1">
      <c r="A2294" s="4">
        <v>2768</v>
      </c>
      <c r="B2294" s="4" t="s">
        <v>5499</v>
      </c>
      <c r="C2294" s="4" t="s">
        <v>5590</v>
      </c>
      <c r="D2294" s="4"/>
      <c r="E2294" s="4" t="s">
        <v>9036</v>
      </c>
      <c r="F2294" s="4" t="s">
        <v>9037</v>
      </c>
      <c r="G2294" s="4" t="s">
        <v>9038</v>
      </c>
      <c r="H2294" s="4" t="s">
        <v>9039</v>
      </c>
      <c r="I2294" s="4"/>
      <c r="J2294" s="4" t="s">
        <v>4842</v>
      </c>
      <c r="K2294" s="4" t="s">
        <v>57</v>
      </c>
      <c r="L2294" s="4"/>
      <c r="M2294" s="4"/>
    </row>
    <row r="2295" ht="16" customHeight="1" s="4" customFormat="1">
      <c r="A2295" s="4">
        <v>2769</v>
      </c>
      <c r="B2295" s="4" t="s">
        <v>5528</v>
      </c>
      <c r="C2295" s="4" t="s">
        <v>5529</v>
      </c>
      <c r="D2295" s="4"/>
      <c r="E2295" s="4" t="s">
        <v>9040</v>
      </c>
      <c r="F2295" s="4" t="s">
        <v>9041</v>
      </c>
      <c r="G2295" s="4" t="s">
        <v>9042</v>
      </c>
      <c r="H2295" s="4" t="s">
        <v>5726</v>
      </c>
      <c r="I2295" s="4"/>
      <c r="J2295" s="4" t="s">
        <v>4798</v>
      </c>
      <c r="K2295" s="4" t="s">
        <v>57</v>
      </c>
      <c r="L2295" s="4"/>
      <c r="M2295" s="4"/>
    </row>
    <row r="2296" ht="16" customHeight="1" s="4" customFormat="1">
      <c r="A2296" s="4">
        <v>2770</v>
      </c>
      <c r="B2296" s="4" t="s">
        <v>5528</v>
      </c>
      <c r="C2296" s="4" t="s">
        <v>6140</v>
      </c>
      <c r="D2296" s="4" t="s">
        <v>5574</v>
      </c>
      <c r="E2296" s="4" t="s">
        <v>7531</v>
      </c>
      <c r="F2296" s="4" t="s">
        <v>9043</v>
      </c>
      <c r="G2296" s="4" t="s">
        <v>8448</v>
      </c>
      <c r="H2296" s="4" t="s">
        <v>9044</v>
      </c>
      <c r="I2296" s="4"/>
      <c r="J2296" s="4" t="s">
        <v>4798</v>
      </c>
      <c r="K2296" s="4" t="s">
        <v>57</v>
      </c>
      <c r="L2296" s="4"/>
      <c r="M2296" s="4"/>
    </row>
    <row r="2297" ht="16" customHeight="1" s="4" customFormat="1">
      <c r="A2297" s="4">
        <v>2771</v>
      </c>
      <c r="B2297" s="4" t="s">
        <v>5499</v>
      </c>
      <c r="C2297" s="4" t="s">
        <v>5714</v>
      </c>
      <c r="D2297" s="4" t="s">
        <v>5574</v>
      </c>
      <c r="E2297" s="4" t="s">
        <v>5575</v>
      </c>
      <c r="F2297" s="4" t="s">
        <v>9045</v>
      </c>
      <c r="G2297" s="4" t="s">
        <v>9046</v>
      </c>
      <c r="H2297" s="4" t="s">
        <v>9047</v>
      </c>
      <c r="I2297" s="4"/>
      <c r="J2297" s="4" t="s">
        <v>4842</v>
      </c>
      <c r="K2297" s="4" t="s">
        <v>57</v>
      </c>
      <c r="L2297" s="4"/>
      <c r="M2297" s="4"/>
    </row>
    <row r="2298" ht="16" customHeight="1" s="4" customFormat="1">
      <c r="A2298" s="4">
        <v>2772</v>
      </c>
      <c r="B2298" s="4" t="s">
        <v>5499</v>
      </c>
      <c r="C2298" s="4" t="s">
        <v>9048</v>
      </c>
      <c r="D2298" s="4" t="s">
        <v>5574</v>
      </c>
      <c r="E2298" s="4" t="s">
        <v>7696</v>
      </c>
      <c r="F2298" s="4" t="s">
        <v>9049</v>
      </c>
      <c r="G2298" s="4" t="s">
        <v>9050</v>
      </c>
      <c r="H2298" s="4" t="s">
        <v>9051</v>
      </c>
      <c r="I2298" s="4"/>
      <c r="J2298" s="4" t="s">
        <v>5506</v>
      </c>
      <c r="K2298" s="4" t="s">
        <v>57</v>
      </c>
      <c r="L2298" s="4"/>
      <c r="M2298" s="4"/>
    </row>
    <row r="2299" ht="16" customHeight="1" s="4" customFormat="1">
      <c r="A2299" s="4">
        <v>2773</v>
      </c>
      <c r="B2299" s="4" t="s">
        <v>5499</v>
      </c>
      <c r="C2299" s="4" t="s">
        <v>5590</v>
      </c>
      <c r="D2299" s="4"/>
      <c r="E2299" s="4" t="s">
        <v>9052</v>
      </c>
      <c r="F2299" s="4" t="s">
        <v>9053</v>
      </c>
      <c r="G2299" s="4" t="s">
        <v>4850</v>
      </c>
      <c r="H2299" s="4" t="s">
        <v>9054</v>
      </c>
      <c r="I2299" s="4"/>
      <c r="J2299" s="4" t="s">
        <v>5506</v>
      </c>
      <c r="K2299" s="4" t="s">
        <v>57</v>
      </c>
      <c r="L2299" s="4"/>
      <c r="M2299" s="4"/>
    </row>
    <row r="2300" ht="16" customHeight="1" s="4" customFormat="1">
      <c r="A2300" s="4">
        <v>2774</v>
      </c>
      <c r="B2300" s="4" t="s">
        <v>5499</v>
      </c>
      <c r="C2300" s="4" t="s">
        <v>5590</v>
      </c>
      <c r="D2300" s="4"/>
      <c r="E2300" s="4" t="s">
        <v>9052</v>
      </c>
      <c r="F2300" s="4" t="s">
        <v>9055</v>
      </c>
      <c r="G2300" s="4" t="s">
        <v>4850</v>
      </c>
      <c r="H2300" s="4" t="s">
        <v>9054</v>
      </c>
      <c r="I2300" s="4"/>
      <c r="J2300" s="4" t="s">
        <v>5506</v>
      </c>
      <c r="K2300" s="4" t="s">
        <v>57</v>
      </c>
      <c r="L2300" s="4"/>
      <c r="M2300" s="4"/>
    </row>
    <row r="2301" ht="16" customHeight="1" s="4" customFormat="1">
      <c r="A2301" s="4">
        <v>2775</v>
      </c>
      <c r="B2301" s="4" t="s">
        <v>5499</v>
      </c>
      <c r="C2301" s="4" t="s">
        <v>5590</v>
      </c>
      <c r="D2301" s="4" t="s">
        <v>5574</v>
      </c>
      <c r="E2301" s="4" t="s">
        <v>5575</v>
      </c>
      <c r="F2301" s="4" t="s">
        <v>9056</v>
      </c>
      <c r="G2301" s="4" t="s">
        <v>4850</v>
      </c>
      <c r="H2301" s="4" t="s">
        <v>9054</v>
      </c>
      <c r="I2301" s="4"/>
      <c r="J2301" s="4" t="s">
        <v>5506</v>
      </c>
      <c r="K2301" s="4" t="s">
        <v>57</v>
      </c>
      <c r="L2301" s="4"/>
      <c r="M2301" s="4"/>
    </row>
    <row r="2302" ht="16" customHeight="1" s="4" customFormat="1">
      <c r="A2302" s="4">
        <v>2776</v>
      </c>
      <c r="B2302" s="4" t="s">
        <v>5499</v>
      </c>
      <c r="C2302" s="4" t="s">
        <v>5702</v>
      </c>
      <c r="D2302" s="4" t="s">
        <v>5574</v>
      </c>
      <c r="E2302" s="4" t="s">
        <v>5575</v>
      </c>
      <c r="F2302" s="4" t="s">
        <v>9057</v>
      </c>
      <c r="G2302" s="4" t="s">
        <v>4850</v>
      </c>
      <c r="H2302" s="4" t="s">
        <v>6425</v>
      </c>
      <c r="I2302" s="4"/>
      <c r="J2302" s="4" t="s">
        <v>5506</v>
      </c>
      <c r="K2302" s="4" t="s">
        <v>57</v>
      </c>
      <c r="L2302" s="4"/>
      <c r="M2302" s="4"/>
    </row>
    <row r="2303" ht="16" customHeight="1" s="4" customFormat="1">
      <c r="A2303" s="4">
        <v>2777</v>
      </c>
      <c r="B2303" s="4" t="s">
        <v>5499</v>
      </c>
      <c r="C2303" s="4" t="s">
        <v>5590</v>
      </c>
      <c r="D2303" s="4"/>
      <c r="E2303" s="4" t="s">
        <v>5952</v>
      </c>
      <c r="F2303" s="4" t="s">
        <v>9058</v>
      </c>
      <c r="G2303" s="4" t="s">
        <v>7022</v>
      </c>
      <c r="H2303" s="4" t="s">
        <v>4850</v>
      </c>
      <c r="I2303" s="4"/>
      <c r="J2303" s="4" t="s">
        <v>5506</v>
      </c>
      <c r="K2303" s="4" t="s">
        <v>57</v>
      </c>
      <c r="L2303" s="4"/>
      <c r="M2303" s="4"/>
    </row>
    <row r="2304" ht="16" customHeight="1" s="4" customFormat="1">
      <c r="A2304" s="4">
        <v>2778</v>
      </c>
      <c r="B2304" s="4" t="s">
        <v>5499</v>
      </c>
      <c r="C2304" s="4" t="s">
        <v>5590</v>
      </c>
      <c r="D2304" s="4"/>
      <c r="E2304" s="4" t="s">
        <v>9052</v>
      </c>
      <c r="F2304" s="4" t="s">
        <v>9059</v>
      </c>
      <c r="G2304" s="4" t="s">
        <v>4850</v>
      </c>
      <c r="H2304" s="4" t="s">
        <v>9054</v>
      </c>
      <c r="I2304" s="4"/>
      <c r="J2304" s="4" t="s">
        <v>5506</v>
      </c>
      <c r="K2304" s="4" t="s">
        <v>57</v>
      </c>
      <c r="L2304" s="4"/>
      <c r="M2304" s="4"/>
    </row>
    <row r="2305" ht="16" customHeight="1" s="4" customFormat="1">
      <c r="A2305" s="4">
        <v>2779</v>
      </c>
      <c r="B2305" s="4" t="s">
        <v>5499</v>
      </c>
      <c r="C2305" s="4" t="s">
        <v>5590</v>
      </c>
      <c r="D2305" s="4"/>
      <c r="E2305" s="4" t="s">
        <v>9052</v>
      </c>
      <c r="F2305" s="4" t="s">
        <v>9060</v>
      </c>
      <c r="G2305" s="4" t="s">
        <v>4850</v>
      </c>
      <c r="H2305" s="4" t="s">
        <v>9061</v>
      </c>
      <c r="I2305" s="4"/>
      <c r="J2305" s="4" t="s">
        <v>5506</v>
      </c>
      <c r="K2305" s="4" t="s">
        <v>57</v>
      </c>
      <c r="L2305" s="4"/>
      <c r="M2305" s="4"/>
    </row>
    <row r="2306" ht="16" customHeight="1" s="4" customFormat="1">
      <c r="A2306" s="4">
        <v>2780</v>
      </c>
      <c r="B2306" s="4" t="s">
        <v>5499</v>
      </c>
      <c r="C2306" s="4" t="s">
        <v>5590</v>
      </c>
      <c r="D2306" s="4" t="s">
        <v>5574</v>
      </c>
      <c r="E2306" s="4" t="s">
        <v>5575</v>
      </c>
      <c r="F2306" s="4" t="s">
        <v>9062</v>
      </c>
      <c r="G2306" s="4" t="s">
        <v>4850</v>
      </c>
      <c r="H2306" s="4" t="s">
        <v>9054</v>
      </c>
      <c r="I2306" s="4"/>
      <c r="J2306" s="4" t="s">
        <v>5506</v>
      </c>
      <c r="K2306" s="4" t="s">
        <v>57</v>
      </c>
      <c r="L2306" s="4"/>
      <c r="M2306" s="4"/>
    </row>
    <row r="2307" ht="16" customHeight="1" s="4" customFormat="1">
      <c r="A2307" s="4">
        <v>2781</v>
      </c>
      <c r="B2307" s="4" t="s">
        <v>5499</v>
      </c>
      <c r="C2307" s="4" t="s">
        <v>5590</v>
      </c>
      <c r="D2307" s="4" t="s">
        <v>5574</v>
      </c>
      <c r="E2307" s="4" t="s">
        <v>5575</v>
      </c>
      <c r="F2307" s="4" t="s">
        <v>9063</v>
      </c>
      <c r="G2307" s="4" t="s">
        <v>4850</v>
      </c>
      <c r="H2307" s="4" t="s">
        <v>9061</v>
      </c>
      <c r="I2307" s="4"/>
      <c r="J2307" s="4" t="s">
        <v>5506</v>
      </c>
      <c r="K2307" s="4" t="s">
        <v>57</v>
      </c>
      <c r="L2307" s="4"/>
      <c r="M2307" s="4"/>
    </row>
    <row r="2308" ht="16" customHeight="1" s="4" customFormat="1">
      <c r="A2308" s="4">
        <v>2782</v>
      </c>
      <c r="B2308" s="4" t="s">
        <v>5499</v>
      </c>
      <c r="C2308" s="4" t="s">
        <v>5714</v>
      </c>
      <c r="D2308" s="4" t="s">
        <v>5574</v>
      </c>
      <c r="E2308" s="4" t="s">
        <v>5575</v>
      </c>
      <c r="F2308" s="4" t="s">
        <v>9064</v>
      </c>
      <c r="G2308" s="4" t="s">
        <v>10</v>
      </c>
      <c r="H2308" s="4" t="s">
        <v>9065</v>
      </c>
      <c r="I2308" s="4"/>
      <c r="J2308" s="4" t="s">
        <v>4842</v>
      </c>
      <c r="K2308" s="4" t="s">
        <v>57</v>
      </c>
      <c r="L2308" s="4"/>
      <c r="M2308" s="4"/>
    </row>
    <row r="2309" ht="16" customHeight="1" s="4" customFormat="1">
      <c r="A2309" s="4">
        <v>2783</v>
      </c>
      <c r="B2309" s="4" t="s">
        <v>5499</v>
      </c>
      <c r="C2309" s="4" t="s">
        <v>5509</v>
      </c>
      <c r="D2309" s="4"/>
      <c r="E2309" s="4"/>
      <c r="F2309" s="4" t="s">
        <v>9066</v>
      </c>
      <c r="G2309" s="4" t="s">
        <v>10</v>
      </c>
      <c r="H2309" s="4" t="s">
        <v>9067</v>
      </c>
      <c r="I2309" s="4"/>
      <c r="J2309" s="4" t="s">
        <v>4798</v>
      </c>
      <c r="K2309" s="4" t="s">
        <v>57</v>
      </c>
      <c r="L2309" s="4"/>
      <c r="M2309" s="4"/>
    </row>
    <row r="2310" ht="16" customHeight="1" s="4" customFormat="1">
      <c r="A2310" s="4">
        <v>2784</v>
      </c>
      <c r="B2310" s="4" t="s">
        <v>5499</v>
      </c>
      <c r="C2310" s="4" t="s">
        <v>5590</v>
      </c>
      <c r="D2310" s="4"/>
      <c r="E2310" s="4" t="s">
        <v>5952</v>
      </c>
      <c r="F2310" s="4" t="s">
        <v>9068</v>
      </c>
      <c r="G2310" s="4" t="s">
        <v>6339</v>
      </c>
      <c r="H2310" s="4" t="s">
        <v>6340</v>
      </c>
      <c r="I2310" s="4"/>
      <c r="J2310" s="4" t="s">
        <v>4842</v>
      </c>
      <c r="K2310" s="4" t="s">
        <v>57</v>
      </c>
      <c r="L2310" s="4"/>
      <c r="M2310" s="4"/>
    </row>
    <row r="2311" ht="16" customHeight="1" s="4" customFormat="1">
      <c r="A2311" s="4">
        <v>2785</v>
      </c>
      <c r="B2311" s="4" t="s">
        <v>5499</v>
      </c>
      <c r="C2311" s="4" t="s">
        <v>5590</v>
      </c>
      <c r="D2311" s="4" t="s">
        <v>5574</v>
      </c>
      <c r="E2311" s="4" t="s">
        <v>5575</v>
      </c>
      <c r="F2311" s="4" t="s">
        <v>9069</v>
      </c>
      <c r="G2311" s="4" t="s">
        <v>7014</v>
      </c>
      <c r="H2311" s="4" t="s">
        <v>7366</v>
      </c>
      <c r="I2311" s="4"/>
      <c r="J2311" s="4" t="s">
        <v>4842</v>
      </c>
      <c r="K2311" s="4" t="s">
        <v>57</v>
      </c>
      <c r="L2311" s="4"/>
      <c r="M2311" s="4"/>
    </row>
    <row r="2312" ht="16" customHeight="1" s="4" customFormat="1">
      <c r="A2312" s="4">
        <v>2786</v>
      </c>
      <c r="B2312" s="4" t="s">
        <v>5499</v>
      </c>
      <c r="C2312" s="4" t="s">
        <v>5590</v>
      </c>
      <c r="D2312" s="4" t="s">
        <v>5574</v>
      </c>
      <c r="E2312" s="4" t="s">
        <v>5575</v>
      </c>
      <c r="F2312" s="4" t="s">
        <v>9070</v>
      </c>
      <c r="G2312" s="4" t="s">
        <v>7014</v>
      </c>
      <c r="H2312" s="4" t="s">
        <v>7366</v>
      </c>
      <c r="I2312" s="4"/>
      <c r="J2312" s="4" t="s">
        <v>4842</v>
      </c>
      <c r="K2312" s="4" t="s">
        <v>57</v>
      </c>
      <c r="L2312" s="4"/>
      <c r="M2312" s="4"/>
    </row>
    <row r="2313" ht="16" customHeight="1" s="4" customFormat="1">
      <c r="A2313" s="4">
        <v>2787</v>
      </c>
      <c r="B2313" s="4" t="s">
        <v>5499</v>
      </c>
      <c r="C2313" s="4" t="s">
        <v>5702</v>
      </c>
      <c r="D2313" s="4" t="s">
        <v>5574</v>
      </c>
      <c r="E2313" s="4" t="s">
        <v>5575</v>
      </c>
      <c r="F2313" s="4" t="s">
        <v>9071</v>
      </c>
      <c r="G2313" s="4" t="s">
        <v>6422</v>
      </c>
      <c r="H2313" s="4" t="s">
        <v>6425</v>
      </c>
      <c r="I2313" s="4"/>
      <c r="J2313" s="4" t="s">
        <v>5506</v>
      </c>
      <c r="K2313" s="4" t="s">
        <v>57</v>
      </c>
      <c r="L2313" s="4"/>
      <c r="M2313" s="4"/>
    </row>
    <row r="2314" ht="16" customHeight="1" s="4" customFormat="1">
      <c r="A2314" s="4">
        <v>2788</v>
      </c>
      <c r="B2314" s="4" t="s">
        <v>5499</v>
      </c>
      <c r="C2314" s="4" t="s">
        <v>5590</v>
      </c>
      <c r="D2314" s="4"/>
      <c r="E2314" s="4" t="s">
        <v>5952</v>
      </c>
      <c r="F2314" s="4" t="s">
        <v>9072</v>
      </c>
      <c r="G2314" s="4" t="s">
        <v>7391</v>
      </c>
      <c r="H2314" s="4" t="s">
        <v>7014</v>
      </c>
      <c r="I2314" s="4"/>
      <c r="J2314" s="4" t="s">
        <v>4842</v>
      </c>
      <c r="K2314" s="4" t="s">
        <v>57</v>
      </c>
      <c r="L2314" s="4"/>
      <c r="M2314" s="4"/>
    </row>
    <row r="2315" ht="16" customHeight="1" s="4" customFormat="1">
      <c r="A2315" s="4">
        <v>2789</v>
      </c>
      <c r="B2315" s="4" t="s">
        <v>5499</v>
      </c>
      <c r="C2315" s="4" t="s">
        <v>5590</v>
      </c>
      <c r="D2315" s="4"/>
      <c r="E2315" s="4" t="s">
        <v>5952</v>
      </c>
      <c r="F2315" s="4" t="s">
        <v>9073</v>
      </c>
      <c r="G2315" s="4" t="s">
        <v>7395</v>
      </c>
      <c r="H2315" s="4" t="s">
        <v>7014</v>
      </c>
      <c r="I2315" s="4"/>
      <c r="J2315" s="4" t="s">
        <v>4842</v>
      </c>
      <c r="K2315" s="4" t="s">
        <v>57</v>
      </c>
      <c r="L2315" s="4"/>
      <c r="M2315" s="4"/>
    </row>
    <row r="2316" ht="16" customHeight="1" s="4" customFormat="1">
      <c r="A2316" s="4">
        <v>2790</v>
      </c>
      <c r="B2316" s="4" t="s">
        <v>5499</v>
      </c>
      <c r="C2316" s="4" t="s">
        <v>5590</v>
      </c>
      <c r="D2316" s="4"/>
      <c r="E2316" s="4" t="s">
        <v>5952</v>
      </c>
      <c r="F2316" s="4" t="s">
        <v>9074</v>
      </c>
      <c r="G2316" s="4" t="s">
        <v>7011</v>
      </c>
      <c r="H2316" s="4" t="s">
        <v>9075</v>
      </c>
      <c r="I2316" s="4"/>
      <c r="J2316" s="4" t="s">
        <v>4842</v>
      </c>
      <c r="K2316" s="4" t="s">
        <v>57</v>
      </c>
      <c r="L2316" s="4"/>
      <c r="M2316" s="4"/>
    </row>
    <row r="2317" ht="16" customHeight="1" s="4" customFormat="1">
      <c r="A2317" s="4">
        <v>2791</v>
      </c>
      <c r="B2317" s="4" t="s">
        <v>5499</v>
      </c>
      <c r="C2317" s="4" t="s">
        <v>5590</v>
      </c>
      <c r="D2317" s="4"/>
      <c r="E2317" s="4" t="s">
        <v>9052</v>
      </c>
      <c r="F2317" s="4" t="s">
        <v>9076</v>
      </c>
      <c r="G2317" s="4" t="s">
        <v>9077</v>
      </c>
      <c r="H2317" s="4" t="s">
        <v>9078</v>
      </c>
      <c r="I2317" s="4"/>
      <c r="J2317" s="4" t="s">
        <v>5506</v>
      </c>
      <c r="K2317" s="4" t="s">
        <v>57</v>
      </c>
      <c r="L2317" s="4"/>
      <c r="M2317" s="4"/>
    </row>
    <row r="2318" ht="16" customHeight="1" s="4" customFormat="1">
      <c r="A2318" s="4">
        <v>2792</v>
      </c>
      <c r="B2318" s="4" t="s">
        <v>5499</v>
      </c>
      <c r="C2318" s="4" t="s">
        <v>5590</v>
      </c>
      <c r="D2318" s="4" t="s">
        <v>5574</v>
      </c>
      <c r="E2318" s="4" t="s">
        <v>5575</v>
      </c>
      <c r="F2318" s="4" t="s">
        <v>9079</v>
      </c>
      <c r="G2318" s="4" t="s">
        <v>7014</v>
      </c>
      <c r="H2318" s="4" t="s">
        <v>7366</v>
      </c>
      <c r="I2318" s="4"/>
      <c r="J2318" s="4" t="s">
        <v>4842</v>
      </c>
      <c r="K2318" s="4" t="s">
        <v>57</v>
      </c>
      <c r="L2318" s="4"/>
      <c r="M2318" s="4"/>
    </row>
    <row r="2319" ht="16" customHeight="1" s="4" customFormat="1">
      <c r="A2319" s="4">
        <v>2793</v>
      </c>
      <c r="B2319" s="4" t="s">
        <v>5499</v>
      </c>
      <c r="C2319" s="4" t="s">
        <v>5590</v>
      </c>
      <c r="D2319" s="4" t="s">
        <v>5574</v>
      </c>
      <c r="E2319" s="4" t="s">
        <v>5575</v>
      </c>
      <c r="F2319" s="4" t="s">
        <v>9080</v>
      </c>
      <c r="G2319" s="4" t="s">
        <v>7014</v>
      </c>
      <c r="H2319" s="4" t="s">
        <v>7366</v>
      </c>
      <c r="I2319" s="4"/>
      <c r="J2319" s="4" t="s">
        <v>4842</v>
      </c>
      <c r="K2319" s="4" t="s">
        <v>57</v>
      </c>
      <c r="L2319" s="4"/>
      <c r="M2319" s="4"/>
    </row>
    <row r="2320" ht="16" customHeight="1" s="4" customFormat="1">
      <c r="A2320" s="4">
        <v>2794</v>
      </c>
      <c r="B2320" s="4" t="s">
        <v>5499</v>
      </c>
      <c r="C2320" s="4" t="s">
        <v>5590</v>
      </c>
      <c r="D2320" s="4" t="s">
        <v>5574</v>
      </c>
      <c r="E2320" s="4" t="s">
        <v>5575</v>
      </c>
      <c r="F2320" s="4" t="s">
        <v>9081</v>
      </c>
      <c r="G2320" s="4" t="s">
        <v>7014</v>
      </c>
      <c r="H2320" s="4" t="s">
        <v>7366</v>
      </c>
      <c r="I2320" s="4"/>
      <c r="J2320" s="4" t="s">
        <v>4842</v>
      </c>
      <c r="K2320" s="4" t="s">
        <v>57</v>
      </c>
      <c r="L2320" s="4"/>
      <c r="M2320" s="4"/>
    </row>
    <row r="2321" ht="16" customHeight="1" s="4" customFormat="1">
      <c r="A2321" s="4">
        <v>2795</v>
      </c>
      <c r="B2321" s="4" t="s">
        <v>5499</v>
      </c>
      <c r="C2321" s="4" t="s">
        <v>9048</v>
      </c>
      <c r="D2321" s="4"/>
      <c r="E2321" s="4" t="s">
        <v>9082</v>
      </c>
      <c r="F2321" s="4" t="s">
        <v>9083</v>
      </c>
      <c r="G2321" s="4" t="s">
        <v>9084</v>
      </c>
      <c r="H2321" s="4" t="s">
        <v>9085</v>
      </c>
      <c r="I2321" s="4"/>
      <c r="J2321" s="4" t="s">
        <v>5506</v>
      </c>
      <c r="K2321" s="4" t="s">
        <v>57</v>
      </c>
      <c r="L2321" s="4"/>
      <c r="M2321" s="4"/>
    </row>
    <row r="2322" ht="16" customHeight="1" s="4" customFormat="1">
      <c r="A2322" s="4">
        <v>2796</v>
      </c>
      <c r="B2322" s="4" t="s">
        <v>5499</v>
      </c>
      <c r="C2322" s="4" t="s">
        <v>5590</v>
      </c>
      <c r="D2322" s="4" t="s">
        <v>5591</v>
      </c>
      <c r="E2322" s="4" t="s">
        <v>5592</v>
      </c>
      <c r="F2322" s="4" t="s">
        <v>9086</v>
      </c>
      <c r="G2322" s="4" t="s">
        <v>4850</v>
      </c>
      <c r="H2322" s="4" t="s">
        <v>8817</v>
      </c>
      <c r="I2322" s="4"/>
      <c r="J2322" s="4" t="s">
        <v>5506</v>
      </c>
      <c r="K2322" s="4" t="s">
        <v>57</v>
      </c>
      <c r="L2322" s="4"/>
      <c r="M2322" s="4"/>
    </row>
    <row r="2323" ht="16" customHeight="1" s="4" customFormat="1">
      <c r="A2323" s="4">
        <v>2797</v>
      </c>
      <c r="B2323" s="4" t="s">
        <v>5499</v>
      </c>
      <c r="C2323" s="4" t="s">
        <v>5590</v>
      </c>
      <c r="D2323" s="4"/>
      <c r="E2323" s="4" t="s">
        <v>5952</v>
      </c>
      <c r="F2323" s="4" t="s">
        <v>9087</v>
      </c>
      <c r="G2323" s="4" t="s">
        <v>7393</v>
      </c>
      <c r="H2323" s="4" t="s">
        <v>7014</v>
      </c>
      <c r="I2323" s="4"/>
      <c r="J2323" s="4" t="s">
        <v>4842</v>
      </c>
      <c r="K2323" s="4" t="s">
        <v>57</v>
      </c>
      <c r="L2323" s="4"/>
      <c r="M2323" s="4"/>
    </row>
    <row r="2324" ht="16" customHeight="1" s="4" customFormat="1">
      <c r="A2324" s="4">
        <v>2798</v>
      </c>
      <c r="B2324" s="4" t="s">
        <v>5499</v>
      </c>
      <c r="C2324" s="4" t="s">
        <v>5590</v>
      </c>
      <c r="D2324" s="4" t="s">
        <v>5574</v>
      </c>
      <c r="E2324" s="4" t="s">
        <v>5575</v>
      </c>
      <c r="F2324" s="4" t="s">
        <v>9088</v>
      </c>
      <c r="G2324" s="4" t="s">
        <v>7062</v>
      </c>
      <c r="H2324" s="4" t="s">
        <v>5716</v>
      </c>
      <c r="I2324" s="4"/>
      <c r="J2324" s="4" t="s">
        <v>4842</v>
      </c>
      <c r="K2324" s="4" t="s">
        <v>57</v>
      </c>
      <c r="L2324" s="4"/>
      <c r="M2324" s="4"/>
    </row>
    <row r="2325" ht="16" customHeight="1" s="4" customFormat="1">
      <c r="A2325" s="4">
        <v>2799</v>
      </c>
      <c r="B2325" s="4" t="s">
        <v>5499</v>
      </c>
      <c r="C2325" s="4" t="s">
        <v>5590</v>
      </c>
      <c r="D2325" s="4" t="s">
        <v>5574</v>
      </c>
      <c r="E2325" s="4" t="s">
        <v>5575</v>
      </c>
      <c r="F2325" s="4" t="s">
        <v>9089</v>
      </c>
      <c r="G2325" s="4" t="s">
        <v>6431</v>
      </c>
      <c r="H2325" s="4" t="s">
        <v>9090</v>
      </c>
      <c r="I2325" s="4"/>
      <c r="J2325" s="4" t="s">
        <v>4798</v>
      </c>
      <c r="K2325" s="4" t="s">
        <v>57</v>
      </c>
      <c r="L2325" s="4"/>
      <c r="M2325" s="4"/>
    </row>
    <row r="2326" ht="16" customHeight="1" s="4" customFormat="1">
      <c r="A2326" s="4">
        <v>2800</v>
      </c>
      <c r="B2326" s="4" t="s">
        <v>5499</v>
      </c>
      <c r="C2326" s="4" t="s">
        <v>9091</v>
      </c>
      <c r="D2326" s="4"/>
      <c r="E2326" s="4" t="s">
        <v>7168</v>
      </c>
      <c r="F2326" s="4" t="s">
        <v>9092</v>
      </c>
      <c r="G2326" s="4" t="s">
        <v>6431</v>
      </c>
      <c r="H2326" s="4" t="s">
        <v>9093</v>
      </c>
      <c r="I2326" s="4"/>
      <c r="J2326" s="4" t="s">
        <v>4798</v>
      </c>
      <c r="K2326" s="4" t="s">
        <v>57</v>
      </c>
      <c r="L2326" s="4"/>
      <c r="M2326" s="4"/>
    </row>
    <row r="2327" ht="16" customHeight="1" s="4" customFormat="1">
      <c r="A2327" s="4">
        <v>2801</v>
      </c>
      <c r="B2327" s="4" t="s">
        <v>5499</v>
      </c>
      <c r="C2327" s="4" t="s">
        <v>5702</v>
      </c>
      <c r="D2327" s="4" t="s">
        <v>5574</v>
      </c>
      <c r="E2327" s="4" t="s">
        <v>5575</v>
      </c>
      <c r="F2327" s="4" t="s">
        <v>9094</v>
      </c>
      <c r="G2327" s="4" t="s">
        <v>6422</v>
      </c>
      <c r="H2327" s="4" t="s">
        <v>9095</v>
      </c>
      <c r="I2327" s="4"/>
      <c r="J2327" s="4" t="s">
        <v>5506</v>
      </c>
      <c r="K2327" s="4" t="s">
        <v>57</v>
      </c>
      <c r="L2327" s="4"/>
      <c r="M2327" s="4"/>
    </row>
    <row r="2328" ht="16" customHeight="1" s="4" customFormat="1">
      <c r="A2328" s="4">
        <v>2802</v>
      </c>
      <c r="B2328" s="4" t="s">
        <v>5528</v>
      </c>
      <c r="C2328" s="4" t="s">
        <v>6140</v>
      </c>
      <c r="D2328" s="4" t="s">
        <v>6450</v>
      </c>
      <c r="E2328" s="4" t="s">
        <v>9096</v>
      </c>
      <c r="F2328" s="4" t="s">
        <v>9097</v>
      </c>
      <c r="G2328" s="4" t="s">
        <v>9098</v>
      </c>
      <c r="H2328" s="4" t="s">
        <v>9099</v>
      </c>
      <c r="I2328" s="4"/>
      <c r="J2328" s="4" t="s">
        <v>5506</v>
      </c>
      <c r="K2328" s="4" t="s">
        <v>57</v>
      </c>
      <c r="L2328" s="4"/>
      <c r="M2328" s="4"/>
    </row>
    <row r="2329" ht="16" customHeight="1" s="4" customFormat="1">
      <c r="A2329" s="4">
        <v>2803</v>
      </c>
      <c r="B2329" s="4" t="s">
        <v>5499</v>
      </c>
      <c r="C2329" s="4" t="s">
        <v>7546</v>
      </c>
      <c r="D2329" s="4"/>
      <c r="E2329" s="4" t="s">
        <v>7547</v>
      </c>
      <c r="F2329" s="4" t="s">
        <v>9100</v>
      </c>
      <c r="G2329" s="4" t="s">
        <v>9101</v>
      </c>
      <c r="H2329" s="4" t="s">
        <v>9102</v>
      </c>
      <c r="I2329" s="4"/>
      <c r="J2329" s="4" t="s">
        <v>4798</v>
      </c>
      <c r="K2329" s="4" t="s">
        <v>57</v>
      </c>
      <c r="L2329" s="4"/>
      <c r="M2329" s="4"/>
    </row>
    <row r="2330" ht="16" customHeight="1" s="4" customFormat="1">
      <c r="A2330" s="4">
        <v>2804</v>
      </c>
      <c r="B2330" s="4" t="s">
        <v>5499</v>
      </c>
      <c r="C2330" s="4" t="s">
        <v>5702</v>
      </c>
      <c r="D2330" s="4" t="s">
        <v>5574</v>
      </c>
      <c r="E2330" s="4" t="s">
        <v>5575</v>
      </c>
      <c r="F2330" s="4" t="s">
        <v>9103</v>
      </c>
      <c r="G2330" s="4" t="s">
        <v>9104</v>
      </c>
      <c r="H2330" s="4" t="s">
        <v>7241</v>
      </c>
      <c r="I2330" s="4"/>
      <c r="J2330" s="4" t="s">
        <v>4798</v>
      </c>
      <c r="K2330" s="4" t="s">
        <v>57</v>
      </c>
      <c r="L2330" s="4"/>
      <c r="M2330" s="4"/>
    </row>
    <row r="2331" ht="16" customHeight="1" s="4" customFormat="1">
      <c r="A2331" s="4">
        <v>2805</v>
      </c>
      <c r="B2331" s="4" t="s">
        <v>5499</v>
      </c>
      <c r="C2331" s="4" t="s">
        <v>5702</v>
      </c>
      <c r="D2331" s="4" t="s">
        <v>5574</v>
      </c>
      <c r="E2331" s="4" t="s">
        <v>5575</v>
      </c>
      <c r="F2331" s="4" t="s">
        <v>9105</v>
      </c>
      <c r="G2331" s="4" t="s">
        <v>4850</v>
      </c>
      <c r="H2331" s="4" t="s">
        <v>9106</v>
      </c>
      <c r="I2331" s="4"/>
      <c r="J2331" s="4" t="s">
        <v>4798</v>
      </c>
      <c r="K2331" s="4" t="s">
        <v>57</v>
      </c>
      <c r="L2331" s="4"/>
      <c r="M2331" s="4"/>
    </row>
    <row r="2332" ht="16" customHeight="1" s="4" customFormat="1">
      <c r="A2332" s="4">
        <v>2806</v>
      </c>
      <c r="B2332" s="4" t="s">
        <v>5499</v>
      </c>
      <c r="C2332" s="4" t="s">
        <v>5590</v>
      </c>
      <c r="D2332" s="4" t="s">
        <v>5574</v>
      </c>
      <c r="E2332" s="4" t="s">
        <v>5575</v>
      </c>
      <c r="F2332" s="4" t="s">
        <v>9107</v>
      </c>
      <c r="G2332" s="4" t="s">
        <v>9108</v>
      </c>
      <c r="H2332" s="4" t="s">
        <v>9109</v>
      </c>
      <c r="I2332" s="4"/>
      <c r="J2332" s="4" t="s">
        <v>4798</v>
      </c>
      <c r="K2332" s="4" t="s">
        <v>57</v>
      </c>
      <c r="L2332" s="4"/>
      <c r="M2332" s="4"/>
    </row>
    <row r="2333" ht="16" customHeight="1" s="4" customFormat="1">
      <c r="A2333" s="4">
        <v>2807</v>
      </c>
      <c r="B2333" s="4" t="s">
        <v>5499</v>
      </c>
      <c r="C2333" s="4" t="s">
        <v>5702</v>
      </c>
      <c r="D2333" s="4" t="s">
        <v>5574</v>
      </c>
      <c r="E2333" s="4" t="s">
        <v>5575</v>
      </c>
      <c r="F2333" s="4" t="s">
        <v>9110</v>
      </c>
      <c r="G2333" s="4" t="s">
        <v>6422</v>
      </c>
      <c r="H2333" s="4" t="s">
        <v>9095</v>
      </c>
      <c r="I2333" s="4"/>
      <c r="J2333" s="4" t="s">
        <v>5506</v>
      </c>
      <c r="K2333" s="4" t="s">
        <v>57</v>
      </c>
      <c r="L2333" s="4"/>
      <c r="M2333" s="4"/>
    </row>
    <row r="2334" ht="16" customHeight="1" s="4" customFormat="1">
      <c r="A2334" s="4">
        <v>2808</v>
      </c>
      <c r="B2334" s="4" t="s">
        <v>5499</v>
      </c>
      <c r="C2334" s="4" t="s">
        <v>7546</v>
      </c>
      <c r="D2334" s="4"/>
      <c r="E2334" s="4" t="s">
        <v>7547</v>
      </c>
      <c r="F2334" s="4" t="s">
        <v>9111</v>
      </c>
      <c r="G2334" s="4" t="s">
        <v>9112</v>
      </c>
      <c r="H2334" s="4" t="s">
        <v>9113</v>
      </c>
      <c r="I2334" s="4"/>
      <c r="J2334" s="4" t="s">
        <v>5506</v>
      </c>
      <c r="K2334" s="4" t="s">
        <v>57</v>
      </c>
      <c r="L2334" s="4"/>
      <c r="M2334" s="4"/>
    </row>
    <row r="2335" ht="16" customHeight="1" s="4" customFormat="1">
      <c r="A2335" s="4">
        <v>2809</v>
      </c>
      <c r="B2335" s="4" t="s">
        <v>5499</v>
      </c>
      <c r="C2335" s="4" t="s">
        <v>5590</v>
      </c>
      <c r="D2335" s="4" t="s">
        <v>5574</v>
      </c>
      <c r="E2335" s="4" t="s">
        <v>5575</v>
      </c>
      <c r="F2335" s="4" t="s">
        <v>9114</v>
      </c>
      <c r="G2335" s="4" t="s">
        <v>4850</v>
      </c>
      <c r="H2335" s="4" t="s">
        <v>9109</v>
      </c>
      <c r="I2335" s="4"/>
      <c r="J2335" s="4" t="s">
        <v>4798</v>
      </c>
      <c r="K2335" s="4" t="s">
        <v>57</v>
      </c>
      <c r="L2335" s="4"/>
      <c r="M2335" s="4"/>
    </row>
    <row r="2336" ht="16" customHeight="1" s="4" customFormat="1">
      <c r="A2336" s="4">
        <v>2810</v>
      </c>
      <c r="B2336" s="4" t="s">
        <v>5499</v>
      </c>
      <c r="C2336" s="4" t="s">
        <v>9091</v>
      </c>
      <c r="D2336" s="4"/>
      <c r="E2336" s="4" t="s">
        <v>9115</v>
      </c>
      <c r="F2336" s="4" t="s">
        <v>9116</v>
      </c>
      <c r="G2336" s="4" t="s">
        <v>9117</v>
      </c>
      <c r="H2336" s="4" t="s">
        <v>9118</v>
      </c>
      <c r="I2336" s="4"/>
      <c r="J2336" s="4" t="s">
        <v>4842</v>
      </c>
      <c r="K2336" s="4" t="s">
        <v>57</v>
      </c>
      <c r="L2336" s="4"/>
      <c r="M2336" s="4"/>
    </row>
    <row r="2337" ht="16" customHeight="1" s="4" customFormat="1">
      <c r="A2337" s="4">
        <v>2811</v>
      </c>
      <c r="B2337" s="4" t="s">
        <v>5499</v>
      </c>
      <c r="C2337" s="4" t="s">
        <v>9091</v>
      </c>
      <c r="D2337" s="4"/>
      <c r="E2337" s="4" t="s">
        <v>9115</v>
      </c>
      <c r="F2337" s="4" t="s">
        <v>9119</v>
      </c>
      <c r="G2337" s="4" t="s">
        <v>9120</v>
      </c>
      <c r="H2337" s="4" t="s">
        <v>9121</v>
      </c>
      <c r="I2337" s="4"/>
      <c r="J2337" s="4" t="s">
        <v>4842</v>
      </c>
      <c r="K2337" s="4" t="s">
        <v>57</v>
      </c>
      <c r="L2337" s="4"/>
      <c r="M2337" s="4"/>
    </row>
    <row r="2338" ht="16" customHeight="1" s="4" customFormat="1">
      <c r="A2338" s="4">
        <v>2812</v>
      </c>
      <c r="B2338" s="4" t="s">
        <v>5499</v>
      </c>
      <c r="C2338" s="4" t="s">
        <v>9122</v>
      </c>
      <c r="D2338" s="4"/>
      <c r="E2338" s="4" t="s">
        <v>5584</v>
      </c>
      <c r="F2338" s="4" t="s">
        <v>5638</v>
      </c>
      <c r="G2338" s="4" t="s">
        <v>5639</v>
      </c>
      <c r="H2338" s="4" t="s">
        <v>5640</v>
      </c>
      <c r="I2338" s="4"/>
      <c r="J2338" s="4" t="s">
        <v>4798</v>
      </c>
      <c r="K2338" s="4" t="s">
        <v>57</v>
      </c>
      <c r="L2338" s="4"/>
      <c r="M2338" s="4"/>
    </row>
    <row r="2339" ht="16" customHeight="1" s="4" customFormat="1">
      <c r="A2339" s="4">
        <v>2813</v>
      </c>
      <c r="B2339" s="4" t="s">
        <v>5499</v>
      </c>
      <c r="C2339" s="4" t="s">
        <v>9091</v>
      </c>
      <c r="D2339" s="4"/>
      <c r="E2339" s="4" t="s">
        <v>9115</v>
      </c>
      <c r="F2339" s="4" t="s">
        <v>9123</v>
      </c>
      <c r="G2339" s="4" t="s">
        <v>9124</v>
      </c>
      <c r="H2339" s="4" t="s">
        <v>9125</v>
      </c>
      <c r="I2339" s="4"/>
      <c r="J2339" s="4" t="s">
        <v>4842</v>
      </c>
      <c r="K2339" s="4" t="s">
        <v>57</v>
      </c>
      <c r="L2339" s="4"/>
      <c r="M2339" s="4"/>
    </row>
    <row r="2340" ht="16" customHeight="1" s="4" customFormat="1">
      <c r="A2340" s="4">
        <v>2814</v>
      </c>
      <c r="B2340" s="4" t="s">
        <v>5499</v>
      </c>
      <c r="C2340" s="4" t="s">
        <v>9091</v>
      </c>
      <c r="D2340" s="4"/>
      <c r="E2340" s="4" t="s">
        <v>9115</v>
      </c>
      <c r="F2340" s="4" t="s">
        <v>9126</v>
      </c>
      <c r="G2340" s="4" t="s">
        <v>9127</v>
      </c>
      <c r="H2340" s="4" t="s">
        <v>9125</v>
      </c>
      <c r="I2340" s="4"/>
      <c r="J2340" s="4" t="s">
        <v>4842</v>
      </c>
      <c r="K2340" s="4" t="s">
        <v>57</v>
      </c>
      <c r="L2340" s="4"/>
      <c r="M2340" s="4"/>
    </row>
    <row r="2341" ht="16" customHeight="1" s="4" customFormat="1">
      <c r="A2341" s="4">
        <v>2815</v>
      </c>
      <c r="B2341" s="4" t="s">
        <v>5499</v>
      </c>
      <c r="C2341" s="4" t="s">
        <v>9091</v>
      </c>
      <c r="D2341" s="4"/>
      <c r="E2341" s="4" t="s">
        <v>9115</v>
      </c>
      <c r="F2341" s="4" t="s">
        <v>9128</v>
      </c>
      <c r="G2341" s="4" t="s">
        <v>9129</v>
      </c>
      <c r="H2341" s="4" t="s">
        <v>9130</v>
      </c>
      <c r="I2341" s="4"/>
      <c r="J2341" s="4" t="s">
        <v>4842</v>
      </c>
      <c r="K2341" s="4" t="s">
        <v>57</v>
      </c>
      <c r="L2341" s="4"/>
      <c r="M2341" s="4"/>
    </row>
    <row r="2342" ht="16" customHeight="1" s="4" customFormat="1">
      <c r="A2342" s="4">
        <v>2816</v>
      </c>
      <c r="B2342" s="4" t="s">
        <v>5499</v>
      </c>
      <c r="C2342" s="4" t="s">
        <v>5702</v>
      </c>
      <c r="D2342" s="4" t="s">
        <v>5574</v>
      </c>
      <c r="E2342" s="4" t="s">
        <v>5575</v>
      </c>
      <c r="F2342" s="4" t="s">
        <v>9131</v>
      </c>
      <c r="G2342" s="4" t="s">
        <v>7026</v>
      </c>
      <c r="H2342" s="4" t="s">
        <v>7241</v>
      </c>
      <c r="I2342" s="4"/>
      <c r="J2342" s="4" t="s">
        <v>4798</v>
      </c>
      <c r="K2342" s="4" t="s">
        <v>57</v>
      </c>
      <c r="L2342" s="4"/>
      <c r="M2342" s="4"/>
    </row>
    <row r="2343" ht="16" customHeight="1" s="4" customFormat="1">
      <c r="A2343" s="4">
        <v>2817</v>
      </c>
      <c r="B2343" s="4" t="s">
        <v>5499</v>
      </c>
      <c r="C2343" s="4" t="s">
        <v>5702</v>
      </c>
      <c r="D2343" s="4" t="s">
        <v>5574</v>
      </c>
      <c r="E2343" s="4" t="s">
        <v>5575</v>
      </c>
      <c r="F2343" s="4" t="s">
        <v>9132</v>
      </c>
      <c r="G2343" s="4" t="s">
        <v>9133</v>
      </c>
      <c r="H2343" s="4" t="s">
        <v>7241</v>
      </c>
      <c r="I2343" s="4"/>
      <c r="J2343" s="4" t="s">
        <v>4798</v>
      </c>
      <c r="K2343" s="4" t="s">
        <v>57</v>
      </c>
      <c r="L2343" s="4"/>
      <c r="M2343" s="4"/>
    </row>
    <row r="2344" ht="16" customHeight="1" s="4" customFormat="1">
      <c r="A2344" s="4">
        <v>2818</v>
      </c>
      <c r="B2344" s="4" t="s">
        <v>5499</v>
      </c>
      <c r="C2344" s="4" t="s">
        <v>5590</v>
      </c>
      <c r="D2344" s="4" t="s">
        <v>5574</v>
      </c>
      <c r="E2344" s="4" t="s">
        <v>5575</v>
      </c>
      <c r="F2344" s="4" t="s">
        <v>9134</v>
      </c>
      <c r="G2344" s="4" t="s">
        <v>9135</v>
      </c>
      <c r="H2344" s="4" t="s">
        <v>8853</v>
      </c>
      <c r="I2344" s="4"/>
      <c r="J2344" s="4" t="s">
        <v>4842</v>
      </c>
      <c r="K2344" s="4" t="s">
        <v>57</v>
      </c>
      <c r="L2344" s="4"/>
      <c r="M2344" s="4"/>
    </row>
    <row r="2345" ht="16" customHeight="1" s="4" customFormat="1">
      <c r="A2345" s="4">
        <v>2819</v>
      </c>
      <c r="B2345" s="4" t="s">
        <v>5528</v>
      </c>
      <c r="C2345" s="4" t="s">
        <v>6140</v>
      </c>
      <c r="D2345" s="4" t="s">
        <v>6450</v>
      </c>
      <c r="E2345" s="4" t="s">
        <v>9096</v>
      </c>
      <c r="F2345" s="4" t="s">
        <v>9136</v>
      </c>
      <c r="G2345" s="4" t="s">
        <v>9137</v>
      </c>
      <c r="H2345" s="4" t="s">
        <v>9138</v>
      </c>
      <c r="I2345" s="4"/>
      <c r="J2345" s="4" t="s">
        <v>4798</v>
      </c>
      <c r="K2345" s="4" t="s">
        <v>57</v>
      </c>
      <c r="L2345" s="4"/>
      <c r="M2345" s="4"/>
    </row>
    <row r="2346" ht="16" customHeight="1" s="4" customFormat="1">
      <c r="A2346" s="4">
        <v>2820</v>
      </c>
      <c r="B2346" s="4" t="s">
        <v>5528</v>
      </c>
      <c r="C2346" s="4" t="s">
        <v>8627</v>
      </c>
      <c r="D2346" s="4"/>
      <c r="E2346" s="4" t="s">
        <v>9139</v>
      </c>
      <c r="F2346" s="4" t="s">
        <v>9140</v>
      </c>
      <c r="G2346" s="4" t="s">
        <v>5052</v>
      </c>
      <c r="H2346" s="4" t="s">
        <v>9141</v>
      </c>
      <c r="I2346" s="4"/>
      <c r="J2346" s="4" t="s">
        <v>4798</v>
      </c>
      <c r="K2346" s="4" t="s">
        <v>57</v>
      </c>
      <c r="L2346" s="4"/>
      <c r="M2346" s="4"/>
    </row>
    <row r="2347" ht="16" customHeight="1" s="4" customFormat="1">
      <c r="A2347" s="4">
        <v>2821</v>
      </c>
      <c r="B2347" s="4" t="s">
        <v>5499</v>
      </c>
      <c r="C2347" s="4" t="s">
        <v>5500</v>
      </c>
      <c r="D2347" s="4" t="s">
        <v>5514</v>
      </c>
      <c r="E2347" s="4" t="s">
        <v>5515</v>
      </c>
      <c r="F2347" s="4" t="s">
        <v>9142</v>
      </c>
      <c r="G2347" s="4" t="s">
        <v>8844</v>
      </c>
      <c r="H2347" s="4" t="s">
        <v>7566</v>
      </c>
      <c r="I2347" s="4"/>
      <c r="J2347" s="4" t="s">
        <v>5506</v>
      </c>
      <c r="K2347" s="4" t="s">
        <v>57</v>
      </c>
      <c r="L2347" s="4"/>
      <c r="M2347" s="4"/>
    </row>
    <row r="2348" ht="16" customHeight="1" s="4" customFormat="1">
      <c r="A2348" s="4">
        <v>2822</v>
      </c>
      <c r="B2348" s="4" t="s">
        <v>5499</v>
      </c>
      <c r="C2348" s="4" t="s">
        <v>5702</v>
      </c>
      <c r="D2348" s="4" t="s">
        <v>5574</v>
      </c>
      <c r="E2348" s="4" t="s">
        <v>5575</v>
      </c>
      <c r="F2348" s="4" t="s">
        <v>9143</v>
      </c>
      <c r="G2348" s="4" t="s">
        <v>9133</v>
      </c>
      <c r="H2348" s="4" t="s">
        <v>9144</v>
      </c>
      <c r="I2348" s="4"/>
      <c r="J2348" s="4" t="s">
        <v>4798</v>
      </c>
      <c r="K2348" s="4" t="s">
        <v>57</v>
      </c>
      <c r="L2348" s="4"/>
      <c r="M2348" s="4"/>
    </row>
    <row r="2349" ht="16" customHeight="1" s="4" customFormat="1">
      <c r="A2349" s="4">
        <v>2823</v>
      </c>
      <c r="B2349" s="4" t="s">
        <v>5499</v>
      </c>
      <c r="C2349" s="4" t="s">
        <v>5573</v>
      </c>
      <c r="D2349" s="4" t="s">
        <v>5574</v>
      </c>
      <c r="E2349" s="4" t="s">
        <v>5575</v>
      </c>
      <c r="F2349" s="4" t="s">
        <v>9145</v>
      </c>
      <c r="G2349" s="4" t="s">
        <v>4850</v>
      </c>
      <c r="H2349" s="4" t="s">
        <v>6998</v>
      </c>
      <c r="I2349" s="4"/>
      <c r="J2349" s="4" t="s">
        <v>5506</v>
      </c>
      <c r="K2349" s="4" t="s">
        <v>57</v>
      </c>
      <c r="L2349" s="4"/>
      <c r="M2349" s="4"/>
    </row>
    <row r="2350" ht="16" customHeight="1" s="4" customFormat="1">
      <c r="A2350" s="4">
        <v>2824</v>
      </c>
      <c r="B2350" s="4" t="s">
        <v>5499</v>
      </c>
      <c r="C2350" s="4" t="s">
        <v>5573</v>
      </c>
      <c r="D2350" s="4" t="s">
        <v>5574</v>
      </c>
      <c r="E2350" s="4" t="s">
        <v>5575</v>
      </c>
      <c r="F2350" s="4" t="s">
        <v>9146</v>
      </c>
      <c r="G2350" s="4" t="s">
        <v>9147</v>
      </c>
      <c r="H2350" s="4" t="s">
        <v>9148</v>
      </c>
      <c r="I2350" s="4"/>
      <c r="J2350" s="4" t="s">
        <v>4798</v>
      </c>
      <c r="K2350" s="4" t="s">
        <v>57</v>
      </c>
      <c r="L2350" s="4"/>
      <c r="M2350" s="4"/>
    </row>
    <row r="2351" ht="16" customHeight="1" s="4" customFormat="1">
      <c r="A2351" s="4">
        <v>2825</v>
      </c>
      <c r="B2351" s="4" t="s">
        <v>5499</v>
      </c>
      <c r="C2351" s="4" t="s">
        <v>5573</v>
      </c>
      <c r="D2351" s="4" t="s">
        <v>5574</v>
      </c>
      <c r="E2351" s="4" t="s">
        <v>5575</v>
      </c>
      <c r="F2351" s="4" t="s">
        <v>9149</v>
      </c>
      <c r="G2351" s="4" t="s">
        <v>9150</v>
      </c>
      <c r="H2351" s="4" t="s">
        <v>7000</v>
      </c>
      <c r="I2351" s="4"/>
      <c r="J2351" s="4" t="s">
        <v>5506</v>
      </c>
      <c r="K2351" s="4" t="s">
        <v>57</v>
      </c>
      <c r="L2351" s="4"/>
      <c r="M2351" s="4"/>
    </row>
    <row r="2352" ht="16" customHeight="1" s="4" customFormat="1">
      <c r="A2352" s="4">
        <v>2826</v>
      </c>
      <c r="B2352" s="4" t="s">
        <v>5499</v>
      </c>
      <c r="C2352" s="4" t="s">
        <v>5702</v>
      </c>
      <c r="D2352" s="4" t="s">
        <v>5574</v>
      </c>
      <c r="E2352" s="4" t="s">
        <v>5575</v>
      </c>
      <c r="F2352" s="4" t="s">
        <v>9151</v>
      </c>
      <c r="G2352" s="4" t="s">
        <v>9152</v>
      </c>
      <c r="H2352" s="4" t="s">
        <v>9153</v>
      </c>
      <c r="I2352" s="4"/>
      <c r="J2352" s="4" t="s">
        <v>4798</v>
      </c>
      <c r="K2352" s="4" t="s">
        <v>57</v>
      </c>
      <c r="L2352" s="4"/>
      <c r="M2352" s="4"/>
    </row>
    <row r="2353" ht="16" customHeight="1" s="4" customFormat="1">
      <c r="A2353" s="4">
        <v>2827</v>
      </c>
      <c r="B2353" s="4" t="s">
        <v>5499</v>
      </c>
      <c r="C2353" s="4" t="s">
        <v>5500</v>
      </c>
      <c r="D2353" s="4" t="s">
        <v>5574</v>
      </c>
      <c r="E2353" s="4" t="s">
        <v>5575</v>
      </c>
      <c r="F2353" s="4" t="s">
        <v>9154</v>
      </c>
      <c r="G2353" s="4" t="s">
        <v>9155</v>
      </c>
      <c r="H2353" s="4" t="s">
        <v>9156</v>
      </c>
      <c r="I2353" s="4"/>
      <c r="J2353" s="4" t="s">
        <v>5506</v>
      </c>
      <c r="K2353" s="4" t="s">
        <v>57</v>
      </c>
      <c r="L2353" s="4"/>
      <c r="M2353" s="4"/>
    </row>
    <row r="2354" ht="16" customHeight="1" s="4" customFormat="1">
      <c r="A2354" s="4">
        <v>2828</v>
      </c>
      <c r="B2354" s="4" t="s">
        <v>5499</v>
      </c>
      <c r="C2354" s="4" t="s">
        <v>5573</v>
      </c>
      <c r="D2354" s="4" t="s">
        <v>5574</v>
      </c>
      <c r="E2354" s="4" t="s">
        <v>5575</v>
      </c>
      <c r="F2354" s="4" t="s">
        <v>9157</v>
      </c>
      <c r="G2354" s="4" t="s">
        <v>4850</v>
      </c>
      <c r="H2354" s="4" t="s">
        <v>7009</v>
      </c>
      <c r="I2354" s="4"/>
      <c r="J2354" s="4" t="s">
        <v>4798</v>
      </c>
      <c r="K2354" s="4" t="s">
        <v>57</v>
      </c>
      <c r="L2354" s="4"/>
      <c r="M2354" s="4"/>
    </row>
    <row r="2355" ht="16" customHeight="1" s="4" customFormat="1">
      <c r="A2355" s="4">
        <v>2829</v>
      </c>
      <c r="B2355" s="4" t="s">
        <v>5499</v>
      </c>
      <c r="C2355" s="4" t="s">
        <v>5500</v>
      </c>
      <c r="D2355" s="4" t="s">
        <v>5574</v>
      </c>
      <c r="E2355" s="4" t="s">
        <v>5575</v>
      </c>
      <c r="F2355" s="4" t="s">
        <v>9158</v>
      </c>
      <c r="G2355" s="4" t="s">
        <v>9159</v>
      </c>
      <c r="H2355" s="4" t="s">
        <v>9160</v>
      </c>
      <c r="I2355" s="4"/>
      <c r="J2355" s="4" t="s">
        <v>5506</v>
      </c>
      <c r="K2355" s="4" t="s">
        <v>57</v>
      </c>
      <c r="L2355" s="4"/>
      <c r="M2355" s="4"/>
    </row>
    <row r="2356" ht="16" customHeight="1" s="4" customFormat="1">
      <c r="A2356" s="4">
        <v>497</v>
      </c>
      <c r="B2356" s="4" t="s">
        <v>5499</v>
      </c>
      <c r="C2356" s="4" t="s">
        <v>5509</v>
      </c>
      <c r="D2356" s="4"/>
      <c r="E2356" s="4"/>
      <c r="F2356" s="4" t="s">
        <v>9161</v>
      </c>
      <c r="G2356" s="4" t="s">
        <v>7597</v>
      </c>
      <c r="H2356" s="4" t="s">
        <v>9162</v>
      </c>
      <c r="I2356" s="5">
        <v>44298</v>
      </c>
      <c r="J2356" s="4" t="s">
        <v>4798</v>
      </c>
      <c r="K2356" s="4" t="s">
        <v>57</v>
      </c>
      <c r="L2356" s="4"/>
      <c r="M2356" s="4"/>
    </row>
    <row r="2357" ht="16" customHeight="1" s="4" customFormat="1">
      <c r="A2357" s="4">
        <v>498</v>
      </c>
      <c r="B2357" s="4" t="s">
        <v>5534</v>
      </c>
      <c r="C2357" s="4" t="s">
        <v>5773</v>
      </c>
      <c r="D2357" s="4"/>
      <c r="E2357" s="4"/>
      <c r="F2357" s="4" t="s">
        <v>9163</v>
      </c>
      <c r="G2357" s="4" t="s">
        <v>10</v>
      </c>
      <c r="H2357" s="4" t="s">
        <v>5853</v>
      </c>
      <c r="I2357" s="5">
        <v>44298</v>
      </c>
      <c r="J2357" s="4" t="s">
        <v>4798</v>
      </c>
      <c r="K2357" s="4" t="s">
        <v>57</v>
      </c>
      <c r="L2357" s="4"/>
      <c r="M2357" s="4"/>
    </row>
    <row r="2358" ht="16" customHeight="1" s="4" customFormat="1">
      <c r="A2358" s="4">
        <v>499</v>
      </c>
      <c r="B2358" s="4" t="s">
        <v>5499</v>
      </c>
      <c r="C2358" s="4" t="s">
        <v>5590</v>
      </c>
      <c r="D2358" s="4" t="s">
        <v>5574</v>
      </c>
      <c r="E2358" s="4" t="s">
        <v>5575</v>
      </c>
      <c r="F2358" s="4" t="s">
        <v>9164</v>
      </c>
      <c r="G2358" s="4" t="s">
        <v>9165</v>
      </c>
      <c r="H2358" s="4" t="s">
        <v>6207</v>
      </c>
      <c r="I2358" s="5">
        <v>44286</v>
      </c>
      <c r="J2358" s="4" t="s">
        <v>4798</v>
      </c>
      <c r="K2358" s="4" t="s">
        <v>57</v>
      </c>
      <c r="L2358" s="4"/>
      <c r="M2358" s="4"/>
    </row>
    <row r="2359" ht="16" customHeight="1" s="4" customFormat="1">
      <c r="A2359" s="4">
        <v>500</v>
      </c>
      <c r="B2359" s="4" t="s">
        <v>5499</v>
      </c>
      <c r="C2359" s="4" t="s">
        <v>5573</v>
      </c>
      <c r="D2359" s="4" t="s">
        <v>5574</v>
      </c>
      <c r="E2359" s="4" t="s">
        <v>5575</v>
      </c>
      <c r="F2359" s="4" t="s">
        <v>9166</v>
      </c>
      <c r="G2359" s="4" t="s">
        <v>4850</v>
      </c>
      <c r="H2359" s="4" t="s">
        <v>9167</v>
      </c>
      <c r="I2359" s="5">
        <v>44284</v>
      </c>
      <c r="J2359" s="4" t="s">
        <v>5506</v>
      </c>
      <c r="K2359" s="4" t="s">
        <v>57</v>
      </c>
      <c r="L2359" s="4"/>
      <c r="M2359" s="4"/>
    </row>
    <row r="2360" ht="16" customHeight="1" s="4" customFormat="1">
      <c r="A2360" s="4">
        <v>501</v>
      </c>
      <c r="B2360" s="4" t="s">
        <v>5499</v>
      </c>
      <c r="C2360" s="4" t="s">
        <v>5702</v>
      </c>
      <c r="D2360" s="4" t="s">
        <v>5574</v>
      </c>
      <c r="E2360" s="4" t="s">
        <v>5575</v>
      </c>
      <c r="F2360" s="4" t="s">
        <v>9168</v>
      </c>
      <c r="G2360" s="4" t="s">
        <v>6422</v>
      </c>
      <c r="H2360" s="4" t="s">
        <v>9169</v>
      </c>
      <c r="I2360" s="5">
        <v>44273</v>
      </c>
      <c r="J2360" s="4" t="s">
        <v>4798</v>
      </c>
      <c r="K2360" s="4" t="s">
        <v>57</v>
      </c>
      <c r="L2360" s="4"/>
      <c r="M2360" s="4"/>
    </row>
    <row r="2361" ht="16" customHeight="1" s="4" customFormat="1">
      <c r="A2361" s="4">
        <v>502</v>
      </c>
      <c r="B2361" s="4" t="s">
        <v>5499</v>
      </c>
      <c r="C2361" s="4" t="s">
        <v>5702</v>
      </c>
      <c r="D2361" s="4" t="s">
        <v>5574</v>
      </c>
      <c r="E2361" s="4" t="s">
        <v>5575</v>
      </c>
      <c r="F2361" s="4" t="s">
        <v>9170</v>
      </c>
      <c r="G2361" s="4" t="s">
        <v>4850</v>
      </c>
      <c r="H2361" s="4" t="s">
        <v>9171</v>
      </c>
      <c r="I2361" s="5">
        <v>44273</v>
      </c>
      <c r="J2361" s="4" t="s">
        <v>4798</v>
      </c>
      <c r="K2361" s="4" t="s">
        <v>57</v>
      </c>
      <c r="L2361" s="4"/>
      <c r="M2361" s="4"/>
    </row>
    <row r="2362" ht="16" customHeight="1" s="4" customFormat="1">
      <c r="A2362" s="4">
        <v>503</v>
      </c>
      <c r="B2362" s="4" t="s">
        <v>5534</v>
      </c>
      <c r="C2362" s="4" t="s">
        <v>5773</v>
      </c>
      <c r="D2362" s="4"/>
      <c r="E2362" s="4"/>
      <c r="F2362" s="4" t="s">
        <v>9172</v>
      </c>
      <c r="G2362" s="4" t="s">
        <v>10</v>
      </c>
      <c r="H2362" s="4" t="s">
        <v>7617</v>
      </c>
      <c r="I2362" s="5">
        <v>44257</v>
      </c>
      <c r="J2362" s="4" t="s">
        <v>4798</v>
      </c>
      <c r="K2362" s="4" t="s">
        <v>57</v>
      </c>
      <c r="L2362" s="4"/>
      <c r="M2362" s="4"/>
    </row>
    <row r="2363" ht="16" customHeight="1" s="4" customFormat="1">
      <c r="A2363" s="4">
        <v>504</v>
      </c>
      <c r="B2363" s="4" t="s">
        <v>5534</v>
      </c>
      <c r="C2363" s="4" t="s">
        <v>5773</v>
      </c>
      <c r="D2363" s="4"/>
      <c r="E2363" s="4"/>
      <c r="F2363" s="4" t="s">
        <v>9173</v>
      </c>
      <c r="G2363" s="4" t="s">
        <v>5791</v>
      </c>
      <c r="H2363" s="4" t="s">
        <v>7617</v>
      </c>
      <c r="I2363" s="5">
        <v>44257</v>
      </c>
      <c r="J2363" s="4" t="s">
        <v>4798</v>
      </c>
      <c r="K2363" s="4" t="s">
        <v>57</v>
      </c>
      <c r="L2363" s="4"/>
      <c r="M2363" s="4"/>
    </row>
    <row r="2364" ht="16" customHeight="1" s="4" customFormat="1">
      <c r="A2364" s="4">
        <v>505</v>
      </c>
      <c r="B2364" s="4" t="s">
        <v>5534</v>
      </c>
      <c r="C2364" s="4" t="s">
        <v>5773</v>
      </c>
      <c r="D2364" s="4"/>
      <c r="E2364" s="4"/>
      <c r="F2364" s="4" t="s">
        <v>9174</v>
      </c>
      <c r="G2364" s="4" t="s">
        <v>5675</v>
      </c>
      <c r="H2364" s="4" t="s">
        <v>5853</v>
      </c>
      <c r="I2364" s="5">
        <v>44239</v>
      </c>
      <c r="J2364" s="4" t="s">
        <v>4798</v>
      </c>
      <c r="K2364" s="4" t="s">
        <v>57</v>
      </c>
      <c r="L2364" s="4"/>
      <c r="M2364" s="4"/>
    </row>
    <row r="2365" ht="16" customHeight="1" s="4" customFormat="1">
      <c r="A2365" s="4">
        <v>506</v>
      </c>
      <c r="B2365" s="4" t="s">
        <v>5534</v>
      </c>
      <c r="C2365" s="4" t="s">
        <v>5773</v>
      </c>
      <c r="D2365" s="4"/>
      <c r="E2365" s="4"/>
      <c r="F2365" s="4" t="s">
        <v>9175</v>
      </c>
      <c r="G2365" s="4" t="s">
        <v>10</v>
      </c>
      <c r="H2365" s="4" t="s">
        <v>5853</v>
      </c>
      <c r="I2365" s="5">
        <v>44239</v>
      </c>
      <c r="J2365" s="4" t="s">
        <v>4798</v>
      </c>
      <c r="K2365" s="4" t="s">
        <v>57</v>
      </c>
      <c r="L2365" s="4"/>
      <c r="M2365" s="4"/>
    </row>
    <row r="2366" ht="16" customHeight="1" s="4" customFormat="1">
      <c r="A2366" s="4">
        <v>507</v>
      </c>
      <c r="B2366" s="4" t="s">
        <v>5534</v>
      </c>
      <c r="C2366" s="4" t="s">
        <v>5773</v>
      </c>
      <c r="D2366" s="4"/>
      <c r="E2366" s="4"/>
      <c r="F2366" s="4" t="s">
        <v>9176</v>
      </c>
      <c r="G2366" s="4" t="s">
        <v>5675</v>
      </c>
      <c r="H2366" s="4" t="s">
        <v>5853</v>
      </c>
      <c r="I2366" s="5">
        <v>44239</v>
      </c>
      <c r="J2366" s="4" t="s">
        <v>4798</v>
      </c>
      <c r="K2366" s="4" t="s">
        <v>57</v>
      </c>
      <c r="L2366" s="4"/>
      <c r="M2366" s="4"/>
    </row>
    <row r="2367" ht="16" customHeight="1" s="4" customFormat="1">
      <c r="A2367" s="4">
        <v>508</v>
      </c>
      <c r="B2367" s="4" t="s">
        <v>5499</v>
      </c>
      <c r="C2367" s="4" t="s">
        <v>5509</v>
      </c>
      <c r="D2367" s="4"/>
      <c r="E2367" s="4"/>
      <c r="F2367" s="4" t="s">
        <v>9177</v>
      </c>
      <c r="G2367" s="4" t="s">
        <v>9178</v>
      </c>
      <c r="H2367" s="4" t="s">
        <v>9179</v>
      </c>
      <c r="I2367" s="5">
        <v>44229</v>
      </c>
      <c r="J2367" s="4" t="s">
        <v>4798</v>
      </c>
      <c r="K2367" s="4" t="s">
        <v>57</v>
      </c>
      <c r="L2367" s="4"/>
      <c r="M2367" s="4"/>
    </row>
    <row r="2368" ht="16" customHeight="1" s="4" customFormat="1">
      <c r="A2368" s="4">
        <v>509</v>
      </c>
      <c r="B2368" s="4" t="s">
        <v>5600</v>
      </c>
      <c r="C2368" s="4" t="s">
        <v>5600</v>
      </c>
      <c r="D2368" s="4"/>
      <c r="E2368" s="4" t="s">
        <v>7609</v>
      </c>
      <c r="F2368" s="4" t="s">
        <v>9180</v>
      </c>
      <c r="G2368" s="4" t="s">
        <v>10</v>
      </c>
      <c r="H2368" s="4" t="s">
        <v>9181</v>
      </c>
      <c r="I2368" s="5">
        <v>44218</v>
      </c>
      <c r="J2368" s="4" t="s">
        <v>4842</v>
      </c>
      <c r="K2368" s="4" t="s">
        <v>57</v>
      </c>
      <c r="L2368" s="4"/>
      <c r="M2368" s="4"/>
    </row>
    <row r="2369" ht="16" customHeight="1" s="4" customFormat="1">
      <c r="A2369" s="4">
        <v>510</v>
      </c>
      <c r="B2369" s="4" t="s">
        <v>5499</v>
      </c>
      <c r="C2369" s="4" t="s">
        <v>5509</v>
      </c>
      <c r="D2369" s="4"/>
      <c r="E2369" s="4"/>
      <c r="F2369" s="4" t="s">
        <v>9182</v>
      </c>
      <c r="G2369" s="4" t="s">
        <v>7728</v>
      </c>
      <c r="H2369" s="4" t="s">
        <v>10</v>
      </c>
      <c r="I2369" s="5">
        <v>44214</v>
      </c>
      <c r="J2369" s="4" t="s">
        <v>4798</v>
      </c>
      <c r="K2369" s="4" t="s">
        <v>57</v>
      </c>
      <c r="L2369" s="4"/>
      <c r="M2369" s="4"/>
    </row>
    <row r="2370" ht="16" customHeight="1" s="4" customFormat="1">
      <c r="A2370" s="4">
        <v>511</v>
      </c>
      <c r="B2370" s="4" t="s">
        <v>5528</v>
      </c>
      <c r="C2370" s="4" t="s">
        <v>7530</v>
      </c>
      <c r="D2370" s="4" t="s">
        <v>6450</v>
      </c>
      <c r="E2370" s="4" t="s">
        <v>9183</v>
      </c>
      <c r="F2370" s="4" t="s">
        <v>9184</v>
      </c>
      <c r="G2370" s="4" t="s">
        <v>9185</v>
      </c>
      <c r="H2370" s="4" t="s">
        <v>9186</v>
      </c>
      <c r="I2370" s="5">
        <v>44212</v>
      </c>
      <c r="J2370" s="4" t="s">
        <v>4842</v>
      </c>
      <c r="K2370" s="4" t="s">
        <v>57</v>
      </c>
      <c r="L2370" s="4"/>
      <c r="M2370" s="4"/>
    </row>
    <row r="2371" ht="16" customHeight="1" s="4" customFormat="1">
      <c r="A2371" s="4">
        <v>512</v>
      </c>
      <c r="B2371" s="4" t="s">
        <v>6161</v>
      </c>
      <c r="C2371" s="4" t="s">
        <v>6618</v>
      </c>
      <c r="D2371" s="4"/>
      <c r="E2371" s="4"/>
      <c r="F2371" s="4" t="s">
        <v>9187</v>
      </c>
      <c r="G2371" s="4" t="s">
        <v>10</v>
      </c>
      <c r="H2371" s="4" t="s">
        <v>8711</v>
      </c>
      <c r="I2371" s="5">
        <v>44189</v>
      </c>
      <c r="J2371" s="4" t="s">
        <v>4798</v>
      </c>
      <c r="K2371" s="4" t="s">
        <v>57</v>
      </c>
      <c r="L2371" s="4"/>
      <c r="M2371" s="4"/>
    </row>
    <row r="2372" ht="16" customHeight="1" s="4" customFormat="1">
      <c r="A2372" s="4">
        <v>513</v>
      </c>
      <c r="B2372" s="4" t="s">
        <v>6161</v>
      </c>
      <c r="C2372" s="4" t="s">
        <v>6618</v>
      </c>
      <c r="D2372" s="4"/>
      <c r="E2372" s="4"/>
      <c r="F2372" s="4" t="s">
        <v>9188</v>
      </c>
      <c r="G2372" s="4" t="s">
        <v>10</v>
      </c>
      <c r="H2372" s="4" t="s">
        <v>8711</v>
      </c>
      <c r="I2372" s="5">
        <v>44189</v>
      </c>
      <c r="J2372" s="4" t="s">
        <v>4798</v>
      </c>
      <c r="K2372" s="4" t="s">
        <v>57</v>
      </c>
      <c r="L2372" s="4"/>
      <c r="M2372" s="4"/>
    </row>
    <row r="2373" ht="16" customHeight="1" s="4" customFormat="1">
      <c r="A2373" s="4">
        <v>514</v>
      </c>
      <c r="B2373" s="4" t="s">
        <v>5528</v>
      </c>
      <c r="C2373" s="4" t="s">
        <v>5529</v>
      </c>
      <c r="D2373" s="4"/>
      <c r="E2373" s="4" t="s">
        <v>5570</v>
      </c>
      <c r="F2373" s="4" t="s">
        <v>9189</v>
      </c>
      <c r="G2373" s="4" t="s">
        <v>8454</v>
      </c>
      <c r="H2373" s="4" t="s">
        <v>5532</v>
      </c>
      <c r="I2373" s="5">
        <v>44186</v>
      </c>
      <c r="J2373" s="4" t="s">
        <v>4798</v>
      </c>
      <c r="K2373" s="4" t="s">
        <v>57</v>
      </c>
      <c r="L2373" s="4"/>
      <c r="M2373" s="4"/>
    </row>
    <row r="2374" ht="16" customHeight="1" s="4" customFormat="1">
      <c r="A2374" s="4">
        <v>515</v>
      </c>
      <c r="B2374" s="4" t="s">
        <v>5528</v>
      </c>
      <c r="C2374" s="4" t="s">
        <v>5529</v>
      </c>
      <c r="D2374" s="4"/>
      <c r="E2374" s="4" t="s">
        <v>5570</v>
      </c>
      <c r="F2374" s="4" t="s">
        <v>9190</v>
      </c>
      <c r="G2374" s="4" t="s">
        <v>7630</v>
      </c>
      <c r="H2374" s="4" t="s">
        <v>5532</v>
      </c>
      <c r="I2374" s="5">
        <v>44183</v>
      </c>
      <c r="J2374" s="4" t="s">
        <v>4798</v>
      </c>
      <c r="K2374" s="4" t="s">
        <v>57</v>
      </c>
      <c r="L2374" s="4"/>
      <c r="M2374" s="4"/>
    </row>
    <row r="2375" ht="16" customHeight="1" s="4" customFormat="1">
      <c r="A2375" s="4">
        <v>516</v>
      </c>
      <c r="B2375" s="4" t="s">
        <v>5600</v>
      </c>
      <c r="C2375" s="4" t="s">
        <v>5600</v>
      </c>
      <c r="D2375" s="4"/>
      <c r="E2375" s="4" t="s">
        <v>9191</v>
      </c>
      <c r="F2375" s="4" t="s">
        <v>9192</v>
      </c>
      <c r="G2375" s="4" t="s">
        <v>9193</v>
      </c>
      <c r="H2375" s="4" t="s">
        <v>9194</v>
      </c>
      <c r="I2375" s="5">
        <v>44183</v>
      </c>
      <c r="J2375" s="4" t="s">
        <v>4842</v>
      </c>
      <c r="K2375" s="4" t="s">
        <v>57</v>
      </c>
      <c r="L2375" s="4"/>
      <c r="M2375" s="4"/>
    </row>
    <row r="2376" ht="16" customHeight="1" s="4" customFormat="1">
      <c r="A2376" s="4">
        <v>517</v>
      </c>
      <c r="B2376" s="4" t="s">
        <v>5499</v>
      </c>
      <c r="C2376" s="4" t="s">
        <v>5509</v>
      </c>
      <c r="D2376" s="4"/>
      <c r="E2376" s="4"/>
      <c r="F2376" s="4" t="s">
        <v>9195</v>
      </c>
      <c r="G2376" s="4" t="s">
        <v>7728</v>
      </c>
      <c r="H2376" s="4" t="s">
        <v>10</v>
      </c>
      <c r="I2376" s="5">
        <v>44182</v>
      </c>
      <c r="J2376" s="4" t="s">
        <v>4798</v>
      </c>
      <c r="K2376" s="4" t="s">
        <v>57</v>
      </c>
      <c r="L2376" s="4"/>
      <c r="M2376" s="4"/>
    </row>
    <row r="2377" ht="16" customHeight="1" s="4" customFormat="1">
      <c r="A2377" s="4">
        <v>518</v>
      </c>
      <c r="B2377" s="4" t="s">
        <v>5528</v>
      </c>
      <c r="C2377" s="4" t="s">
        <v>5529</v>
      </c>
      <c r="D2377" s="4"/>
      <c r="E2377" s="4" t="s">
        <v>5570</v>
      </c>
      <c r="F2377" s="4" t="s">
        <v>9196</v>
      </c>
      <c r="G2377" s="4" t="s">
        <v>7533</v>
      </c>
      <c r="H2377" s="4" t="s">
        <v>9197</v>
      </c>
      <c r="I2377" s="5">
        <v>44176</v>
      </c>
      <c r="J2377" s="4" t="s">
        <v>4798</v>
      </c>
      <c r="K2377" s="4" t="s">
        <v>57</v>
      </c>
      <c r="L2377" s="4"/>
      <c r="M2377" s="4"/>
    </row>
    <row r="2378" ht="16" customHeight="1" s="4" customFormat="1">
      <c r="A2378" s="4">
        <v>519</v>
      </c>
      <c r="B2378" s="4" t="s">
        <v>5600</v>
      </c>
      <c r="C2378" s="4" t="s">
        <v>5600</v>
      </c>
      <c r="D2378" s="4"/>
      <c r="E2378" s="4"/>
      <c r="F2378" s="4" t="s">
        <v>9198</v>
      </c>
      <c r="G2378" s="4" t="s">
        <v>9199</v>
      </c>
      <c r="H2378" s="4" t="s">
        <v>7607</v>
      </c>
      <c r="I2378" s="5">
        <v>44175</v>
      </c>
      <c r="J2378" s="4" t="s">
        <v>5506</v>
      </c>
      <c r="K2378" s="4" t="s">
        <v>57</v>
      </c>
      <c r="L2378" s="4"/>
      <c r="M2378" s="4"/>
    </row>
    <row r="2379" ht="16" customHeight="1" s="4" customFormat="1">
      <c r="A2379" s="4">
        <v>520</v>
      </c>
      <c r="B2379" s="4" t="s">
        <v>5499</v>
      </c>
      <c r="C2379" s="4" t="s">
        <v>5519</v>
      </c>
      <c r="D2379" s="4"/>
      <c r="E2379" s="4" t="s">
        <v>8646</v>
      </c>
      <c r="F2379" s="4" t="s">
        <v>9200</v>
      </c>
      <c r="G2379" s="4" t="s">
        <v>9201</v>
      </c>
      <c r="H2379" s="4" t="s">
        <v>9202</v>
      </c>
      <c r="I2379" s="5">
        <v>44174</v>
      </c>
      <c r="J2379" s="4" t="s">
        <v>4842</v>
      </c>
      <c r="K2379" s="4" t="s">
        <v>57</v>
      </c>
      <c r="L2379" s="4"/>
      <c r="M2379" s="4"/>
    </row>
    <row r="2380" ht="16" customHeight="1" s="4" customFormat="1">
      <c r="A2380" s="4">
        <v>521</v>
      </c>
      <c r="B2380" s="4" t="s">
        <v>5499</v>
      </c>
      <c r="C2380" s="4" t="s">
        <v>5519</v>
      </c>
      <c r="D2380" s="4"/>
      <c r="E2380" s="4" t="s">
        <v>6831</v>
      </c>
      <c r="F2380" s="4" t="s">
        <v>9203</v>
      </c>
      <c r="G2380" s="4" t="s">
        <v>9204</v>
      </c>
      <c r="H2380" s="4" t="s">
        <v>9205</v>
      </c>
      <c r="I2380" s="5">
        <v>44161</v>
      </c>
      <c r="J2380" s="4" t="s">
        <v>4842</v>
      </c>
      <c r="K2380" s="4" t="s">
        <v>57</v>
      </c>
      <c r="L2380" s="4"/>
      <c r="M2380" s="4"/>
    </row>
    <row r="2381" ht="16" customHeight="1" s="4" customFormat="1">
      <c r="A2381" s="4">
        <v>522</v>
      </c>
      <c r="B2381" s="4" t="s">
        <v>5600</v>
      </c>
      <c r="C2381" s="4" t="s">
        <v>5600</v>
      </c>
      <c r="D2381" s="4"/>
      <c r="E2381" s="4" t="s">
        <v>7639</v>
      </c>
      <c r="F2381" s="4" t="s">
        <v>9206</v>
      </c>
      <c r="G2381" s="4" t="s">
        <v>9207</v>
      </c>
      <c r="H2381" s="4" t="s">
        <v>9208</v>
      </c>
      <c r="I2381" s="5">
        <v>44155</v>
      </c>
      <c r="J2381" s="4" t="s">
        <v>4798</v>
      </c>
      <c r="K2381" s="4" t="s">
        <v>57</v>
      </c>
      <c r="L2381" s="4"/>
      <c r="M2381" s="4"/>
    </row>
    <row r="2382" ht="16" customHeight="1" s="4" customFormat="1">
      <c r="A2382" s="4">
        <v>523</v>
      </c>
      <c r="B2382" s="4" t="s">
        <v>5499</v>
      </c>
      <c r="C2382" s="4" t="s">
        <v>5702</v>
      </c>
      <c r="D2382" s="4" t="s">
        <v>5574</v>
      </c>
      <c r="E2382" s="4" t="s">
        <v>5575</v>
      </c>
      <c r="F2382" s="4" t="s">
        <v>9209</v>
      </c>
      <c r="G2382" s="4" t="s">
        <v>9210</v>
      </c>
      <c r="H2382" s="4" t="s">
        <v>9211</v>
      </c>
      <c r="I2382" s="5">
        <v>44144</v>
      </c>
      <c r="J2382" s="4" t="s">
        <v>4798</v>
      </c>
      <c r="K2382" s="4" t="s">
        <v>57</v>
      </c>
      <c r="L2382" s="4"/>
      <c r="M2382" s="4"/>
    </row>
    <row r="2383" ht="16" customHeight="1" s="4" customFormat="1">
      <c r="A2383" s="4">
        <v>524</v>
      </c>
      <c r="B2383" s="4" t="s">
        <v>5499</v>
      </c>
      <c r="C2383" s="4" t="s">
        <v>5509</v>
      </c>
      <c r="D2383" s="4"/>
      <c r="E2383" s="4"/>
      <c r="F2383" s="4" t="s">
        <v>9212</v>
      </c>
      <c r="G2383" s="4" t="s">
        <v>5791</v>
      </c>
      <c r="H2383" s="4" t="s">
        <v>9213</v>
      </c>
      <c r="I2383" s="5">
        <v>44141</v>
      </c>
      <c r="J2383" s="4" t="s">
        <v>4798</v>
      </c>
      <c r="K2383" s="4" t="s">
        <v>57</v>
      </c>
      <c r="L2383" s="4"/>
      <c r="M2383" s="4"/>
    </row>
    <row r="2384" ht="16" customHeight="1" s="4" customFormat="1">
      <c r="A2384" s="4">
        <v>525</v>
      </c>
      <c r="B2384" s="4" t="s">
        <v>5499</v>
      </c>
      <c r="C2384" s="4" t="s">
        <v>5519</v>
      </c>
      <c r="D2384" s="4"/>
      <c r="E2384" s="4" t="s">
        <v>5687</v>
      </c>
      <c r="F2384" s="4" t="s">
        <v>9214</v>
      </c>
      <c r="G2384" s="4" t="s">
        <v>9215</v>
      </c>
      <c r="H2384" s="4" t="s">
        <v>9216</v>
      </c>
      <c r="I2384" s="5">
        <v>44130</v>
      </c>
      <c r="J2384" s="4" t="s">
        <v>4798</v>
      </c>
      <c r="K2384" s="4" t="s">
        <v>57</v>
      </c>
      <c r="L2384" s="4"/>
      <c r="M2384" s="4"/>
    </row>
    <row r="2385" ht="16" customHeight="1" s="4" customFormat="1">
      <c r="A2385" s="4">
        <v>526</v>
      </c>
      <c r="B2385" s="4" t="s">
        <v>5499</v>
      </c>
      <c r="C2385" s="4" t="s">
        <v>5519</v>
      </c>
      <c r="D2385" s="4"/>
      <c r="E2385" s="4" t="s">
        <v>5668</v>
      </c>
      <c r="F2385" s="4" t="s">
        <v>9217</v>
      </c>
      <c r="G2385" s="4" t="s">
        <v>6000</v>
      </c>
      <c r="H2385" s="4" t="s">
        <v>6005</v>
      </c>
      <c r="I2385" s="5">
        <v>44130</v>
      </c>
      <c r="J2385" s="4" t="s">
        <v>4842</v>
      </c>
      <c r="K2385" s="4" t="s">
        <v>57</v>
      </c>
      <c r="L2385" s="4"/>
      <c r="M2385" s="4"/>
    </row>
    <row r="2386" ht="16" customHeight="1" s="4" customFormat="1">
      <c r="A2386" s="4">
        <v>527</v>
      </c>
      <c r="B2386" s="4" t="s">
        <v>5534</v>
      </c>
      <c r="C2386" s="4" t="s">
        <v>5773</v>
      </c>
      <c r="D2386" s="4"/>
      <c r="E2386" s="4"/>
      <c r="F2386" s="4" t="s">
        <v>9218</v>
      </c>
      <c r="G2386" s="4" t="s">
        <v>10</v>
      </c>
      <c r="H2386" s="4" t="s">
        <v>9219</v>
      </c>
      <c r="I2386" s="5">
        <v>44119</v>
      </c>
      <c r="J2386" s="4" t="s">
        <v>4798</v>
      </c>
      <c r="K2386" s="4" t="s">
        <v>57</v>
      </c>
      <c r="L2386" s="4"/>
      <c r="M2386" s="4"/>
    </row>
    <row r="2387" ht="16" customHeight="1" s="4" customFormat="1">
      <c r="A2387" s="4">
        <v>2701</v>
      </c>
      <c r="B2387" s="4" t="s">
        <v>5499</v>
      </c>
      <c r="C2387" s="4" t="s">
        <v>5500</v>
      </c>
      <c r="D2387" s="4"/>
      <c r="E2387" s="4"/>
      <c r="F2387" s="4" t="s">
        <v>9220</v>
      </c>
      <c r="G2387" s="4" t="s">
        <v>9221</v>
      </c>
      <c r="H2387" s="4" t="s">
        <v>9222</v>
      </c>
      <c r="I2387" s="5">
        <v>35107</v>
      </c>
      <c r="J2387" s="4" t="s">
        <v>4798</v>
      </c>
      <c r="K2387" s="4" t="s">
        <v>57</v>
      </c>
      <c r="L2387" s="4"/>
      <c r="M2387" s="4"/>
    </row>
    <row r="2388" ht="16" customHeight="1" s="4" customFormat="1">
      <c r="A2388" s="4">
        <v>2702</v>
      </c>
      <c r="B2388" s="4" t="s">
        <v>5499</v>
      </c>
      <c r="C2388" s="4" t="s">
        <v>5500</v>
      </c>
      <c r="D2388" s="4"/>
      <c r="E2388" s="4"/>
      <c r="F2388" s="4" t="s">
        <v>9223</v>
      </c>
      <c r="G2388" s="4" t="s">
        <v>9224</v>
      </c>
      <c r="H2388" s="4" t="s">
        <v>9225</v>
      </c>
      <c r="I2388" s="5">
        <v>35107</v>
      </c>
      <c r="J2388" s="4" t="s">
        <v>4798</v>
      </c>
      <c r="K2388" s="4" t="s">
        <v>57</v>
      </c>
      <c r="L2388" s="4"/>
      <c r="M2388" s="4"/>
    </row>
    <row r="2389" ht="16" customHeight="1" s="4" customFormat="1">
      <c r="A2389" s="4">
        <v>2703</v>
      </c>
      <c r="B2389" s="4" t="s">
        <v>5499</v>
      </c>
      <c r="C2389" s="4" t="s">
        <v>5500</v>
      </c>
      <c r="D2389" s="4"/>
      <c r="E2389" s="4"/>
      <c r="F2389" s="4" t="s">
        <v>9226</v>
      </c>
      <c r="G2389" s="4" t="s">
        <v>9227</v>
      </c>
      <c r="H2389" s="4" t="s">
        <v>9228</v>
      </c>
      <c r="I2389" s="5">
        <v>35024</v>
      </c>
      <c r="J2389" s="4" t="s">
        <v>4798</v>
      </c>
      <c r="K2389" s="4" t="s">
        <v>57</v>
      </c>
      <c r="L2389" s="4"/>
      <c r="M2389" s="4"/>
    </row>
    <row r="2390" ht="16" customHeight="1" s="4" customFormat="1">
      <c r="A2390" s="4">
        <v>2704</v>
      </c>
      <c r="B2390" s="4" t="s">
        <v>5499</v>
      </c>
      <c r="C2390" s="4" t="s">
        <v>5500</v>
      </c>
      <c r="D2390" s="4"/>
      <c r="E2390" s="4"/>
      <c r="F2390" s="4" t="s">
        <v>9229</v>
      </c>
      <c r="G2390" s="4" t="s">
        <v>9230</v>
      </c>
      <c r="H2390" s="4" t="s">
        <v>9228</v>
      </c>
      <c r="I2390" s="5">
        <v>35023</v>
      </c>
      <c r="J2390" s="4" t="s">
        <v>4798</v>
      </c>
      <c r="K2390" s="4" t="s">
        <v>57</v>
      </c>
      <c r="L2390" s="4"/>
      <c r="M2390" s="4"/>
    </row>
    <row r="2391" ht="16" customHeight="1" s="4" customFormat="1">
      <c r="A2391" s="4">
        <v>2705</v>
      </c>
      <c r="B2391" s="4" t="s">
        <v>5499</v>
      </c>
      <c r="C2391" s="4" t="s">
        <v>5500</v>
      </c>
      <c r="D2391" s="4"/>
      <c r="E2391" s="4"/>
      <c r="F2391" s="4" t="s">
        <v>9231</v>
      </c>
      <c r="G2391" s="4" t="s">
        <v>9232</v>
      </c>
      <c r="H2391" s="4" t="s">
        <v>9228</v>
      </c>
      <c r="I2391" s="5">
        <v>35023</v>
      </c>
      <c r="J2391" s="4" t="s">
        <v>4798</v>
      </c>
      <c r="K2391" s="4" t="s">
        <v>57</v>
      </c>
      <c r="L2391" s="4"/>
      <c r="M2391" s="4"/>
    </row>
    <row r="2392" ht="16" customHeight="1" s="4" customFormat="1">
      <c r="A2392" s="4">
        <v>2706</v>
      </c>
      <c r="B2392" s="4" t="s">
        <v>5499</v>
      </c>
      <c r="C2392" s="4" t="s">
        <v>5500</v>
      </c>
      <c r="D2392" s="4"/>
      <c r="E2392" s="4"/>
      <c r="F2392" s="4" t="s">
        <v>9233</v>
      </c>
      <c r="G2392" s="4" t="s">
        <v>9234</v>
      </c>
      <c r="H2392" s="4" t="s">
        <v>9228</v>
      </c>
      <c r="I2392" s="5">
        <v>35023</v>
      </c>
      <c r="J2392" s="4" t="s">
        <v>4798</v>
      </c>
      <c r="K2392" s="4" t="s">
        <v>57</v>
      </c>
      <c r="L2392" s="4"/>
      <c r="M2392" s="4"/>
    </row>
    <row r="2393" ht="16" customHeight="1" s="4" customFormat="1">
      <c r="A2393" s="4">
        <v>2707</v>
      </c>
      <c r="B2393" s="4" t="s">
        <v>5499</v>
      </c>
      <c r="C2393" s="4" t="s">
        <v>5500</v>
      </c>
      <c r="D2393" s="4"/>
      <c r="E2393" s="4"/>
      <c r="F2393" s="4" t="s">
        <v>9235</v>
      </c>
      <c r="G2393" s="4" t="s">
        <v>9236</v>
      </c>
      <c r="H2393" s="4" t="s">
        <v>9228</v>
      </c>
      <c r="I2393" s="5">
        <v>35023</v>
      </c>
      <c r="J2393" s="4" t="s">
        <v>4798</v>
      </c>
      <c r="K2393" s="4" t="s">
        <v>57</v>
      </c>
      <c r="L2393" s="4"/>
      <c r="M2393" s="4"/>
    </row>
    <row r="2394" ht="16" customHeight="1" s="4" customFormat="1">
      <c r="A2394" s="4">
        <v>2708</v>
      </c>
      <c r="B2394" s="4" t="s">
        <v>5499</v>
      </c>
      <c r="C2394" s="4" t="s">
        <v>5500</v>
      </c>
      <c r="D2394" s="4"/>
      <c r="E2394" s="4"/>
      <c r="F2394" s="4" t="s">
        <v>9237</v>
      </c>
      <c r="G2394" s="4" t="s">
        <v>9238</v>
      </c>
      <c r="H2394" s="4" t="s">
        <v>9228</v>
      </c>
      <c r="I2394" s="5">
        <v>35023</v>
      </c>
      <c r="J2394" s="4" t="s">
        <v>4798</v>
      </c>
      <c r="K2394" s="4" t="s">
        <v>57</v>
      </c>
      <c r="L2394" s="4"/>
      <c r="M2394" s="4"/>
    </row>
    <row r="2395" ht="16" customHeight="1" s="4" customFormat="1">
      <c r="A2395" s="4">
        <v>2709</v>
      </c>
      <c r="B2395" s="4" t="s">
        <v>5499</v>
      </c>
      <c r="C2395" s="4" t="s">
        <v>5500</v>
      </c>
      <c r="D2395" s="4"/>
      <c r="E2395" s="4"/>
      <c r="F2395" s="4" t="s">
        <v>9239</v>
      </c>
      <c r="G2395" s="4" t="s">
        <v>9240</v>
      </c>
      <c r="H2395" s="4" t="s">
        <v>9228</v>
      </c>
      <c r="I2395" s="5">
        <v>35023</v>
      </c>
      <c r="J2395" s="4" t="s">
        <v>4798</v>
      </c>
      <c r="K2395" s="4" t="s">
        <v>57</v>
      </c>
      <c r="L2395" s="4"/>
      <c r="M2395" s="4"/>
    </row>
    <row r="2396" ht="16" customHeight="1" s="4" customFormat="1">
      <c r="A2396" s="4">
        <v>2710</v>
      </c>
      <c r="B2396" s="4" t="s">
        <v>5499</v>
      </c>
      <c r="C2396" s="4" t="s">
        <v>5500</v>
      </c>
      <c r="D2396" s="4"/>
      <c r="E2396" s="4"/>
      <c r="F2396" s="4" t="s">
        <v>9241</v>
      </c>
      <c r="G2396" s="4" t="s">
        <v>9242</v>
      </c>
      <c r="H2396" s="4" t="s">
        <v>9243</v>
      </c>
      <c r="I2396" s="5">
        <v>35002</v>
      </c>
      <c r="J2396" s="4" t="s">
        <v>4798</v>
      </c>
      <c r="K2396" s="4" t="s">
        <v>57</v>
      </c>
      <c r="L2396" s="4"/>
      <c r="M2396" s="4"/>
    </row>
    <row r="2397" ht="16" customHeight="1" s="4" customFormat="1">
      <c r="A2397" s="4">
        <v>2711</v>
      </c>
      <c r="B2397" s="4" t="s">
        <v>5499</v>
      </c>
      <c r="C2397" s="4" t="s">
        <v>5500</v>
      </c>
      <c r="D2397" s="4"/>
      <c r="E2397" s="4"/>
      <c r="F2397" s="4" t="s">
        <v>9244</v>
      </c>
      <c r="G2397" s="4" t="s">
        <v>9245</v>
      </c>
      <c r="H2397" s="4" t="s">
        <v>9246</v>
      </c>
      <c r="I2397" s="5">
        <v>34992</v>
      </c>
      <c r="J2397" s="4" t="s">
        <v>4798</v>
      </c>
      <c r="K2397" s="4" t="s">
        <v>57</v>
      </c>
      <c r="L2397" s="4"/>
      <c r="M2397" s="4"/>
    </row>
    <row r="2398" ht="16" customHeight="1" s="4" customFormat="1">
      <c r="A2398" s="4">
        <v>2712</v>
      </c>
      <c r="B2398" s="4" t="s">
        <v>5534</v>
      </c>
      <c r="C2398" s="4" t="s">
        <v>5773</v>
      </c>
      <c r="D2398" s="4"/>
      <c r="E2398" s="4"/>
      <c r="F2398" s="4" t="s">
        <v>9247</v>
      </c>
      <c r="G2398" s="4" t="s">
        <v>5984</v>
      </c>
      <c r="H2398" s="4" t="s">
        <v>6018</v>
      </c>
      <c r="I2398" s="5">
        <v>34740</v>
      </c>
      <c r="J2398" s="4" t="s">
        <v>4798</v>
      </c>
      <c r="K2398" s="4" t="s">
        <v>57</v>
      </c>
      <c r="L2398" s="4"/>
      <c r="M2398" s="4"/>
    </row>
    <row r="2399" ht="16" customHeight="1" s="4" customFormat="1">
      <c r="A2399" s="4">
        <v>2673</v>
      </c>
      <c r="B2399" s="4" t="s">
        <v>5499</v>
      </c>
      <c r="C2399" s="4" t="s">
        <v>5519</v>
      </c>
      <c r="D2399" s="4"/>
      <c r="E2399" s="4" t="s">
        <v>6275</v>
      </c>
      <c r="F2399" s="4" t="s">
        <v>9248</v>
      </c>
      <c r="G2399" s="4" t="s">
        <v>6332</v>
      </c>
      <c r="H2399" s="4" t="s">
        <v>6332</v>
      </c>
      <c r="I2399" s="5">
        <v>37679</v>
      </c>
      <c r="J2399" s="4" t="s">
        <v>4798</v>
      </c>
      <c r="K2399" s="4" t="s">
        <v>57</v>
      </c>
      <c r="L2399" s="4"/>
      <c r="M2399" s="4"/>
    </row>
    <row r="2400" ht="16" customHeight="1" s="4" customFormat="1">
      <c r="A2400" s="4">
        <v>2674</v>
      </c>
      <c r="B2400" s="4" t="s">
        <v>5499</v>
      </c>
      <c r="C2400" s="4" t="s">
        <v>5519</v>
      </c>
      <c r="D2400" s="4"/>
      <c r="E2400" s="4" t="s">
        <v>6275</v>
      </c>
      <c r="F2400" s="4" t="s">
        <v>9249</v>
      </c>
      <c r="G2400" s="4" t="s">
        <v>6332</v>
      </c>
      <c r="H2400" s="4" t="s">
        <v>6332</v>
      </c>
      <c r="I2400" s="5">
        <v>37679</v>
      </c>
      <c r="J2400" s="4" t="s">
        <v>4798</v>
      </c>
      <c r="K2400" s="4" t="s">
        <v>57</v>
      </c>
      <c r="L2400" s="4"/>
      <c r="M2400" s="4"/>
    </row>
    <row r="2401" ht="16" customHeight="1" s="4" customFormat="1">
      <c r="A2401" s="4">
        <v>2675</v>
      </c>
      <c r="B2401" s="4" t="s">
        <v>5499</v>
      </c>
      <c r="C2401" s="4" t="s">
        <v>5519</v>
      </c>
      <c r="D2401" s="4"/>
      <c r="E2401" s="4" t="s">
        <v>5645</v>
      </c>
      <c r="F2401" s="4" t="s">
        <v>9250</v>
      </c>
      <c r="G2401" s="4" t="s">
        <v>9251</v>
      </c>
      <c r="H2401" s="4" t="s">
        <v>9252</v>
      </c>
      <c r="I2401" s="5">
        <v>37662</v>
      </c>
      <c r="J2401" s="4" t="s">
        <v>4798</v>
      </c>
      <c r="K2401" s="4" t="s">
        <v>57</v>
      </c>
      <c r="L2401" s="4"/>
      <c r="M2401" s="4"/>
    </row>
    <row r="2402" ht="16" customHeight="1" s="4" customFormat="1">
      <c r="A2402" s="4">
        <v>2676</v>
      </c>
      <c r="B2402" s="4" t="s">
        <v>5499</v>
      </c>
      <c r="C2402" s="4" t="s">
        <v>5519</v>
      </c>
      <c r="D2402" s="4"/>
      <c r="E2402" s="4" t="s">
        <v>5580</v>
      </c>
      <c r="F2402" s="4" t="s">
        <v>9253</v>
      </c>
      <c r="G2402" s="4" t="s">
        <v>9251</v>
      </c>
      <c r="H2402" s="4" t="s">
        <v>9252</v>
      </c>
      <c r="I2402" s="5">
        <v>37662</v>
      </c>
      <c r="J2402" s="4" t="s">
        <v>4798</v>
      </c>
      <c r="K2402" s="4" t="s">
        <v>57</v>
      </c>
      <c r="L2402" s="4"/>
      <c r="M2402" s="4"/>
    </row>
    <row r="2403" ht="16" customHeight="1" s="4" customFormat="1">
      <c r="A2403" s="4">
        <v>2677</v>
      </c>
      <c r="B2403" s="4" t="s">
        <v>5499</v>
      </c>
      <c r="C2403" s="4" t="s">
        <v>5519</v>
      </c>
      <c r="D2403" s="4"/>
      <c r="E2403" s="4" t="s">
        <v>9254</v>
      </c>
      <c r="F2403" s="4" t="s">
        <v>9255</v>
      </c>
      <c r="G2403" s="4" t="s">
        <v>9256</v>
      </c>
      <c r="H2403" s="4" t="s">
        <v>9256</v>
      </c>
      <c r="I2403" s="5">
        <v>37644</v>
      </c>
      <c r="J2403" s="4" t="s">
        <v>4798</v>
      </c>
      <c r="K2403" s="4" t="s">
        <v>57</v>
      </c>
      <c r="L2403" s="4"/>
      <c r="M2403" s="4"/>
    </row>
    <row r="2404" ht="16" customHeight="1" s="4" customFormat="1">
      <c r="A2404" s="4">
        <v>2678</v>
      </c>
      <c r="B2404" s="4" t="s">
        <v>5499</v>
      </c>
      <c r="C2404" s="4" t="s">
        <v>5519</v>
      </c>
      <c r="D2404" s="4"/>
      <c r="E2404" s="4" t="s">
        <v>9254</v>
      </c>
      <c r="F2404" s="4" t="s">
        <v>9257</v>
      </c>
      <c r="G2404" s="4" t="s">
        <v>9256</v>
      </c>
      <c r="H2404" s="4" t="s">
        <v>9256</v>
      </c>
      <c r="I2404" s="5">
        <v>37644</v>
      </c>
      <c r="J2404" s="4" t="s">
        <v>4798</v>
      </c>
      <c r="K2404" s="4" t="s">
        <v>57</v>
      </c>
      <c r="L2404" s="4"/>
      <c r="M2404" s="4"/>
    </row>
    <row r="2405" ht="16" customHeight="1" s="4" customFormat="1">
      <c r="A2405" s="4">
        <v>2679</v>
      </c>
      <c r="B2405" s="4" t="s">
        <v>5499</v>
      </c>
      <c r="C2405" s="4" t="s">
        <v>5519</v>
      </c>
      <c r="D2405" s="4"/>
      <c r="E2405" s="4" t="s">
        <v>6330</v>
      </c>
      <c r="F2405" s="4" t="s">
        <v>9258</v>
      </c>
      <c r="G2405" s="4" t="s">
        <v>5984</v>
      </c>
      <c r="H2405" s="4" t="s">
        <v>5984</v>
      </c>
      <c r="I2405" s="5">
        <v>37616</v>
      </c>
      <c r="J2405" s="4" t="s">
        <v>4798</v>
      </c>
      <c r="K2405" s="4" t="s">
        <v>57</v>
      </c>
      <c r="L2405" s="4"/>
      <c r="M2405" s="4"/>
    </row>
    <row r="2406" ht="16" customHeight="1" s="4" customFormat="1">
      <c r="A2406" s="4">
        <v>2680</v>
      </c>
      <c r="B2406" s="4" t="s">
        <v>5499</v>
      </c>
      <c r="C2406" s="4" t="s">
        <v>5519</v>
      </c>
      <c r="D2406" s="4"/>
      <c r="E2406" s="4" t="s">
        <v>6330</v>
      </c>
      <c r="F2406" s="4" t="s">
        <v>9259</v>
      </c>
      <c r="G2406" s="4" t="s">
        <v>5984</v>
      </c>
      <c r="H2406" s="4" t="s">
        <v>5984</v>
      </c>
      <c r="I2406" s="5">
        <v>37616</v>
      </c>
      <c r="J2406" s="4" t="s">
        <v>4798</v>
      </c>
      <c r="K2406" s="4" t="s">
        <v>57</v>
      </c>
      <c r="L2406" s="4"/>
      <c r="M2406" s="4"/>
    </row>
    <row r="2407" ht="16" customHeight="1" s="4" customFormat="1">
      <c r="A2407" s="4">
        <v>2681</v>
      </c>
      <c r="B2407" s="4" t="s">
        <v>5499</v>
      </c>
      <c r="C2407" s="4" t="s">
        <v>5519</v>
      </c>
      <c r="D2407" s="4"/>
      <c r="E2407" s="4" t="s">
        <v>5580</v>
      </c>
      <c r="F2407" s="4" t="s">
        <v>9260</v>
      </c>
      <c r="G2407" s="4" t="s">
        <v>9261</v>
      </c>
      <c r="H2407" s="4" t="s">
        <v>9262</v>
      </c>
      <c r="I2407" s="5">
        <v>37606</v>
      </c>
      <c r="J2407" s="4" t="s">
        <v>4798</v>
      </c>
      <c r="K2407" s="4" t="s">
        <v>57</v>
      </c>
      <c r="L2407" s="4"/>
      <c r="M2407" s="4"/>
    </row>
    <row r="2408" ht="16" customHeight="1" s="4" customFormat="1">
      <c r="A2408" s="4">
        <v>2682</v>
      </c>
      <c r="B2408" s="4" t="s">
        <v>5499</v>
      </c>
      <c r="C2408" s="4" t="s">
        <v>5519</v>
      </c>
      <c r="D2408" s="4"/>
      <c r="E2408" s="4" t="s">
        <v>6704</v>
      </c>
      <c r="F2408" s="4" t="s">
        <v>9263</v>
      </c>
      <c r="G2408" s="4" t="s">
        <v>9261</v>
      </c>
      <c r="H2408" s="4" t="s">
        <v>9262</v>
      </c>
      <c r="I2408" s="5">
        <v>37606</v>
      </c>
      <c r="J2408" s="4" t="s">
        <v>4798</v>
      </c>
      <c r="K2408" s="4" t="s">
        <v>57</v>
      </c>
      <c r="L2408" s="4"/>
      <c r="M2408" s="4"/>
    </row>
    <row r="2409" ht="16" customHeight="1" s="4" customFormat="1">
      <c r="A2409" s="4">
        <v>2683</v>
      </c>
      <c r="B2409" s="4" t="s">
        <v>5499</v>
      </c>
      <c r="C2409" s="4" t="s">
        <v>5519</v>
      </c>
      <c r="D2409" s="4"/>
      <c r="E2409" s="4" t="s">
        <v>6330</v>
      </c>
      <c r="F2409" s="4" t="s">
        <v>9264</v>
      </c>
      <c r="G2409" s="4" t="s">
        <v>5984</v>
      </c>
      <c r="H2409" s="4" t="s">
        <v>5984</v>
      </c>
      <c r="I2409" s="5">
        <v>37469</v>
      </c>
      <c r="J2409" s="4" t="s">
        <v>4798</v>
      </c>
      <c r="K2409" s="4" t="s">
        <v>57</v>
      </c>
      <c r="L2409" s="4"/>
      <c r="M2409" s="4"/>
    </row>
    <row r="2410" ht="16" customHeight="1" s="4" customFormat="1">
      <c r="A2410" s="4">
        <v>2684</v>
      </c>
      <c r="B2410" s="4" t="s">
        <v>5499</v>
      </c>
      <c r="C2410" s="4" t="s">
        <v>5519</v>
      </c>
      <c r="D2410" s="4"/>
      <c r="E2410" s="4" t="s">
        <v>6330</v>
      </c>
      <c r="F2410" s="4" t="s">
        <v>9265</v>
      </c>
      <c r="G2410" s="4" t="s">
        <v>5984</v>
      </c>
      <c r="H2410" s="4" t="s">
        <v>5984</v>
      </c>
      <c r="I2410" s="5">
        <v>37469</v>
      </c>
      <c r="J2410" s="4" t="s">
        <v>4798</v>
      </c>
      <c r="K2410" s="4" t="s">
        <v>57</v>
      </c>
      <c r="L2410" s="4"/>
      <c r="M2410" s="4"/>
    </row>
    <row r="2411" ht="16" customHeight="1" s="4" customFormat="1">
      <c r="A2411" s="4">
        <v>2685</v>
      </c>
      <c r="B2411" s="4" t="s">
        <v>5499</v>
      </c>
      <c r="C2411" s="4" t="s">
        <v>5519</v>
      </c>
      <c r="D2411" s="4"/>
      <c r="E2411" s="4" t="s">
        <v>6330</v>
      </c>
      <c r="F2411" s="4" t="s">
        <v>9266</v>
      </c>
      <c r="G2411" s="4" t="s">
        <v>5984</v>
      </c>
      <c r="H2411" s="4" t="s">
        <v>5984</v>
      </c>
      <c r="I2411" s="5">
        <v>37335</v>
      </c>
      <c r="J2411" s="4" t="s">
        <v>4798</v>
      </c>
      <c r="K2411" s="4" t="s">
        <v>57</v>
      </c>
      <c r="L2411" s="4"/>
      <c r="M2411" s="4"/>
    </row>
    <row r="2412" ht="16" customHeight="1" s="4" customFormat="1">
      <c r="A2412" s="4">
        <v>2686</v>
      </c>
      <c r="B2412" s="4" t="s">
        <v>5499</v>
      </c>
      <c r="C2412" s="4" t="s">
        <v>5519</v>
      </c>
      <c r="D2412" s="4"/>
      <c r="E2412" s="4" t="s">
        <v>6330</v>
      </c>
      <c r="F2412" s="4" t="s">
        <v>9267</v>
      </c>
      <c r="G2412" s="4" t="s">
        <v>5984</v>
      </c>
      <c r="H2412" s="4" t="s">
        <v>5984</v>
      </c>
      <c r="I2412" s="5">
        <v>37335</v>
      </c>
      <c r="J2412" s="4" t="s">
        <v>4798</v>
      </c>
      <c r="K2412" s="4" t="s">
        <v>57</v>
      </c>
      <c r="L2412" s="4"/>
      <c r="M2412" s="4"/>
    </row>
    <row r="2413" ht="16" customHeight="1" s="4" customFormat="1">
      <c r="A2413" s="4">
        <v>2687</v>
      </c>
      <c r="B2413" s="4" t="s">
        <v>5499</v>
      </c>
      <c r="C2413" s="4" t="s">
        <v>5519</v>
      </c>
      <c r="D2413" s="4"/>
      <c r="E2413" s="4" t="s">
        <v>6188</v>
      </c>
      <c r="F2413" s="4" t="s">
        <v>9268</v>
      </c>
      <c r="G2413" s="4" t="s">
        <v>6005</v>
      </c>
      <c r="H2413" s="4" t="s">
        <v>6005</v>
      </c>
      <c r="I2413" s="5">
        <v>37300</v>
      </c>
      <c r="J2413" s="4" t="s">
        <v>4798</v>
      </c>
      <c r="K2413" s="4" t="s">
        <v>57</v>
      </c>
      <c r="L2413" s="4"/>
      <c r="M2413" s="4"/>
    </row>
    <row r="2414" ht="16" customHeight="1" s="4" customFormat="1">
      <c r="A2414" s="4">
        <v>2688</v>
      </c>
      <c r="B2414" s="4" t="s">
        <v>5499</v>
      </c>
      <c r="C2414" s="4" t="s">
        <v>5519</v>
      </c>
      <c r="D2414" s="4"/>
      <c r="E2414" s="4" t="s">
        <v>6188</v>
      </c>
      <c r="F2414" s="4" t="s">
        <v>9269</v>
      </c>
      <c r="G2414" s="4" t="s">
        <v>6005</v>
      </c>
      <c r="H2414" s="4" t="s">
        <v>6005</v>
      </c>
      <c r="I2414" s="5">
        <v>37300</v>
      </c>
      <c r="J2414" s="4" t="s">
        <v>4798</v>
      </c>
      <c r="K2414" s="4" t="s">
        <v>57</v>
      </c>
      <c r="L2414" s="4"/>
      <c r="M2414" s="4"/>
    </row>
    <row r="2415" ht="16" customHeight="1" s="4" customFormat="1">
      <c r="A2415" s="4">
        <v>2689</v>
      </c>
      <c r="B2415" s="4" t="s">
        <v>5499</v>
      </c>
      <c r="C2415" s="4" t="s">
        <v>5519</v>
      </c>
      <c r="D2415" s="4"/>
      <c r="E2415" s="4" t="s">
        <v>6188</v>
      </c>
      <c r="F2415" s="4" t="s">
        <v>9270</v>
      </c>
      <c r="G2415" s="4" t="s">
        <v>6005</v>
      </c>
      <c r="H2415" s="4" t="s">
        <v>6005</v>
      </c>
      <c r="I2415" s="5">
        <v>37300</v>
      </c>
      <c r="J2415" s="4" t="s">
        <v>4798</v>
      </c>
      <c r="K2415" s="4" t="s">
        <v>57</v>
      </c>
      <c r="L2415" s="4"/>
      <c r="M2415" s="4"/>
    </row>
    <row r="2416" ht="16" customHeight="1" s="4" customFormat="1">
      <c r="A2416" s="4">
        <v>2690</v>
      </c>
      <c r="B2416" s="4" t="s">
        <v>5499</v>
      </c>
      <c r="C2416" s="4" t="s">
        <v>5519</v>
      </c>
      <c r="D2416" s="4"/>
      <c r="E2416" s="4" t="s">
        <v>6188</v>
      </c>
      <c r="F2416" s="4" t="s">
        <v>9271</v>
      </c>
      <c r="G2416" s="4" t="s">
        <v>6005</v>
      </c>
      <c r="H2416" s="4" t="s">
        <v>6005</v>
      </c>
      <c r="I2416" s="5">
        <v>37300</v>
      </c>
      <c r="J2416" s="4" t="s">
        <v>4798</v>
      </c>
      <c r="K2416" s="4" t="s">
        <v>57</v>
      </c>
      <c r="L2416" s="4"/>
      <c r="M2416" s="4"/>
    </row>
    <row r="2417" ht="16" customHeight="1" s="4" customFormat="1">
      <c r="A2417" s="4">
        <v>2691</v>
      </c>
      <c r="B2417" s="4" t="s">
        <v>5499</v>
      </c>
      <c r="C2417" s="4" t="s">
        <v>5573</v>
      </c>
      <c r="D2417" s="4" t="s">
        <v>5574</v>
      </c>
      <c r="E2417" s="4" t="s">
        <v>7696</v>
      </c>
      <c r="F2417" s="4" t="s">
        <v>9272</v>
      </c>
      <c r="G2417" s="4" t="s">
        <v>9273</v>
      </c>
      <c r="H2417" s="4" t="s">
        <v>9274</v>
      </c>
      <c r="I2417" s="5">
        <v>37198</v>
      </c>
      <c r="J2417" s="4" t="s">
        <v>5506</v>
      </c>
      <c r="K2417" s="4" t="s">
        <v>57</v>
      </c>
      <c r="L2417" s="4"/>
      <c r="M2417" s="4"/>
    </row>
    <row r="2418" ht="16" customHeight="1" s="4" customFormat="1">
      <c r="A2418" s="4">
        <v>2692</v>
      </c>
      <c r="B2418" s="4" t="s">
        <v>5499</v>
      </c>
      <c r="C2418" s="4" t="s">
        <v>5500</v>
      </c>
      <c r="D2418" s="4"/>
      <c r="E2418" s="4"/>
      <c r="F2418" s="4" t="s">
        <v>9275</v>
      </c>
      <c r="G2418" s="4" t="s">
        <v>9276</v>
      </c>
      <c r="H2418" s="4" t="s">
        <v>9277</v>
      </c>
      <c r="I2418" s="5">
        <v>35956</v>
      </c>
      <c r="J2418" s="4" t="s">
        <v>4798</v>
      </c>
      <c r="K2418" s="4" t="s">
        <v>57</v>
      </c>
      <c r="L2418" s="4"/>
      <c r="M2418" s="4"/>
    </row>
    <row r="2419" ht="16" customHeight="1" s="4" customFormat="1">
      <c r="A2419" s="4">
        <v>2693</v>
      </c>
      <c r="B2419" s="4" t="s">
        <v>5600</v>
      </c>
      <c r="C2419" s="4" t="s">
        <v>5600</v>
      </c>
      <c r="D2419" s="4" t="s">
        <v>5574</v>
      </c>
      <c r="E2419" s="4" t="s">
        <v>5606</v>
      </c>
      <c r="F2419" s="4" t="s">
        <v>9278</v>
      </c>
      <c r="G2419" s="4" t="s">
        <v>9279</v>
      </c>
      <c r="H2419" s="4" t="s">
        <v>9280</v>
      </c>
      <c r="I2419" s="5">
        <v>35814</v>
      </c>
      <c r="J2419" s="4" t="s">
        <v>5506</v>
      </c>
      <c r="K2419" s="4" t="s">
        <v>57</v>
      </c>
      <c r="L2419" s="4"/>
      <c r="M2419" s="4"/>
    </row>
    <row r="2420" ht="16" customHeight="1" s="4" customFormat="1">
      <c r="A2420" s="4">
        <v>2694</v>
      </c>
      <c r="B2420" s="4" t="s">
        <v>5534</v>
      </c>
      <c r="C2420" s="4" t="s">
        <v>5773</v>
      </c>
      <c r="D2420" s="4"/>
      <c r="E2420" s="4"/>
      <c r="F2420" s="4" t="s">
        <v>9281</v>
      </c>
      <c r="G2420" s="4" t="s">
        <v>5984</v>
      </c>
      <c r="H2420" s="4" t="s">
        <v>5899</v>
      </c>
      <c r="I2420" s="5">
        <v>35635</v>
      </c>
      <c r="J2420" s="4" t="s">
        <v>4798</v>
      </c>
      <c r="K2420" s="4" t="s">
        <v>57</v>
      </c>
      <c r="L2420" s="4"/>
      <c r="M2420" s="4"/>
    </row>
    <row r="2421" ht="16" customHeight="1" s="4" customFormat="1">
      <c r="A2421" s="4">
        <v>2695</v>
      </c>
      <c r="B2421" s="4" t="s">
        <v>5600</v>
      </c>
      <c r="C2421" s="4" t="s">
        <v>5600</v>
      </c>
      <c r="D2421" s="4" t="s">
        <v>5574</v>
      </c>
      <c r="E2421" s="4" t="s">
        <v>5606</v>
      </c>
      <c r="F2421" s="4" t="s">
        <v>9282</v>
      </c>
      <c r="G2421" s="4" t="s">
        <v>9279</v>
      </c>
      <c r="H2421" s="4" t="s">
        <v>9283</v>
      </c>
      <c r="I2421" s="5">
        <v>35555</v>
      </c>
      <c r="J2421" s="4" t="s">
        <v>5506</v>
      </c>
      <c r="K2421" s="4" t="s">
        <v>57</v>
      </c>
      <c r="L2421" s="4"/>
      <c r="M2421" s="4"/>
    </row>
    <row r="2422" ht="16" customHeight="1" s="4" customFormat="1">
      <c r="A2422" s="4">
        <v>2740</v>
      </c>
      <c r="B2422" s="4" t="s">
        <v>5499</v>
      </c>
      <c r="C2422" s="4" t="s">
        <v>5590</v>
      </c>
      <c r="D2422" s="4" t="s">
        <v>5574</v>
      </c>
      <c r="E2422" s="4" t="s">
        <v>5575</v>
      </c>
      <c r="F2422" s="4" t="s">
        <v>9284</v>
      </c>
      <c r="G2422" s="4" t="s">
        <v>6278</v>
      </c>
      <c r="H2422" s="4" t="s">
        <v>6281</v>
      </c>
      <c r="I2422" s="4"/>
      <c r="J2422" s="4" t="s">
        <v>4842</v>
      </c>
      <c r="K2422" s="4" t="s">
        <v>57</v>
      </c>
      <c r="L2422" s="4"/>
      <c r="M2422" s="4"/>
    </row>
    <row r="2423" ht="16" customHeight="1" s="4" customFormat="1">
      <c r="A2423" s="4">
        <v>2696</v>
      </c>
      <c r="B2423" s="4" t="s">
        <v>5499</v>
      </c>
      <c r="C2423" s="4" t="s">
        <v>5500</v>
      </c>
      <c r="D2423" s="4"/>
      <c r="E2423" s="4"/>
      <c r="F2423" s="4" t="s">
        <v>9285</v>
      </c>
      <c r="G2423" s="4" t="s">
        <v>9286</v>
      </c>
      <c r="H2423" s="4" t="s">
        <v>9287</v>
      </c>
      <c r="I2423" s="5">
        <v>35502</v>
      </c>
      <c r="J2423" s="4" t="s">
        <v>4798</v>
      </c>
      <c r="K2423" s="4" t="s">
        <v>57</v>
      </c>
      <c r="L2423" s="4"/>
      <c r="M2423" s="4"/>
    </row>
    <row r="2424" ht="16" customHeight="1" s="4" customFormat="1">
      <c r="A2424" s="4">
        <v>357</v>
      </c>
      <c r="B2424" s="4" t="s">
        <v>5499</v>
      </c>
      <c r="C2424" s="4" t="s">
        <v>5590</v>
      </c>
      <c r="D2424" s="4" t="s">
        <v>5574</v>
      </c>
      <c r="E2424" s="4" t="s">
        <v>5575</v>
      </c>
      <c r="F2424" s="4" t="s">
        <v>9288</v>
      </c>
      <c r="G2424" s="4" t="s">
        <v>6431</v>
      </c>
      <c r="H2424" s="4" t="s">
        <v>7194</v>
      </c>
      <c r="I2424" s="5">
        <v>45016</v>
      </c>
      <c r="J2424" s="4" t="s">
        <v>4798</v>
      </c>
      <c r="K2424" s="4" t="s">
        <v>57</v>
      </c>
      <c r="L2424" s="4"/>
      <c r="M2424" s="4"/>
    </row>
    <row r="2425" ht="16" customHeight="1" s="4" customFormat="1">
      <c r="A2425" s="4">
        <v>358</v>
      </c>
      <c r="B2425" s="4" t="s">
        <v>5499</v>
      </c>
      <c r="C2425" s="4" t="s">
        <v>5590</v>
      </c>
      <c r="D2425" s="4" t="s">
        <v>5574</v>
      </c>
      <c r="E2425" s="4" t="s">
        <v>5575</v>
      </c>
      <c r="F2425" s="4" t="s">
        <v>9289</v>
      </c>
      <c r="G2425" s="4" t="s">
        <v>6431</v>
      </c>
      <c r="H2425" s="4" t="s">
        <v>7194</v>
      </c>
      <c r="I2425" s="5">
        <v>45016</v>
      </c>
      <c r="J2425" s="4" t="s">
        <v>4798</v>
      </c>
      <c r="K2425" s="4" t="s">
        <v>57</v>
      </c>
      <c r="L2425" s="4"/>
      <c r="M2425" s="4"/>
    </row>
    <row r="2426" ht="16" customHeight="1" s="4" customFormat="1">
      <c r="A2426" s="4">
        <v>359</v>
      </c>
      <c r="B2426" s="4" t="s">
        <v>5499</v>
      </c>
      <c r="C2426" s="4" t="s">
        <v>5590</v>
      </c>
      <c r="D2426" s="4" t="s">
        <v>5574</v>
      </c>
      <c r="E2426" s="4" t="s">
        <v>5575</v>
      </c>
      <c r="F2426" s="4" t="s">
        <v>9290</v>
      </c>
      <c r="G2426" s="4" t="s">
        <v>6431</v>
      </c>
      <c r="H2426" s="4" t="s">
        <v>7194</v>
      </c>
      <c r="I2426" s="5">
        <v>45016</v>
      </c>
      <c r="J2426" s="4" t="s">
        <v>4798</v>
      </c>
      <c r="K2426" s="4" t="s">
        <v>57</v>
      </c>
      <c r="L2426" s="4"/>
      <c r="M2426" s="4"/>
    </row>
    <row r="2427" ht="16" customHeight="1" s="4" customFormat="1">
      <c r="A2427" s="4">
        <v>360</v>
      </c>
      <c r="B2427" s="4" t="s">
        <v>6161</v>
      </c>
      <c r="C2427" s="4" t="s">
        <v>6618</v>
      </c>
      <c r="D2427" s="4"/>
      <c r="E2427" s="4"/>
      <c r="F2427" s="4" t="s">
        <v>9291</v>
      </c>
      <c r="G2427" s="4" t="s">
        <v>9292</v>
      </c>
      <c r="H2427" s="4" t="s">
        <v>9293</v>
      </c>
      <c r="I2427" s="5">
        <v>45016</v>
      </c>
      <c r="J2427" s="4" t="s">
        <v>4798</v>
      </c>
      <c r="K2427" s="4" t="s">
        <v>57</v>
      </c>
      <c r="L2427" s="4"/>
      <c r="M2427" s="4"/>
    </row>
    <row r="2428" ht="16" customHeight="1" s="4" customFormat="1">
      <c r="A2428" s="4">
        <v>361</v>
      </c>
      <c r="B2428" s="4" t="s">
        <v>6161</v>
      </c>
      <c r="C2428" s="4" t="s">
        <v>6618</v>
      </c>
      <c r="D2428" s="4"/>
      <c r="E2428" s="4"/>
      <c r="F2428" s="4" t="s">
        <v>9294</v>
      </c>
      <c r="G2428" s="4" t="s">
        <v>9295</v>
      </c>
      <c r="H2428" s="4" t="s">
        <v>9296</v>
      </c>
      <c r="I2428" s="5">
        <v>45016</v>
      </c>
      <c r="J2428" s="4" t="s">
        <v>4798</v>
      </c>
      <c r="K2428" s="4" t="s">
        <v>57</v>
      </c>
      <c r="L2428" s="4"/>
      <c r="M2428" s="4"/>
    </row>
    <row r="2429" ht="16" customHeight="1" s="4" customFormat="1">
      <c r="A2429" s="4">
        <v>388</v>
      </c>
      <c r="B2429" s="4" t="s">
        <v>5499</v>
      </c>
      <c r="C2429" s="4" t="s">
        <v>5509</v>
      </c>
      <c r="D2429" s="4"/>
      <c r="E2429" s="4"/>
      <c r="F2429" s="4" t="s">
        <v>9297</v>
      </c>
      <c r="G2429" s="4" t="s">
        <v>9298</v>
      </c>
      <c r="H2429" s="4" t="s">
        <v>9299</v>
      </c>
      <c r="I2429" s="5">
        <v>44894</v>
      </c>
      <c r="J2429" s="4" t="s">
        <v>4798</v>
      </c>
      <c r="K2429" s="4" t="s">
        <v>57</v>
      </c>
      <c r="L2429" s="4"/>
      <c r="M2429" s="4"/>
    </row>
    <row r="2430" ht="16" customHeight="1" s="4" customFormat="1">
      <c r="A2430" s="4">
        <v>362</v>
      </c>
      <c r="B2430" s="4" t="s">
        <v>6161</v>
      </c>
      <c r="C2430" s="4" t="s">
        <v>6618</v>
      </c>
      <c r="D2430" s="4"/>
      <c r="E2430" s="4"/>
      <c r="F2430" s="4" t="s">
        <v>9300</v>
      </c>
      <c r="G2430" s="4" t="s">
        <v>9301</v>
      </c>
      <c r="H2430" s="4" t="s">
        <v>9302</v>
      </c>
      <c r="I2430" s="5">
        <v>45016</v>
      </c>
      <c r="J2430" s="4" t="s">
        <v>4798</v>
      </c>
      <c r="K2430" s="4" t="s">
        <v>57</v>
      </c>
      <c r="L2430" s="4"/>
      <c r="M2430" s="4"/>
    </row>
    <row r="2431" ht="16" customHeight="1" s="4" customFormat="1">
      <c r="A2431" s="4">
        <v>363</v>
      </c>
      <c r="B2431" s="4" t="s">
        <v>6161</v>
      </c>
      <c r="C2431" s="4" t="s">
        <v>6618</v>
      </c>
      <c r="D2431" s="4"/>
      <c r="E2431" s="4"/>
      <c r="F2431" s="4" t="s">
        <v>9303</v>
      </c>
      <c r="G2431" s="4" t="s">
        <v>9304</v>
      </c>
      <c r="H2431" s="4" t="s">
        <v>9305</v>
      </c>
      <c r="I2431" s="5">
        <v>45016</v>
      </c>
      <c r="J2431" s="4" t="s">
        <v>4798</v>
      </c>
      <c r="K2431" s="4" t="s">
        <v>57</v>
      </c>
      <c r="L2431" s="4"/>
      <c r="M2431" s="4"/>
    </row>
    <row r="2432" ht="16" customHeight="1" s="4" customFormat="1">
      <c r="A2432" s="4">
        <v>364</v>
      </c>
      <c r="B2432" s="4" t="s">
        <v>6161</v>
      </c>
      <c r="C2432" s="4" t="s">
        <v>6618</v>
      </c>
      <c r="D2432" s="4"/>
      <c r="E2432" s="4"/>
      <c r="F2432" s="4" t="s">
        <v>9306</v>
      </c>
      <c r="G2432" s="4" t="s">
        <v>9307</v>
      </c>
      <c r="H2432" s="4" t="s">
        <v>9308</v>
      </c>
      <c r="I2432" s="5">
        <v>45016</v>
      </c>
      <c r="J2432" s="4" t="s">
        <v>4798</v>
      </c>
      <c r="K2432" s="4" t="s">
        <v>57</v>
      </c>
      <c r="L2432" s="4"/>
      <c r="M2432" s="4"/>
    </row>
    <row r="2433" ht="16" customHeight="1" s="4" customFormat="1">
      <c r="A2433" s="4">
        <v>365</v>
      </c>
      <c r="B2433" s="4" t="s">
        <v>6161</v>
      </c>
      <c r="C2433" s="4" t="s">
        <v>6618</v>
      </c>
      <c r="D2433" s="4"/>
      <c r="E2433" s="4"/>
      <c r="F2433" s="4" t="s">
        <v>9309</v>
      </c>
      <c r="G2433" s="4" t="s">
        <v>9310</v>
      </c>
      <c r="H2433" s="4" t="s">
        <v>9308</v>
      </c>
      <c r="I2433" s="5">
        <v>45016</v>
      </c>
      <c r="J2433" s="4" t="s">
        <v>4798</v>
      </c>
      <c r="K2433" s="4" t="s">
        <v>57</v>
      </c>
      <c r="L2433" s="4"/>
      <c r="M2433" s="4"/>
    </row>
    <row r="2434" ht="16" customHeight="1" s="4" customFormat="1">
      <c r="A2434" s="4">
        <v>366</v>
      </c>
      <c r="B2434" s="4" t="s">
        <v>5499</v>
      </c>
      <c r="C2434" s="4" t="s">
        <v>5590</v>
      </c>
      <c r="D2434" s="4" t="s">
        <v>5574</v>
      </c>
      <c r="E2434" s="4" t="s">
        <v>5575</v>
      </c>
      <c r="F2434" s="4" t="s">
        <v>9311</v>
      </c>
      <c r="G2434" s="4" t="s">
        <v>6431</v>
      </c>
      <c r="H2434" s="4" t="s">
        <v>7194</v>
      </c>
      <c r="I2434" s="5">
        <v>45009</v>
      </c>
      <c r="J2434" s="4" t="s">
        <v>4798</v>
      </c>
      <c r="K2434" s="4" t="s">
        <v>57</v>
      </c>
      <c r="L2434" s="4"/>
      <c r="M2434" s="4"/>
    </row>
    <row r="2435" ht="16" customHeight="1" s="4" customFormat="1">
      <c r="A2435" s="4">
        <v>367</v>
      </c>
      <c r="B2435" s="4" t="s">
        <v>5499</v>
      </c>
      <c r="C2435" s="4" t="s">
        <v>5590</v>
      </c>
      <c r="D2435" s="4" t="s">
        <v>5574</v>
      </c>
      <c r="E2435" s="4" t="s">
        <v>5575</v>
      </c>
      <c r="F2435" s="4" t="s">
        <v>9312</v>
      </c>
      <c r="G2435" s="4" t="s">
        <v>6431</v>
      </c>
      <c r="H2435" s="4" t="s">
        <v>7194</v>
      </c>
      <c r="I2435" s="5">
        <v>45009</v>
      </c>
      <c r="J2435" s="4" t="s">
        <v>5506</v>
      </c>
      <c r="K2435" s="4" t="s">
        <v>57</v>
      </c>
      <c r="L2435" s="4"/>
      <c r="M2435" s="4"/>
    </row>
    <row r="2436" ht="16" customHeight="1" s="4" customFormat="1">
      <c r="A2436" s="4">
        <v>368</v>
      </c>
      <c r="B2436" s="4" t="s">
        <v>5600</v>
      </c>
      <c r="C2436" s="4" t="s">
        <v>5600</v>
      </c>
      <c r="D2436" s="4"/>
      <c r="E2436" s="4" t="s">
        <v>9313</v>
      </c>
      <c r="F2436" s="4" t="s">
        <v>9314</v>
      </c>
      <c r="G2436" s="4" t="s">
        <v>6507</v>
      </c>
      <c r="H2436" s="4" t="s">
        <v>9315</v>
      </c>
      <c r="I2436" s="5">
        <v>45006</v>
      </c>
      <c r="J2436" s="4" t="s">
        <v>4842</v>
      </c>
      <c r="K2436" s="4" t="s">
        <v>57</v>
      </c>
      <c r="L2436" s="4"/>
      <c r="M2436" s="4"/>
    </row>
    <row r="2437" ht="16" customHeight="1" s="4" customFormat="1">
      <c r="A2437" s="4">
        <v>369</v>
      </c>
      <c r="B2437" s="4" t="s">
        <v>6161</v>
      </c>
      <c r="C2437" s="4" t="s">
        <v>6618</v>
      </c>
      <c r="D2437" s="4"/>
      <c r="E2437" s="4"/>
      <c r="F2437" s="4" t="s">
        <v>9316</v>
      </c>
      <c r="G2437" s="4" t="s">
        <v>10</v>
      </c>
      <c r="H2437" s="4" t="s">
        <v>9317</v>
      </c>
      <c r="I2437" s="5">
        <v>45005</v>
      </c>
      <c r="J2437" s="4" t="s">
        <v>7580</v>
      </c>
      <c r="K2437" s="4" t="s">
        <v>57</v>
      </c>
      <c r="L2437" s="4"/>
      <c r="M2437" s="4"/>
    </row>
    <row r="2438" ht="16" customHeight="1" s="4" customFormat="1">
      <c r="A2438" s="4">
        <v>370</v>
      </c>
      <c r="B2438" s="4" t="s">
        <v>5534</v>
      </c>
      <c r="C2438" s="4" t="s">
        <v>5773</v>
      </c>
      <c r="D2438" s="4"/>
      <c r="E2438" s="4"/>
      <c r="F2438" s="4" t="s">
        <v>9318</v>
      </c>
      <c r="G2438" s="4" t="s">
        <v>9319</v>
      </c>
      <c r="H2438" s="4" t="s">
        <v>6765</v>
      </c>
      <c r="I2438" s="5">
        <v>45005</v>
      </c>
      <c r="J2438" s="4" t="s">
        <v>4842</v>
      </c>
      <c r="K2438" s="4" t="s">
        <v>57</v>
      </c>
      <c r="L2438" s="4"/>
      <c r="M2438" s="4"/>
    </row>
    <row r="2439" ht="16" customHeight="1" s="4" customFormat="1">
      <c r="A2439" s="4">
        <v>371</v>
      </c>
      <c r="B2439" s="4" t="s">
        <v>5534</v>
      </c>
      <c r="C2439" s="4" t="s">
        <v>5773</v>
      </c>
      <c r="D2439" s="4"/>
      <c r="E2439" s="4"/>
      <c r="F2439" s="4" t="s">
        <v>9320</v>
      </c>
      <c r="G2439" s="4" t="s">
        <v>5791</v>
      </c>
      <c r="H2439" s="4" t="s">
        <v>9321</v>
      </c>
      <c r="I2439" s="5">
        <v>44998</v>
      </c>
      <c r="J2439" s="4" t="s">
        <v>4842</v>
      </c>
      <c r="K2439" s="4" t="s">
        <v>57</v>
      </c>
      <c r="L2439" s="4"/>
      <c r="M2439" s="4"/>
    </row>
    <row r="2440" ht="16" customHeight="1" s="4" customFormat="1">
      <c r="A2440" s="4">
        <v>372</v>
      </c>
      <c r="B2440" s="4" t="s">
        <v>6161</v>
      </c>
      <c r="C2440" s="4" t="s">
        <v>6618</v>
      </c>
      <c r="D2440" s="4"/>
      <c r="E2440" s="4"/>
      <c r="F2440" s="4" t="s">
        <v>9322</v>
      </c>
      <c r="G2440" s="4" t="s">
        <v>8536</v>
      </c>
      <c r="H2440" s="4" t="s">
        <v>8503</v>
      </c>
      <c r="I2440" s="5">
        <v>44987</v>
      </c>
      <c r="J2440" s="4" t="s">
        <v>7580</v>
      </c>
      <c r="K2440" s="4" t="s">
        <v>57</v>
      </c>
      <c r="L2440" s="4"/>
      <c r="M2440" s="4"/>
    </row>
    <row r="2441" ht="16" customHeight="1" s="4" customFormat="1">
      <c r="A2441" s="4">
        <v>373</v>
      </c>
      <c r="B2441" s="4" t="s">
        <v>5600</v>
      </c>
      <c r="C2441" s="4" t="s">
        <v>5600</v>
      </c>
      <c r="D2441" s="4"/>
      <c r="E2441" s="4" t="s">
        <v>9323</v>
      </c>
      <c r="F2441" s="4"/>
      <c r="G2441" s="4" t="s">
        <v>9324</v>
      </c>
      <c r="H2441" s="4"/>
      <c r="I2441" s="5">
        <v>44985</v>
      </c>
      <c r="J2441" s="4" t="s">
        <v>4798</v>
      </c>
      <c r="K2441" s="4" t="s">
        <v>57</v>
      </c>
      <c r="L2441" s="4"/>
      <c r="M2441" s="4"/>
    </row>
    <row r="2442" ht="16" customHeight="1" s="4" customFormat="1">
      <c r="A2442" s="4">
        <v>374</v>
      </c>
      <c r="B2442" s="4" t="s">
        <v>5499</v>
      </c>
      <c r="C2442" s="4" t="s">
        <v>5590</v>
      </c>
      <c r="D2442" s="4" t="s">
        <v>5574</v>
      </c>
      <c r="E2442" s="4" t="s">
        <v>5575</v>
      </c>
      <c r="F2442" s="4" t="s">
        <v>9325</v>
      </c>
      <c r="G2442" s="4" t="s">
        <v>4850</v>
      </c>
      <c r="H2442" s="4" t="s">
        <v>7038</v>
      </c>
      <c r="I2442" s="5">
        <v>44981</v>
      </c>
      <c r="J2442" s="4" t="s">
        <v>4798</v>
      </c>
      <c r="K2442" s="4" t="s">
        <v>57</v>
      </c>
      <c r="L2442" s="4"/>
      <c r="M2442" s="4"/>
    </row>
    <row r="2443" ht="16" customHeight="1" s="4" customFormat="1">
      <c r="A2443" s="4">
        <v>375</v>
      </c>
      <c r="B2443" s="4" t="s">
        <v>5499</v>
      </c>
      <c r="C2443" s="4" t="s">
        <v>5590</v>
      </c>
      <c r="D2443" s="4" t="s">
        <v>5574</v>
      </c>
      <c r="E2443" s="4" t="s">
        <v>5575</v>
      </c>
      <c r="F2443" s="4" t="s">
        <v>9326</v>
      </c>
      <c r="G2443" s="4" t="s">
        <v>4850</v>
      </c>
      <c r="H2443" s="4" t="s">
        <v>7033</v>
      </c>
      <c r="I2443" s="5">
        <v>44981</v>
      </c>
      <c r="J2443" s="4" t="s">
        <v>4798</v>
      </c>
      <c r="K2443" s="4" t="s">
        <v>57</v>
      </c>
      <c r="L2443" s="4"/>
      <c r="M2443" s="4"/>
    </row>
    <row r="2444" ht="16" customHeight="1" s="4" customFormat="1">
      <c r="A2444" s="4">
        <v>376</v>
      </c>
      <c r="B2444" s="4" t="s">
        <v>5499</v>
      </c>
      <c r="C2444" s="4" t="s">
        <v>5590</v>
      </c>
      <c r="D2444" s="4" t="s">
        <v>5574</v>
      </c>
      <c r="E2444" s="4" t="s">
        <v>5575</v>
      </c>
      <c r="F2444" s="4" t="s">
        <v>9327</v>
      </c>
      <c r="G2444" s="4" t="s">
        <v>5657</v>
      </c>
      <c r="H2444" s="4" t="s">
        <v>5955</v>
      </c>
      <c r="I2444" s="5">
        <v>44981</v>
      </c>
      <c r="J2444" s="4" t="s">
        <v>4798</v>
      </c>
      <c r="K2444" s="4" t="s">
        <v>57</v>
      </c>
      <c r="L2444" s="4"/>
      <c r="M2444" s="4"/>
    </row>
    <row r="2445" ht="16" customHeight="1" s="4" customFormat="1">
      <c r="A2445" s="4">
        <v>377</v>
      </c>
      <c r="B2445" s="4" t="s">
        <v>5499</v>
      </c>
      <c r="C2445" s="4" t="s">
        <v>5590</v>
      </c>
      <c r="D2445" s="4" t="s">
        <v>5574</v>
      </c>
      <c r="E2445" s="4" t="s">
        <v>5575</v>
      </c>
      <c r="F2445" s="4" t="s">
        <v>9328</v>
      </c>
      <c r="G2445" s="4" t="s">
        <v>5657</v>
      </c>
      <c r="H2445" s="4" t="s">
        <v>7007</v>
      </c>
      <c r="I2445" s="5">
        <v>44981</v>
      </c>
      <c r="J2445" s="4" t="s">
        <v>4798</v>
      </c>
      <c r="K2445" s="4" t="s">
        <v>57</v>
      </c>
      <c r="L2445" s="4"/>
      <c r="M2445" s="4"/>
    </row>
    <row r="2446" ht="16" customHeight="1" s="4" customFormat="1">
      <c r="A2446" s="4">
        <v>378</v>
      </c>
      <c r="B2446" s="4" t="s">
        <v>5499</v>
      </c>
      <c r="C2446" s="4" t="s">
        <v>5590</v>
      </c>
      <c r="D2446" s="4" t="s">
        <v>5574</v>
      </c>
      <c r="E2446" s="4" t="s">
        <v>5575</v>
      </c>
      <c r="F2446" s="4" t="s">
        <v>9329</v>
      </c>
      <c r="G2446" s="4" t="s">
        <v>9330</v>
      </c>
      <c r="H2446" s="4" t="s">
        <v>5955</v>
      </c>
      <c r="I2446" s="5">
        <v>44981</v>
      </c>
      <c r="J2446" s="4" t="s">
        <v>4798</v>
      </c>
      <c r="K2446" s="4" t="s">
        <v>57</v>
      </c>
      <c r="L2446" s="4"/>
      <c r="M2446" s="4"/>
    </row>
    <row r="2447" ht="16" customHeight="1" s="4" customFormat="1">
      <c r="A2447" s="4">
        <v>379</v>
      </c>
      <c r="B2447" s="4" t="s">
        <v>5499</v>
      </c>
      <c r="C2447" s="4" t="s">
        <v>5500</v>
      </c>
      <c r="D2447" s="4" t="s">
        <v>5845</v>
      </c>
      <c r="E2447" s="4" t="s">
        <v>6984</v>
      </c>
      <c r="F2447" s="4" t="s">
        <v>9331</v>
      </c>
      <c r="G2447" s="4" t="s">
        <v>9332</v>
      </c>
      <c r="H2447" s="4" t="s">
        <v>7189</v>
      </c>
      <c r="I2447" s="5">
        <v>44970</v>
      </c>
      <c r="J2447" s="4" t="s">
        <v>4798</v>
      </c>
      <c r="K2447" s="4" t="s">
        <v>57</v>
      </c>
      <c r="L2447" s="4"/>
      <c r="M2447" s="4"/>
    </row>
    <row r="2448" ht="16" customHeight="1" s="4" customFormat="1">
      <c r="A2448" s="4">
        <v>380</v>
      </c>
      <c r="B2448" s="4" t="s">
        <v>5600</v>
      </c>
      <c r="C2448" s="4" t="s">
        <v>5600</v>
      </c>
      <c r="D2448" s="4"/>
      <c r="E2448" s="4" t="s">
        <v>9333</v>
      </c>
      <c r="F2448" s="4" t="s">
        <v>9334</v>
      </c>
      <c r="G2448" s="4" t="s">
        <v>9335</v>
      </c>
      <c r="H2448" s="4" t="s">
        <v>10</v>
      </c>
      <c r="I2448" s="5">
        <v>44964</v>
      </c>
      <c r="J2448" s="4" t="s">
        <v>4842</v>
      </c>
      <c r="K2448" s="4" t="s">
        <v>57</v>
      </c>
      <c r="L2448" s="4"/>
      <c r="M2448" s="4"/>
    </row>
    <row r="2449" ht="16" customHeight="1" s="4" customFormat="1">
      <c r="A2449" s="4">
        <v>381</v>
      </c>
      <c r="B2449" s="4" t="s">
        <v>5528</v>
      </c>
      <c r="C2449" s="4" t="s">
        <v>9336</v>
      </c>
      <c r="D2449" s="4" t="s">
        <v>5591</v>
      </c>
      <c r="E2449" s="4" t="s">
        <v>5592</v>
      </c>
      <c r="F2449" s="4" t="s">
        <v>9337</v>
      </c>
      <c r="G2449" s="4" t="s">
        <v>9338</v>
      </c>
      <c r="H2449" s="4" t="s">
        <v>9339</v>
      </c>
      <c r="I2449" s="5">
        <v>44945</v>
      </c>
      <c r="J2449" s="4" t="s">
        <v>4798</v>
      </c>
      <c r="K2449" s="4" t="s">
        <v>57</v>
      </c>
      <c r="L2449" s="4"/>
      <c r="M2449" s="4"/>
    </row>
    <row r="2450" ht="16" customHeight="1" s="4" customFormat="1">
      <c r="A2450" s="4">
        <v>382</v>
      </c>
      <c r="B2450" s="4" t="s">
        <v>5499</v>
      </c>
      <c r="C2450" s="4" t="s">
        <v>5702</v>
      </c>
      <c r="D2450" s="4" t="s">
        <v>5574</v>
      </c>
      <c r="E2450" s="4" t="s">
        <v>5575</v>
      </c>
      <c r="F2450" s="4" t="s">
        <v>9340</v>
      </c>
      <c r="G2450" s="4" t="s">
        <v>6422</v>
      </c>
      <c r="H2450" s="4" t="s">
        <v>6425</v>
      </c>
      <c r="I2450" s="5">
        <v>44938</v>
      </c>
      <c r="J2450" s="4" t="s">
        <v>4798</v>
      </c>
      <c r="K2450" s="4" t="s">
        <v>57</v>
      </c>
      <c r="L2450" s="4"/>
      <c r="M2450" s="4"/>
    </row>
    <row r="2451" ht="16" customHeight="1" s="4" customFormat="1">
      <c r="A2451" s="4">
        <v>383</v>
      </c>
      <c r="B2451" s="4" t="s">
        <v>5528</v>
      </c>
      <c r="C2451" s="4" t="s">
        <v>7530</v>
      </c>
      <c r="D2451" s="4" t="s">
        <v>5574</v>
      </c>
      <c r="E2451" s="4" t="s">
        <v>7531</v>
      </c>
      <c r="F2451" s="4" t="s">
        <v>9341</v>
      </c>
      <c r="G2451" s="4" t="s">
        <v>8800</v>
      </c>
      <c r="H2451" s="4" t="s">
        <v>8801</v>
      </c>
      <c r="I2451" s="5">
        <v>44938</v>
      </c>
      <c r="J2451" s="4" t="s">
        <v>4798</v>
      </c>
      <c r="K2451" s="4" t="s">
        <v>57</v>
      </c>
      <c r="L2451" s="4"/>
      <c r="M2451" s="4"/>
    </row>
    <row r="2452" ht="16" customHeight="1" s="4" customFormat="1">
      <c r="A2452" s="4">
        <v>384</v>
      </c>
      <c r="B2452" s="4" t="s">
        <v>5499</v>
      </c>
      <c r="C2452" s="4" t="s">
        <v>5702</v>
      </c>
      <c r="D2452" s="4" t="s">
        <v>5574</v>
      </c>
      <c r="E2452" s="4" t="s">
        <v>5575</v>
      </c>
      <c r="F2452" s="4" t="s">
        <v>9342</v>
      </c>
      <c r="G2452" s="4" t="s">
        <v>6422</v>
      </c>
      <c r="H2452" s="4" t="s">
        <v>7009</v>
      </c>
      <c r="I2452" s="5">
        <v>44930</v>
      </c>
      <c r="J2452" s="4" t="s">
        <v>4798</v>
      </c>
      <c r="K2452" s="4" t="s">
        <v>57</v>
      </c>
      <c r="L2452" s="4"/>
      <c r="M2452" s="4"/>
    </row>
    <row r="2453" ht="16" customHeight="1" s="4" customFormat="1">
      <c r="A2453" s="4">
        <v>385</v>
      </c>
      <c r="B2453" s="4" t="s">
        <v>5499</v>
      </c>
      <c r="C2453" s="4" t="s">
        <v>5702</v>
      </c>
      <c r="D2453" s="4" t="s">
        <v>5574</v>
      </c>
      <c r="E2453" s="4" t="s">
        <v>5575</v>
      </c>
      <c r="F2453" s="4" t="s">
        <v>9343</v>
      </c>
      <c r="G2453" s="4" t="s">
        <v>6422</v>
      </c>
      <c r="H2453" s="4" t="s">
        <v>7009</v>
      </c>
      <c r="I2453" s="5">
        <v>44930</v>
      </c>
      <c r="J2453" s="4" t="s">
        <v>4798</v>
      </c>
      <c r="K2453" s="4" t="s">
        <v>57</v>
      </c>
      <c r="L2453" s="4"/>
      <c r="M2453" s="4"/>
    </row>
    <row r="2454" ht="16" customHeight="1" s="4" customFormat="1">
      <c r="A2454" s="4">
        <v>386</v>
      </c>
      <c r="B2454" s="4" t="s">
        <v>5534</v>
      </c>
      <c r="C2454" s="4" t="s">
        <v>5773</v>
      </c>
      <c r="D2454" s="4"/>
      <c r="E2454" s="4"/>
      <c r="F2454" s="4" t="s">
        <v>9344</v>
      </c>
      <c r="G2454" s="4" t="s">
        <v>10</v>
      </c>
      <c r="H2454" s="4" t="s">
        <v>7831</v>
      </c>
      <c r="I2454" s="5">
        <v>44916</v>
      </c>
      <c r="J2454" s="4" t="s">
        <v>4798</v>
      </c>
      <c r="K2454" s="4" t="s">
        <v>57</v>
      </c>
      <c r="L2454" s="4"/>
      <c r="M2454" s="4"/>
    </row>
    <row r="2455" ht="16" customHeight="1" s="4" customFormat="1">
      <c r="A2455" s="4">
        <v>387</v>
      </c>
      <c r="B2455" s="4" t="s">
        <v>5499</v>
      </c>
      <c r="C2455" s="4" t="s">
        <v>5702</v>
      </c>
      <c r="D2455" s="4" t="s">
        <v>5574</v>
      </c>
      <c r="E2455" s="4" t="s">
        <v>5575</v>
      </c>
      <c r="F2455" s="4" t="s">
        <v>9345</v>
      </c>
      <c r="G2455" s="4" t="s">
        <v>9346</v>
      </c>
      <c r="H2455" s="4" t="s">
        <v>9347</v>
      </c>
      <c r="I2455" s="5">
        <v>44908</v>
      </c>
      <c r="J2455" s="4" t="s">
        <v>4798</v>
      </c>
      <c r="K2455" s="4" t="s">
        <v>57</v>
      </c>
      <c r="L2455" s="4"/>
      <c r="M2455" s="4"/>
    </row>
    <row r="2456" ht="16" customHeight="1" s="4" customFormat="1">
      <c r="A2456" s="4">
        <v>389</v>
      </c>
      <c r="B2456" s="4" t="s">
        <v>5499</v>
      </c>
      <c r="C2456" s="4" t="s">
        <v>5509</v>
      </c>
      <c r="D2456" s="4"/>
      <c r="E2456" s="4"/>
      <c r="F2456" s="4" t="s">
        <v>9348</v>
      </c>
      <c r="G2456" s="4" t="s">
        <v>9349</v>
      </c>
      <c r="H2456" s="4" t="s">
        <v>9350</v>
      </c>
      <c r="I2456" s="5">
        <v>44890</v>
      </c>
      <c r="J2456" s="4" t="s">
        <v>4842</v>
      </c>
      <c r="K2456" s="4" t="s">
        <v>57</v>
      </c>
      <c r="L2456" s="4"/>
      <c r="M2456" s="4"/>
    </row>
    <row r="2457" ht="16" customHeight="1" s="4" customFormat="1">
      <c r="A2457" s="4">
        <v>390</v>
      </c>
      <c r="B2457" s="4" t="s">
        <v>5499</v>
      </c>
      <c r="C2457" s="4" t="s">
        <v>5509</v>
      </c>
      <c r="D2457" s="4"/>
      <c r="E2457" s="4"/>
      <c r="F2457" s="4" t="s">
        <v>9351</v>
      </c>
      <c r="G2457" s="4" t="s">
        <v>7836</v>
      </c>
      <c r="H2457" s="4" t="s">
        <v>10</v>
      </c>
      <c r="I2457" s="5">
        <v>44888</v>
      </c>
      <c r="J2457" s="4" t="s">
        <v>4842</v>
      </c>
      <c r="K2457" s="4" t="s">
        <v>57</v>
      </c>
      <c r="L2457" s="4"/>
      <c r="M2457" s="4"/>
    </row>
    <row r="2458" ht="16" customHeight="1" s="4" customFormat="1">
      <c r="A2458" s="4">
        <v>391</v>
      </c>
      <c r="B2458" s="4" t="s">
        <v>5499</v>
      </c>
      <c r="C2458" s="4" t="s">
        <v>5590</v>
      </c>
      <c r="D2458" s="4" t="s">
        <v>5574</v>
      </c>
      <c r="E2458" s="4" t="s">
        <v>5575</v>
      </c>
      <c r="F2458" s="4" t="s">
        <v>9352</v>
      </c>
      <c r="G2458" s="4" t="s">
        <v>9330</v>
      </c>
      <c r="H2458" s="4" t="s">
        <v>5955</v>
      </c>
      <c r="I2458" s="5">
        <v>44887</v>
      </c>
      <c r="J2458" s="4" t="s">
        <v>5506</v>
      </c>
      <c r="K2458" s="4" t="s">
        <v>57</v>
      </c>
      <c r="L2458" s="4"/>
      <c r="M2458" s="4"/>
    </row>
    <row r="2459" ht="16" customHeight="1" s="4" customFormat="1">
      <c r="A2459" s="4">
        <v>392</v>
      </c>
      <c r="B2459" s="4" t="s">
        <v>5528</v>
      </c>
      <c r="C2459" s="4" t="s">
        <v>7530</v>
      </c>
      <c r="D2459" s="4" t="s">
        <v>5574</v>
      </c>
      <c r="E2459" s="4" t="s">
        <v>7531</v>
      </c>
      <c r="F2459" s="4" t="s">
        <v>9353</v>
      </c>
      <c r="G2459" s="4" t="s">
        <v>9354</v>
      </c>
      <c r="H2459" s="4" t="s">
        <v>9355</v>
      </c>
      <c r="I2459" s="5">
        <v>44883</v>
      </c>
      <c r="J2459" s="4" t="s">
        <v>4798</v>
      </c>
      <c r="K2459" s="4" t="s">
        <v>57</v>
      </c>
      <c r="L2459" s="4"/>
      <c r="M2459" s="4"/>
    </row>
    <row r="2460" ht="16" customHeight="1" s="4" customFormat="1">
      <c r="A2460" s="4">
        <v>393</v>
      </c>
      <c r="B2460" s="4" t="s">
        <v>5600</v>
      </c>
      <c r="C2460" s="4" t="s">
        <v>5600</v>
      </c>
      <c r="D2460" s="4"/>
      <c r="E2460" s="4" t="s">
        <v>7609</v>
      </c>
      <c r="F2460" s="4" t="s">
        <v>9356</v>
      </c>
      <c r="G2460" s="4" t="s">
        <v>5771</v>
      </c>
      <c r="H2460" s="4" t="s">
        <v>9357</v>
      </c>
      <c r="I2460" s="5">
        <v>44883</v>
      </c>
      <c r="J2460" s="4" t="s">
        <v>4798</v>
      </c>
      <c r="K2460" s="4" t="s">
        <v>57</v>
      </c>
      <c r="L2460" s="4"/>
      <c r="M2460" s="4"/>
    </row>
    <row r="2461" ht="16" customHeight="1" s="4" customFormat="1">
      <c r="A2461" s="4">
        <v>394</v>
      </c>
      <c r="B2461" s="4" t="s">
        <v>5499</v>
      </c>
      <c r="C2461" s="4" t="s">
        <v>5590</v>
      </c>
      <c r="D2461" s="4"/>
      <c r="E2461" s="4" t="s">
        <v>5952</v>
      </c>
      <c r="F2461" s="4" t="s">
        <v>9358</v>
      </c>
      <c r="G2461" s="4" t="s">
        <v>5716</v>
      </c>
      <c r="H2461" s="4" t="s">
        <v>7366</v>
      </c>
      <c r="I2461" s="5">
        <v>44880</v>
      </c>
      <c r="J2461" s="4" t="s">
        <v>4798</v>
      </c>
      <c r="K2461" s="4" t="s">
        <v>57</v>
      </c>
      <c r="L2461" s="4"/>
      <c r="M2461" s="4"/>
    </row>
    <row r="2462" ht="16" customHeight="1" s="4" customFormat="1">
      <c r="A2462" s="4">
        <v>395</v>
      </c>
      <c r="B2462" s="4" t="s">
        <v>5499</v>
      </c>
      <c r="C2462" s="4" t="s">
        <v>5590</v>
      </c>
      <c r="D2462" s="4"/>
      <c r="E2462" s="4" t="s">
        <v>5952</v>
      </c>
      <c r="F2462" s="4" t="s">
        <v>9359</v>
      </c>
      <c r="G2462" s="4" t="s">
        <v>5716</v>
      </c>
      <c r="H2462" s="4" t="s">
        <v>7366</v>
      </c>
      <c r="I2462" s="5">
        <v>44880</v>
      </c>
      <c r="J2462" s="4" t="s">
        <v>4798</v>
      </c>
      <c r="K2462" s="4" t="s">
        <v>57</v>
      </c>
      <c r="L2462" s="4"/>
      <c r="M2462" s="4"/>
    </row>
    <row r="2463" ht="16" customHeight="1" s="4" customFormat="1">
      <c r="A2463" s="4">
        <v>396</v>
      </c>
      <c r="B2463" s="4" t="s">
        <v>5499</v>
      </c>
      <c r="C2463" s="4" t="s">
        <v>5702</v>
      </c>
      <c r="D2463" s="4" t="s">
        <v>5574</v>
      </c>
      <c r="E2463" s="4" t="s">
        <v>5575</v>
      </c>
      <c r="F2463" s="4" t="s">
        <v>9360</v>
      </c>
      <c r="G2463" s="4" t="s">
        <v>4850</v>
      </c>
      <c r="H2463" s="4" t="s">
        <v>7241</v>
      </c>
      <c r="I2463" s="5">
        <v>44876</v>
      </c>
      <c r="J2463" s="4" t="s">
        <v>4798</v>
      </c>
      <c r="K2463" s="4" t="s">
        <v>57</v>
      </c>
      <c r="L2463" s="4"/>
      <c r="M2463" s="4"/>
    </row>
    <row r="2464" ht="16" customHeight="1" s="4" customFormat="1">
      <c r="A2464" s="4">
        <v>397</v>
      </c>
      <c r="B2464" s="4" t="s">
        <v>5499</v>
      </c>
      <c r="C2464" s="4" t="s">
        <v>5509</v>
      </c>
      <c r="D2464" s="4"/>
      <c r="E2464" s="4"/>
      <c r="F2464" s="4" t="s">
        <v>9361</v>
      </c>
      <c r="G2464" s="4" t="s">
        <v>7166</v>
      </c>
      <c r="H2464" s="4" t="s">
        <v>5771</v>
      </c>
      <c r="I2464" s="5">
        <v>44875</v>
      </c>
      <c r="J2464" s="4" t="s">
        <v>4798</v>
      </c>
      <c r="K2464" s="4" t="s">
        <v>57</v>
      </c>
      <c r="L2464" s="4"/>
      <c r="M2464" s="4"/>
    </row>
    <row r="2465" ht="16" customHeight="1" s="4" customFormat="1">
      <c r="A2465" s="4">
        <v>398</v>
      </c>
      <c r="B2465" s="4" t="s">
        <v>5499</v>
      </c>
      <c r="C2465" s="4" t="s">
        <v>5509</v>
      </c>
      <c r="D2465" s="4"/>
      <c r="E2465" s="4"/>
      <c r="F2465" s="4" t="s">
        <v>9362</v>
      </c>
      <c r="G2465" s="4" t="s">
        <v>9363</v>
      </c>
      <c r="H2465" s="4" t="s">
        <v>10</v>
      </c>
      <c r="I2465" s="5">
        <v>44875</v>
      </c>
      <c r="J2465" s="4" t="s">
        <v>4798</v>
      </c>
      <c r="K2465" s="4" t="s">
        <v>57</v>
      </c>
      <c r="L2465" s="4"/>
      <c r="M2465" s="4"/>
    </row>
    <row r="2466" ht="16" customHeight="1" s="4" customFormat="1">
      <c r="A2466" s="4">
        <v>399</v>
      </c>
      <c r="B2466" s="4" t="s">
        <v>5499</v>
      </c>
      <c r="C2466" s="4" t="s">
        <v>5509</v>
      </c>
      <c r="D2466" s="4"/>
      <c r="E2466" s="4"/>
      <c r="F2466" s="4" t="s">
        <v>9364</v>
      </c>
      <c r="G2466" s="4" t="s">
        <v>7166</v>
      </c>
      <c r="H2466" s="4" t="s">
        <v>10</v>
      </c>
      <c r="I2466" s="5">
        <v>44875</v>
      </c>
      <c r="J2466" s="4" t="s">
        <v>4798</v>
      </c>
      <c r="K2466" s="4" t="s">
        <v>57</v>
      </c>
      <c r="L2466" s="4"/>
      <c r="M2466" s="4"/>
    </row>
    <row r="2467" ht="16" customHeight="1" s="4" customFormat="1">
      <c r="A2467" s="4">
        <v>400</v>
      </c>
      <c r="B2467" s="4" t="s">
        <v>5499</v>
      </c>
      <c r="C2467" s="4" t="s">
        <v>5702</v>
      </c>
      <c r="D2467" s="4" t="s">
        <v>6391</v>
      </c>
      <c r="E2467" s="4" t="s">
        <v>6392</v>
      </c>
      <c r="F2467" s="4" t="s">
        <v>9365</v>
      </c>
      <c r="G2467" s="4" t="s">
        <v>9366</v>
      </c>
      <c r="H2467" s="4" t="s">
        <v>9367</v>
      </c>
      <c r="I2467" s="5">
        <v>44855</v>
      </c>
      <c r="J2467" s="4" t="s">
        <v>4798</v>
      </c>
      <c r="K2467" s="4" t="s">
        <v>57</v>
      </c>
      <c r="L2467" s="4"/>
      <c r="M2467" s="4"/>
    </row>
    <row r="2468" ht="16" customHeight="1" s="4" customFormat="1">
      <c r="A2468" s="4">
        <v>401</v>
      </c>
      <c r="B2468" s="4" t="s">
        <v>5499</v>
      </c>
      <c r="C2468" s="4" t="s">
        <v>5500</v>
      </c>
      <c r="D2468" s="4" t="s">
        <v>5574</v>
      </c>
      <c r="E2468" s="4" t="s">
        <v>5575</v>
      </c>
      <c r="F2468" s="4" t="s">
        <v>9368</v>
      </c>
      <c r="G2468" s="4" t="s">
        <v>9369</v>
      </c>
      <c r="H2468" s="4" t="s">
        <v>7181</v>
      </c>
      <c r="I2468" s="5">
        <v>44854</v>
      </c>
      <c r="J2468" s="4" t="s">
        <v>4798</v>
      </c>
      <c r="K2468" s="4" t="s">
        <v>57</v>
      </c>
      <c r="L2468" s="4"/>
      <c r="M2468" s="4"/>
    </row>
    <row r="2469" ht="16" customHeight="1" s="4" customFormat="1">
      <c r="A2469" s="4">
        <v>402</v>
      </c>
      <c r="B2469" s="4" t="s">
        <v>5499</v>
      </c>
      <c r="C2469" s="4" t="s">
        <v>5702</v>
      </c>
      <c r="D2469" s="4" t="s">
        <v>5574</v>
      </c>
      <c r="E2469" s="4" t="s">
        <v>5575</v>
      </c>
      <c r="F2469" s="4" t="s">
        <v>9370</v>
      </c>
      <c r="G2469" s="4" t="s">
        <v>6422</v>
      </c>
      <c r="H2469" s="4" t="s">
        <v>9371</v>
      </c>
      <c r="I2469" s="5">
        <v>44853</v>
      </c>
      <c r="J2469" s="4" t="s">
        <v>4798</v>
      </c>
      <c r="K2469" s="4" t="s">
        <v>57</v>
      </c>
      <c r="L2469" s="4"/>
      <c r="M2469" s="4"/>
    </row>
    <row r="2470" ht="16" customHeight="1" s="4" customFormat="1">
      <c r="A2470" s="4">
        <v>403</v>
      </c>
      <c r="B2470" s="4" t="s">
        <v>5499</v>
      </c>
      <c r="C2470" s="4" t="s">
        <v>5500</v>
      </c>
      <c r="D2470" s="4"/>
      <c r="E2470" s="4" t="s">
        <v>6301</v>
      </c>
      <c r="F2470" s="4" t="s">
        <v>9372</v>
      </c>
      <c r="G2470" s="4" t="s">
        <v>9373</v>
      </c>
      <c r="H2470" s="4" t="s">
        <v>4850</v>
      </c>
      <c r="I2470" s="5">
        <v>44852</v>
      </c>
      <c r="J2470" s="4" t="s">
        <v>4798</v>
      </c>
      <c r="K2470" s="4" t="s">
        <v>57</v>
      </c>
      <c r="L2470" s="4"/>
      <c r="M2470" s="4"/>
    </row>
    <row r="2471" ht="16" customHeight="1" s="4" customFormat="1">
      <c r="A2471" s="4">
        <v>404</v>
      </c>
      <c r="B2471" s="4" t="s">
        <v>5528</v>
      </c>
      <c r="C2471" s="4" t="s">
        <v>7813</v>
      </c>
      <c r="D2471" s="4" t="s">
        <v>5574</v>
      </c>
      <c r="E2471" s="4" t="s">
        <v>8951</v>
      </c>
      <c r="F2471" s="4" t="s">
        <v>9374</v>
      </c>
      <c r="G2471" s="4" t="s">
        <v>4850</v>
      </c>
      <c r="H2471" s="4" t="s">
        <v>7817</v>
      </c>
      <c r="I2471" s="5">
        <v>44851</v>
      </c>
      <c r="J2471" s="4" t="s">
        <v>4798</v>
      </c>
      <c r="K2471" s="4" t="s">
        <v>57</v>
      </c>
      <c r="L2471" s="4"/>
      <c r="M2471" s="4"/>
    </row>
    <row r="2472" ht="16" customHeight="1" s="4" customFormat="1">
      <c r="A2472" s="4">
        <v>405</v>
      </c>
      <c r="B2472" s="4" t="s">
        <v>5499</v>
      </c>
      <c r="C2472" s="4" t="s">
        <v>5509</v>
      </c>
      <c r="D2472" s="4"/>
      <c r="E2472" s="4"/>
      <c r="F2472" s="4" t="s">
        <v>9375</v>
      </c>
      <c r="G2472" s="4" t="s">
        <v>9376</v>
      </c>
      <c r="H2472" s="4" t="s">
        <v>9377</v>
      </c>
      <c r="I2472" s="5">
        <v>44846</v>
      </c>
      <c r="J2472" s="4" t="s">
        <v>4798</v>
      </c>
      <c r="K2472" s="4" t="s">
        <v>57</v>
      </c>
      <c r="L2472" s="4"/>
      <c r="M2472" s="4"/>
    </row>
    <row r="2473" ht="16" customHeight="1" s="4" customFormat="1">
      <c r="A2473" s="4">
        <v>406</v>
      </c>
      <c r="B2473" s="4" t="s">
        <v>5499</v>
      </c>
      <c r="C2473" s="4" t="s">
        <v>5509</v>
      </c>
      <c r="D2473" s="4"/>
      <c r="E2473" s="4"/>
      <c r="F2473" s="4" t="s">
        <v>9378</v>
      </c>
      <c r="G2473" s="4" t="s">
        <v>9379</v>
      </c>
      <c r="H2473" s="4" t="s">
        <v>9380</v>
      </c>
      <c r="I2473" s="5">
        <v>44846</v>
      </c>
      <c r="J2473" s="4" t="s">
        <v>4798</v>
      </c>
      <c r="K2473" s="4" t="s">
        <v>57</v>
      </c>
      <c r="L2473" s="4"/>
      <c r="M2473" s="4"/>
    </row>
    <row r="2474" ht="16" customHeight="1" s="4" customFormat="1">
      <c r="A2474" s="4">
        <v>407</v>
      </c>
      <c r="B2474" s="4" t="s">
        <v>5534</v>
      </c>
      <c r="C2474" s="4" t="s">
        <v>9381</v>
      </c>
      <c r="D2474" s="4"/>
      <c r="E2474" s="4"/>
      <c r="F2474" s="4" t="s">
        <v>9382</v>
      </c>
      <c r="G2474" s="4" t="s">
        <v>10</v>
      </c>
      <c r="H2474" s="4"/>
      <c r="I2474" s="5">
        <v>44844</v>
      </c>
      <c r="J2474" s="4" t="s">
        <v>5506</v>
      </c>
      <c r="K2474" s="4" t="s">
        <v>57</v>
      </c>
      <c r="L2474" s="4"/>
      <c r="M2474" s="4"/>
    </row>
    <row r="2475" ht="16" customHeight="1" s="4" customFormat="1">
      <c r="A2475" s="4">
        <v>408</v>
      </c>
      <c r="B2475" s="4" t="s">
        <v>6161</v>
      </c>
      <c r="C2475" s="4" t="s">
        <v>6618</v>
      </c>
      <c r="D2475" s="4"/>
      <c r="E2475" s="4"/>
      <c r="F2475" s="4" t="s">
        <v>9383</v>
      </c>
      <c r="G2475" s="4" t="s">
        <v>8705</v>
      </c>
      <c r="H2475" s="4" t="s">
        <v>8711</v>
      </c>
      <c r="I2475" s="5">
        <v>44834</v>
      </c>
      <c r="J2475" s="4" t="s">
        <v>4798</v>
      </c>
      <c r="K2475" s="4" t="s">
        <v>57</v>
      </c>
      <c r="L2475" s="4"/>
      <c r="M2475" s="4"/>
    </row>
    <row r="2476" ht="16" customHeight="1" s="4" customFormat="1">
      <c r="A2476" s="4">
        <v>409</v>
      </c>
      <c r="B2476" s="4" t="s">
        <v>5499</v>
      </c>
      <c r="C2476" s="4" t="s">
        <v>5509</v>
      </c>
      <c r="D2476" s="4"/>
      <c r="E2476" s="4"/>
      <c r="F2476" s="4" t="s">
        <v>9384</v>
      </c>
      <c r="G2476" s="4" t="s">
        <v>9385</v>
      </c>
      <c r="H2476" s="4" t="s">
        <v>9386</v>
      </c>
      <c r="I2476" s="5">
        <v>44831</v>
      </c>
      <c r="J2476" s="4" t="s">
        <v>4798</v>
      </c>
      <c r="K2476" s="4" t="s">
        <v>57</v>
      </c>
      <c r="L2476" s="4"/>
      <c r="M2476" s="4"/>
    </row>
    <row r="2477" ht="16" customHeight="1" s="4" customFormat="1">
      <c r="A2477" s="4">
        <v>76</v>
      </c>
      <c r="B2477" s="4" t="s">
        <v>5499</v>
      </c>
      <c r="C2477" s="4" t="s">
        <v>7201</v>
      </c>
      <c r="D2477" s="4"/>
      <c r="E2477" s="4" t="s">
        <v>7202</v>
      </c>
      <c r="F2477" s="4" t="s">
        <v>9387</v>
      </c>
      <c r="G2477" s="4" t="s">
        <v>7209</v>
      </c>
      <c r="H2477" s="4" t="s">
        <v>7210</v>
      </c>
      <c r="I2477" s="5">
        <v>46036</v>
      </c>
      <c r="J2477" s="4" t="s">
        <v>5506</v>
      </c>
      <c r="K2477" s="4" t="s">
        <v>57</v>
      </c>
      <c r="L2477" s="4"/>
      <c r="M2477" s="4"/>
    </row>
    <row r="2478" ht="16" customHeight="1" s="4" customFormat="1">
      <c r="A2478" s="4">
        <v>77</v>
      </c>
      <c r="B2478" s="4" t="s">
        <v>5499</v>
      </c>
      <c r="C2478" s="4" t="s">
        <v>7201</v>
      </c>
      <c r="D2478" s="4"/>
      <c r="E2478" s="4" t="s">
        <v>7202</v>
      </c>
      <c r="F2478" s="4" t="s">
        <v>9388</v>
      </c>
      <c r="G2478" s="4" t="s">
        <v>7227</v>
      </c>
      <c r="H2478" s="4" t="s">
        <v>6431</v>
      </c>
      <c r="I2478" s="5">
        <v>46036</v>
      </c>
      <c r="J2478" s="4" t="s">
        <v>5506</v>
      </c>
      <c r="K2478" s="4" t="s">
        <v>57</v>
      </c>
      <c r="L2478" s="4"/>
      <c r="M2478" s="4"/>
    </row>
    <row r="2479" ht="16" customHeight="1" s="4" customFormat="1">
      <c r="A2479" s="4">
        <v>78</v>
      </c>
      <c r="B2479" s="4" t="s">
        <v>5499</v>
      </c>
      <c r="C2479" s="4" t="s">
        <v>5702</v>
      </c>
      <c r="D2479" s="4" t="s">
        <v>9389</v>
      </c>
      <c r="E2479" s="4" t="s">
        <v>9390</v>
      </c>
      <c r="F2479" s="4" t="s">
        <v>9391</v>
      </c>
      <c r="G2479" s="4" t="s">
        <v>9392</v>
      </c>
      <c r="H2479" s="4" t="s">
        <v>9393</v>
      </c>
      <c r="I2479" s="5">
        <v>46034</v>
      </c>
      <c r="J2479" s="4" t="s">
        <v>5506</v>
      </c>
      <c r="K2479" s="4" t="s">
        <v>57</v>
      </c>
      <c r="L2479" s="4"/>
      <c r="M2479" s="4"/>
    </row>
    <row r="2480" ht="16" customHeight="1" s="4" customFormat="1">
      <c r="A2480" s="4">
        <v>79</v>
      </c>
      <c r="B2480" s="4" t="s">
        <v>5528</v>
      </c>
      <c r="C2480" s="4" t="s">
        <v>7530</v>
      </c>
      <c r="D2480" s="4" t="s">
        <v>5574</v>
      </c>
      <c r="E2480" s="4" t="s">
        <v>7531</v>
      </c>
      <c r="F2480" s="4" t="s">
        <v>9394</v>
      </c>
      <c r="G2480" s="4" t="s">
        <v>9395</v>
      </c>
      <c r="H2480" s="4" t="s">
        <v>9396</v>
      </c>
      <c r="I2480" s="5">
        <v>46031</v>
      </c>
      <c r="J2480" s="4" t="s">
        <v>4842</v>
      </c>
      <c r="K2480" s="4" t="s">
        <v>57</v>
      </c>
      <c r="L2480" s="4"/>
      <c r="M2480" s="4"/>
    </row>
    <row r="2481" ht="16" customHeight="1" s="4" customFormat="1">
      <c r="A2481" s="4">
        <v>80</v>
      </c>
      <c r="B2481" s="4" t="s">
        <v>5528</v>
      </c>
      <c r="C2481" s="4" t="s">
        <v>7530</v>
      </c>
      <c r="D2481" s="4" t="s">
        <v>5574</v>
      </c>
      <c r="E2481" s="4" t="s">
        <v>7531</v>
      </c>
      <c r="F2481" s="4" t="s">
        <v>9397</v>
      </c>
      <c r="G2481" s="4" t="s">
        <v>9395</v>
      </c>
      <c r="H2481" s="4" t="s">
        <v>9398</v>
      </c>
      <c r="I2481" s="5">
        <v>46031</v>
      </c>
      <c r="J2481" s="4" t="s">
        <v>4842</v>
      </c>
      <c r="K2481" s="4" t="s">
        <v>57</v>
      </c>
      <c r="L2481" s="4"/>
      <c r="M2481" s="4"/>
    </row>
    <row r="2482" ht="16" customHeight="1" s="4" customFormat="1">
      <c r="A2482" s="4">
        <v>81</v>
      </c>
      <c r="B2482" s="4" t="s">
        <v>5499</v>
      </c>
      <c r="C2482" s="4" t="s">
        <v>7045</v>
      </c>
      <c r="D2482" s="4" t="s">
        <v>5574</v>
      </c>
      <c r="E2482" s="4" t="s">
        <v>5575</v>
      </c>
      <c r="F2482" s="4" t="s">
        <v>9399</v>
      </c>
      <c r="G2482" s="4" t="s">
        <v>9400</v>
      </c>
      <c r="H2482" s="4" t="s">
        <v>9401</v>
      </c>
      <c r="I2482" s="5">
        <v>46030</v>
      </c>
      <c r="J2482" s="4" t="s">
        <v>5506</v>
      </c>
      <c r="K2482" s="4" t="s">
        <v>57</v>
      </c>
      <c r="L2482" s="4"/>
      <c r="M2482" s="4"/>
    </row>
    <row r="2483" ht="16" customHeight="1" s="4" customFormat="1">
      <c r="A2483" s="4">
        <v>82</v>
      </c>
      <c r="B2483" s="4" t="s">
        <v>5499</v>
      </c>
      <c r="C2483" s="4" t="s">
        <v>5590</v>
      </c>
      <c r="D2483" s="4" t="s">
        <v>5574</v>
      </c>
      <c r="E2483" s="4" t="s">
        <v>5575</v>
      </c>
      <c r="F2483" s="4" t="s">
        <v>9402</v>
      </c>
      <c r="G2483" s="4" t="s">
        <v>4850</v>
      </c>
      <c r="H2483" s="4" t="s">
        <v>9403</v>
      </c>
      <c r="I2483" s="5">
        <v>46010</v>
      </c>
      <c r="J2483" s="4" t="s">
        <v>5506</v>
      </c>
      <c r="K2483" s="4" t="s">
        <v>57</v>
      </c>
      <c r="L2483" s="4"/>
      <c r="M2483" s="4"/>
    </row>
    <row r="2484" ht="16" customHeight="1" s="4" customFormat="1">
      <c r="A2484" s="4">
        <v>83</v>
      </c>
      <c r="B2484" s="4" t="s">
        <v>5499</v>
      </c>
      <c r="C2484" s="4" t="s">
        <v>5590</v>
      </c>
      <c r="D2484" s="4" t="s">
        <v>5574</v>
      </c>
      <c r="E2484" s="4" t="s">
        <v>5575</v>
      </c>
      <c r="F2484" s="4" t="s">
        <v>9404</v>
      </c>
      <c r="G2484" s="4" t="s">
        <v>4850</v>
      </c>
      <c r="H2484" s="4" t="s">
        <v>9403</v>
      </c>
      <c r="I2484" s="5">
        <v>46010</v>
      </c>
      <c r="J2484" s="4" t="s">
        <v>5506</v>
      </c>
      <c r="K2484" s="4" t="s">
        <v>57</v>
      </c>
      <c r="L2484" s="4"/>
      <c r="M2484" s="4"/>
    </row>
    <row r="2485" ht="16" customHeight="1" s="4" customFormat="1">
      <c r="A2485" s="4">
        <v>84</v>
      </c>
      <c r="B2485" s="4" t="s">
        <v>5499</v>
      </c>
      <c r="C2485" s="4" t="s">
        <v>5590</v>
      </c>
      <c r="D2485" s="4" t="s">
        <v>5574</v>
      </c>
      <c r="E2485" s="4" t="s">
        <v>5575</v>
      </c>
      <c r="F2485" s="4" t="s">
        <v>9405</v>
      </c>
      <c r="G2485" s="4" t="s">
        <v>4850</v>
      </c>
      <c r="H2485" s="4" t="s">
        <v>9403</v>
      </c>
      <c r="I2485" s="5">
        <v>46010</v>
      </c>
      <c r="J2485" s="4" t="s">
        <v>5506</v>
      </c>
      <c r="K2485" s="4" t="s">
        <v>57</v>
      </c>
      <c r="L2485" s="4"/>
      <c r="M2485" s="4"/>
    </row>
    <row r="2486" ht="16" customHeight="1" s="4" customFormat="1">
      <c r="A2486" s="4">
        <v>85</v>
      </c>
      <c r="B2486" s="4" t="s">
        <v>5499</v>
      </c>
      <c r="C2486" s="4" t="s">
        <v>5590</v>
      </c>
      <c r="D2486" s="4" t="s">
        <v>5574</v>
      </c>
      <c r="E2486" s="4" t="s">
        <v>5575</v>
      </c>
      <c r="F2486" s="4" t="s">
        <v>9406</v>
      </c>
      <c r="G2486" s="4" t="s">
        <v>4850</v>
      </c>
      <c r="H2486" s="4" t="s">
        <v>9403</v>
      </c>
      <c r="I2486" s="5">
        <v>46010</v>
      </c>
      <c r="J2486" s="4" t="s">
        <v>5506</v>
      </c>
      <c r="K2486" s="4" t="s">
        <v>57</v>
      </c>
      <c r="L2486" s="4"/>
      <c r="M2486" s="4"/>
    </row>
    <row r="2487" ht="16" customHeight="1" s="4" customFormat="1">
      <c r="A2487" s="4">
        <v>86</v>
      </c>
      <c r="B2487" s="4" t="s">
        <v>5499</v>
      </c>
      <c r="C2487" s="4" t="s">
        <v>5590</v>
      </c>
      <c r="D2487" s="4" t="s">
        <v>5574</v>
      </c>
      <c r="E2487" s="4" t="s">
        <v>5575</v>
      </c>
      <c r="F2487" s="4" t="s">
        <v>9407</v>
      </c>
      <c r="G2487" s="4" t="s">
        <v>4850</v>
      </c>
      <c r="H2487" s="4" t="s">
        <v>9403</v>
      </c>
      <c r="I2487" s="5">
        <v>46010</v>
      </c>
      <c r="J2487" s="4" t="s">
        <v>5506</v>
      </c>
      <c r="K2487" s="4" t="s">
        <v>57</v>
      </c>
      <c r="L2487" s="4"/>
      <c r="M2487" s="4"/>
    </row>
    <row r="2488" ht="16" customHeight="1" s="4" customFormat="1">
      <c r="A2488" s="4">
        <v>87</v>
      </c>
      <c r="B2488" s="4" t="s">
        <v>5499</v>
      </c>
      <c r="C2488" s="4" t="s">
        <v>5590</v>
      </c>
      <c r="D2488" s="4" t="s">
        <v>5514</v>
      </c>
      <c r="E2488" s="4" t="s">
        <v>5515</v>
      </c>
      <c r="F2488" s="4" t="s">
        <v>9408</v>
      </c>
      <c r="G2488" s="4" t="s">
        <v>4850</v>
      </c>
      <c r="H2488" s="4" t="s">
        <v>9409</v>
      </c>
      <c r="I2488" s="5">
        <v>46010</v>
      </c>
      <c r="J2488" s="4" t="s">
        <v>5506</v>
      </c>
      <c r="K2488" s="4" t="s">
        <v>57</v>
      </c>
      <c r="L2488" s="4"/>
      <c r="M2488" s="4"/>
    </row>
    <row r="2489" ht="16" customHeight="1" s="4" customFormat="1">
      <c r="A2489" s="4">
        <v>46</v>
      </c>
      <c r="B2489" s="4" t="s">
        <v>5499</v>
      </c>
      <c r="C2489" s="4" t="s">
        <v>5590</v>
      </c>
      <c r="D2489" s="4"/>
      <c r="E2489" s="4" t="s">
        <v>5952</v>
      </c>
      <c r="F2489" s="4" t="s">
        <v>9410</v>
      </c>
      <c r="G2489" s="4" t="s">
        <v>9411</v>
      </c>
      <c r="H2489" s="4" t="s">
        <v>4850</v>
      </c>
      <c r="I2489" s="5">
        <v>46079</v>
      </c>
      <c r="J2489" s="4" t="s">
        <v>5506</v>
      </c>
      <c r="K2489" s="4" t="s">
        <v>57</v>
      </c>
      <c r="L2489" s="4"/>
      <c r="M2489" s="4"/>
    </row>
    <row r="2490" ht="16" customHeight="1" s="4" customFormat="1">
      <c r="A2490" s="4">
        <v>47</v>
      </c>
      <c r="B2490" s="4" t="s">
        <v>5499</v>
      </c>
      <c r="C2490" s="4" t="s">
        <v>5590</v>
      </c>
      <c r="D2490" s="4"/>
      <c r="E2490" s="4" t="s">
        <v>5952</v>
      </c>
      <c r="F2490" s="4" t="s">
        <v>9412</v>
      </c>
      <c r="G2490" s="4" t="s">
        <v>7351</v>
      </c>
      <c r="H2490" s="4" t="s">
        <v>4850</v>
      </c>
      <c r="I2490" s="5">
        <v>46078</v>
      </c>
      <c r="J2490" s="4" t="s">
        <v>5506</v>
      </c>
      <c r="K2490" s="4" t="s">
        <v>57</v>
      </c>
      <c r="L2490" s="4"/>
      <c r="M2490" s="4"/>
    </row>
    <row r="2491" ht="16" customHeight="1" s="4" customFormat="1">
      <c r="A2491" s="4">
        <v>48</v>
      </c>
      <c r="B2491" s="4" t="s">
        <v>5499</v>
      </c>
      <c r="C2491" s="4" t="s">
        <v>5702</v>
      </c>
      <c r="D2491" s="4" t="s">
        <v>5574</v>
      </c>
      <c r="E2491" s="4" t="s">
        <v>5575</v>
      </c>
      <c r="F2491" s="4" t="s">
        <v>9413</v>
      </c>
      <c r="G2491" s="4" t="s">
        <v>9414</v>
      </c>
      <c r="H2491" s="4" t="s">
        <v>7009</v>
      </c>
      <c r="I2491" s="5">
        <v>46077</v>
      </c>
      <c r="J2491" s="4" t="s">
        <v>4798</v>
      </c>
      <c r="K2491" s="4" t="s">
        <v>57</v>
      </c>
      <c r="L2491" s="4"/>
      <c r="M2491" s="4"/>
    </row>
    <row r="2492" ht="16" customHeight="1" s="4" customFormat="1">
      <c r="A2492" s="4">
        <v>49</v>
      </c>
      <c r="B2492" s="4" t="s">
        <v>5499</v>
      </c>
      <c r="C2492" s="4" t="s">
        <v>5509</v>
      </c>
      <c r="D2492" s="4"/>
      <c r="E2492" s="4"/>
      <c r="F2492" s="4" t="s">
        <v>9415</v>
      </c>
      <c r="G2492" s="4" t="s">
        <v>10</v>
      </c>
      <c r="H2492" s="4" t="s">
        <v>7750</v>
      </c>
      <c r="I2492" s="5">
        <v>46076</v>
      </c>
      <c r="J2492" s="4" t="s">
        <v>9416</v>
      </c>
      <c r="K2492" s="4" t="s">
        <v>57</v>
      </c>
      <c r="L2492" s="4"/>
      <c r="M2492" s="4"/>
    </row>
    <row r="2493" ht="16" customHeight="1" s="4" customFormat="1">
      <c r="A2493" s="4">
        <v>50</v>
      </c>
      <c r="B2493" s="4" t="s">
        <v>5528</v>
      </c>
      <c r="C2493" s="4" t="s">
        <v>5529</v>
      </c>
      <c r="D2493" s="4"/>
      <c r="E2493" s="4" t="s">
        <v>9417</v>
      </c>
      <c r="F2493" s="4" t="s">
        <v>9418</v>
      </c>
      <c r="G2493" s="4" t="s">
        <v>7718</v>
      </c>
      <c r="H2493" s="4" t="s">
        <v>9419</v>
      </c>
      <c r="I2493" s="5">
        <v>46073</v>
      </c>
      <c r="J2493" s="4" t="s">
        <v>4842</v>
      </c>
      <c r="K2493" s="4" t="s">
        <v>57</v>
      </c>
      <c r="L2493" s="4"/>
      <c r="M2493" s="4"/>
    </row>
    <row r="2494" ht="16" customHeight="1" s="4" customFormat="1">
      <c r="A2494" s="4">
        <v>51</v>
      </c>
      <c r="B2494" s="4" t="s">
        <v>5528</v>
      </c>
      <c r="C2494" s="4" t="s">
        <v>5529</v>
      </c>
      <c r="D2494" s="4"/>
      <c r="E2494" s="4" t="s">
        <v>5570</v>
      </c>
      <c r="F2494" s="4" t="s">
        <v>9420</v>
      </c>
      <c r="G2494" s="4" t="s">
        <v>9421</v>
      </c>
      <c r="H2494" s="4" t="s">
        <v>9422</v>
      </c>
      <c r="I2494" s="5">
        <v>46069</v>
      </c>
      <c r="J2494" s="4" t="s">
        <v>4842</v>
      </c>
      <c r="K2494" s="4" t="s">
        <v>57</v>
      </c>
      <c r="L2494" s="4"/>
      <c r="M2494" s="4"/>
    </row>
    <row r="2495" ht="16" customHeight="1" s="4" customFormat="1">
      <c r="A2495" s="4">
        <v>52</v>
      </c>
      <c r="B2495" s="4" t="s">
        <v>5528</v>
      </c>
      <c r="C2495" s="4" t="s">
        <v>8837</v>
      </c>
      <c r="D2495" s="4" t="s">
        <v>9423</v>
      </c>
      <c r="E2495" s="4" t="s">
        <v>9424</v>
      </c>
      <c r="F2495" s="4" t="s">
        <v>9425</v>
      </c>
      <c r="G2495" s="4" t="s">
        <v>9426</v>
      </c>
      <c r="H2495" s="4" t="s">
        <v>9427</v>
      </c>
      <c r="I2495" s="5">
        <v>46069</v>
      </c>
      <c r="J2495" s="4" t="s">
        <v>4842</v>
      </c>
      <c r="K2495" s="4" t="s">
        <v>57</v>
      </c>
      <c r="L2495" s="4"/>
      <c r="M2495" s="4"/>
    </row>
    <row r="2496" ht="16" customHeight="1" s="4" customFormat="1">
      <c r="A2496" s="4">
        <v>53</v>
      </c>
      <c r="B2496" s="4" t="s">
        <v>5499</v>
      </c>
      <c r="C2496" s="4" t="s">
        <v>5590</v>
      </c>
      <c r="D2496" s="4"/>
      <c r="E2496" s="4" t="s">
        <v>5952</v>
      </c>
      <c r="F2496" s="4" t="s">
        <v>9428</v>
      </c>
      <c r="G2496" s="4" t="s">
        <v>9429</v>
      </c>
      <c r="H2496" s="4" t="s">
        <v>4850</v>
      </c>
      <c r="I2496" s="5">
        <v>46066</v>
      </c>
      <c r="J2496" s="4" t="s">
        <v>5506</v>
      </c>
      <c r="K2496" s="4" t="s">
        <v>57</v>
      </c>
      <c r="L2496" s="4"/>
      <c r="M2496" s="4"/>
    </row>
    <row r="2497" ht="16" customHeight="1" s="4" customFormat="1">
      <c r="A2497" s="4">
        <v>54</v>
      </c>
      <c r="B2497" s="4" t="s">
        <v>5499</v>
      </c>
      <c r="C2497" s="4" t="s">
        <v>5590</v>
      </c>
      <c r="D2497" s="4"/>
      <c r="E2497" s="4" t="s">
        <v>5952</v>
      </c>
      <c r="F2497" s="4" t="s">
        <v>9430</v>
      </c>
      <c r="G2497" s="4" t="s">
        <v>7772</v>
      </c>
      <c r="H2497" s="4" t="s">
        <v>4850</v>
      </c>
      <c r="I2497" s="5">
        <v>46066</v>
      </c>
      <c r="J2497" s="4" t="s">
        <v>5506</v>
      </c>
      <c r="K2497" s="4" t="s">
        <v>57</v>
      </c>
      <c r="L2497" s="4"/>
      <c r="M2497" s="4"/>
    </row>
    <row r="2498" ht="16" customHeight="1" s="4" customFormat="1">
      <c r="A2498" s="4">
        <v>55</v>
      </c>
      <c r="B2498" s="4" t="s">
        <v>5499</v>
      </c>
      <c r="C2498" s="4" t="s">
        <v>5590</v>
      </c>
      <c r="D2498" s="4"/>
      <c r="E2498" s="4" t="s">
        <v>5952</v>
      </c>
      <c r="F2498" s="4" t="s">
        <v>9431</v>
      </c>
      <c r="G2498" s="4" t="s">
        <v>9432</v>
      </c>
      <c r="H2498" s="4" t="s">
        <v>4850</v>
      </c>
      <c r="I2498" s="5">
        <v>46066</v>
      </c>
      <c r="J2498" s="4" t="s">
        <v>5506</v>
      </c>
      <c r="K2498" s="4" t="s">
        <v>57</v>
      </c>
      <c r="L2498" s="4"/>
      <c r="M2498" s="4"/>
    </row>
    <row r="2499" ht="16" customHeight="1" s="4" customFormat="1">
      <c r="A2499" s="4">
        <v>56</v>
      </c>
      <c r="B2499" s="4" t="s">
        <v>5499</v>
      </c>
      <c r="C2499" s="4" t="s">
        <v>5500</v>
      </c>
      <c r="D2499" s="4" t="s">
        <v>5574</v>
      </c>
      <c r="E2499" s="4" t="s">
        <v>5575</v>
      </c>
      <c r="F2499" s="4" t="s">
        <v>9433</v>
      </c>
      <c r="G2499" s="4" t="s">
        <v>9434</v>
      </c>
      <c r="H2499" s="4" t="s">
        <v>9435</v>
      </c>
      <c r="I2499" s="5">
        <v>46065</v>
      </c>
      <c r="J2499" s="4" t="s">
        <v>4798</v>
      </c>
      <c r="K2499" s="4" t="s">
        <v>57</v>
      </c>
      <c r="L2499" s="4"/>
      <c r="M2499" s="4"/>
    </row>
    <row r="2500" ht="16" customHeight="1" s="4" customFormat="1">
      <c r="A2500" s="4">
        <v>57</v>
      </c>
      <c r="B2500" s="4" t="s">
        <v>5528</v>
      </c>
      <c r="C2500" s="4" t="s">
        <v>5529</v>
      </c>
      <c r="D2500" s="4"/>
      <c r="E2500" s="4" t="s">
        <v>9436</v>
      </c>
      <c r="F2500" s="4" t="s">
        <v>9437</v>
      </c>
      <c r="G2500" s="4" t="s">
        <v>4850</v>
      </c>
      <c r="H2500" s="4" t="s">
        <v>9197</v>
      </c>
      <c r="I2500" s="5">
        <v>46063</v>
      </c>
      <c r="J2500" s="4" t="s">
        <v>4842</v>
      </c>
      <c r="K2500" s="4" t="s">
        <v>57</v>
      </c>
      <c r="L2500" s="4"/>
      <c r="M2500" s="4"/>
    </row>
    <row r="2501" ht="16" customHeight="1" s="4" customFormat="1">
      <c r="A2501" s="4">
        <v>58</v>
      </c>
      <c r="B2501" s="4" t="s">
        <v>5499</v>
      </c>
      <c r="C2501" s="4" t="s">
        <v>5702</v>
      </c>
      <c r="D2501" s="4" t="s">
        <v>5574</v>
      </c>
      <c r="E2501" s="4" t="s">
        <v>5575</v>
      </c>
      <c r="F2501" s="4" t="s">
        <v>9438</v>
      </c>
      <c r="G2501" s="4" t="s">
        <v>9439</v>
      </c>
      <c r="H2501" s="4" t="s">
        <v>9440</v>
      </c>
      <c r="I2501" s="5">
        <v>46062</v>
      </c>
      <c r="J2501" s="4" t="s">
        <v>5506</v>
      </c>
      <c r="K2501" s="4" t="s">
        <v>57</v>
      </c>
      <c r="L2501" s="4"/>
      <c r="M2501" s="4"/>
    </row>
    <row r="2502" ht="16" customHeight="1" s="4" customFormat="1">
      <c r="A2502" s="4">
        <v>59</v>
      </c>
      <c r="B2502" s="4" t="s">
        <v>5499</v>
      </c>
      <c r="C2502" s="4" t="s">
        <v>5590</v>
      </c>
      <c r="D2502" s="4" t="s">
        <v>5574</v>
      </c>
      <c r="E2502" s="4" t="s">
        <v>5575</v>
      </c>
      <c r="F2502" s="4" t="s">
        <v>9441</v>
      </c>
      <c r="G2502" s="4" t="s">
        <v>9442</v>
      </c>
      <c r="H2502" s="4" t="s">
        <v>9443</v>
      </c>
      <c r="I2502" s="5">
        <v>46058</v>
      </c>
      <c r="J2502" s="4" t="s">
        <v>5506</v>
      </c>
      <c r="K2502" s="4" t="s">
        <v>57</v>
      </c>
      <c r="L2502" s="4"/>
      <c r="M2502" s="4"/>
    </row>
    <row r="2503" ht="16" customHeight="1" s="4" customFormat="1">
      <c r="A2503" s="4">
        <v>62</v>
      </c>
      <c r="B2503" s="4" t="s">
        <v>5499</v>
      </c>
      <c r="C2503" s="4" t="s">
        <v>5590</v>
      </c>
      <c r="D2503" s="4"/>
      <c r="E2503" s="4" t="s">
        <v>5952</v>
      </c>
      <c r="F2503" s="4" t="s">
        <v>9444</v>
      </c>
      <c r="G2503" s="4" t="s">
        <v>4850</v>
      </c>
      <c r="H2503" s="4" t="s">
        <v>7770</v>
      </c>
      <c r="I2503" s="5">
        <v>46057</v>
      </c>
      <c r="J2503" s="4" t="s">
        <v>5506</v>
      </c>
      <c r="K2503" s="4" t="s">
        <v>57</v>
      </c>
      <c r="L2503" s="4"/>
      <c r="M2503" s="4"/>
    </row>
    <row r="2504" ht="16" customHeight="1" s="4" customFormat="1">
      <c r="A2504" s="4">
        <v>63</v>
      </c>
      <c r="B2504" s="4" t="s">
        <v>5499</v>
      </c>
      <c r="C2504" s="4" t="s">
        <v>5590</v>
      </c>
      <c r="D2504" s="4"/>
      <c r="E2504" s="4" t="s">
        <v>5952</v>
      </c>
      <c r="F2504" s="4" t="s">
        <v>9445</v>
      </c>
      <c r="G2504" s="4" t="s">
        <v>4850</v>
      </c>
      <c r="H2504" s="4" t="s">
        <v>7770</v>
      </c>
      <c r="I2504" s="5">
        <v>46057</v>
      </c>
      <c r="J2504" s="4" t="s">
        <v>5506</v>
      </c>
      <c r="K2504" s="4" t="s">
        <v>57</v>
      </c>
      <c r="L2504" s="4"/>
      <c r="M2504" s="4"/>
    </row>
    <row r="2505" ht="16" customHeight="1" s="4" customFormat="1">
      <c r="A2505" s="4">
        <v>64</v>
      </c>
      <c r="B2505" s="4" t="s">
        <v>5499</v>
      </c>
      <c r="C2505" s="4" t="s">
        <v>5590</v>
      </c>
      <c r="D2505" s="4"/>
      <c r="E2505" s="4" t="s">
        <v>5952</v>
      </c>
      <c r="F2505" s="4" t="s">
        <v>9446</v>
      </c>
      <c r="G2505" s="4" t="s">
        <v>9447</v>
      </c>
      <c r="H2505" s="4" t="s">
        <v>7014</v>
      </c>
      <c r="I2505" s="5">
        <v>46049</v>
      </c>
      <c r="J2505" s="4" t="s">
        <v>5506</v>
      </c>
      <c r="K2505" s="4" t="s">
        <v>57</v>
      </c>
      <c r="L2505" s="4"/>
      <c r="M2505" s="4"/>
    </row>
    <row r="2506" ht="16" customHeight="1" s="4" customFormat="1">
      <c r="A2506" s="4">
        <v>65</v>
      </c>
      <c r="B2506" s="4" t="s">
        <v>5499</v>
      </c>
      <c r="C2506" s="4" t="s">
        <v>5590</v>
      </c>
      <c r="D2506" s="4"/>
      <c r="E2506" s="4" t="s">
        <v>5952</v>
      </c>
      <c r="F2506" s="4" t="s">
        <v>9448</v>
      </c>
      <c r="G2506" s="4" t="s">
        <v>9432</v>
      </c>
      <c r="H2506" s="4" t="s">
        <v>7014</v>
      </c>
      <c r="I2506" s="5">
        <v>46049</v>
      </c>
      <c r="J2506" s="4" t="s">
        <v>5506</v>
      </c>
      <c r="K2506" s="4" t="s">
        <v>57</v>
      </c>
      <c r="L2506" s="4"/>
      <c r="M2506" s="4"/>
    </row>
    <row r="2507" ht="16" customHeight="1" s="4" customFormat="1">
      <c r="A2507" s="4">
        <v>66</v>
      </c>
      <c r="B2507" s="4" t="s">
        <v>5528</v>
      </c>
      <c r="C2507" s="4" t="s">
        <v>9449</v>
      </c>
      <c r="D2507" s="4" t="s">
        <v>5845</v>
      </c>
      <c r="E2507" s="4" t="s">
        <v>9450</v>
      </c>
      <c r="F2507" s="4" t="s">
        <v>9451</v>
      </c>
      <c r="G2507" s="4" t="s">
        <v>9452</v>
      </c>
      <c r="H2507" s="4" t="s">
        <v>4850</v>
      </c>
      <c r="I2507" s="5">
        <v>46043</v>
      </c>
      <c r="J2507" s="4" t="s">
        <v>4842</v>
      </c>
      <c r="K2507" s="4" t="s">
        <v>57</v>
      </c>
      <c r="L2507" s="4"/>
      <c r="M2507" s="4"/>
    </row>
    <row r="2508" ht="16" customHeight="1" s="4" customFormat="1">
      <c r="A2508" s="4">
        <v>67</v>
      </c>
      <c r="B2508" s="4" t="s">
        <v>5528</v>
      </c>
      <c r="C2508" s="4" t="s">
        <v>9449</v>
      </c>
      <c r="D2508" s="4" t="s">
        <v>9389</v>
      </c>
      <c r="E2508" s="4" t="s">
        <v>9453</v>
      </c>
      <c r="F2508" s="4" t="s">
        <v>9454</v>
      </c>
      <c r="G2508" s="4" t="s">
        <v>9455</v>
      </c>
      <c r="H2508" s="4" t="s">
        <v>9456</v>
      </c>
      <c r="I2508" s="5">
        <v>46043</v>
      </c>
      <c r="J2508" s="4" t="s">
        <v>4842</v>
      </c>
      <c r="K2508" s="4" t="s">
        <v>57</v>
      </c>
      <c r="L2508" s="4"/>
      <c r="M2508" s="4"/>
    </row>
    <row r="2509" ht="16" customHeight="1" s="4" customFormat="1">
      <c r="A2509" s="4">
        <v>68</v>
      </c>
      <c r="B2509" s="4" t="s">
        <v>5528</v>
      </c>
      <c r="C2509" s="4" t="s">
        <v>7530</v>
      </c>
      <c r="D2509" s="4" t="s">
        <v>5574</v>
      </c>
      <c r="E2509" s="4" t="s">
        <v>7531</v>
      </c>
      <c r="F2509" s="4" t="s">
        <v>9457</v>
      </c>
      <c r="G2509" s="4" t="s">
        <v>7718</v>
      </c>
      <c r="H2509" s="4" t="s">
        <v>9458</v>
      </c>
      <c r="I2509" s="5">
        <v>46043</v>
      </c>
      <c r="J2509" s="4" t="s">
        <v>4842</v>
      </c>
      <c r="K2509" s="4" t="s">
        <v>57</v>
      </c>
      <c r="L2509" s="4"/>
      <c r="M2509" s="4"/>
    </row>
    <row r="2510" ht="16" customHeight="1" s="4" customFormat="1">
      <c r="A2510" s="4">
        <v>69</v>
      </c>
      <c r="B2510" s="4" t="s">
        <v>5528</v>
      </c>
      <c r="C2510" s="4" t="s">
        <v>5529</v>
      </c>
      <c r="D2510" s="4"/>
      <c r="E2510" s="4" t="s">
        <v>5570</v>
      </c>
      <c r="F2510" s="4" t="s">
        <v>9459</v>
      </c>
      <c r="G2510" s="4" t="s">
        <v>9460</v>
      </c>
      <c r="H2510" s="4" t="s">
        <v>5726</v>
      </c>
      <c r="I2510" s="5">
        <v>46038</v>
      </c>
      <c r="J2510" s="4" t="s">
        <v>4842</v>
      </c>
      <c r="K2510" s="4" t="s">
        <v>57</v>
      </c>
      <c r="L2510" s="4"/>
      <c r="M2510" s="4"/>
    </row>
    <row r="2511" ht="16" customHeight="1" s="4" customFormat="1">
      <c r="A2511" s="4">
        <v>1</v>
      </c>
      <c r="B2511" s="4" t="s">
        <v>5499</v>
      </c>
      <c r="C2511" s="4" t="s">
        <v>7201</v>
      </c>
      <c r="D2511" s="4"/>
      <c r="E2511" s="4" t="s">
        <v>8372</v>
      </c>
      <c r="F2511" s="4" t="s">
        <v>9461</v>
      </c>
      <c r="G2511" s="4" t="s">
        <v>9462</v>
      </c>
      <c r="H2511" s="4" t="s">
        <v>9463</v>
      </c>
      <c r="I2511" s="5">
        <v>46272</v>
      </c>
      <c r="J2511" s="4" t="s">
        <v>4842</v>
      </c>
      <c r="K2511" s="4" t="s">
        <v>57</v>
      </c>
      <c r="L2511" s="4"/>
      <c r="M2511" s="4"/>
    </row>
    <row r="2512" ht="16" customHeight="1" s="4" customFormat="1">
      <c r="A2512" s="4">
        <v>2</v>
      </c>
      <c r="B2512" s="4" t="s">
        <v>5528</v>
      </c>
      <c r="C2512" s="4" t="s">
        <v>9449</v>
      </c>
      <c r="D2512" s="4" t="s">
        <v>5845</v>
      </c>
      <c r="E2512" s="4" t="s">
        <v>5846</v>
      </c>
      <c r="F2512" s="4" t="s">
        <v>9464</v>
      </c>
      <c r="G2512" s="4" t="s">
        <v>9465</v>
      </c>
      <c r="H2512" s="4" t="s">
        <v>4850</v>
      </c>
      <c r="I2512" s="5">
        <v>46245</v>
      </c>
      <c r="J2512" s="4" t="s">
        <v>4842</v>
      </c>
      <c r="K2512" s="4" t="s">
        <v>57</v>
      </c>
      <c r="L2512" s="4"/>
      <c r="M2512" s="4"/>
    </row>
    <row r="2513" ht="16" customHeight="1" s="4" customFormat="1">
      <c r="A2513" s="4">
        <v>3</v>
      </c>
      <c r="B2513" s="4" t="s">
        <v>5499</v>
      </c>
      <c r="C2513" s="4" t="s">
        <v>7045</v>
      </c>
      <c r="D2513" s="4" t="s">
        <v>5574</v>
      </c>
      <c r="E2513" s="4" t="s">
        <v>5575</v>
      </c>
      <c r="F2513" s="4" t="s">
        <v>9466</v>
      </c>
      <c r="G2513" s="4" t="s">
        <v>7757</v>
      </c>
      <c r="H2513" s="4" t="s">
        <v>7758</v>
      </c>
      <c r="I2513" s="5">
        <v>46219</v>
      </c>
      <c r="J2513" s="4" t="s">
        <v>4842</v>
      </c>
      <c r="K2513" s="4" t="s">
        <v>57</v>
      </c>
      <c r="L2513" s="4"/>
      <c r="M2513" s="4"/>
    </row>
    <row r="2514" ht="16" customHeight="1" s="4" customFormat="1">
      <c r="A2514" s="4">
        <v>4</v>
      </c>
      <c r="B2514" s="4" t="s">
        <v>5528</v>
      </c>
      <c r="C2514" s="4" t="s">
        <v>7530</v>
      </c>
      <c r="D2514" s="4" t="s">
        <v>5574</v>
      </c>
      <c r="E2514" s="4" t="s">
        <v>7531</v>
      </c>
      <c r="F2514" s="4" t="s">
        <v>9467</v>
      </c>
      <c r="G2514" s="4" t="s">
        <v>4850</v>
      </c>
      <c r="H2514" s="4" t="s">
        <v>9468</v>
      </c>
      <c r="I2514" s="5">
        <v>46218</v>
      </c>
      <c r="J2514" s="4" t="s">
        <v>4842</v>
      </c>
      <c r="K2514" s="4" t="s">
        <v>57</v>
      </c>
      <c r="L2514" s="4"/>
      <c r="M2514" s="4"/>
    </row>
    <row r="2515" ht="16" customHeight="1" s="4" customFormat="1">
      <c r="A2515" s="4">
        <v>5</v>
      </c>
      <c r="B2515" s="4" t="s">
        <v>5499</v>
      </c>
      <c r="C2515" s="4" t="s">
        <v>7045</v>
      </c>
      <c r="D2515" s="4" t="s">
        <v>5574</v>
      </c>
      <c r="E2515" s="4" t="s">
        <v>5575</v>
      </c>
      <c r="F2515" s="4" t="s">
        <v>9469</v>
      </c>
      <c r="G2515" s="4" t="s">
        <v>9470</v>
      </c>
      <c r="H2515" s="4" t="s">
        <v>9471</v>
      </c>
      <c r="I2515" s="5">
        <v>46217</v>
      </c>
      <c r="J2515" s="4" t="s">
        <v>4842</v>
      </c>
      <c r="K2515" s="4" t="s">
        <v>57</v>
      </c>
      <c r="L2515" s="4"/>
      <c r="M2515" s="4"/>
    </row>
    <row r="2516" ht="16" customHeight="1" s="4" customFormat="1">
      <c r="A2516" s="4">
        <v>6</v>
      </c>
      <c r="B2516" s="4" t="s">
        <v>5528</v>
      </c>
      <c r="C2516" s="4" t="s">
        <v>6140</v>
      </c>
      <c r="D2516" s="4" t="s">
        <v>5574</v>
      </c>
      <c r="E2516" s="4" t="s">
        <v>7531</v>
      </c>
      <c r="F2516" s="4" t="s">
        <v>9472</v>
      </c>
      <c r="G2516" s="4" t="s">
        <v>9473</v>
      </c>
      <c r="H2516" s="4" t="s">
        <v>9474</v>
      </c>
      <c r="I2516" s="5">
        <v>46202</v>
      </c>
      <c r="J2516" s="4" t="s">
        <v>4842</v>
      </c>
      <c r="K2516" s="4" t="s">
        <v>57</v>
      </c>
      <c r="L2516" s="4"/>
      <c r="M2516" s="4"/>
    </row>
    <row r="2517" ht="16" customHeight="1" s="4" customFormat="1">
      <c r="A2517" s="4">
        <v>7</v>
      </c>
      <c r="B2517" s="4" t="s">
        <v>5528</v>
      </c>
      <c r="C2517" s="4" t="s">
        <v>7692</v>
      </c>
      <c r="D2517" s="4"/>
      <c r="E2517" s="4" t="s">
        <v>7894</v>
      </c>
      <c r="F2517" s="4" t="s">
        <v>9475</v>
      </c>
      <c r="G2517" s="4" t="s">
        <v>4850</v>
      </c>
      <c r="H2517" s="4" t="s">
        <v>7712</v>
      </c>
      <c r="I2517" s="5">
        <v>46195</v>
      </c>
      <c r="J2517" s="4" t="s">
        <v>4842</v>
      </c>
      <c r="K2517" s="4" t="s">
        <v>57</v>
      </c>
      <c r="L2517" s="4"/>
      <c r="M2517" s="4"/>
    </row>
    <row r="2518" ht="16" customHeight="1" s="4" customFormat="1">
      <c r="A2518" s="4">
        <v>8</v>
      </c>
      <c r="B2518" s="4" t="s">
        <v>5528</v>
      </c>
      <c r="C2518" s="4" t="s">
        <v>5529</v>
      </c>
      <c r="D2518" s="4"/>
      <c r="E2518" s="4" t="s">
        <v>9476</v>
      </c>
      <c r="F2518" s="4" t="s">
        <v>9477</v>
      </c>
      <c r="G2518" s="4" t="s">
        <v>9478</v>
      </c>
      <c r="H2518" s="4" t="s">
        <v>4850</v>
      </c>
      <c r="I2518" s="5">
        <v>46189</v>
      </c>
      <c r="J2518" s="4" t="s">
        <v>4842</v>
      </c>
      <c r="K2518" s="4" t="s">
        <v>57</v>
      </c>
      <c r="L2518" s="4"/>
      <c r="M2518" s="4"/>
    </row>
    <row r="2519" ht="16" customHeight="1" s="4" customFormat="1">
      <c r="A2519" s="4">
        <v>9</v>
      </c>
      <c r="B2519" s="4" t="s">
        <v>5528</v>
      </c>
      <c r="C2519" s="4" t="s">
        <v>5529</v>
      </c>
      <c r="D2519" s="4"/>
      <c r="E2519" s="4" t="s">
        <v>9436</v>
      </c>
      <c r="F2519" s="4" t="s">
        <v>9479</v>
      </c>
      <c r="G2519" s="4" t="s">
        <v>4850</v>
      </c>
      <c r="H2519" s="4" t="s">
        <v>9480</v>
      </c>
      <c r="I2519" s="5">
        <v>46185</v>
      </c>
      <c r="J2519" s="4" t="s">
        <v>4842</v>
      </c>
      <c r="K2519" s="4" t="s">
        <v>57</v>
      </c>
      <c r="L2519" s="4"/>
      <c r="M2519" s="4"/>
    </row>
    <row r="2520" ht="16" customHeight="1" s="4" customFormat="1">
      <c r="A2520" s="4">
        <v>10</v>
      </c>
      <c r="B2520" s="4" t="s">
        <v>5528</v>
      </c>
      <c r="C2520" s="4" t="s">
        <v>9449</v>
      </c>
      <c r="D2520" s="4" t="s">
        <v>5845</v>
      </c>
      <c r="E2520" s="4" t="s">
        <v>5846</v>
      </c>
      <c r="F2520" s="4" t="s">
        <v>9481</v>
      </c>
      <c r="G2520" s="4" t="s">
        <v>9482</v>
      </c>
      <c r="H2520" s="4" t="s">
        <v>4850</v>
      </c>
      <c r="I2520" s="5">
        <v>46182</v>
      </c>
      <c r="J2520" s="4" t="s">
        <v>4842</v>
      </c>
      <c r="K2520" s="4" t="s">
        <v>57</v>
      </c>
      <c r="L2520" s="4"/>
      <c r="M2520" s="4"/>
    </row>
    <row r="2521" ht="16" customHeight="1" s="4" customFormat="1">
      <c r="A2521" s="4">
        <v>11</v>
      </c>
      <c r="B2521" s="4" t="s">
        <v>5528</v>
      </c>
      <c r="C2521" s="4" t="s">
        <v>7530</v>
      </c>
      <c r="D2521" s="4" t="s">
        <v>5574</v>
      </c>
      <c r="E2521" s="4" t="s">
        <v>7531</v>
      </c>
      <c r="F2521" s="4" t="s">
        <v>9483</v>
      </c>
      <c r="G2521" s="4" t="s">
        <v>9484</v>
      </c>
      <c r="H2521" s="4" t="s">
        <v>7533</v>
      </c>
      <c r="I2521" s="5">
        <v>46177</v>
      </c>
      <c r="J2521" s="4" t="s">
        <v>4842</v>
      </c>
      <c r="K2521" s="4" t="s">
        <v>57</v>
      </c>
      <c r="L2521" s="4"/>
      <c r="M2521" s="4"/>
    </row>
    <row r="2522" ht="16" customHeight="1" s="4" customFormat="1">
      <c r="A2522" s="4">
        <v>12</v>
      </c>
      <c r="B2522" s="4" t="s">
        <v>5528</v>
      </c>
      <c r="C2522" s="4" t="s">
        <v>8627</v>
      </c>
      <c r="D2522" s="4"/>
      <c r="E2522" s="4" t="s">
        <v>9485</v>
      </c>
      <c r="F2522" s="4" t="s">
        <v>9486</v>
      </c>
      <c r="G2522" s="4" t="s">
        <v>9487</v>
      </c>
      <c r="H2522" s="4" t="s">
        <v>9488</v>
      </c>
      <c r="I2522" s="5">
        <v>46162</v>
      </c>
      <c r="J2522" s="4" t="s">
        <v>4842</v>
      </c>
      <c r="K2522" s="4" t="s">
        <v>57</v>
      </c>
      <c r="L2522" s="4"/>
      <c r="M2522" s="4"/>
    </row>
    <row r="2523" ht="16" customHeight="1" s="4" customFormat="1">
      <c r="A2523" s="4">
        <v>13</v>
      </c>
      <c r="B2523" s="4" t="s">
        <v>5528</v>
      </c>
      <c r="C2523" s="4" t="s">
        <v>8627</v>
      </c>
      <c r="D2523" s="4"/>
      <c r="E2523" s="4" t="s">
        <v>9485</v>
      </c>
      <c r="F2523" s="4" t="s">
        <v>9489</v>
      </c>
      <c r="G2523" s="4" t="s">
        <v>9490</v>
      </c>
      <c r="H2523" s="4" t="s">
        <v>9491</v>
      </c>
      <c r="I2523" s="5">
        <v>46162</v>
      </c>
      <c r="J2523" s="4" t="s">
        <v>4842</v>
      </c>
      <c r="K2523" s="4" t="s">
        <v>57</v>
      </c>
      <c r="L2523" s="4"/>
      <c r="M2523" s="4"/>
    </row>
    <row r="2524" ht="16" customHeight="1" s="4" customFormat="1">
      <c r="A2524" s="4">
        <v>14</v>
      </c>
      <c r="B2524" s="4" t="s">
        <v>5499</v>
      </c>
      <c r="C2524" s="4" t="s">
        <v>7201</v>
      </c>
      <c r="D2524" s="4"/>
      <c r="E2524" s="4" t="s">
        <v>8372</v>
      </c>
      <c r="F2524" s="4" t="s">
        <v>9492</v>
      </c>
      <c r="G2524" s="4" t="s">
        <v>4850</v>
      </c>
      <c r="H2524" s="4" t="s">
        <v>9493</v>
      </c>
      <c r="I2524" s="5">
        <v>46149</v>
      </c>
      <c r="J2524" s="4" t="s">
        <v>5506</v>
      </c>
      <c r="K2524" s="4" t="s">
        <v>57</v>
      </c>
      <c r="L2524" s="4"/>
      <c r="M2524" s="4"/>
    </row>
    <row r="2525" ht="16" customHeight="1" s="4" customFormat="1">
      <c r="A2525" s="4">
        <v>15</v>
      </c>
      <c r="B2525" s="4" t="s">
        <v>5499</v>
      </c>
      <c r="C2525" s="4" t="s">
        <v>7045</v>
      </c>
      <c r="D2525" s="4" t="s">
        <v>5574</v>
      </c>
      <c r="E2525" s="4" t="s">
        <v>5575</v>
      </c>
      <c r="F2525" s="4" t="s">
        <v>9494</v>
      </c>
      <c r="G2525" s="4" t="s">
        <v>9495</v>
      </c>
      <c r="H2525" s="4" t="s">
        <v>9496</v>
      </c>
      <c r="I2525" s="5">
        <v>46148</v>
      </c>
      <c r="J2525" s="4" t="s">
        <v>4842</v>
      </c>
      <c r="K2525" s="4" t="s">
        <v>57</v>
      </c>
      <c r="L2525" s="4"/>
      <c r="M2525" s="4"/>
    </row>
    <row r="2526" ht="16" customHeight="1" s="4" customFormat="1">
      <c r="A2526" s="4">
        <v>16</v>
      </c>
      <c r="B2526" s="4" t="s">
        <v>5499</v>
      </c>
      <c r="C2526" s="4" t="s">
        <v>7045</v>
      </c>
      <c r="D2526" s="4" t="s">
        <v>5574</v>
      </c>
      <c r="E2526" s="4" t="s">
        <v>5575</v>
      </c>
      <c r="F2526" s="4" t="s">
        <v>9497</v>
      </c>
      <c r="G2526" s="4" t="s">
        <v>5680</v>
      </c>
      <c r="H2526" s="4" t="s">
        <v>7072</v>
      </c>
      <c r="I2526" s="5">
        <v>46146</v>
      </c>
      <c r="J2526" s="4" t="s">
        <v>4842</v>
      </c>
      <c r="K2526" s="4" t="s">
        <v>57</v>
      </c>
      <c r="L2526" s="4"/>
      <c r="M2526" s="4"/>
    </row>
    <row r="2527" ht="16" customHeight="1" s="4" customFormat="1">
      <c r="A2527" s="4">
        <v>17</v>
      </c>
      <c r="B2527" s="4" t="s">
        <v>5499</v>
      </c>
      <c r="C2527" s="4" t="s">
        <v>5573</v>
      </c>
      <c r="D2527" s="4" t="s">
        <v>5574</v>
      </c>
      <c r="E2527" s="4" t="s">
        <v>5575</v>
      </c>
      <c r="F2527" s="4" t="s">
        <v>9498</v>
      </c>
      <c r="G2527" s="4" t="s">
        <v>4850</v>
      </c>
      <c r="H2527" s="4" t="s">
        <v>5588</v>
      </c>
      <c r="I2527" s="5">
        <v>46140</v>
      </c>
      <c r="J2527" s="4" t="s">
        <v>4842</v>
      </c>
      <c r="K2527" s="4" t="s">
        <v>57</v>
      </c>
      <c r="L2527" s="4"/>
      <c r="M2527" s="4"/>
    </row>
    <row r="2528" ht="16" customHeight="1" s="4" customFormat="1">
      <c r="A2528" s="4">
        <v>18</v>
      </c>
      <c r="B2528" s="4" t="s">
        <v>5499</v>
      </c>
      <c r="C2528" s="4" t="s">
        <v>9091</v>
      </c>
      <c r="D2528" s="4"/>
      <c r="E2528" s="4" t="s">
        <v>9417</v>
      </c>
      <c r="F2528" s="4" t="s">
        <v>9499</v>
      </c>
      <c r="G2528" s="4" t="s">
        <v>9500</v>
      </c>
      <c r="H2528" s="4" t="s">
        <v>9501</v>
      </c>
      <c r="I2528" s="5">
        <v>46139</v>
      </c>
      <c r="J2528" s="4" t="s">
        <v>4842</v>
      </c>
      <c r="K2528" s="4" t="s">
        <v>57</v>
      </c>
      <c r="L2528" s="4"/>
      <c r="M2528" s="4"/>
    </row>
    <row r="2529" ht="16" customHeight="1" s="4" customFormat="1">
      <c r="A2529" s="4">
        <v>19</v>
      </c>
      <c r="B2529" s="4" t="s">
        <v>5499</v>
      </c>
      <c r="C2529" s="4" t="s">
        <v>7045</v>
      </c>
      <c r="D2529" s="4" t="s">
        <v>5574</v>
      </c>
      <c r="E2529" s="4" t="s">
        <v>5575</v>
      </c>
      <c r="F2529" s="4" t="s">
        <v>9502</v>
      </c>
      <c r="G2529" s="4" t="s">
        <v>4850</v>
      </c>
      <c r="H2529" s="4" t="s">
        <v>7009</v>
      </c>
      <c r="I2529" s="5">
        <v>46135</v>
      </c>
      <c r="J2529" s="4" t="s">
        <v>4842</v>
      </c>
      <c r="K2529" s="4" t="s">
        <v>57</v>
      </c>
      <c r="L2529" s="4"/>
      <c r="M2529" s="4"/>
    </row>
    <row r="2530" ht="16" customHeight="1" s="4" customFormat="1">
      <c r="A2530" s="4">
        <v>20</v>
      </c>
      <c r="B2530" s="4" t="s">
        <v>5528</v>
      </c>
      <c r="C2530" s="4" t="s">
        <v>5529</v>
      </c>
      <c r="D2530" s="4"/>
      <c r="E2530" s="4" t="s">
        <v>9476</v>
      </c>
      <c r="F2530" s="4" t="s">
        <v>9503</v>
      </c>
      <c r="G2530" s="4" t="s">
        <v>5532</v>
      </c>
      <c r="H2530" s="4" t="s">
        <v>9504</v>
      </c>
      <c r="I2530" s="5">
        <v>46133</v>
      </c>
      <c r="J2530" s="4" t="s">
        <v>4842</v>
      </c>
      <c r="K2530" s="4" t="s">
        <v>57</v>
      </c>
      <c r="L2530" s="4"/>
      <c r="M2530" s="4"/>
    </row>
    <row r="2531" ht="16" customHeight="1" s="4" customFormat="1">
      <c r="A2531" s="4">
        <v>21</v>
      </c>
      <c r="B2531" s="4" t="s">
        <v>5499</v>
      </c>
      <c r="C2531" s="4" t="s">
        <v>5702</v>
      </c>
      <c r="D2531" s="4" t="s">
        <v>5574</v>
      </c>
      <c r="E2531" s="4" t="s">
        <v>5575</v>
      </c>
      <c r="F2531" s="4" t="s">
        <v>9505</v>
      </c>
      <c r="G2531" s="4" t="s">
        <v>9506</v>
      </c>
      <c r="H2531" s="4" t="s">
        <v>9507</v>
      </c>
      <c r="I2531" s="5">
        <v>46133</v>
      </c>
      <c r="J2531" s="4" t="s">
        <v>5506</v>
      </c>
      <c r="K2531" s="4" t="s">
        <v>57</v>
      </c>
      <c r="L2531" s="4"/>
      <c r="M2531" s="4"/>
    </row>
    <row r="2532" ht="16" customHeight="1" s="4" customFormat="1">
      <c r="A2532" s="4">
        <v>22</v>
      </c>
      <c r="B2532" s="4" t="s">
        <v>5499</v>
      </c>
      <c r="C2532" s="4" t="s">
        <v>7045</v>
      </c>
      <c r="D2532" s="4" t="s">
        <v>5574</v>
      </c>
      <c r="E2532" s="4" t="s">
        <v>5575</v>
      </c>
      <c r="F2532" s="4" t="s">
        <v>9508</v>
      </c>
      <c r="G2532" s="4" t="s">
        <v>9509</v>
      </c>
      <c r="H2532" s="4" t="s">
        <v>7009</v>
      </c>
      <c r="I2532" s="5">
        <v>46132</v>
      </c>
      <c r="J2532" s="4" t="s">
        <v>5506</v>
      </c>
      <c r="K2532" s="4" t="s">
        <v>57</v>
      </c>
      <c r="L2532" s="4"/>
      <c r="M2532" s="4"/>
    </row>
    <row r="2533" ht="16" customHeight="1" s="4" customFormat="1">
      <c r="A2533" s="4">
        <v>23</v>
      </c>
      <c r="B2533" s="4" t="s">
        <v>5528</v>
      </c>
      <c r="C2533" s="4" t="s">
        <v>5529</v>
      </c>
      <c r="D2533" s="4"/>
      <c r="E2533" s="4" t="s">
        <v>5570</v>
      </c>
      <c r="F2533" s="4" t="s">
        <v>9510</v>
      </c>
      <c r="G2533" s="4" t="s">
        <v>9511</v>
      </c>
      <c r="H2533" s="4" t="s">
        <v>5726</v>
      </c>
      <c r="I2533" s="5">
        <v>46130</v>
      </c>
      <c r="J2533" s="4" t="s">
        <v>4842</v>
      </c>
      <c r="K2533" s="4" t="s">
        <v>57</v>
      </c>
      <c r="L2533" s="4"/>
      <c r="M2533" s="4"/>
    </row>
    <row r="2534" ht="16" customHeight="1" s="4" customFormat="1">
      <c r="A2534" s="4">
        <v>24</v>
      </c>
      <c r="B2534" s="4" t="s">
        <v>5499</v>
      </c>
      <c r="C2534" s="4" t="s">
        <v>7045</v>
      </c>
      <c r="D2534" s="4" t="s">
        <v>5574</v>
      </c>
      <c r="E2534" s="4" t="s">
        <v>5575</v>
      </c>
      <c r="F2534" s="4" t="s">
        <v>9512</v>
      </c>
      <c r="G2534" s="4" t="s">
        <v>9513</v>
      </c>
      <c r="H2534" s="4" t="s">
        <v>9514</v>
      </c>
      <c r="I2534" s="5">
        <v>46128</v>
      </c>
      <c r="J2534" s="4" t="s">
        <v>4842</v>
      </c>
      <c r="K2534" s="4" t="s">
        <v>57</v>
      </c>
      <c r="L2534" s="4"/>
      <c r="M2534" s="4"/>
    </row>
    <row r="2535" ht="16" customHeight="1" s="4" customFormat="1">
      <c r="A2535" s="4">
        <v>25</v>
      </c>
      <c r="B2535" s="4" t="s">
        <v>5528</v>
      </c>
      <c r="C2535" s="4" t="s">
        <v>8837</v>
      </c>
      <c r="D2535" s="4" t="s">
        <v>1391</v>
      </c>
      <c r="E2535" s="4" t="s">
        <v>8610</v>
      </c>
      <c r="F2535" s="4" t="s">
        <v>9515</v>
      </c>
      <c r="G2535" s="4" t="s">
        <v>9516</v>
      </c>
      <c r="H2535" s="4" t="s">
        <v>9517</v>
      </c>
      <c r="I2535" s="5">
        <v>46128</v>
      </c>
      <c r="J2535" s="4" t="s">
        <v>4842</v>
      </c>
      <c r="K2535" s="4" t="s">
        <v>57</v>
      </c>
      <c r="L2535" s="4"/>
      <c r="M2535" s="4"/>
    </row>
    <row r="2536" ht="16" customHeight="1" s="4" customFormat="1">
      <c r="A2536" s="4">
        <v>26</v>
      </c>
      <c r="B2536" s="4" t="s">
        <v>5528</v>
      </c>
      <c r="C2536" s="4" t="s">
        <v>5724</v>
      </c>
      <c r="D2536" s="4" t="s">
        <v>5845</v>
      </c>
      <c r="E2536" s="4" t="s">
        <v>6984</v>
      </c>
      <c r="F2536" s="4" t="s">
        <v>9518</v>
      </c>
      <c r="G2536" s="4" t="s">
        <v>9519</v>
      </c>
      <c r="H2536" s="4" t="s">
        <v>9520</v>
      </c>
      <c r="I2536" s="5">
        <v>46125</v>
      </c>
      <c r="J2536" s="4" t="s">
        <v>4842</v>
      </c>
      <c r="K2536" s="4" t="s">
        <v>57</v>
      </c>
      <c r="L2536" s="4"/>
      <c r="M2536" s="4"/>
    </row>
    <row r="2537" ht="16" customHeight="1" s="4" customFormat="1">
      <c r="A2537" s="4">
        <v>27</v>
      </c>
      <c r="B2537" s="4" t="s">
        <v>5499</v>
      </c>
      <c r="C2537" s="4" t="s">
        <v>7045</v>
      </c>
      <c r="D2537" s="4" t="s">
        <v>5574</v>
      </c>
      <c r="E2537" s="4" t="s">
        <v>5575</v>
      </c>
      <c r="F2537" s="4" t="s">
        <v>9521</v>
      </c>
      <c r="G2537" s="4" t="s">
        <v>7761</v>
      </c>
      <c r="H2537" s="4" t="s">
        <v>7072</v>
      </c>
      <c r="I2537" s="5">
        <v>46125</v>
      </c>
      <c r="J2537" s="4" t="s">
        <v>4842</v>
      </c>
      <c r="K2537" s="4" t="s">
        <v>57</v>
      </c>
      <c r="L2537" s="4"/>
      <c r="M2537" s="4"/>
    </row>
    <row r="2538" ht="16" customHeight="1" s="4" customFormat="1">
      <c r="A2538" s="4">
        <v>28</v>
      </c>
      <c r="B2538" s="4" t="s">
        <v>5528</v>
      </c>
      <c r="C2538" s="4" t="s">
        <v>5529</v>
      </c>
      <c r="D2538" s="4"/>
      <c r="E2538" s="4" t="s">
        <v>9436</v>
      </c>
      <c r="F2538" s="4" t="s">
        <v>9522</v>
      </c>
      <c r="G2538" s="4" t="s">
        <v>5532</v>
      </c>
      <c r="H2538" s="4" t="s">
        <v>9523</v>
      </c>
      <c r="I2538" s="5">
        <v>46121</v>
      </c>
      <c r="J2538" s="4" t="s">
        <v>4842</v>
      </c>
      <c r="K2538" s="4" t="s">
        <v>57</v>
      </c>
      <c r="L2538" s="4"/>
      <c r="M2538" s="4"/>
    </row>
    <row r="2539" ht="16" customHeight="1" s="4" customFormat="1">
      <c r="A2539" s="4">
        <v>60</v>
      </c>
      <c r="B2539" s="4" t="s">
        <v>5499</v>
      </c>
      <c r="C2539" s="4" t="s">
        <v>5590</v>
      </c>
      <c r="D2539" s="4" t="s">
        <v>5574</v>
      </c>
      <c r="E2539" s="4" t="s">
        <v>5575</v>
      </c>
      <c r="F2539" s="4" t="s">
        <v>9524</v>
      </c>
      <c r="G2539" s="4" t="s">
        <v>7014</v>
      </c>
      <c r="H2539" s="4" t="s">
        <v>9525</v>
      </c>
      <c r="I2539" s="5">
        <v>46058</v>
      </c>
      <c r="J2539" s="4" t="s">
        <v>5506</v>
      </c>
      <c r="K2539" s="4" t="s">
        <v>57</v>
      </c>
      <c r="L2539" s="4"/>
      <c r="M2539" s="4"/>
    </row>
    <row r="2540" ht="16" customHeight="1" s="4" customFormat="1">
      <c r="A2540" s="4">
        <v>61</v>
      </c>
      <c r="B2540" s="4" t="s">
        <v>5499</v>
      </c>
      <c r="C2540" s="4" t="s">
        <v>5590</v>
      </c>
      <c r="D2540" s="4"/>
      <c r="E2540" s="4" t="s">
        <v>5952</v>
      </c>
      <c r="F2540" s="4" t="s">
        <v>9526</v>
      </c>
      <c r="G2540" s="4" t="s">
        <v>4850</v>
      </c>
      <c r="H2540" s="4" t="s">
        <v>7040</v>
      </c>
      <c r="I2540" s="5">
        <v>46058</v>
      </c>
      <c r="J2540" s="4" t="s">
        <v>5506</v>
      </c>
      <c r="K2540" s="4" t="s">
        <v>57</v>
      </c>
      <c r="L2540" s="4"/>
      <c r="M2540" s="4"/>
    </row>
    <row r="2541" ht="16" customHeight="1" s="4" customFormat="1">
      <c r="A2541" s="4">
        <v>29</v>
      </c>
      <c r="B2541" s="4" t="s">
        <v>5528</v>
      </c>
      <c r="C2541" s="4" t="s">
        <v>6140</v>
      </c>
      <c r="D2541" s="4" t="s">
        <v>5501</v>
      </c>
      <c r="E2541" s="4" t="s">
        <v>5502</v>
      </c>
      <c r="F2541" s="4" t="s">
        <v>9527</v>
      </c>
      <c r="G2541" s="4" t="s">
        <v>9528</v>
      </c>
      <c r="H2541" s="4" t="s">
        <v>9529</v>
      </c>
      <c r="I2541" s="5">
        <v>46114</v>
      </c>
      <c r="J2541" s="4" t="s">
        <v>4798</v>
      </c>
      <c r="K2541" s="4" t="s">
        <v>57</v>
      </c>
      <c r="L2541" s="4"/>
      <c r="M2541" s="4"/>
    </row>
    <row r="2542" ht="16" customHeight="1" s="4" customFormat="1">
      <c r="A2542" s="4">
        <v>30</v>
      </c>
      <c r="B2542" s="4" t="s">
        <v>5528</v>
      </c>
      <c r="C2542" s="4" t="s">
        <v>8837</v>
      </c>
      <c r="D2542" s="4"/>
      <c r="E2542" s="4" t="s">
        <v>9530</v>
      </c>
      <c r="F2542" s="4" t="s">
        <v>9531</v>
      </c>
      <c r="G2542" s="4" t="s">
        <v>9532</v>
      </c>
      <c r="H2542" s="4" t="s">
        <v>9533</v>
      </c>
      <c r="I2542" s="5">
        <v>46114</v>
      </c>
      <c r="J2542" s="4" t="s">
        <v>4842</v>
      </c>
      <c r="K2542" s="4" t="s">
        <v>57</v>
      </c>
      <c r="L2542" s="4"/>
      <c r="M2542" s="4"/>
    </row>
    <row r="2543" ht="16" customHeight="1" s="4" customFormat="1">
      <c r="A2543" s="4">
        <v>31</v>
      </c>
      <c r="B2543" s="4" t="s">
        <v>5499</v>
      </c>
      <c r="C2543" s="4" t="s">
        <v>5590</v>
      </c>
      <c r="D2543" s="4"/>
      <c r="E2543" s="4" t="s">
        <v>9052</v>
      </c>
      <c r="F2543" s="4" t="s">
        <v>9534</v>
      </c>
      <c r="G2543" s="4" t="s">
        <v>6712</v>
      </c>
      <c r="H2543" s="4" t="s">
        <v>6713</v>
      </c>
      <c r="I2543" s="5">
        <v>46111</v>
      </c>
      <c r="J2543" s="4" t="s">
        <v>4842</v>
      </c>
      <c r="K2543" s="4" t="s">
        <v>57</v>
      </c>
      <c r="L2543" s="4"/>
      <c r="M2543" s="4"/>
    </row>
    <row r="2544" ht="16" customHeight="1" s="4" customFormat="1">
      <c r="A2544" s="4">
        <v>32</v>
      </c>
      <c r="B2544" s="4" t="s">
        <v>5528</v>
      </c>
      <c r="C2544" s="4" t="s">
        <v>7530</v>
      </c>
      <c r="D2544" s="4" t="s">
        <v>5574</v>
      </c>
      <c r="E2544" s="4" t="s">
        <v>7531</v>
      </c>
      <c r="F2544" s="4" t="s">
        <v>9535</v>
      </c>
      <c r="G2544" s="4" t="s">
        <v>4850</v>
      </c>
      <c r="H2544" s="4" t="s">
        <v>9536</v>
      </c>
      <c r="I2544" s="5">
        <v>46109</v>
      </c>
      <c r="J2544" s="4" t="s">
        <v>4842</v>
      </c>
      <c r="K2544" s="4" t="s">
        <v>57</v>
      </c>
      <c r="L2544" s="4"/>
      <c r="M2544" s="4"/>
    </row>
    <row r="2545" ht="16" customHeight="1" s="4" customFormat="1">
      <c r="A2545" s="4">
        <v>33</v>
      </c>
      <c r="B2545" s="4" t="s">
        <v>5499</v>
      </c>
      <c r="C2545" s="4" t="s">
        <v>6371</v>
      </c>
      <c r="D2545" s="4" t="s">
        <v>5574</v>
      </c>
      <c r="E2545" s="4" t="s">
        <v>5769</v>
      </c>
      <c r="F2545" s="4" t="s">
        <v>9537</v>
      </c>
      <c r="G2545" s="4" t="s">
        <v>4850</v>
      </c>
      <c r="H2545" s="4" t="s">
        <v>6374</v>
      </c>
      <c r="I2545" s="5">
        <v>46107</v>
      </c>
      <c r="J2545" s="4" t="s">
        <v>4842</v>
      </c>
      <c r="K2545" s="4" t="s">
        <v>57</v>
      </c>
      <c r="L2545" s="4"/>
      <c r="M2545" s="4"/>
    </row>
    <row r="2546" ht="16" customHeight="1" s="4" customFormat="1">
      <c r="A2546" s="4">
        <v>34</v>
      </c>
      <c r="B2546" s="4" t="s">
        <v>5499</v>
      </c>
      <c r="C2546" s="4" t="s">
        <v>7045</v>
      </c>
      <c r="D2546" s="4" t="s">
        <v>6391</v>
      </c>
      <c r="E2546" s="4" t="s">
        <v>6392</v>
      </c>
      <c r="F2546" s="4" t="s">
        <v>9538</v>
      </c>
      <c r="G2546" s="4" t="s">
        <v>9539</v>
      </c>
      <c r="H2546" s="4" t="s">
        <v>6422</v>
      </c>
      <c r="I2546" s="5">
        <v>46106</v>
      </c>
      <c r="J2546" s="4" t="s">
        <v>5506</v>
      </c>
      <c r="K2546" s="4" t="s">
        <v>57</v>
      </c>
      <c r="L2546" s="4"/>
      <c r="M2546" s="4"/>
    </row>
    <row r="2547" ht="16" customHeight="1" s="4" customFormat="1">
      <c r="A2547" s="4">
        <v>35</v>
      </c>
      <c r="B2547" s="4" t="s">
        <v>5528</v>
      </c>
      <c r="C2547" s="4" t="s">
        <v>9540</v>
      </c>
      <c r="D2547" s="4"/>
      <c r="E2547" s="4" t="s">
        <v>9541</v>
      </c>
      <c r="F2547" s="4" t="s">
        <v>9542</v>
      </c>
      <c r="G2547" s="4" t="s">
        <v>9543</v>
      </c>
      <c r="H2547" s="4" t="s">
        <v>9544</v>
      </c>
      <c r="I2547" s="5">
        <v>46105</v>
      </c>
      <c r="J2547" s="4" t="s">
        <v>4842</v>
      </c>
      <c r="K2547" s="4" t="s">
        <v>57</v>
      </c>
      <c r="L2547" s="4"/>
      <c r="M2547" s="4"/>
    </row>
    <row r="2548" ht="16" customHeight="1" s="4" customFormat="1">
      <c r="A2548" s="4">
        <v>36</v>
      </c>
      <c r="B2548" s="4" t="s">
        <v>5499</v>
      </c>
      <c r="C2548" s="4" t="s">
        <v>5702</v>
      </c>
      <c r="D2548" s="4" t="s">
        <v>5574</v>
      </c>
      <c r="E2548" s="4" t="s">
        <v>5575</v>
      </c>
      <c r="F2548" s="4" t="s">
        <v>9545</v>
      </c>
      <c r="G2548" s="4" t="s">
        <v>9546</v>
      </c>
      <c r="H2548" s="4" t="s">
        <v>9547</v>
      </c>
      <c r="I2548" s="5">
        <v>46105</v>
      </c>
      <c r="J2548" s="4" t="s">
        <v>4842</v>
      </c>
      <c r="K2548" s="4" t="s">
        <v>57</v>
      </c>
      <c r="L2548" s="4"/>
      <c r="M2548" s="4"/>
    </row>
    <row r="2549" ht="16" customHeight="1" s="4" customFormat="1">
      <c r="A2549" s="4">
        <v>37</v>
      </c>
      <c r="B2549" s="4" t="s">
        <v>5499</v>
      </c>
      <c r="C2549" s="4" t="s">
        <v>7211</v>
      </c>
      <c r="D2549" s="4"/>
      <c r="E2549" s="4" t="s">
        <v>9548</v>
      </c>
      <c r="F2549" s="4" t="s">
        <v>9549</v>
      </c>
      <c r="G2549" s="4" t="s">
        <v>7740</v>
      </c>
      <c r="H2549" s="4" t="s">
        <v>9550</v>
      </c>
      <c r="I2549" s="5">
        <v>46105</v>
      </c>
      <c r="J2549" s="4" t="s">
        <v>4842</v>
      </c>
      <c r="K2549" s="4" t="s">
        <v>57</v>
      </c>
      <c r="L2549" s="4"/>
      <c r="M2549" s="4"/>
    </row>
    <row r="2550" ht="16" customHeight="1" s="4" customFormat="1">
      <c r="A2550" s="4">
        <v>38</v>
      </c>
      <c r="B2550" s="4" t="s">
        <v>5499</v>
      </c>
      <c r="C2550" s="4" t="s">
        <v>5590</v>
      </c>
      <c r="D2550" s="4" t="s">
        <v>5728</v>
      </c>
      <c r="E2550" s="4" t="s">
        <v>5515</v>
      </c>
      <c r="F2550" s="4" t="s">
        <v>9551</v>
      </c>
      <c r="G2550" s="4" t="s">
        <v>7533</v>
      </c>
      <c r="H2550" s="4" t="s">
        <v>9552</v>
      </c>
      <c r="I2550" s="5">
        <v>46094</v>
      </c>
      <c r="J2550" s="4" t="s">
        <v>5506</v>
      </c>
      <c r="K2550" s="4" t="s">
        <v>57</v>
      </c>
      <c r="L2550" s="4"/>
      <c r="M2550" s="4"/>
    </row>
    <row r="2551" ht="16" customHeight="1" s="4" customFormat="1">
      <c r="A2551" s="4">
        <v>39</v>
      </c>
      <c r="B2551" s="4" t="s">
        <v>5528</v>
      </c>
      <c r="C2551" s="4" t="s">
        <v>5529</v>
      </c>
      <c r="D2551" s="4"/>
      <c r="E2551" s="4" t="s">
        <v>9476</v>
      </c>
      <c r="F2551" s="4" t="s">
        <v>9553</v>
      </c>
      <c r="G2551" s="4" t="s">
        <v>5532</v>
      </c>
      <c r="H2551" s="4" t="s">
        <v>9554</v>
      </c>
      <c r="I2551" s="5">
        <v>46094</v>
      </c>
      <c r="J2551" s="4" t="s">
        <v>4842</v>
      </c>
      <c r="K2551" s="4" t="s">
        <v>57</v>
      </c>
      <c r="L2551" s="4"/>
      <c r="M2551" s="4"/>
    </row>
    <row r="2552" ht="16" customHeight="1" s="4" customFormat="1">
      <c r="A2552" s="4">
        <v>40</v>
      </c>
      <c r="B2552" s="4" t="s">
        <v>5528</v>
      </c>
      <c r="C2552" s="4" t="s">
        <v>9449</v>
      </c>
      <c r="D2552" s="4" t="s">
        <v>5845</v>
      </c>
      <c r="E2552" s="4" t="s">
        <v>9450</v>
      </c>
      <c r="F2552" s="4" t="s">
        <v>9555</v>
      </c>
      <c r="G2552" s="4" t="s">
        <v>9556</v>
      </c>
      <c r="H2552" s="4" t="s">
        <v>7533</v>
      </c>
      <c r="I2552" s="5">
        <v>46094</v>
      </c>
      <c r="J2552" s="4" t="s">
        <v>4842</v>
      </c>
      <c r="K2552" s="4" t="s">
        <v>57</v>
      </c>
      <c r="L2552" s="4"/>
      <c r="M2552" s="4"/>
    </row>
    <row r="2553" ht="16" customHeight="1" s="4" customFormat="1">
      <c r="A2553" s="4">
        <v>41</v>
      </c>
      <c r="B2553" s="4" t="s">
        <v>5499</v>
      </c>
      <c r="C2553" s="4" t="s">
        <v>5573</v>
      </c>
      <c r="D2553" s="4" t="s">
        <v>5574</v>
      </c>
      <c r="E2553" s="4" t="s">
        <v>5575</v>
      </c>
      <c r="F2553" s="4" t="s">
        <v>9557</v>
      </c>
      <c r="G2553" s="4" t="s">
        <v>4850</v>
      </c>
      <c r="H2553" s="4" t="s">
        <v>9558</v>
      </c>
      <c r="I2553" s="5">
        <v>46092</v>
      </c>
      <c r="J2553" s="4" t="s">
        <v>5506</v>
      </c>
      <c r="K2553" s="4" t="s">
        <v>57</v>
      </c>
      <c r="L2553" s="4"/>
      <c r="M2553" s="4"/>
    </row>
    <row r="2554" ht="16" customHeight="1" s="4" customFormat="1">
      <c r="A2554" s="4">
        <v>42</v>
      </c>
      <c r="B2554" s="4" t="s">
        <v>5528</v>
      </c>
      <c r="C2554" s="4" t="s">
        <v>6140</v>
      </c>
      <c r="D2554" s="4" t="s">
        <v>6450</v>
      </c>
      <c r="E2554" s="4" t="s">
        <v>9096</v>
      </c>
      <c r="F2554" s="4" t="s">
        <v>9559</v>
      </c>
      <c r="G2554" s="4" t="s">
        <v>9560</v>
      </c>
      <c r="H2554" s="4" t="s">
        <v>9561</v>
      </c>
      <c r="I2554" s="5">
        <v>46091</v>
      </c>
      <c r="J2554" s="4" t="s">
        <v>4842</v>
      </c>
      <c r="K2554" s="4" t="s">
        <v>57</v>
      </c>
      <c r="L2554" s="4"/>
      <c r="M2554" s="4"/>
    </row>
    <row r="2555" ht="16" customHeight="1" s="4" customFormat="1">
      <c r="A2555" s="4">
        <v>43</v>
      </c>
      <c r="B2555" s="4" t="s">
        <v>5528</v>
      </c>
      <c r="C2555" s="4" t="s">
        <v>5529</v>
      </c>
      <c r="D2555" s="4"/>
      <c r="E2555" s="4" t="s">
        <v>9436</v>
      </c>
      <c r="F2555" s="4" t="s">
        <v>9562</v>
      </c>
      <c r="G2555" s="4" t="s">
        <v>7533</v>
      </c>
      <c r="H2555" s="4" t="s">
        <v>9563</v>
      </c>
      <c r="I2555" s="5">
        <v>46088</v>
      </c>
      <c r="J2555" s="4" t="s">
        <v>4842</v>
      </c>
      <c r="K2555" s="4" t="s">
        <v>57</v>
      </c>
      <c r="L2555" s="4"/>
      <c r="M2555" s="4"/>
    </row>
    <row r="2556" ht="16" customHeight="1" s="4" customFormat="1">
      <c r="A2556" s="4">
        <v>44</v>
      </c>
      <c r="B2556" s="4" t="s">
        <v>5499</v>
      </c>
      <c r="C2556" s="4" t="s">
        <v>5702</v>
      </c>
      <c r="D2556" s="4" t="s">
        <v>5574</v>
      </c>
      <c r="E2556" s="4" t="s">
        <v>5575</v>
      </c>
      <c r="F2556" s="4" t="s">
        <v>9564</v>
      </c>
      <c r="G2556" s="4" t="s">
        <v>9565</v>
      </c>
      <c r="H2556" s="4" t="s">
        <v>7241</v>
      </c>
      <c r="I2556" s="5">
        <v>46086</v>
      </c>
      <c r="J2556" s="4" t="s">
        <v>5506</v>
      </c>
      <c r="K2556" s="4" t="s">
        <v>57</v>
      </c>
      <c r="L2556" s="4"/>
      <c r="M2556" s="4"/>
    </row>
    <row r="2557" ht="16" customHeight="1" s="4" customFormat="1">
      <c r="A2557" s="4">
        <v>411</v>
      </c>
      <c r="B2557" s="4" t="s">
        <v>5499</v>
      </c>
      <c r="C2557" s="4" t="s">
        <v>5590</v>
      </c>
      <c r="D2557" s="4" t="s">
        <v>5574</v>
      </c>
      <c r="E2557" s="4" t="s">
        <v>5575</v>
      </c>
      <c r="F2557" s="4" t="s">
        <v>9566</v>
      </c>
      <c r="G2557" s="4" t="s">
        <v>4850</v>
      </c>
      <c r="H2557" s="4" t="s">
        <v>7022</v>
      </c>
      <c r="I2557" s="5">
        <v>44825</v>
      </c>
      <c r="J2557" s="4" t="s">
        <v>4798</v>
      </c>
      <c r="K2557" s="4" t="s">
        <v>57</v>
      </c>
      <c r="L2557" s="4"/>
      <c r="M2557" s="4"/>
    </row>
    <row r="2558" ht="16" customHeight="1" s="4" customFormat="1">
      <c r="A2558" s="4">
        <v>412</v>
      </c>
      <c r="B2558" s="4" t="s">
        <v>5499</v>
      </c>
      <c r="C2558" s="4" t="s">
        <v>5590</v>
      </c>
      <c r="D2558" s="4"/>
      <c r="E2558" s="4" t="s">
        <v>5952</v>
      </c>
      <c r="F2558" s="4" t="s">
        <v>9567</v>
      </c>
      <c r="G2558" s="4" t="s">
        <v>4850</v>
      </c>
      <c r="H2558" s="4" t="s">
        <v>7022</v>
      </c>
      <c r="I2558" s="5">
        <v>44825</v>
      </c>
      <c r="J2558" s="4" t="s">
        <v>4798</v>
      </c>
      <c r="K2558" s="4" t="s">
        <v>57</v>
      </c>
      <c r="L2558" s="4"/>
      <c r="M2558" s="4"/>
    </row>
    <row r="2559" ht="16" customHeight="1" s="4" customFormat="1">
      <c r="A2559" s="4">
        <v>413</v>
      </c>
      <c r="B2559" s="4" t="s">
        <v>5499</v>
      </c>
      <c r="C2559" s="4" t="s">
        <v>5590</v>
      </c>
      <c r="D2559" s="4"/>
      <c r="E2559" s="4" t="s">
        <v>5952</v>
      </c>
      <c r="F2559" s="4" t="s">
        <v>9568</v>
      </c>
      <c r="G2559" s="4" t="s">
        <v>4850</v>
      </c>
      <c r="H2559" s="4" t="s">
        <v>7022</v>
      </c>
      <c r="I2559" s="5">
        <v>44825</v>
      </c>
      <c r="J2559" s="4" t="s">
        <v>4798</v>
      </c>
      <c r="K2559" s="4" t="s">
        <v>57</v>
      </c>
      <c r="L2559" s="4"/>
      <c r="M2559" s="4"/>
    </row>
    <row r="2560" ht="16" customHeight="1" s="4" customFormat="1">
      <c r="A2560" s="4">
        <v>414</v>
      </c>
      <c r="B2560" s="4" t="s">
        <v>5499</v>
      </c>
      <c r="C2560" s="4" t="s">
        <v>5590</v>
      </c>
      <c r="D2560" s="4"/>
      <c r="E2560" s="4" t="s">
        <v>5952</v>
      </c>
      <c r="F2560" s="4" t="s">
        <v>9569</v>
      </c>
      <c r="G2560" s="4" t="s">
        <v>4850</v>
      </c>
      <c r="H2560" s="4" t="s">
        <v>7022</v>
      </c>
      <c r="I2560" s="5">
        <v>44825</v>
      </c>
      <c r="J2560" s="4" t="s">
        <v>4798</v>
      </c>
      <c r="K2560" s="4" t="s">
        <v>57</v>
      </c>
      <c r="L2560" s="4"/>
      <c r="M2560" s="4"/>
    </row>
    <row r="2561" ht="16" customHeight="1" s="4" customFormat="1">
      <c r="A2561" s="4">
        <v>415</v>
      </c>
      <c r="B2561" s="4" t="s">
        <v>6161</v>
      </c>
      <c r="C2561" s="4" t="s">
        <v>6618</v>
      </c>
      <c r="D2561" s="4"/>
      <c r="E2561" s="4"/>
      <c r="F2561" s="4" t="s">
        <v>9570</v>
      </c>
      <c r="G2561" s="4" t="s">
        <v>8699</v>
      </c>
      <c r="H2561" s="4" t="s">
        <v>8711</v>
      </c>
      <c r="I2561" s="5">
        <v>44825</v>
      </c>
      <c r="J2561" s="4" t="s">
        <v>5506</v>
      </c>
      <c r="K2561" s="4" t="s">
        <v>57</v>
      </c>
      <c r="L2561" s="4"/>
      <c r="M2561" s="4"/>
    </row>
    <row r="2562" ht="16" customHeight="1" s="4" customFormat="1">
      <c r="A2562" s="4">
        <v>416</v>
      </c>
      <c r="B2562" s="4" t="s">
        <v>6161</v>
      </c>
      <c r="C2562" s="4" t="s">
        <v>6618</v>
      </c>
      <c r="D2562" s="4"/>
      <c r="E2562" s="4"/>
      <c r="F2562" s="4" t="s">
        <v>9571</v>
      </c>
      <c r="G2562" s="4" t="s">
        <v>8699</v>
      </c>
      <c r="H2562" s="4" t="s">
        <v>8711</v>
      </c>
      <c r="I2562" s="5">
        <v>44825</v>
      </c>
      <c r="J2562" s="4" t="s">
        <v>5506</v>
      </c>
      <c r="K2562" s="4" t="s">
        <v>57</v>
      </c>
      <c r="L2562" s="4"/>
      <c r="M2562" s="4"/>
    </row>
    <row r="2563" ht="16" customHeight="1" s="4" customFormat="1">
      <c r="A2563" s="4">
        <v>417</v>
      </c>
      <c r="B2563" s="4" t="s">
        <v>6161</v>
      </c>
      <c r="C2563" s="4" t="s">
        <v>6618</v>
      </c>
      <c r="D2563" s="4"/>
      <c r="E2563" s="4"/>
      <c r="F2563" s="4" t="s">
        <v>9572</v>
      </c>
      <c r="G2563" s="4" t="s">
        <v>8705</v>
      </c>
      <c r="H2563" s="4" t="s">
        <v>8711</v>
      </c>
      <c r="I2563" s="5">
        <v>44825</v>
      </c>
      <c r="J2563" s="4" t="s">
        <v>5506</v>
      </c>
      <c r="K2563" s="4" t="s">
        <v>57</v>
      </c>
      <c r="L2563" s="4"/>
      <c r="M2563" s="4"/>
    </row>
    <row r="2564" ht="16" customHeight="1" s="4" customFormat="1">
      <c r="A2564" s="4">
        <v>418</v>
      </c>
      <c r="B2564" s="4" t="s">
        <v>6161</v>
      </c>
      <c r="C2564" s="4" t="s">
        <v>6618</v>
      </c>
      <c r="D2564" s="4"/>
      <c r="E2564" s="4"/>
      <c r="F2564" s="4" t="s">
        <v>9573</v>
      </c>
      <c r="G2564" s="4" t="s">
        <v>8588</v>
      </c>
      <c r="H2564" s="4" t="s">
        <v>8711</v>
      </c>
      <c r="I2564" s="5">
        <v>44825</v>
      </c>
      <c r="J2564" s="4" t="s">
        <v>4798</v>
      </c>
      <c r="K2564" s="4" t="s">
        <v>57</v>
      </c>
      <c r="L2564" s="4"/>
      <c r="M2564" s="4"/>
    </row>
    <row r="2565" ht="16" customHeight="1" s="4" customFormat="1">
      <c r="A2565" s="4">
        <v>419</v>
      </c>
      <c r="B2565" s="4" t="s">
        <v>5499</v>
      </c>
      <c r="C2565" s="4" t="s">
        <v>5509</v>
      </c>
      <c r="D2565" s="4"/>
      <c r="E2565" s="4"/>
      <c r="F2565" s="4" t="s">
        <v>9574</v>
      </c>
      <c r="G2565" s="4" t="s">
        <v>10</v>
      </c>
      <c r="H2565" s="4" t="s">
        <v>9575</v>
      </c>
      <c r="I2565" s="5">
        <v>44823</v>
      </c>
      <c r="J2565" s="4" t="s">
        <v>8790</v>
      </c>
      <c r="K2565" s="4" t="s">
        <v>57</v>
      </c>
      <c r="L2565" s="4"/>
      <c r="M2565" s="4"/>
    </row>
    <row r="2566" ht="16" customHeight="1" s="4" customFormat="1">
      <c r="A2566" s="4">
        <v>420</v>
      </c>
      <c r="B2566" s="4" t="s">
        <v>5499</v>
      </c>
      <c r="C2566" s="4" t="s">
        <v>5590</v>
      </c>
      <c r="D2566" s="4" t="s">
        <v>5574</v>
      </c>
      <c r="E2566" s="4" t="s">
        <v>5575</v>
      </c>
      <c r="F2566" s="4" t="s">
        <v>9576</v>
      </c>
      <c r="G2566" s="4" t="s">
        <v>9577</v>
      </c>
      <c r="H2566" s="4" t="s">
        <v>9578</v>
      </c>
      <c r="I2566" s="5">
        <v>44818</v>
      </c>
      <c r="J2566" s="4" t="s">
        <v>4798</v>
      </c>
      <c r="K2566" s="4" t="s">
        <v>57</v>
      </c>
      <c r="L2566" s="4"/>
      <c r="M2566" s="4"/>
    </row>
    <row r="2567" ht="16" customHeight="1" s="4" customFormat="1">
      <c r="A2567" s="4">
        <v>421</v>
      </c>
      <c r="B2567" s="4" t="s">
        <v>5534</v>
      </c>
      <c r="C2567" s="4" t="s">
        <v>9381</v>
      </c>
      <c r="D2567" s="4"/>
      <c r="E2567" s="4"/>
      <c r="F2567" s="4" t="s">
        <v>9579</v>
      </c>
      <c r="G2567" s="4" t="s">
        <v>5771</v>
      </c>
      <c r="H2567" s="4"/>
      <c r="I2567" s="5">
        <v>44817</v>
      </c>
      <c r="J2567" s="4" t="s">
        <v>5506</v>
      </c>
      <c r="K2567" s="4" t="s">
        <v>57</v>
      </c>
      <c r="L2567" s="4"/>
      <c r="M2567" s="4"/>
    </row>
    <row r="2568" ht="16" customHeight="1" s="4" customFormat="1">
      <c r="A2568" s="4">
        <v>422</v>
      </c>
      <c r="B2568" s="4" t="s">
        <v>5600</v>
      </c>
      <c r="C2568" s="4" t="s">
        <v>5600</v>
      </c>
      <c r="D2568" s="4"/>
      <c r="E2568" s="4" t="s">
        <v>9323</v>
      </c>
      <c r="F2568" s="4" t="s">
        <v>9580</v>
      </c>
      <c r="G2568" s="4" t="s">
        <v>9581</v>
      </c>
      <c r="H2568" s="4" t="s">
        <v>6041</v>
      </c>
      <c r="I2568" s="5">
        <v>44816</v>
      </c>
      <c r="J2568" s="4" t="s">
        <v>4798</v>
      </c>
      <c r="K2568" s="4" t="s">
        <v>57</v>
      </c>
      <c r="L2568" s="4"/>
      <c r="M2568" s="4"/>
    </row>
    <row r="2569" ht="16" customHeight="1" s="4" customFormat="1">
      <c r="A2569" s="4">
        <v>423</v>
      </c>
      <c r="B2569" s="4" t="s">
        <v>5528</v>
      </c>
      <c r="C2569" s="4" t="s">
        <v>7692</v>
      </c>
      <c r="D2569" s="4"/>
      <c r="E2569" s="4" t="s">
        <v>7693</v>
      </c>
      <c r="F2569" s="4" t="s">
        <v>9582</v>
      </c>
      <c r="G2569" s="4" t="s">
        <v>9583</v>
      </c>
      <c r="H2569" s="4" t="s">
        <v>9584</v>
      </c>
      <c r="I2569" s="5">
        <v>44816</v>
      </c>
      <c r="J2569" s="4" t="s">
        <v>4798</v>
      </c>
      <c r="K2569" s="4" t="s">
        <v>57</v>
      </c>
      <c r="L2569" s="4"/>
      <c r="M2569" s="4"/>
    </row>
    <row r="2570" ht="16" customHeight="1" s="4" customFormat="1">
      <c r="A2570" s="4">
        <v>424</v>
      </c>
      <c r="B2570" s="4" t="s">
        <v>5600</v>
      </c>
      <c r="C2570" s="4" t="s">
        <v>5600</v>
      </c>
      <c r="D2570" s="4"/>
      <c r="E2570" s="4"/>
      <c r="F2570" s="4" t="s">
        <v>9585</v>
      </c>
      <c r="G2570" s="4" t="s">
        <v>5712</v>
      </c>
      <c r="H2570" s="4" t="s">
        <v>9586</v>
      </c>
      <c r="I2570" s="5">
        <v>44806</v>
      </c>
      <c r="J2570" s="4" t="s">
        <v>4798</v>
      </c>
      <c r="K2570" s="4" t="s">
        <v>57</v>
      </c>
      <c r="L2570" s="4"/>
      <c r="M2570" s="4"/>
    </row>
    <row r="2571" ht="16" customHeight="1" s="4" customFormat="1">
      <c r="A2571" s="4">
        <v>425</v>
      </c>
      <c r="B2571" s="4" t="s">
        <v>5600</v>
      </c>
      <c r="C2571" s="4" t="s">
        <v>5600</v>
      </c>
      <c r="D2571" s="4"/>
      <c r="E2571" s="4" t="s">
        <v>9587</v>
      </c>
      <c r="F2571" s="4" t="s">
        <v>9588</v>
      </c>
      <c r="G2571" s="4" t="s">
        <v>9589</v>
      </c>
      <c r="H2571" s="4" t="s">
        <v>9590</v>
      </c>
      <c r="I2571" s="5">
        <v>44806</v>
      </c>
      <c r="J2571" s="4" t="s">
        <v>4798</v>
      </c>
      <c r="K2571" s="4" t="s">
        <v>57</v>
      </c>
      <c r="L2571" s="4"/>
      <c r="M2571" s="4"/>
    </row>
    <row r="2572" ht="16" customHeight="1" s="4" customFormat="1">
      <c r="A2572" s="4">
        <v>426</v>
      </c>
      <c r="B2572" s="4" t="s">
        <v>6161</v>
      </c>
      <c r="C2572" s="4" t="s">
        <v>6618</v>
      </c>
      <c r="D2572" s="4"/>
      <c r="E2572" s="4"/>
      <c r="F2572" s="4" t="s">
        <v>9591</v>
      </c>
      <c r="G2572" s="4" t="s">
        <v>5791</v>
      </c>
      <c r="H2572" s="4" t="s">
        <v>9592</v>
      </c>
      <c r="I2572" s="5">
        <v>44783</v>
      </c>
      <c r="J2572" s="4" t="s">
        <v>4798</v>
      </c>
      <c r="K2572" s="4" t="s">
        <v>57</v>
      </c>
      <c r="L2572" s="4"/>
      <c r="M2572" s="4"/>
    </row>
    <row r="2573" ht="16" customHeight="1" s="4" customFormat="1">
      <c r="A2573" s="4">
        <v>427</v>
      </c>
      <c r="B2573" s="4" t="s">
        <v>5534</v>
      </c>
      <c r="C2573" s="4" t="s">
        <v>9593</v>
      </c>
      <c r="D2573" s="4"/>
      <c r="E2573" s="4"/>
      <c r="F2573" s="4" t="s">
        <v>9594</v>
      </c>
      <c r="G2573" s="4" t="s">
        <v>7607</v>
      </c>
      <c r="H2573" s="4" t="s">
        <v>9595</v>
      </c>
      <c r="I2573" s="5">
        <v>44778</v>
      </c>
      <c r="J2573" s="4" t="s">
        <v>4798</v>
      </c>
      <c r="K2573" s="4" t="s">
        <v>57</v>
      </c>
      <c r="L2573" s="4"/>
      <c r="M2573" s="4"/>
    </row>
    <row r="2574" ht="16" customHeight="1" s="4" customFormat="1">
      <c r="A2574" s="4">
        <v>428</v>
      </c>
      <c r="B2574" s="4" t="s">
        <v>5499</v>
      </c>
      <c r="C2574" s="4" t="s">
        <v>5509</v>
      </c>
      <c r="D2574" s="4"/>
      <c r="E2574" s="4"/>
      <c r="F2574" s="4" t="s">
        <v>9596</v>
      </c>
      <c r="G2574" s="4" t="s">
        <v>9597</v>
      </c>
      <c r="H2574" s="4" t="s">
        <v>9598</v>
      </c>
      <c r="I2574" s="5">
        <v>44777</v>
      </c>
      <c r="J2574" s="4" t="s">
        <v>4798</v>
      </c>
      <c r="K2574" s="4" t="s">
        <v>57</v>
      </c>
      <c r="L2574" s="4"/>
      <c r="M2574" s="4"/>
    </row>
    <row r="2575" ht="16" customHeight="1" s="4" customFormat="1">
      <c r="A2575" s="4">
        <v>429</v>
      </c>
      <c r="B2575" s="4" t="s">
        <v>5534</v>
      </c>
      <c r="C2575" s="4" t="s">
        <v>5773</v>
      </c>
      <c r="D2575" s="4"/>
      <c r="E2575" s="4"/>
      <c r="F2575" s="4" t="s">
        <v>9599</v>
      </c>
      <c r="G2575" s="4" t="s">
        <v>10</v>
      </c>
      <c r="H2575" s="4" t="s">
        <v>9600</v>
      </c>
      <c r="I2575" s="5">
        <v>44770</v>
      </c>
      <c r="J2575" s="4" t="s">
        <v>4798</v>
      </c>
      <c r="K2575" s="4" t="s">
        <v>57</v>
      </c>
      <c r="L2575" s="4"/>
      <c r="M2575" s="4"/>
    </row>
    <row r="2576" ht="16" customHeight="1" s="4" customFormat="1">
      <c r="A2576" s="4">
        <v>430</v>
      </c>
      <c r="B2576" s="4" t="s">
        <v>5499</v>
      </c>
      <c r="C2576" s="4" t="s">
        <v>5590</v>
      </c>
      <c r="D2576" s="4" t="s">
        <v>5574</v>
      </c>
      <c r="E2576" s="4" t="s">
        <v>5575</v>
      </c>
      <c r="F2576" s="4" t="s">
        <v>9601</v>
      </c>
      <c r="G2576" s="4" t="s">
        <v>9602</v>
      </c>
      <c r="H2576" s="4" t="s">
        <v>9603</v>
      </c>
      <c r="I2576" s="5">
        <v>44769</v>
      </c>
      <c r="J2576" s="4" t="s">
        <v>4842</v>
      </c>
      <c r="K2576" s="4" t="s">
        <v>57</v>
      </c>
      <c r="L2576" s="4"/>
      <c r="M2576" s="4"/>
    </row>
    <row r="2577" ht="16" customHeight="1" s="4" customFormat="1">
      <c r="A2577" s="4">
        <v>431</v>
      </c>
      <c r="B2577" s="4" t="s">
        <v>5499</v>
      </c>
      <c r="C2577" s="4" t="s">
        <v>5590</v>
      </c>
      <c r="D2577" s="4" t="s">
        <v>5574</v>
      </c>
      <c r="E2577" s="4" t="s">
        <v>5575</v>
      </c>
      <c r="F2577" s="4" t="s">
        <v>9604</v>
      </c>
      <c r="G2577" s="4" t="s">
        <v>4850</v>
      </c>
      <c r="H2577" s="4" t="s">
        <v>9605</v>
      </c>
      <c r="I2577" s="5">
        <v>44763</v>
      </c>
      <c r="J2577" s="4" t="s">
        <v>5506</v>
      </c>
      <c r="K2577" s="4" t="s">
        <v>57</v>
      </c>
      <c r="L2577" s="4"/>
      <c r="M2577" s="4"/>
    </row>
    <row r="2578" ht="16" customHeight="1" s="4" customFormat="1">
      <c r="A2578" s="4">
        <v>432</v>
      </c>
      <c r="B2578" s="4" t="s">
        <v>5499</v>
      </c>
      <c r="C2578" s="4" t="s">
        <v>5590</v>
      </c>
      <c r="D2578" s="4" t="s">
        <v>5574</v>
      </c>
      <c r="E2578" s="4" t="s">
        <v>5575</v>
      </c>
      <c r="F2578" s="4" t="s">
        <v>9606</v>
      </c>
      <c r="G2578" s="4" t="s">
        <v>4850</v>
      </c>
      <c r="H2578" s="4" t="s">
        <v>9605</v>
      </c>
      <c r="I2578" s="5">
        <v>44763</v>
      </c>
      <c r="J2578" s="4" t="s">
        <v>4842</v>
      </c>
      <c r="K2578" s="4" t="s">
        <v>57</v>
      </c>
      <c r="L2578" s="4"/>
      <c r="M2578" s="4"/>
    </row>
    <row r="2579" ht="16" customHeight="1" s="4" customFormat="1">
      <c r="A2579" s="4">
        <v>433</v>
      </c>
      <c r="B2579" s="4" t="s">
        <v>5499</v>
      </c>
      <c r="C2579" s="4" t="s">
        <v>5590</v>
      </c>
      <c r="D2579" s="4" t="s">
        <v>5574</v>
      </c>
      <c r="E2579" s="4" t="s">
        <v>5575</v>
      </c>
      <c r="F2579" s="4" t="s">
        <v>9607</v>
      </c>
      <c r="G2579" s="4" t="s">
        <v>4850</v>
      </c>
      <c r="H2579" s="4" t="s">
        <v>9605</v>
      </c>
      <c r="I2579" s="5">
        <v>44763</v>
      </c>
      <c r="J2579" s="4" t="s">
        <v>4842</v>
      </c>
      <c r="K2579" s="4" t="s">
        <v>57</v>
      </c>
      <c r="L2579" s="4"/>
      <c r="M2579" s="4"/>
    </row>
    <row r="2580" ht="16" customHeight="1" s="4" customFormat="1">
      <c r="A2580" s="4">
        <v>434</v>
      </c>
      <c r="B2580" s="4" t="s">
        <v>5499</v>
      </c>
      <c r="C2580" s="4" t="s">
        <v>5702</v>
      </c>
      <c r="D2580" s="4" t="s">
        <v>5574</v>
      </c>
      <c r="E2580" s="4" t="s">
        <v>5575</v>
      </c>
      <c r="F2580" s="4" t="s">
        <v>9608</v>
      </c>
      <c r="G2580" s="4" t="s">
        <v>9609</v>
      </c>
      <c r="H2580" s="4" t="s">
        <v>9610</v>
      </c>
      <c r="I2580" s="5">
        <v>44761</v>
      </c>
      <c r="J2580" s="4" t="s">
        <v>4798</v>
      </c>
      <c r="K2580" s="4" t="s">
        <v>57</v>
      </c>
      <c r="L2580" s="4"/>
      <c r="M2580" s="4"/>
    </row>
    <row r="2581" ht="16" customHeight="1" s="4" customFormat="1">
      <c r="A2581" s="4">
        <v>435</v>
      </c>
      <c r="B2581" s="4" t="s">
        <v>5499</v>
      </c>
      <c r="C2581" s="4" t="s">
        <v>5513</v>
      </c>
      <c r="D2581" s="4" t="s">
        <v>5574</v>
      </c>
      <c r="E2581" s="4" t="s">
        <v>5575</v>
      </c>
      <c r="F2581" s="4" t="s">
        <v>9611</v>
      </c>
      <c r="G2581" s="4" t="s">
        <v>9612</v>
      </c>
      <c r="H2581" s="4" t="s">
        <v>4850</v>
      </c>
      <c r="I2581" s="5">
        <v>44755</v>
      </c>
      <c r="J2581" s="4" t="s">
        <v>4798</v>
      </c>
      <c r="K2581" s="4" t="s">
        <v>57</v>
      </c>
      <c r="L2581" s="4"/>
      <c r="M2581" s="4"/>
    </row>
    <row r="2582" ht="16" customHeight="1" s="4" customFormat="1">
      <c r="A2582" s="4">
        <v>436</v>
      </c>
      <c r="B2582" s="4" t="s">
        <v>5499</v>
      </c>
      <c r="C2582" s="4" t="s">
        <v>5590</v>
      </c>
      <c r="D2582" s="4"/>
      <c r="E2582" s="4" t="s">
        <v>9052</v>
      </c>
      <c r="F2582" s="4" t="s">
        <v>9613</v>
      </c>
      <c r="G2582" s="4" t="s">
        <v>6431</v>
      </c>
      <c r="H2582" s="4" t="s">
        <v>9614</v>
      </c>
      <c r="I2582" s="5">
        <v>44740</v>
      </c>
      <c r="J2582" s="4" t="s">
        <v>5506</v>
      </c>
      <c r="K2582" s="4" t="s">
        <v>57</v>
      </c>
      <c r="L2582" s="4"/>
      <c r="M2582" s="4"/>
    </row>
    <row r="2583" ht="16" customHeight="1" s="4" customFormat="1">
      <c r="A2583" s="4">
        <v>437</v>
      </c>
      <c r="B2583" s="4" t="s">
        <v>5534</v>
      </c>
      <c r="C2583" s="4" t="s">
        <v>5773</v>
      </c>
      <c r="D2583" s="4"/>
      <c r="E2583" s="4"/>
      <c r="F2583" s="4" t="s">
        <v>9615</v>
      </c>
      <c r="G2583" s="4" t="s">
        <v>10</v>
      </c>
      <c r="H2583" s="4" t="s">
        <v>7819</v>
      </c>
      <c r="I2583" s="5">
        <v>44720</v>
      </c>
      <c r="J2583" s="4" t="s">
        <v>4798</v>
      </c>
      <c r="K2583" s="4" t="s">
        <v>57</v>
      </c>
      <c r="L2583" s="4"/>
      <c r="M2583" s="4"/>
    </row>
    <row r="2584" ht="16" customHeight="1" s="4" customFormat="1">
      <c r="A2584" s="4">
        <v>438</v>
      </c>
      <c r="B2584" s="4" t="s">
        <v>5534</v>
      </c>
      <c r="C2584" s="4" t="s">
        <v>5773</v>
      </c>
      <c r="D2584" s="4"/>
      <c r="E2584" s="4"/>
      <c r="F2584" s="4" t="s">
        <v>9616</v>
      </c>
      <c r="G2584" s="4" t="s">
        <v>5791</v>
      </c>
      <c r="H2584" s="4" t="s">
        <v>7819</v>
      </c>
      <c r="I2584" s="5">
        <v>44720</v>
      </c>
      <c r="J2584" s="4" t="s">
        <v>4798</v>
      </c>
      <c r="K2584" s="4" t="s">
        <v>57</v>
      </c>
      <c r="L2584" s="4"/>
      <c r="M2584" s="4"/>
    </row>
    <row r="2585" ht="16" customHeight="1" s="4" customFormat="1">
      <c r="A2585" s="4">
        <v>439</v>
      </c>
      <c r="B2585" s="4" t="s">
        <v>5534</v>
      </c>
      <c r="C2585" s="4" t="s">
        <v>5773</v>
      </c>
      <c r="D2585" s="4"/>
      <c r="E2585" s="4"/>
      <c r="F2585" s="4" t="s">
        <v>9617</v>
      </c>
      <c r="G2585" s="4" t="s">
        <v>5791</v>
      </c>
      <c r="H2585" s="4" t="s">
        <v>7819</v>
      </c>
      <c r="I2585" s="5">
        <v>44720</v>
      </c>
      <c r="J2585" s="4" t="s">
        <v>4798</v>
      </c>
      <c r="K2585" s="4" t="s">
        <v>57</v>
      </c>
      <c r="L2585" s="4"/>
      <c r="M2585" s="4"/>
    </row>
    <row r="2586" ht="16" customHeight="1" s="4" customFormat="1">
      <c r="A2586" s="4">
        <v>440</v>
      </c>
      <c r="B2586" s="4" t="s">
        <v>5534</v>
      </c>
      <c r="C2586" s="4" t="s">
        <v>5773</v>
      </c>
      <c r="D2586" s="4"/>
      <c r="E2586" s="4"/>
      <c r="F2586" s="4" t="s">
        <v>9618</v>
      </c>
      <c r="G2586" s="4" t="s">
        <v>5791</v>
      </c>
      <c r="H2586" s="4" t="s">
        <v>7819</v>
      </c>
      <c r="I2586" s="5">
        <v>44720</v>
      </c>
      <c r="J2586" s="4" t="s">
        <v>4798</v>
      </c>
      <c r="K2586" s="4" t="s">
        <v>57</v>
      </c>
      <c r="L2586" s="4"/>
      <c r="M2586" s="4"/>
    </row>
    <row r="2587" ht="16" customHeight="1" s="4" customFormat="1">
      <c r="A2587" s="4">
        <v>441</v>
      </c>
      <c r="B2587" s="4" t="s">
        <v>5534</v>
      </c>
      <c r="C2587" s="4" t="s">
        <v>5773</v>
      </c>
      <c r="D2587" s="4"/>
      <c r="E2587" s="4"/>
      <c r="F2587" s="4" t="s">
        <v>9619</v>
      </c>
      <c r="G2587" s="4" t="s">
        <v>5791</v>
      </c>
      <c r="H2587" s="4" t="s">
        <v>7819</v>
      </c>
      <c r="I2587" s="5">
        <v>44720</v>
      </c>
      <c r="J2587" s="4" t="s">
        <v>4798</v>
      </c>
      <c r="K2587" s="4" t="s">
        <v>57</v>
      </c>
      <c r="L2587" s="4"/>
      <c r="M2587" s="4"/>
    </row>
    <row r="2588" ht="16" customHeight="1" s="4" customFormat="1">
      <c r="A2588" s="4">
        <v>442</v>
      </c>
      <c r="B2588" s="4" t="s">
        <v>5534</v>
      </c>
      <c r="C2588" s="4" t="s">
        <v>9593</v>
      </c>
      <c r="D2588" s="4"/>
      <c r="E2588" s="4"/>
      <c r="F2588" s="4" t="s">
        <v>9620</v>
      </c>
      <c r="G2588" s="4" t="s">
        <v>9621</v>
      </c>
      <c r="H2588" s="4" t="s">
        <v>9622</v>
      </c>
      <c r="I2588" s="5">
        <v>44707</v>
      </c>
      <c r="J2588" s="4" t="s">
        <v>4842</v>
      </c>
      <c r="K2588" s="4" t="s">
        <v>57</v>
      </c>
      <c r="L2588" s="4"/>
      <c r="M2588" s="4"/>
    </row>
    <row r="2589" ht="16" customHeight="1" s="4" customFormat="1">
      <c r="A2589" s="4">
        <v>467</v>
      </c>
      <c r="B2589" s="4" t="s">
        <v>5528</v>
      </c>
      <c r="C2589" s="4" t="s">
        <v>8837</v>
      </c>
      <c r="D2589" s="4" t="s">
        <v>1391</v>
      </c>
      <c r="E2589" s="4" t="s">
        <v>8610</v>
      </c>
      <c r="F2589" s="4" t="s">
        <v>9623</v>
      </c>
      <c r="G2589" s="4" t="s">
        <v>9624</v>
      </c>
      <c r="H2589" s="4" t="s">
        <v>6431</v>
      </c>
      <c r="I2589" s="5">
        <v>44595</v>
      </c>
      <c r="J2589" s="4" t="s">
        <v>4798</v>
      </c>
      <c r="K2589" s="4" t="s">
        <v>57</v>
      </c>
      <c r="L2589" s="4"/>
      <c r="M2589" s="4"/>
    </row>
    <row r="2590" ht="16" customHeight="1" s="4" customFormat="1">
      <c r="A2590" s="4">
        <v>443</v>
      </c>
      <c r="B2590" s="4" t="s">
        <v>5600</v>
      </c>
      <c r="C2590" s="4" t="s">
        <v>5600</v>
      </c>
      <c r="D2590" s="4"/>
      <c r="E2590" s="4" t="s">
        <v>7609</v>
      </c>
      <c r="F2590" s="4" t="s">
        <v>9625</v>
      </c>
      <c r="G2590" s="4" t="s">
        <v>9626</v>
      </c>
      <c r="H2590" s="4" t="s">
        <v>9627</v>
      </c>
      <c r="I2590" s="5">
        <v>44691</v>
      </c>
      <c r="J2590" s="4" t="s">
        <v>4798</v>
      </c>
      <c r="K2590" s="4" t="s">
        <v>57</v>
      </c>
      <c r="L2590" s="4"/>
      <c r="M2590" s="4"/>
    </row>
    <row r="2591" ht="16" customHeight="1" s="4" customFormat="1">
      <c r="A2591" s="4">
        <v>444</v>
      </c>
      <c r="B2591" s="4" t="s">
        <v>5600</v>
      </c>
      <c r="C2591" s="4" t="s">
        <v>5600</v>
      </c>
      <c r="D2591" s="4"/>
      <c r="E2591" s="4" t="s">
        <v>7609</v>
      </c>
      <c r="F2591" s="4" t="s">
        <v>9628</v>
      </c>
      <c r="G2591" s="4" t="s">
        <v>5771</v>
      </c>
      <c r="H2591" s="4" t="s">
        <v>9629</v>
      </c>
      <c r="I2591" s="5">
        <v>44691</v>
      </c>
      <c r="J2591" s="4" t="s">
        <v>4798</v>
      </c>
      <c r="K2591" s="4" t="s">
        <v>57</v>
      </c>
      <c r="L2591" s="4"/>
      <c r="M2591" s="4"/>
    </row>
    <row r="2592" ht="16" customHeight="1" s="4" customFormat="1">
      <c r="A2592" s="4">
        <v>445</v>
      </c>
      <c r="B2592" s="4" t="s">
        <v>5600</v>
      </c>
      <c r="C2592" s="4" t="s">
        <v>5600</v>
      </c>
      <c r="D2592" s="4"/>
      <c r="E2592" s="4" t="s">
        <v>8575</v>
      </c>
      <c r="F2592" s="4" t="s">
        <v>9630</v>
      </c>
      <c r="G2592" s="4" t="s">
        <v>9631</v>
      </c>
      <c r="H2592" s="4" t="s">
        <v>9632</v>
      </c>
      <c r="I2592" s="5">
        <v>44679</v>
      </c>
      <c r="J2592" s="4" t="s">
        <v>4798</v>
      </c>
      <c r="K2592" s="4" t="s">
        <v>57</v>
      </c>
      <c r="L2592" s="4"/>
      <c r="M2592" s="4"/>
    </row>
    <row r="2593" ht="16" customHeight="1" s="4" customFormat="1">
      <c r="A2593" s="4">
        <v>446</v>
      </c>
      <c r="B2593" s="4" t="s">
        <v>5499</v>
      </c>
      <c r="C2593" s="4" t="s">
        <v>5509</v>
      </c>
      <c r="D2593" s="4"/>
      <c r="E2593" s="4"/>
      <c r="F2593" s="4" t="s">
        <v>9633</v>
      </c>
      <c r="G2593" s="4" t="s">
        <v>7744</v>
      </c>
      <c r="H2593" s="4" t="s">
        <v>5837</v>
      </c>
      <c r="I2593" s="5">
        <v>44679</v>
      </c>
      <c r="J2593" s="4" t="s">
        <v>4798</v>
      </c>
      <c r="K2593" s="4" t="s">
        <v>57</v>
      </c>
      <c r="L2593" s="4"/>
      <c r="M2593" s="4"/>
    </row>
    <row r="2594" ht="16" customHeight="1" s="4" customFormat="1">
      <c r="A2594" s="4">
        <v>447</v>
      </c>
      <c r="B2594" s="4" t="s">
        <v>5499</v>
      </c>
      <c r="C2594" s="4" t="s">
        <v>5513</v>
      </c>
      <c r="D2594" s="4" t="s">
        <v>5574</v>
      </c>
      <c r="E2594" s="4" t="s">
        <v>5575</v>
      </c>
      <c r="F2594" s="4" t="s">
        <v>9634</v>
      </c>
      <c r="G2594" s="4" t="s">
        <v>4850</v>
      </c>
      <c r="H2594" s="4" t="s">
        <v>9635</v>
      </c>
      <c r="I2594" s="5">
        <v>44677</v>
      </c>
      <c r="J2594" s="4" t="s">
        <v>5506</v>
      </c>
      <c r="K2594" s="4" t="s">
        <v>57</v>
      </c>
      <c r="L2594" s="4"/>
      <c r="M2594" s="4"/>
    </row>
    <row r="2595" ht="16" customHeight="1" s="4" customFormat="1">
      <c r="A2595" s="4">
        <v>448</v>
      </c>
      <c r="B2595" s="4" t="s">
        <v>5499</v>
      </c>
      <c r="C2595" s="4" t="s">
        <v>5509</v>
      </c>
      <c r="D2595" s="4"/>
      <c r="E2595" s="4"/>
      <c r="F2595" s="4" t="s">
        <v>9636</v>
      </c>
      <c r="G2595" s="4" t="s">
        <v>9385</v>
      </c>
      <c r="H2595" s="4" t="s">
        <v>9637</v>
      </c>
      <c r="I2595" s="5">
        <v>44670</v>
      </c>
      <c r="J2595" s="4" t="s">
        <v>4798</v>
      </c>
      <c r="K2595" s="4" t="s">
        <v>57</v>
      </c>
      <c r="L2595" s="4"/>
      <c r="M2595" s="4"/>
    </row>
    <row r="2596" ht="16" customHeight="1" s="4" customFormat="1">
      <c r="A2596" s="4">
        <v>449</v>
      </c>
      <c r="B2596" s="4" t="s">
        <v>5528</v>
      </c>
      <c r="C2596" s="4" t="s">
        <v>8794</v>
      </c>
      <c r="D2596" s="4" t="s">
        <v>6450</v>
      </c>
      <c r="E2596" s="4" t="s">
        <v>9638</v>
      </c>
      <c r="F2596" s="4" t="s">
        <v>9639</v>
      </c>
      <c r="G2596" s="4" t="s">
        <v>9640</v>
      </c>
      <c r="H2596" s="4" t="s">
        <v>4850</v>
      </c>
      <c r="I2596" s="5">
        <v>44669</v>
      </c>
      <c r="J2596" s="4" t="s">
        <v>4798</v>
      </c>
      <c r="K2596" s="4" t="s">
        <v>57</v>
      </c>
      <c r="L2596" s="4"/>
      <c r="M2596" s="4"/>
    </row>
    <row r="2597" ht="16" customHeight="1" s="4" customFormat="1">
      <c r="A2597" s="4">
        <v>450</v>
      </c>
      <c r="B2597" s="4" t="s">
        <v>5499</v>
      </c>
      <c r="C2597" s="4" t="s">
        <v>5590</v>
      </c>
      <c r="D2597" s="4" t="s">
        <v>5574</v>
      </c>
      <c r="E2597" s="4" t="s">
        <v>5575</v>
      </c>
      <c r="F2597" s="4" t="s">
        <v>9641</v>
      </c>
      <c r="G2597" s="4" t="s">
        <v>8859</v>
      </c>
      <c r="H2597" s="4" t="s">
        <v>8113</v>
      </c>
      <c r="I2597" s="5">
        <v>44658</v>
      </c>
      <c r="J2597" s="4" t="s">
        <v>4798</v>
      </c>
      <c r="K2597" s="4" t="s">
        <v>57</v>
      </c>
      <c r="L2597" s="4"/>
      <c r="M2597" s="4"/>
    </row>
    <row r="2598" ht="16" customHeight="1" s="4" customFormat="1">
      <c r="A2598" s="4">
        <v>451</v>
      </c>
      <c r="B2598" s="4" t="s">
        <v>5600</v>
      </c>
      <c r="C2598" s="4" t="s">
        <v>5600</v>
      </c>
      <c r="D2598" s="4"/>
      <c r="E2598" s="4" t="s">
        <v>9642</v>
      </c>
      <c r="F2598" s="4" t="s">
        <v>9643</v>
      </c>
      <c r="G2598" s="4" t="s">
        <v>10</v>
      </c>
      <c r="H2598" s="4" t="s">
        <v>9644</v>
      </c>
      <c r="I2598" s="5">
        <v>44651</v>
      </c>
      <c r="J2598" s="4" t="s">
        <v>4842</v>
      </c>
      <c r="K2598" s="4" t="s">
        <v>57</v>
      </c>
      <c r="L2598" s="4"/>
      <c r="M2598" s="4"/>
    </row>
    <row r="2599" ht="16" customHeight="1" s="4" customFormat="1">
      <c r="A2599" s="4">
        <v>452</v>
      </c>
      <c r="B2599" s="4" t="s">
        <v>5499</v>
      </c>
      <c r="C2599" s="4" t="s">
        <v>5590</v>
      </c>
      <c r="D2599" s="4" t="s">
        <v>5514</v>
      </c>
      <c r="E2599" s="4" t="s">
        <v>5515</v>
      </c>
      <c r="F2599" s="4" t="s">
        <v>9645</v>
      </c>
      <c r="G2599" s="4" t="s">
        <v>8803</v>
      </c>
      <c r="H2599" s="4" t="s">
        <v>7171</v>
      </c>
      <c r="I2599" s="5">
        <v>44651</v>
      </c>
      <c r="J2599" s="4" t="s">
        <v>4798</v>
      </c>
      <c r="K2599" s="4" t="s">
        <v>57</v>
      </c>
      <c r="L2599" s="4"/>
      <c r="M2599" s="4"/>
    </row>
    <row r="2600" ht="16" customHeight="1" s="4" customFormat="1">
      <c r="A2600" s="4">
        <v>453</v>
      </c>
      <c r="B2600" s="4" t="s">
        <v>5600</v>
      </c>
      <c r="C2600" s="4" t="s">
        <v>5600</v>
      </c>
      <c r="D2600" s="4"/>
      <c r="E2600" s="4" t="s">
        <v>8694</v>
      </c>
      <c r="F2600" s="4" t="s">
        <v>9646</v>
      </c>
      <c r="G2600" s="4" t="s">
        <v>10</v>
      </c>
      <c r="H2600" s="4" t="s">
        <v>9647</v>
      </c>
      <c r="I2600" s="5">
        <v>44650</v>
      </c>
      <c r="J2600" s="4" t="s">
        <v>4798</v>
      </c>
      <c r="K2600" s="4" t="s">
        <v>57</v>
      </c>
      <c r="L2600" s="4"/>
      <c r="M2600" s="4"/>
    </row>
    <row r="2601" ht="16" customHeight="1" s="4" customFormat="1">
      <c r="A2601" s="4">
        <v>454</v>
      </c>
      <c r="B2601" s="4" t="s">
        <v>6161</v>
      </c>
      <c r="C2601" s="4" t="s">
        <v>6618</v>
      </c>
      <c r="D2601" s="4"/>
      <c r="E2601" s="4"/>
      <c r="F2601" s="4" t="s">
        <v>9648</v>
      </c>
      <c r="G2601" s="4" t="s">
        <v>9649</v>
      </c>
      <c r="H2601" s="4" t="s">
        <v>8707</v>
      </c>
      <c r="I2601" s="5">
        <v>44645</v>
      </c>
      <c r="J2601" s="4" t="s">
        <v>4798</v>
      </c>
      <c r="K2601" s="4" t="s">
        <v>57</v>
      </c>
      <c r="L2601" s="4"/>
      <c r="M2601" s="4"/>
    </row>
    <row r="2602" ht="16" customHeight="1" s="4" customFormat="1">
      <c r="A2602" s="4">
        <v>455</v>
      </c>
      <c r="B2602" s="4" t="s">
        <v>6161</v>
      </c>
      <c r="C2602" s="4" t="s">
        <v>6618</v>
      </c>
      <c r="D2602" s="4"/>
      <c r="E2602" s="4"/>
      <c r="F2602" s="4" t="s">
        <v>9650</v>
      </c>
      <c r="G2602" s="4" t="s">
        <v>9651</v>
      </c>
      <c r="H2602" s="4" t="s">
        <v>9652</v>
      </c>
      <c r="I2602" s="5">
        <v>44645</v>
      </c>
      <c r="J2602" s="4" t="s">
        <v>4798</v>
      </c>
      <c r="K2602" s="4" t="s">
        <v>57</v>
      </c>
      <c r="L2602" s="4"/>
      <c r="M2602" s="4"/>
    </row>
    <row r="2603" ht="16" customHeight="1" s="4" customFormat="1">
      <c r="A2603" s="4">
        <v>456</v>
      </c>
      <c r="B2603" s="4" t="s">
        <v>6161</v>
      </c>
      <c r="C2603" s="4" t="s">
        <v>6618</v>
      </c>
      <c r="D2603" s="4"/>
      <c r="E2603" s="4"/>
      <c r="F2603" s="4" t="s">
        <v>9653</v>
      </c>
      <c r="G2603" s="4" t="s">
        <v>9651</v>
      </c>
      <c r="H2603" s="4" t="s">
        <v>8563</v>
      </c>
      <c r="I2603" s="5">
        <v>44645</v>
      </c>
      <c r="J2603" s="4" t="s">
        <v>4798</v>
      </c>
      <c r="K2603" s="4" t="s">
        <v>57</v>
      </c>
      <c r="L2603" s="4"/>
      <c r="M2603" s="4"/>
    </row>
    <row r="2604" ht="16" customHeight="1" s="4" customFormat="1">
      <c r="A2604" s="4">
        <v>457</v>
      </c>
      <c r="B2604" s="4" t="s">
        <v>6161</v>
      </c>
      <c r="C2604" s="4" t="s">
        <v>6618</v>
      </c>
      <c r="D2604" s="4"/>
      <c r="E2604" s="4"/>
      <c r="F2604" s="4" t="s">
        <v>9654</v>
      </c>
      <c r="G2604" s="4" t="s">
        <v>9651</v>
      </c>
      <c r="H2604" s="4" t="s">
        <v>8563</v>
      </c>
      <c r="I2604" s="5">
        <v>44645</v>
      </c>
      <c r="J2604" s="4" t="s">
        <v>4798</v>
      </c>
      <c r="K2604" s="4" t="s">
        <v>57</v>
      </c>
      <c r="L2604" s="4"/>
      <c r="M2604" s="4"/>
    </row>
    <row r="2605" ht="16" customHeight="1" s="4" customFormat="1">
      <c r="A2605" s="4">
        <v>458</v>
      </c>
      <c r="B2605" s="4" t="s">
        <v>6161</v>
      </c>
      <c r="C2605" s="4" t="s">
        <v>6618</v>
      </c>
      <c r="D2605" s="4"/>
      <c r="E2605" s="4"/>
      <c r="F2605" s="4" t="s">
        <v>9655</v>
      </c>
      <c r="G2605" s="4" t="s">
        <v>9651</v>
      </c>
      <c r="H2605" s="4" t="s">
        <v>8563</v>
      </c>
      <c r="I2605" s="5">
        <v>44645</v>
      </c>
      <c r="J2605" s="4" t="s">
        <v>4798</v>
      </c>
      <c r="K2605" s="4" t="s">
        <v>57</v>
      </c>
      <c r="L2605" s="4"/>
      <c r="M2605" s="4"/>
    </row>
    <row r="2606" ht="16" customHeight="1" s="4" customFormat="1">
      <c r="A2606" s="4">
        <v>459</v>
      </c>
      <c r="B2606" s="4" t="s">
        <v>6161</v>
      </c>
      <c r="C2606" s="4" t="s">
        <v>6618</v>
      </c>
      <c r="D2606" s="4"/>
      <c r="E2606" s="4"/>
      <c r="F2606" s="4" t="s">
        <v>9656</v>
      </c>
      <c r="G2606" s="4" t="s">
        <v>8415</v>
      </c>
      <c r="H2606" s="4" t="s">
        <v>8563</v>
      </c>
      <c r="I2606" s="5">
        <v>44645</v>
      </c>
      <c r="J2606" s="4" t="s">
        <v>4798</v>
      </c>
      <c r="K2606" s="4" t="s">
        <v>57</v>
      </c>
      <c r="L2606" s="4"/>
      <c r="M2606" s="4"/>
    </row>
    <row r="2607" ht="16" customHeight="1" s="4" customFormat="1">
      <c r="A2607" s="4">
        <v>460</v>
      </c>
      <c r="B2607" s="4" t="s">
        <v>5499</v>
      </c>
      <c r="C2607" s="4" t="s">
        <v>5702</v>
      </c>
      <c r="D2607" s="4" t="s">
        <v>5574</v>
      </c>
      <c r="E2607" s="4" t="s">
        <v>5575</v>
      </c>
      <c r="F2607" s="4" t="s">
        <v>9657</v>
      </c>
      <c r="G2607" s="4" t="s">
        <v>5843</v>
      </c>
      <c r="H2607" s="4" t="s">
        <v>7241</v>
      </c>
      <c r="I2607" s="5">
        <v>44643</v>
      </c>
      <c r="J2607" s="4" t="s">
        <v>4798</v>
      </c>
      <c r="K2607" s="4" t="s">
        <v>57</v>
      </c>
      <c r="L2607" s="4"/>
      <c r="M2607" s="4"/>
    </row>
    <row r="2608" ht="16" customHeight="1" s="4" customFormat="1">
      <c r="A2608" s="4">
        <v>461</v>
      </c>
      <c r="B2608" s="4" t="s">
        <v>5499</v>
      </c>
      <c r="C2608" s="4" t="s">
        <v>5702</v>
      </c>
      <c r="D2608" s="4" t="s">
        <v>5574</v>
      </c>
      <c r="E2608" s="4" t="s">
        <v>5575</v>
      </c>
      <c r="F2608" s="4" t="s">
        <v>9658</v>
      </c>
      <c r="G2608" s="4" t="s">
        <v>9659</v>
      </c>
      <c r="H2608" s="4"/>
      <c r="I2608" s="5">
        <v>44643</v>
      </c>
      <c r="J2608" s="4" t="s">
        <v>4798</v>
      </c>
      <c r="K2608" s="4" t="s">
        <v>57</v>
      </c>
      <c r="L2608" s="4"/>
      <c r="M2608" s="4"/>
    </row>
    <row r="2609" ht="16" customHeight="1" s="4" customFormat="1">
      <c r="A2609" s="4">
        <v>462</v>
      </c>
      <c r="B2609" s="4" t="s">
        <v>5499</v>
      </c>
      <c r="C2609" s="4" t="s">
        <v>5513</v>
      </c>
      <c r="D2609" s="4" t="s">
        <v>5574</v>
      </c>
      <c r="E2609" s="4" t="s">
        <v>5575</v>
      </c>
      <c r="F2609" s="4" t="s">
        <v>9660</v>
      </c>
      <c r="G2609" s="4" t="s">
        <v>7014</v>
      </c>
      <c r="H2609" s="4" t="s">
        <v>9661</v>
      </c>
      <c r="I2609" s="5">
        <v>44623</v>
      </c>
      <c r="J2609" s="4" t="s">
        <v>4798</v>
      </c>
      <c r="K2609" s="4" t="s">
        <v>57</v>
      </c>
      <c r="L2609" s="4"/>
      <c r="M2609" s="4"/>
    </row>
    <row r="2610" ht="16" customHeight="1" s="4" customFormat="1">
      <c r="A2610" s="4">
        <v>463</v>
      </c>
      <c r="B2610" s="4" t="s">
        <v>5499</v>
      </c>
      <c r="C2610" s="4" t="s">
        <v>5590</v>
      </c>
      <c r="D2610" s="4" t="s">
        <v>5574</v>
      </c>
      <c r="E2610" s="4" t="s">
        <v>5575</v>
      </c>
      <c r="F2610" s="4" t="s">
        <v>9662</v>
      </c>
      <c r="G2610" s="4" t="s">
        <v>9663</v>
      </c>
      <c r="H2610" s="4" t="s">
        <v>7631</v>
      </c>
      <c r="I2610" s="5">
        <v>44617</v>
      </c>
      <c r="J2610" s="4" t="s">
        <v>4842</v>
      </c>
      <c r="K2610" s="4" t="s">
        <v>57</v>
      </c>
      <c r="L2610" s="4"/>
      <c r="M2610" s="4"/>
    </row>
    <row r="2611" ht="16" customHeight="1" s="4" customFormat="1">
      <c r="A2611" s="4">
        <v>464</v>
      </c>
      <c r="B2611" s="4" t="s">
        <v>5499</v>
      </c>
      <c r="C2611" s="4" t="s">
        <v>5702</v>
      </c>
      <c r="D2611" s="4" t="s">
        <v>5574</v>
      </c>
      <c r="E2611" s="4" t="s">
        <v>5575</v>
      </c>
      <c r="F2611" s="4" t="s">
        <v>9664</v>
      </c>
      <c r="G2611" s="4" t="s">
        <v>9665</v>
      </c>
      <c r="H2611" s="4"/>
      <c r="I2611" s="5">
        <v>44613</v>
      </c>
      <c r="J2611" s="4" t="s">
        <v>4798</v>
      </c>
      <c r="K2611" s="4" t="s">
        <v>57</v>
      </c>
      <c r="L2611" s="4"/>
      <c r="M2611" s="4"/>
    </row>
    <row r="2612" ht="16" customHeight="1" s="4" customFormat="1">
      <c r="A2612" s="4">
        <v>465</v>
      </c>
      <c r="B2612" s="4" t="s">
        <v>5534</v>
      </c>
      <c r="C2612" s="4" t="s">
        <v>5773</v>
      </c>
      <c r="D2612" s="4"/>
      <c r="E2612" s="4"/>
      <c r="F2612" s="4" t="s">
        <v>9666</v>
      </c>
      <c r="G2612" s="4" t="s">
        <v>5984</v>
      </c>
      <c r="H2612" s="4" t="s">
        <v>5990</v>
      </c>
      <c r="I2612" s="5">
        <v>44606</v>
      </c>
      <c r="J2612" s="4" t="s">
        <v>4798</v>
      </c>
      <c r="K2612" s="4" t="s">
        <v>57</v>
      </c>
      <c r="L2612" s="4"/>
      <c r="M2612" s="4"/>
    </row>
    <row r="2613" ht="16" customHeight="1" s="4" customFormat="1">
      <c r="A2613" s="4">
        <v>466</v>
      </c>
      <c r="B2613" s="4" t="s">
        <v>5528</v>
      </c>
      <c r="C2613" s="4" t="s">
        <v>8837</v>
      </c>
      <c r="D2613" s="4" t="s">
        <v>1391</v>
      </c>
      <c r="E2613" s="4" t="s">
        <v>8610</v>
      </c>
      <c r="F2613" s="4" t="s">
        <v>9667</v>
      </c>
      <c r="G2613" s="4" t="s">
        <v>9624</v>
      </c>
      <c r="H2613" s="4" t="s">
        <v>6431</v>
      </c>
      <c r="I2613" s="5">
        <v>44595</v>
      </c>
      <c r="J2613" s="4" t="s">
        <v>4798</v>
      </c>
      <c r="K2613" s="4" t="s">
        <v>57</v>
      </c>
      <c r="L2613" s="4"/>
      <c r="M2613" s="4"/>
    </row>
    <row r="2614" ht="16" customHeight="1" s="4" customFormat="1">
      <c r="A2614" s="4">
        <v>468</v>
      </c>
      <c r="B2614" s="4" t="s">
        <v>5528</v>
      </c>
      <c r="C2614" s="4" t="s">
        <v>7530</v>
      </c>
      <c r="D2614" s="4"/>
      <c r="E2614" s="4" t="s">
        <v>9668</v>
      </c>
      <c r="F2614" s="4" t="s">
        <v>9669</v>
      </c>
      <c r="G2614" s="4" t="s">
        <v>9670</v>
      </c>
      <c r="H2614" s="4" t="s">
        <v>9671</v>
      </c>
      <c r="I2614" s="5">
        <v>44590</v>
      </c>
      <c r="J2614" s="4" t="s">
        <v>4798</v>
      </c>
      <c r="K2614" s="4" t="s">
        <v>57</v>
      </c>
      <c r="L2614" s="4"/>
      <c r="M2614" s="4"/>
    </row>
    <row r="2615" ht="16" customHeight="1" s="4" customFormat="1">
      <c r="A2615" s="4">
        <v>469</v>
      </c>
      <c r="B2615" s="4" t="s">
        <v>5534</v>
      </c>
      <c r="C2615" s="4" t="s">
        <v>5773</v>
      </c>
      <c r="D2615" s="4"/>
      <c r="E2615" s="4"/>
      <c r="F2615" s="4" t="s">
        <v>9672</v>
      </c>
      <c r="G2615" s="4" t="s">
        <v>10</v>
      </c>
      <c r="H2615" s="4" t="s">
        <v>9673</v>
      </c>
      <c r="I2615" s="5">
        <v>44581</v>
      </c>
      <c r="J2615" s="4" t="s">
        <v>4842</v>
      </c>
      <c r="K2615" s="4" t="s">
        <v>57</v>
      </c>
      <c r="L2615" s="4"/>
      <c r="M2615" s="4"/>
    </row>
    <row r="2616" ht="16" customHeight="1" s="4" customFormat="1">
      <c r="A2616" s="4">
        <v>470</v>
      </c>
      <c r="B2616" s="4" t="s">
        <v>5499</v>
      </c>
      <c r="C2616" s="4" t="s">
        <v>5573</v>
      </c>
      <c r="D2616" s="4" t="s">
        <v>5574</v>
      </c>
      <c r="E2616" s="4" t="s">
        <v>5575</v>
      </c>
      <c r="F2616" s="4" t="s">
        <v>9674</v>
      </c>
      <c r="G2616" s="4" t="s">
        <v>4850</v>
      </c>
      <c r="H2616" s="4" t="s">
        <v>7545</v>
      </c>
      <c r="I2616" s="5">
        <v>44575</v>
      </c>
      <c r="J2616" s="4" t="s">
        <v>4798</v>
      </c>
      <c r="K2616" s="4" t="s">
        <v>57</v>
      </c>
      <c r="L2616" s="4"/>
      <c r="M2616" s="4"/>
    </row>
    <row r="2617" ht="16" customHeight="1" s="4" customFormat="1">
      <c r="A2617" s="4">
        <v>471</v>
      </c>
      <c r="B2617" s="4" t="s">
        <v>5528</v>
      </c>
      <c r="C2617" s="4" t="s">
        <v>9540</v>
      </c>
      <c r="D2617" s="4"/>
      <c r="E2617" s="4" t="s">
        <v>9541</v>
      </c>
      <c r="F2617" s="4" t="s">
        <v>9675</v>
      </c>
      <c r="G2617" s="4" t="s">
        <v>9676</v>
      </c>
      <c r="H2617" s="4" t="s">
        <v>9677</v>
      </c>
      <c r="I2617" s="5">
        <v>44565</v>
      </c>
      <c r="J2617" s="4" t="s">
        <v>4798</v>
      </c>
      <c r="K2617" s="4" t="s">
        <v>57</v>
      </c>
      <c r="L2617" s="4"/>
      <c r="M2617" s="4"/>
    </row>
    <row r="2618" ht="16" customHeight="1" s="4" customFormat="1">
      <c r="A2618" s="4">
        <v>472</v>
      </c>
      <c r="B2618" s="4" t="s">
        <v>5499</v>
      </c>
      <c r="C2618" s="4" t="s">
        <v>5573</v>
      </c>
      <c r="D2618" s="4"/>
      <c r="E2618" s="4"/>
      <c r="F2618" s="4" t="s">
        <v>9678</v>
      </c>
      <c r="G2618" s="4" t="s">
        <v>5578</v>
      </c>
      <c r="H2618" s="4" t="s">
        <v>5577</v>
      </c>
      <c r="I2618" s="5">
        <v>44525</v>
      </c>
      <c r="J2618" s="4" t="s">
        <v>4798</v>
      </c>
      <c r="K2618" s="4" t="s">
        <v>57</v>
      </c>
      <c r="L2618" s="4"/>
      <c r="M2618" s="4"/>
    </row>
    <row r="2619" ht="16" customHeight="1" s="4" customFormat="1">
      <c r="A2619" s="4">
        <v>473</v>
      </c>
      <c r="B2619" s="4" t="s">
        <v>6161</v>
      </c>
      <c r="C2619" s="4" t="s">
        <v>6618</v>
      </c>
      <c r="D2619" s="4"/>
      <c r="E2619" s="4"/>
      <c r="F2619" s="4" t="s">
        <v>9679</v>
      </c>
      <c r="G2619" s="4" t="s">
        <v>7317</v>
      </c>
      <c r="H2619" s="4" t="s">
        <v>7318</v>
      </c>
      <c r="I2619" s="5">
        <v>44517</v>
      </c>
      <c r="J2619" s="4" t="s">
        <v>4798</v>
      </c>
      <c r="K2619" s="4" t="s">
        <v>57</v>
      </c>
      <c r="L2619" s="4"/>
      <c r="M2619" s="4"/>
    </row>
    <row r="2620" ht="16" customHeight="1" s="4" customFormat="1">
      <c r="A2620" s="4">
        <v>474</v>
      </c>
      <c r="B2620" s="4" t="s">
        <v>5499</v>
      </c>
      <c r="C2620" s="4" t="s">
        <v>5509</v>
      </c>
      <c r="D2620" s="4"/>
      <c r="E2620" s="4"/>
      <c r="F2620" s="4" t="s">
        <v>9680</v>
      </c>
      <c r="G2620" s="4" t="s">
        <v>5791</v>
      </c>
      <c r="H2620" s="4" t="s">
        <v>9681</v>
      </c>
      <c r="I2620" s="5">
        <v>44496</v>
      </c>
      <c r="J2620" s="4" t="s">
        <v>4798</v>
      </c>
      <c r="K2620" s="4" t="s">
        <v>57</v>
      </c>
      <c r="L2620" s="4"/>
      <c r="M2620" s="4"/>
    </row>
    <row r="2621" ht="16" customHeight="1" s="4" customFormat="1">
      <c r="A2621" s="4">
        <v>475</v>
      </c>
      <c r="B2621" s="4" t="s">
        <v>5600</v>
      </c>
      <c r="C2621" s="4" t="s">
        <v>5600</v>
      </c>
      <c r="D2621" s="4"/>
      <c r="E2621" s="4" t="s">
        <v>9682</v>
      </c>
      <c r="F2621" s="4" t="s">
        <v>9683</v>
      </c>
      <c r="G2621" s="4" t="s">
        <v>9684</v>
      </c>
      <c r="H2621" s="4" t="s">
        <v>9685</v>
      </c>
      <c r="I2621" s="5">
        <v>44476</v>
      </c>
      <c r="J2621" s="4" t="s">
        <v>4798</v>
      </c>
      <c r="K2621" s="4" t="s">
        <v>57</v>
      </c>
      <c r="L2621" s="4"/>
      <c r="M2621" s="4"/>
    </row>
    <row r="2622" ht="16" customHeight="1" s="4" customFormat="1">
      <c r="A2622" s="4">
        <v>476</v>
      </c>
      <c r="B2622" s="4" t="s">
        <v>5600</v>
      </c>
      <c r="C2622" s="4" t="s">
        <v>5600</v>
      </c>
      <c r="D2622" s="4"/>
      <c r="E2622" s="4" t="s">
        <v>9682</v>
      </c>
      <c r="F2622" s="4" t="s">
        <v>9686</v>
      </c>
      <c r="G2622" s="4" t="s">
        <v>9687</v>
      </c>
      <c r="H2622" s="4" t="s">
        <v>9685</v>
      </c>
      <c r="I2622" s="5">
        <v>44476</v>
      </c>
      <c r="J2622" s="4" t="s">
        <v>4798</v>
      </c>
      <c r="K2622" s="4" t="s">
        <v>57</v>
      </c>
      <c r="L2622" s="4"/>
      <c r="M2622" s="4"/>
    </row>
    <row r="2623" ht="16" customHeight="1" s="4" customFormat="1">
      <c r="A2623" s="4">
        <v>477</v>
      </c>
      <c r="B2623" s="4" t="s">
        <v>5534</v>
      </c>
      <c r="C2623" s="4" t="s">
        <v>9381</v>
      </c>
      <c r="D2623" s="4"/>
      <c r="E2623" s="4"/>
      <c r="F2623" s="4" t="s">
        <v>9688</v>
      </c>
      <c r="G2623" s="4" t="s">
        <v>9689</v>
      </c>
      <c r="H2623" s="4"/>
      <c r="I2623" s="5">
        <v>44474</v>
      </c>
      <c r="J2623" s="4" t="s">
        <v>5506</v>
      </c>
      <c r="K2623" s="4" t="s">
        <v>57</v>
      </c>
      <c r="L2623" s="4"/>
      <c r="M2623" s="4"/>
    </row>
    <row r="2624" ht="16" customHeight="1" s="4" customFormat="1">
      <c r="A2624" s="4">
        <v>478</v>
      </c>
      <c r="B2624" s="4" t="s">
        <v>5528</v>
      </c>
      <c r="C2624" s="4" t="s">
        <v>6140</v>
      </c>
      <c r="D2624" s="4" t="s">
        <v>6450</v>
      </c>
      <c r="E2624" s="4" t="s">
        <v>9096</v>
      </c>
      <c r="F2624" s="4" t="s">
        <v>9690</v>
      </c>
      <c r="G2624" s="4" t="s">
        <v>9137</v>
      </c>
      <c r="H2624" s="4" t="s">
        <v>9691</v>
      </c>
      <c r="I2624" s="5">
        <v>44466</v>
      </c>
      <c r="J2624" s="4" t="s">
        <v>4798</v>
      </c>
      <c r="K2624" s="4" t="s">
        <v>57</v>
      </c>
      <c r="L2624" s="4"/>
      <c r="M2624" s="4"/>
    </row>
    <row r="2625" ht="16" customHeight="1" s="4" customFormat="1">
      <c r="A2625" s="4">
        <v>479</v>
      </c>
      <c r="B2625" s="4" t="s">
        <v>5499</v>
      </c>
      <c r="C2625" s="4" t="s">
        <v>5590</v>
      </c>
      <c r="D2625" s="4" t="s">
        <v>5574</v>
      </c>
      <c r="E2625" s="4" t="s">
        <v>5575</v>
      </c>
      <c r="F2625" s="4" t="s">
        <v>9692</v>
      </c>
      <c r="G2625" s="4" t="s">
        <v>5843</v>
      </c>
      <c r="H2625" s="4" t="s">
        <v>9693</v>
      </c>
      <c r="I2625" s="5">
        <v>44455</v>
      </c>
      <c r="J2625" s="4" t="s">
        <v>4798</v>
      </c>
      <c r="K2625" s="4" t="s">
        <v>57</v>
      </c>
      <c r="L2625" s="4"/>
      <c r="M2625" s="4"/>
    </row>
    <row r="2626" ht="16" customHeight="1" s="4" customFormat="1">
      <c r="A2626" s="4">
        <v>480</v>
      </c>
      <c r="B2626" s="4" t="s">
        <v>5499</v>
      </c>
      <c r="C2626" s="4" t="s">
        <v>5590</v>
      </c>
      <c r="D2626" s="4" t="s">
        <v>5574</v>
      </c>
      <c r="E2626" s="4" t="s">
        <v>5575</v>
      </c>
      <c r="F2626" s="4" t="s">
        <v>9694</v>
      </c>
      <c r="G2626" s="4" t="s">
        <v>5843</v>
      </c>
      <c r="H2626" s="4" t="s">
        <v>7194</v>
      </c>
      <c r="I2626" s="5">
        <v>44455</v>
      </c>
      <c r="J2626" s="4" t="s">
        <v>5506</v>
      </c>
      <c r="K2626" s="4" t="s">
        <v>57</v>
      </c>
      <c r="L2626" s="4"/>
      <c r="M2626" s="4"/>
    </row>
    <row r="2627" ht="16" customHeight="1" s="4" customFormat="1">
      <c r="A2627" s="4">
        <v>481</v>
      </c>
      <c r="B2627" s="4" t="s">
        <v>5499</v>
      </c>
      <c r="C2627" s="4" t="s">
        <v>5590</v>
      </c>
      <c r="D2627" s="4" t="s">
        <v>5574</v>
      </c>
      <c r="E2627" s="4" t="s">
        <v>5575</v>
      </c>
      <c r="F2627" s="4" t="s">
        <v>9695</v>
      </c>
      <c r="G2627" s="4" t="s">
        <v>6419</v>
      </c>
      <c r="H2627" s="4" t="s">
        <v>9696</v>
      </c>
      <c r="I2627" s="5">
        <v>44448</v>
      </c>
      <c r="J2627" s="4" t="s">
        <v>4798</v>
      </c>
      <c r="K2627" s="4" t="s">
        <v>57</v>
      </c>
      <c r="L2627" s="4"/>
      <c r="M2627" s="4"/>
    </row>
    <row r="2628" ht="16" customHeight="1" s="4" customFormat="1">
      <c r="A2628" s="4">
        <v>482</v>
      </c>
      <c r="B2628" s="4" t="s">
        <v>5499</v>
      </c>
      <c r="C2628" s="4" t="s">
        <v>5509</v>
      </c>
      <c r="D2628" s="4"/>
      <c r="E2628" s="4"/>
      <c r="F2628" s="4" t="s">
        <v>9697</v>
      </c>
      <c r="G2628" s="4" t="s">
        <v>9698</v>
      </c>
      <c r="H2628" s="4" t="s">
        <v>10</v>
      </c>
      <c r="I2628" s="5">
        <v>44435</v>
      </c>
      <c r="J2628" s="4" t="s">
        <v>4798</v>
      </c>
      <c r="K2628" s="4" t="s">
        <v>57</v>
      </c>
      <c r="L2628" s="4"/>
      <c r="M2628" s="4"/>
    </row>
    <row r="2629" ht="16" customHeight="1" s="4" customFormat="1">
      <c r="A2629" s="4">
        <v>483</v>
      </c>
      <c r="B2629" s="4" t="s">
        <v>5499</v>
      </c>
      <c r="C2629" s="4" t="s">
        <v>5590</v>
      </c>
      <c r="D2629" s="4"/>
      <c r="E2629" s="4" t="s">
        <v>9052</v>
      </c>
      <c r="F2629" s="4" t="s">
        <v>9699</v>
      </c>
      <c r="G2629" s="4" t="s">
        <v>5843</v>
      </c>
      <c r="H2629" s="4" t="s">
        <v>5844</v>
      </c>
      <c r="I2629" s="5">
        <v>44421</v>
      </c>
      <c r="J2629" s="4" t="s">
        <v>5506</v>
      </c>
      <c r="K2629" s="4" t="s">
        <v>57</v>
      </c>
      <c r="L2629" s="4"/>
      <c r="M2629" s="4"/>
    </row>
    <row r="2630" ht="16" customHeight="1" s="4" customFormat="1">
      <c r="A2630" s="4">
        <v>484</v>
      </c>
      <c r="B2630" s="4" t="s">
        <v>5499</v>
      </c>
      <c r="C2630" s="4" t="s">
        <v>5590</v>
      </c>
      <c r="D2630" s="4"/>
      <c r="E2630" s="4" t="s">
        <v>9052</v>
      </c>
      <c r="F2630" s="4" t="s">
        <v>9700</v>
      </c>
      <c r="G2630" s="4" t="s">
        <v>5843</v>
      </c>
      <c r="H2630" s="4" t="s">
        <v>5844</v>
      </c>
      <c r="I2630" s="5">
        <v>44421</v>
      </c>
      <c r="J2630" s="4" t="s">
        <v>5506</v>
      </c>
      <c r="K2630" s="4" t="s">
        <v>57</v>
      </c>
      <c r="L2630" s="4"/>
      <c r="M2630" s="4"/>
    </row>
    <row r="2631" ht="16" customHeight="1" s="4" customFormat="1">
      <c r="A2631" s="4">
        <v>485</v>
      </c>
      <c r="B2631" s="4" t="s">
        <v>5499</v>
      </c>
      <c r="C2631" s="4" t="s">
        <v>5702</v>
      </c>
      <c r="D2631" s="4" t="s">
        <v>5574</v>
      </c>
      <c r="E2631" s="4" t="s">
        <v>5575</v>
      </c>
      <c r="F2631" s="4" t="s">
        <v>9701</v>
      </c>
      <c r="G2631" s="4" t="s">
        <v>4850</v>
      </c>
      <c r="H2631" s="4" t="s">
        <v>6425</v>
      </c>
      <c r="I2631" s="5">
        <v>44421</v>
      </c>
      <c r="J2631" s="4" t="s">
        <v>4798</v>
      </c>
      <c r="K2631" s="4" t="s">
        <v>57</v>
      </c>
      <c r="L2631" s="4"/>
      <c r="M2631" s="4"/>
    </row>
    <row r="2632" ht="16" customHeight="1" s="4" customFormat="1">
      <c r="A2632" s="4">
        <v>486</v>
      </c>
      <c r="B2632" s="4" t="s">
        <v>5534</v>
      </c>
      <c r="C2632" s="4" t="s">
        <v>5773</v>
      </c>
      <c r="D2632" s="4"/>
      <c r="E2632" s="4"/>
      <c r="F2632" s="4" t="s">
        <v>9702</v>
      </c>
      <c r="G2632" s="4" t="s">
        <v>10</v>
      </c>
      <c r="H2632" s="4" t="s">
        <v>7914</v>
      </c>
      <c r="I2632" s="5">
        <v>44407</v>
      </c>
      <c r="J2632" s="4" t="s">
        <v>4798</v>
      </c>
      <c r="K2632" s="4" t="s">
        <v>57</v>
      </c>
      <c r="L2632" s="4"/>
      <c r="M2632" s="4"/>
    </row>
    <row r="2633" ht="16" customHeight="1" s="4" customFormat="1">
      <c r="A2633" s="4">
        <v>487</v>
      </c>
      <c r="B2633" s="4" t="s">
        <v>5528</v>
      </c>
      <c r="C2633" s="4" t="s">
        <v>8627</v>
      </c>
      <c r="D2633" s="4"/>
      <c r="E2633" s="4" t="s">
        <v>8628</v>
      </c>
      <c r="F2633" s="4" t="s">
        <v>9703</v>
      </c>
      <c r="G2633" s="4" t="s">
        <v>4850</v>
      </c>
      <c r="H2633" s="4" t="s">
        <v>8630</v>
      </c>
      <c r="I2633" s="5">
        <v>44407</v>
      </c>
      <c r="J2633" s="4" t="s">
        <v>4798</v>
      </c>
      <c r="K2633" s="4" t="s">
        <v>57</v>
      </c>
      <c r="L2633" s="4"/>
      <c r="M2633" s="4"/>
    </row>
    <row r="2634" ht="16" customHeight="1" s="4" customFormat="1">
      <c r="A2634" s="4">
        <v>488</v>
      </c>
      <c r="B2634" s="4" t="s">
        <v>5499</v>
      </c>
      <c r="C2634" s="4" t="s">
        <v>5590</v>
      </c>
      <c r="D2634" s="4" t="s">
        <v>5574</v>
      </c>
      <c r="E2634" s="4" t="s">
        <v>5575</v>
      </c>
      <c r="F2634" s="4" t="s">
        <v>9704</v>
      </c>
      <c r="G2634" s="4" t="s">
        <v>6339</v>
      </c>
      <c r="H2634" s="4" t="s">
        <v>9705</v>
      </c>
      <c r="I2634" s="5">
        <v>44406</v>
      </c>
      <c r="J2634" s="4" t="s">
        <v>4798</v>
      </c>
      <c r="K2634" s="4" t="s">
        <v>57</v>
      </c>
      <c r="L2634" s="4"/>
      <c r="M2634" s="4"/>
    </row>
    <row r="2635" ht="16" customHeight="1" s="4" customFormat="1">
      <c r="A2635" s="4">
        <v>489</v>
      </c>
      <c r="B2635" s="4" t="s">
        <v>5499</v>
      </c>
      <c r="C2635" s="4" t="s">
        <v>5590</v>
      </c>
      <c r="D2635" s="4"/>
      <c r="E2635" s="4" t="s">
        <v>5952</v>
      </c>
      <c r="F2635" s="4" t="s">
        <v>9706</v>
      </c>
      <c r="G2635" s="4" t="s">
        <v>6339</v>
      </c>
      <c r="H2635" s="4" t="s">
        <v>6340</v>
      </c>
      <c r="I2635" s="5">
        <v>44406</v>
      </c>
      <c r="J2635" s="4" t="s">
        <v>4798</v>
      </c>
      <c r="K2635" s="4" t="s">
        <v>57</v>
      </c>
      <c r="L2635" s="4"/>
      <c r="M2635" s="4"/>
    </row>
    <row r="2636" ht="16" customHeight="1" s="4" customFormat="1">
      <c r="A2636" s="4">
        <v>490</v>
      </c>
      <c r="B2636" s="4" t="s">
        <v>5600</v>
      </c>
      <c r="C2636" s="4" t="s">
        <v>5600</v>
      </c>
      <c r="D2636" s="4"/>
      <c r="E2636" s="4"/>
      <c r="F2636" s="4" t="s">
        <v>9707</v>
      </c>
      <c r="G2636" s="4" t="s">
        <v>9708</v>
      </c>
      <c r="H2636" s="4" t="s">
        <v>9709</v>
      </c>
      <c r="I2636" s="5">
        <v>44403</v>
      </c>
      <c r="J2636" s="4" t="s">
        <v>4798</v>
      </c>
      <c r="K2636" s="4" t="s">
        <v>57</v>
      </c>
      <c r="L2636" s="4"/>
      <c r="M2636" s="4"/>
    </row>
    <row r="2637" ht="16" customHeight="1" s="4" customFormat="1">
      <c r="A2637" s="4">
        <v>491</v>
      </c>
      <c r="B2637" s="4" t="s">
        <v>5499</v>
      </c>
      <c r="C2637" s="4" t="s">
        <v>5590</v>
      </c>
      <c r="D2637" s="4" t="s">
        <v>5574</v>
      </c>
      <c r="E2637" s="4" t="s">
        <v>5575</v>
      </c>
      <c r="F2637" s="4" t="s">
        <v>9710</v>
      </c>
      <c r="G2637" s="4" t="s">
        <v>5954</v>
      </c>
      <c r="H2637" s="4" t="s">
        <v>5955</v>
      </c>
      <c r="I2637" s="5">
        <v>44392</v>
      </c>
      <c r="J2637" s="4" t="s">
        <v>4798</v>
      </c>
      <c r="K2637" s="4" t="s">
        <v>57</v>
      </c>
      <c r="L2637" s="4"/>
      <c r="M2637" s="4"/>
    </row>
    <row r="2638" ht="16" customHeight="1" s="4" customFormat="1">
      <c r="A2638" s="4">
        <v>492</v>
      </c>
      <c r="B2638" s="4" t="s">
        <v>5499</v>
      </c>
      <c r="C2638" s="4" t="s">
        <v>5590</v>
      </c>
      <c r="D2638" s="4" t="s">
        <v>5574</v>
      </c>
      <c r="E2638" s="4" t="s">
        <v>5575</v>
      </c>
      <c r="F2638" s="4" t="s">
        <v>9711</v>
      </c>
      <c r="G2638" s="4" t="s">
        <v>9712</v>
      </c>
      <c r="H2638" s="4" t="s">
        <v>8772</v>
      </c>
      <c r="I2638" s="5">
        <v>44392</v>
      </c>
      <c r="J2638" s="4" t="s">
        <v>4798</v>
      </c>
      <c r="K2638" s="4" t="s">
        <v>57</v>
      </c>
      <c r="L2638" s="4"/>
      <c r="M2638" s="4"/>
    </row>
    <row r="2639" ht="16" customHeight="1" s="4" customFormat="1">
      <c r="A2639" s="4">
        <v>493</v>
      </c>
      <c r="B2639" s="4" t="s">
        <v>5499</v>
      </c>
      <c r="C2639" s="4" t="s">
        <v>5590</v>
      </c>
      <c r="D2639" s="4" t="s">
        <v>5574</v>
      </c>
      <c r="E2639" s="4" t="s">
        <v>5575</v>
      </c>
      <c r="F2639" s="4" t="s">
        <v>9713</v>
      </c>
      <c r="G2639" s="4" t="s">
        <v>6431</v>
      </c>
      <c r="H2639" s="4" t="s">
        <v>9714</v>
      </c>
      <c r="I2639" s="5">
        <v>44382</v>
      </c>
      <c r="J2639" s="4" t="s">
        <v>4842</v>
      </c>
      <c r="K2639" s="4" t="s">
        <v>57</v>
      </c>
      <c r="L2639" s="4"/>
      <c r="M2639" s="4"/>
    </row>
    <row r="2640" ht="16" customHeight="1" s="4" customFormat="1">
      <c r="A2640" s="4">
        <v>494</v>
      </c>
      <c r="B2640" s="4" t="s">
        <v>5499</v>
      </c>
      <c r="C2640" s="4" t="s">
        <v>5702</v>
      </c>
      <c r="D2640" s="4" t="s">
        <v>5574</v>
      </c>
      <c r="E2640" s="4" t="s">
        <v>5575</v>
      </c>
      <c r="F2640" s="4" t="s">
        <v>9715</v>
      </c>
      <c r="G2640" s="4" t="s">
        <v>5704</v>
      </c>
      <c r="H2640" s="4" t="s">
        <v>9716</v>
      </c>
      <c r="I2640" s="5">
        <v>44376</v>
      </c>
      <c r="J2640" s="4" t="s">
        <v>4798</v>
      </c>
      <c r="K2640" s="4" t="s">
        <v>57</v>
      </c>
      <c r="L2640" s="4"/>
      <c r="M2640" s="4"/>
    </row>
    <row r="2641" ht="16" customHeight="1" s="4" customFormat="1">
      <c r="A2641" s="4">
        <v>495</v>
      </c>
      <c r="B2641" s="4" t="s">
        <v>5499</v>
      </c>
      <c r="C2641" s="4" t="s">
        <v>5702</v>
      </c>
      <c r="D2641" s="4" t="s">
        <v>5574</v>
      </c>
      <c r="E2641" s="4" t="s">
        <v>5575</v>
      </c>
      <c r="F2641" s="4" t="s">
        <v>9717</v>
      </c>
      <c r="G2641" s="4" t="s">
        <v>5704</v>
      </c>
      <c r="H2641" s="4" t="s">
        <v>9716</v>
      </c>
      <c r="I2641" s="5">
        <v>44376</v>
      </c>
      <c r="J2641" s="4" t="s">
        <v>4798</v>
      </c>
      <c r="K2641" s="4" t="s">
        <v>57</v>
      </c>
      <c r="L2641" s="4"/>
      <c r="M2641" s="4"/>
    </row>
    <row r="2642" ht="16" customHeight="1" s="4" customFormat="1">
      <c r="A2642" s="4">
        <v>496</v>
      </c>
      <c r="B2642" s="4" t="s">
        <v>5534</v>
      </c>
      <c r="C2642" s="4" t="s">
        <v>5773</v>
      </c>
      <c r="D2642" s="4"/>
      <c r="E2642" s="4"/>
      <c r="F2642" s="4" t="s">
        <v>9718</v>
      </c>
      <c r="G2642" s="4" t="s">
        <v>9719</v>
      </c>
      <c r="H2642" s="4" t="s">
        <v>5791</v>
      </c>
      <c r="I2642" s="5">
        <v>44348</v>
      </c>
      <c r="J2642" s="4" t="s">
        <v>4842</v>
      </c>
      <c r="K2642" s="4" t="s">
        <v>57</v>
      </c>
      <c r="L2642" s="4"/>
      <c r="M2642" s="4"/>
    </row>
    <row r="2643" ht="16" customHeight="1" s="4" customFormat="1">
      <c r="A2643" s="4">
        <v>2621</v>
      </c>
      <c r="B2643" s="4" t="s">
        <v>5499</v>
      </c>
      <c r="C2643" s="4" t="s">
        <v>5519</v>
      </c>
      <c r="D2643" s="4"/>
      <c r="E2643" s="4" t="s">
        <v>6079</v>
      </c>
      <c r="F2643" s="4" t="s">
        <v>9720</v>
      </c>
      <c r="G2643" s="4" t="s">
        <v>9721</v>
      </c>
      <c r="H2643" s="4" t="s">
        <v>9722</v>
      </c>
      <c r="I2643" s="5">
        <v>38960</v>
      </c>
      <c r="J2643" s="4" t="s">
        <v>4798</v>
      </c>
      <c r="K2643" s="4" t="s">
        <v>57</v>
      </c>
      <c r="L2643" s="4"/>
      <c r="M2643" s="4"/>
    </row>
    <row r="2644" ht="16" customHeight="1" s="4" customFormat="1">
      <c r="A2644" s="4">
        <v>2622</v>
      </c>
      <c r="B2644" s="4" t="s">
        <v>5499</v>
      </c>
      <c r="C2644" s="4" t="s">
        <v>5519</v>
      </c>
      <c r="D2644" s="4"/>
      <c r="E2644" s="4" t="s">
        <v>6079</v>
      </c>
      <c r="F2644" s="4" t="s">
        <v>9723</v>
      </c>
      <c r="G2644" s="4" t="s">
        <v>9724</v>
      </c>
      <c r="H2644" s="4" t="s">
        <v>9725</v>
      </c>
      <c r="I2644" s="5">
        <v>38924</v>
      </c>
      <c r="J2644" s="4" t="s">
        <v>4798</v>
      </c>
      <c r="K2644" s="4" t="s">
        <v>57</v>
      </c>
      <c r="L2644" s="4"/>
      <c r="M2644" s="4"/>
    </row>
    <row r="2645" ht="16" customHeight="1" s="4" customFormat="1">
      <c r="A2645" s="4">
        <v>2623</v>
      </c>
      <c r="B2645" s="4" t="s">
        <v>5499</v>
      </c>
      <c r="C2645" s="4" t="s">
        <v>5519</v>
      </c>
      <c r="D2645" s="4"/>
      <c r="E2645" s="4" t="s">
        <v>5584</v>
      </c>
      <c r="F2645" s="4" t="s">
        <v>9726</v>
      </c>
      <c r="G2645" s="4" t="s">
        <v>5984</v>
      </c>
      <c r="H2645" s="4" t="s">
        <v>9727</v>
      </c>
      <c r="I2645" s="5">
        <v>38915</v>
      </c>
      <c r="J2645" s="4" t="s">
        <v>4798</v>
      </c>
      <c r="K2645" s="4" t="s">
        <v>57</v>
      </c>
      <c r="L2645" s="4"/>
      <c r="M2645" s="4"/>
    </row>
    <row r="2646" ht="16" customHeight="1" s="4" customFormat="1">
      <c r="A2646" s="4">
        <v>2624</v>
      </c>
      <c r="B2646" s="4" t="s">
        <v>5499</v>
      </c>
      <c r="C2646" s="4" t="s">
        <v>5519</v>
      </c>
      <c r="D2646" s="4"/>
      <c r="E2646" s="4" t="s">
        <v>6188</v>
      </c>
      <c r="F2646" s="4" t="s">
        <v>9728</v>
      </c>
      <c r="G2646" s="4" t="s">
        <v>5984</v>
      </c>
      <c r="H2646" s="4" t="s">
        <v>5984</v>
      </c>
      <c r="I2646" s="5">
        <v>38915</v>
      </c>
      <c r="J2646" s="4" t="s">
        <v>4798</v>
      </c>
      <c r="K2646" s="4" t="s">
        <v>57</v>
      </c>
      <c r="L2646" s="4"/>
      <c r="M2646" s="4"/>
    </row>
    <row r="2647" ht="16" customHeight="1" s="4" customFormat="1">
      <c r="A2647" s="4">
        <v>2625</v>
      </c>
      <c r="B2647" s="4" t="s">
        <v>5499</v>
      </c>
      <c r="C2647" s="4" t="s">
        <v>5519</v>
      </c>
      <c r="D2647" s="4"/>
      <c r="E2647" s="4" t="s">
        <v>6188</v>
      </c>
      <c r="F2647" s="4" t="s">
        <v>9729</v>
      </c>
      <c r="G2647" s="4" t="s">
        <v>6005</v>
      </c>
      <c r="H2647" s="4" t="s">
        <v>6005</v>
      </c>
      <c r="I2647" s="5">
        <v>38915</v>
      </c>
      <c r="J2647" s="4" t="s">
        <v>4798</v>
      </c>
      <c r="K2647" s="4" t="s">
        <v>57</v>
      </c>
      <c r="L2647" s="4"/>
      <c r="M2647" s="4"/>
    </row>
    <row r="2648" ht="16" customHeight="1" s="4" customFormat="1">
      <c r="A2648" s="4">
        <v>2626</v>
      </c>
      <c r="B2648" s="4" t="s">
        <v>5499</v>
      </c>
      <c r="C2648" s="4" t="s">
        <v>5519</v>
      </c>
      <c r="D2648" s="4"/>
      <c r="E2648" s="4" t="s">
        <v>6188</v>
      </c>
      <c r="F2648" s="4" t="s">
        <v>9730</v>
      </c>
      <c r="G2648" s="4" t="s">
        <v>6005</v>
      </c>
      <c r="H2648" s="4" t="s">
        <v>6005</v>
      </c>
      <c r="I2648" s="5">
        <v>38915</v>
      </c>
      <c r="J2648" s="4" t="s">
        <v>4798</v>
      </c>
      <c r="K2648" s="4" t="s">
        <v>57</v>
      </c>
      <c r="L2648" s="4"/>
      <c r="M2648" s="4"/>
    </row>
    <row r="2649" ht="16" customHeight="1" s="4" customFormat="1">
      <c r="A2649" s="4">
        <v>2627</v>
      </c>
      <c r="B2649" s="4" t="s">
        <v>5499</v>
      </c>
      <c r="C2649" s="4" t="s">
        <v>5519</v>
      </c>
      <c r="D2649" s="4"/>
      <c r="E2649" s="4" t="s">
        <v>5580</v>
      </c>
      <c r="F2649" s="4" t="s">
        <v>9731</v>
      </c>
      <c r="G2649" s="4" t="s">
        <v>5582</v>
      </c>
      <c r="H2649" s="4" t="s">
        <v>9732</v>
      </c>
      <c r="I2649" s="5">
        <v>38897</v>
      </c>
      <c r="J2649" s="4" t="s">
        <v>4798</v>
      </c>
      <c r="K2649" s="4" t="s">
        <v>57</v>
      </c>
      <c r="L2649" s="4"/>
      <c r="M2649" s="4"/>
    </row>
    <row r="2650" ht="16" customHeight="1" s="4" customFormat="1">
      <c r="A2650" s="4">
        <v>2628</v>
      </c>
      <c r="B2650" s="4" t="s">
        <v>5499</v>
      </c>
      <c r="C2650" s="4" t="s">
        <v>5519</v>
      </c>
      <c r="D2650" s="4"/>
      <c r="E2650" s="4" t="s">
        <v>5584</v>
      </c>
      <c r="F2650" s="4" t="s">
        <v>9733</v>
      </c>
      <c r="G2650" s="4" t="s">
        <v>5582</v>
      </c>
      <c r="H2650" s="4" t="s">
        <v>9732</v>
      </c>
      <c r="I2650" s="5">
        <v>38897</v>
      </c>
      <c r="J2650" s="4" t="s">
        <v>4798</v>
      </c>
      <c r="K2650" s="4" t="s">
        <v>57</v>
      </c>
      <c r="L2650" s="4"/>
      <c r="M2650" s="4"/>
    </row>
    <row r="2651" ht="16" customHeight="1" s="4" customFormat="1">
      <c r="A2651" s="4">
        <v>2629</v>
      </c>
      <c r="B2651" s="4" t="s">
        <v>5499</v>
      </c>
      <c r="C2651" s="4" t="s">
        <v>5519</v>
      </c>
      <c r="D2651" s="4"/>
      <c r="E2651" s="4" t="s">
        <v>9734</v>
      </c>
      <c r="F2651" s="4" t="s">
        <v>9735</v>
      </c>
      <c r="G2651" s="4" t="s">
        <v>9736</v>
      </c>
      <c r="H2651" s="4" t="s">
        <v>9737</v>
      </c>
      <c r="I2651" s="5">
        <v>38820</v>
      </c>
      <c r="J2651" s="4" t="s">
        <v>4798</v>
      </c>
      <c r="K2651" s="4" t="s">
        <v>57</v>
      </c>
      <c r="L2651" s="4"/>
      <c r="M2651" s="4"/>
    </row>
    <row r="2652" ht="16" customHeight="1" s="4" customFormat="1">
      <c r="A2652" s="4">
        <v>2630</v>
      </c>
      <c r="B2652" s="4" t="s">
        <v>5499</v>
      </c>
      <c r="C2652" s="4" t="s">
        <v>5519</v>
      </c>
      <c r="D2652" s="4"/>
      <c r="E2652" s="4" t="s">
        <v>6275</v>
      </c>
      <c r="F2652" s="4" t="s">
        <v>9738</v>
      </c>
      <c r="G2652" s="4" t="s">
        <v>9739</v>
      </c>
      <c r="H2652" s="4" t="s">
        <v>9739</v>
      </c>
      <c r="I2652" s="5">
        <v>38807</v>
      </c>
      <c r="J2652" s="4" t="s">
        <v>4798</v>
      </c>
      <c r="K2652" s="4" t="s">
        <v>57</v>
      </c>
      <c r="L2652" s="4"/>
      <c r="M2652" s="4"/>
    </row>
    <row r="2653" ht="16" customHeight="1" s="4" customFormat="1">
      <c r="A2653" s="4">
        <v>2631</v>
      </c>
      <c r="B2653" s="4" t="s">
        <v>5499</v>
      </c>
      <c r="C2653" s="4" t="s">
        <v>5519</v>
      </c>
      <c r="D2653" s="4"/>
      <c r="E2653" s="4" t="s">
        <v>6275</v>
      </c>
      <c r="F2653" s="4" t="s">
        <v>9740</v>
      </c>
      <c r="G2653" s="4" t="s">
        <v>9739</v>
      </c>
      <c r="H2653" s="4" t="s">
        <v>9739</v>
      </c>
      <c r="I2653" s="5">
        <v>38803</v>
      </c>
      <c r="J2653" s="4" t="s">
        <v>4798</v>
      </c>
      <c r="K2653" s="4" t="s">
        <v>57</v>
      </c>
      <c r="L2653" s="4"/>
      <c r="M2653" s="4"/>
    </row>
    <row r="2654" ht="16" customHeight="1" s="4" customFormat="1">
      <c r="A2654" s="4">
        <v>2632</v>
      </c>
      <c r="B2654" s="4" t="s">
        <v>5499</v>
      </c>
      <c r="C2654" s="4" t="s">
        <v>5519</v>
      </c>
      <c r="D2654" s="4"/>
      <c r="E2654" s="4" t="s">
        <v>6275</v>
      </c>
      <c r="F2654" s="4" t="s">
        <v>9741</v>
      </c>
      <c r="G2654" s="4" t="s">
        <v>9739</v>
      </c>
      <c r="H2654" s="4" t="s">
        <v>9739</v>
      </c>
      <c r="I2654" s="5">
        <v>38803</v>
      </c>
      <c r="J2654" s="4" t="s">
        <v>4798</v>
      </c>
      <c r="K2654" s="4" t="s">
        <v>57</v>
      </c>
      <c r="L2654" s="4"/>
      <c r="M2654" s="4"/>
    </row>
    <row r="2655" ht="16" customHeight="1" s="4" customFormat="1">
      <c r="A2655" s="4">
        <v>2633</v>
      </c>
      <c r="B2655" s="4" t="s">
        <v>5499</v>
      </c>
      <c r="C2655" s="4" t="s">
        <v>5500</v>
      </c>
      <c r="D2655" s="4" t="s">
        <v>5574</v>
      </c>
      <c r="E2655" s="4" t="s">
        <v>5575</v>
      </c>
      <c r="F2655" s="4" t="s">
        <v>9742</v>
      </c>
      <c r="G2655" s="4" t="s">
        <v>9743</v>
      </c>
      <c r="H2655" s="4" t="s">
        <v>9744</v>
      </c>
      <c r="I2655" s="5">
        <v>38777</v>
      </c>
      <c r="J2655" s="4" t="s">
        <v>4798</v>
      </c>
      <c r="K2655" s="4" t="s">
        <v>57</v>
      </c>
      <c r="L2655" s="4"/>
      <c r="M2655" s="4"/>
    </row>
    <row r="2656" ht="16" customHeight="1" s="4" customFormat="1">
      <c r="A2656" s="4">
        <v>2634</v>
      </c>
      <c r="B2656" s="4" t="s">
        <v>5499</v>
      </c>
      <c r="C2656" s="4" t="s">
        <v>5500</v>
      </c>
      <c r="D2656" s="4" t="s">
        <v>5574</v>
      </c>
      <c r="E2656" s="4" t="s">
        <v>5596</v>
      </c>
      <c r="F2656" s="4" t="s">
        <v>9745</v>
      </c>
      <c r="G2656" s="4" t="s">
        <v>5511</v>
      </c>
      <c r="H2656" s="4" t="s">
        <v>9746</v>
      </c>
      <c r="I2656" s="5">
        <v>38688</v>
      </c>
      <c r="J2656" s="4" t="s">
        <v>4798</v>
      </c>
      <c r="K2656" s="4" t="s">
        <v>57</v>
      </c>
      <c r="L2656" s="4"/>
      <c r="M2656" s="4"/>
    </row>
    <row r="2657" ht="16" customHeight="1" s="4" customFormat="1">
      <c r="A2657" s="4">
        <v>2635</v>
      </c>
      <c r="B2657" s="4" t="s">
        <v>5499</v>
      </c>
      <c r="C2657" s="4" t="s">
        <v>5519</v>
      </c>
      <c r="D2657" s="4"/>
      <c r="E2657" s="4" t="s">
        <v>5676</v>
      </c>
      <c r="F2657" s="4" t="s">
        <v>9747</v>
      </c>
      <c r="G2657" s="4" t="s">
        <v>9748</v>
      </c>
      <c r="H2657" s="4" t="s">
        <v>9749</v>
      </c>
      <c r="I2657" s="5">
        <v>38462</v>
      </c>
      <c r="J2657" s="4" t="s">
        <v>4798</v>
      </c>
      <c r="K2657" s="4" t="s">
        <v>57</v>
      </c>
      <c r="L2657" s="4"/>
      <c r="M2657" s="4"/>
    </row>
    <row r="2658" ht="16" customHeight="1" s="4" customFormat="1">
      <c r="A2658" s="4">
        <v>2636</v>
      </c>
      <c r="B2658" s="4" t="s">
        <v>5499</v>
      </c>
      <c r="C2658" s="4" t="s">
        <v>5519</v>
      </c>
      <c r="D2658" s="4"/>
      <c r="E2658" s="4" t="s">
        <v>5580</v>
      </c>
      <c r="F2658" s="4" t="s">
        <v>9750</v>
      </c>
      <c r="G2658" s="4" t="s">
        <v>9748</v>
      </c>
      <c r="H2658" s="4" t="s">
        <v>9749</v>
      </c>
      <c r="I2658" s="5">
        <v>38462</v>
      </c>
      <c r="J2658" s="4" t="s">
        <v>4798</v>
      </c>
      <c r="K2658" s="4" t="s">
        <v>57</v>
      </c>
      <c r="L2658" s="4"/>
      <c r="M2658" s="4"/>
    </row>
    <row r="2659" ht="16" customHeight="1" s="4" customFormat="1">
      <c r="A2659" s="4">
        <v>2637</v>
      </c>
      <c r="B2659" s="4" t="s">
        <v>5499</v>
      </c>
      <c r="C2659" s="4" t="s">
        <v>5573</v>
      </c>
      <c r="D2659" s="4" t="s">
        <v>5728</v>
      </c>
      <c r="E2659" s="4" t="s">
        <v>6003</v>
      </c>
      <c r="F2659" s="4" t="s">
        <v>9751</v>
      </c>
      <c r="G2659" s="4" t="s">
        <v>9752</v>
      </c>
      <c r="H2659" s="4" t="s">
        <v>9753</v>
      </c>
      <c r="I2659" s="5">
        <v>38441</v>
      </c>
      <c r="J2659" s="4" t="s">
        <v>5506</v>
      </c>
      <c r="K2659" s="4" t="s">
        <v>57</v>
      </c>
      <c r="L2659" s="4"/>
      <c r="M2659" s="4"/>
    </row>
    <row r="2660" ht="16" customHeight="1" s="4" customFormat="1">
      <c r="A2660" s="4">
        <v>2638</v>
      </c>
      <c r="B2660" s="4" t="s">
        <v>5499</v>
      </c>
      <c r="C2660" s="4" t="s">
        <v>5519</v>
      </c>
      <c r="D2660" s="4"/>
      <c r="E2660" s="4" t="s">
        <v>5580</v>
      </c>
      <c r="F2660" s="4" t="s">
        <v>9754</v>
      </c>
      <c r="G2660" s="4" t="s">
        <v>9755</v>
      </c>
      <c r="H2660" s="4" t="s">
        <v>9756</v>
      </c>
      <c r="I2660" s="5">
        <v>38407</v>
      </c>
      <c r="J2660" s="4" t="s">
        <v>4798</v>
      </c>
      <c r="K2660" s="4" t="s">
        <v>57</v>
      </c>
      <c r="L2660" s="4"/>
      <c r="M2660" s="4"/>
    </row>
    <row r="2661" ht="16" customHeight="1" s="4" customFormat="1">
      <c r="A2661" s="4">
        <v>2639</v>
      </c>
      <c r="B2661" s="4" t="s">
        <v>5499</v>
      </c>
      <c r="C2661" s="4" t="s">
        <v>5519</v>
      </c>
      <c r="D2661" s="4"/>
      <c r="E2661" s="4" t="s">
        <v>5584</v>
      </c>
      <c r="F2661" s="4" t="s">
        <v>9757</v>
      </c>
      <c r="G2661" s="4" t="s">
        <v>9755</v>
      </c>
      <c r="H2661" s="4" t="s">
        <v>9756</v>
      </c>
      <c r="I2661" s="5">
        <v>38407</v>
      </c>
      <c r="J2661" s="4" t="s">
        <v>4798</v>
      </c>
      <c r="K2661" s="4" t="s">
        <v>57</v>
      </c>
      <c r="L2661" s="4"/>
      <c r="M2661" s="4"/>
    </row>
    <row r="2662" ht="16" customHeight="1" s="4" customFormat="1">
      <c r="A2662" s="4">
        <v>2640</v>
      </c>
      <c r="B2662" s="4" t="s">
        <v>5499</v>
      </c>
      <c r="C2662" s="4" t="s">
        <v>5573</v>
      </c>
      <c r="D2662" s="4" t="s">
        <v>5728</v>
      </c>
      <c r="E2662" s="4" t="s">
        <v>6003</v>
      </c>
      <c r="F2662" s="4" t="s">
        <v>9758</v>
      </c>
      <c r="G2662" s="4" t="s">
        <v>5604</v>
      </c>
      <c r="H2662" s="4" t="s">
        <v>9759</v>
      </c>
      <c r="I2662" s="5">
        <v>38392</v>
      </c>
      <c r="J2662" s="4" t="s">
        <v>4798</v>
      </c>
      <c r="K2662" s="4" t="s">
        <v>57</v>
      </c>
      <c r="L2662" s="4"/>
      <c r="M2662" s="4"/>
    </row>
    <row r="2663" ht="16" customHeight="1" s="4" customFormat="1">
      <c r="A2663" s="4">
        <v>2641</v>
      </c>
      <c r="B2663" s="4" t="s">
        <v>5499</v>
      </c>
      <c r="C2663" s="4" t="s">
        <v>5573</v>
      </c>
      <c r="D2663" s="4" t="s">
        <v>5728</v>
      </c>
      <c r="E2663" s="4" t="s">
        <v>6003</v>
      </c>
      <c r="F2663" s="4" t="s">
        <v>9760</v>
      </c>
      <c r="G2663" s="4" t="s">
        <v>5604</v>
      </c>
      <c r="H2663" s="4" t="s">
        <v>9759</v>
      </c>
      <c r="I2663" s="5">
        <v>38392</v>
      </c>
      <c r="J2663" s="4" t="s">
        <v>4798</v>
      </c>
      <c r="K2663" s="4" t="s">
        <v>57</v>
      </c>
      <c r="L2663" s="4"/>
      <c r="M2663" s="4"/>
    </row>
    <row r="2664" ht="16" customHeight="1" s="4" customFormat="1">
      <c r="A2664" s="4">
        <v>2642</v>
      </c>
      <c r="B2664" s="4" t="s">
        <v>5499</v>
      </c>
      <c r="C2664" s="4" t="s">
        <v>5573</v>
      </c>
      <c r="D2664" s="4" t="s">
        <v>5728</v>
      </c>
      <c r="E2664" s="4" t="s">
        <v>6003</v>
      </c>
      <c r="F2664" s="4" t="s">
        <v>9761</v>
      </c>
      <c r="G2664" s="4" t="s">
        <v>5604</v>
      </c>
      <c r="H2664" s="4" t="s">
        <v>9759</v>
      </c>
      <c r="I2664" s="5">
        <v>38392</v>
      </c>
      <c r="J2664" s="4" t="s">
        <v>4798</v>
      </c>
      <c r="K2664" s="4" t="s">
        <v>57</v>
      </c>
      <c r="L2664" s="4"/>
      <c r="M2664" s="4"/>
    </row>
    <row r="2665" ht="16" customHeight="1" s="4" customFormat="1">
      <c r="A2665" s="4">
        <v>2643</v>
      </c>
      <c r="B2665" s="4" t="s">
        <v>5499</v>
      </c>
      <c r="C2665" s="4" t="s">
        <v>5573</v>
      </c>
      <c r="D2665" s="4" t="s">
        <v>5728</v>
      </c>
      <c r="E2665" s="4" t="s">
        <v>6003</v>
      </c>
      <c r="F2665" s="4" t="s">
        <v>9762</v>
      </c>
      <c r="G2665" s="4" t="s">
        <v>5604</v>
      </c>
      <c r="H2665" s="4" t="s">
        <v>9759</v>
      </c>
      <c r="I2665" s="5">
        <v>38392</v>
      </c>
      <c r="J2665" s="4" t="s">
        <v>4798</v>
      </c>
      <c r="K2665" s="4" t="s">
        <v>57</v>
      </c>
      <c r="L2665" s="4"/>
      <c r="M2665" s="4"/>
    </row>
    <row r="2666" ht="16" customHeight="1" s="4" customFormat="1">
      <c r="A2666" s="4">
        <v>2644</v>
      </c>
      <c r="B2666" s="4" t="s">
        <v>5534</v>
      </c>
      <c r="C2666" s="4" t="s">
        <v>5773</v>
      </c>
      <c r="D2666" s="4"/>
      <c r="E2666" s="4"/>
      <c r="F2666" s="4" t="s">
        <v>9763</v>
      </c>
      <c r="G2666" s="4" t="s">
        <v>5984</v>
      </c>
      <c r="H2666" s="4" t="s">
        <v>9764</v>
      </c>
      <c r="I2666" s="5">
        <v>38372</v>
      </c>
      <c r="J2666" s="4" t="s">
        <v>4798</v>
      </c>
      <c r="K2666" s="4" t="s">
        <v>57</v>
      </c>
      <c r="L2666" s="4"/>
      <c r="M2666" s="4"/>
    </row>
    <row r="2667" ht="16" customHeight="1" s="4" customFormat="1">
      <c r="A2667" s="4">
        <v>2645</v>
      </c>
      <c r="B2667" s="4" t="s">
        <v>5600</v>
      </c>
      <c r="C2667" s="4" t="s">
        <v>5600</v>
      </c>
      <c r="D2667" s="4" t="s">
        <v>5514</v>
      </c>
      <c r="E2667" s="4" t="s">
        <v>5515</v>
      </c>
      <c r="F2667" s="4" t="s">
        <v>9765</v>
      </c>
      <c r="G2667" s="4" t="s">
        <v>9766</v>
      </c>
      <c r="H2667" s="4" t="s">
        <v>6041</v>
      </c>
      <c r="I2667" s="5">
        <v>38308</v>
      </c>
      <c r="J2667" s="4" t="s">
        <v>4798</v>
      </c>
      <c r="K2667" s="4" t="s">
        <v>57</v>
      </c>
      <c r="L2667" s="4"/>
      <c r="M2667" s="4"/>
    </row>
    <row r="2668" ht="16" customHeight="1" s="4" customFormat="1">
      <c r="A2668" s="4">
        <v>2646</v>
      </c>
      <c r="B2668" s="4" t="s">
        <v>5600</v>
      </c>
      <c r="C2668" s="4" t="s">
        <v>5600</v>
      </c>
      <c r="D2668" s="4" t="s">
        <v>5728</v>
      </c>
      <c r="E2668" s="4" t="s">
        <v>5729</v>
      </c>
      <c r="F2668" s="4" t="s">
        <v>9767</v>
      </c>
      <c r="G2668" s="4" t="s">
        <v>9768</v>
      </c>
      <c r="H2668" s="4" t="s">
        <v>9012</v>
      </c>
      <c r="I2668" s="5">
        <v>38308</v>
      </c>
      <c r="J2668" s="4" t="s">
        <v>5506</v>
      </c>
      <c r="K2668" s="4" t="s">
        <v>57</v>
      </c>
      <c r="L2668" s="4"/>
      <c r="M2668" s="4"/>
    </row>
    <row r="2669" ht="16" customHeight="1" s="4" customFormat="1">
      <c r="A2669" s="4">
        <v>2647</v>
      </c>
      <c r="B2669" s="4" t="s">
        <v>5499</v>
      </c>
      <c r="C2669" s="4" t="s">
        <v>5519</v>
      </c>
      <c r="D2669" s="4"/>
      <c r="E2669" s="4" t="s">
        <v>6598</v>
      </c>
      <c r="F2669" s="4" t="s">
        <v>9769</v>
      </c>
      <c r="G2669" s="4" t="s">
        <v>9749</v>
      </c>
      <c r="H2669" s="4"/>
      <c r="I2669" s="5">
        <v>38289</v>
      </c>
      <c r="J2669" s="4" t="s">
        <v>4798</v>
      </c>
      <c r="K2669" s="4" t="s">
        <v>57</v>
      </c>
      <c r="L2669" s="4"/>
      <c r="M2669" s="4"/>
    </row>
    <row r="2670" ht="16" customHeight="1" s="4" customFormat="1">
      <c r="A2670" s="4">
        <v>2648</v>
      </c>
      <c r="B2670" s="4" t="s">
        <v>5499</v>
      </c>
      <c r="C2670" s="4" t="s">
        <v>5519</v>
      </c>
      <c r="D2670" s="4"/>
      <c r="E2670" s="4" t="s">
        <v>5580</v>
      </c>
      <c r="F2670" s="4" t="s">
        <v>9770</v>
      </c>
      <c r="G2670" s="4" t="s">
        <v>9749</v>
      </c>
      <c r="H2670" s="4"/>
      <c r="I2670" s="5">
        <v>38289</v>
      </c>
      <c r="J2670" s="4" t="s">
        <v>4798</v>
      </c>
      <c r="K2670" s="4" t="s">
        <v>57</v>
      </c>
      <c r="L2670" s="4"/>
      <c r="M2670" s="4"/>
    </row>
    <row r="2671" ht="16" customHeight="1" s="4" customFormat="1">
      <c r="A2671" s="4">
        <v>2649</v>
      </c>
      <c r="B2671" s="4" t="s">
        <v>5499</v>
      </c>
      <c r="C2671" s="4" t="s">
        <v>5519</v>
      </c>
      <c r="D2671" s="4"/>
      <c r="E2671" s="4" t="s">
        <v>6079</v>
      </c>
      <c r="F2671" s="4" t="s">
        <v>9771</v>
      </c>
      <c r="G2671" s="4" t="s">
        <v>9772</v>
      </c>
      <c r="H2671" s="4" t="s">
        <v>9773</v>
      </c>
      <c r="I2671" s="5">
        <v>38288</v>
      </c>
      <c r="J2671" s="4" t="s">
        <v>4798</v>
      </c>
      <c r="K2671" s="4" t="s">
        <v>57</v>
      </c>
      <c r="L2671" s="4"/>
      <c r="M2671" s="4"/>
    </row>
    <row r="2672" ht="16" customHeight="1" s="4" customFormat="1">
      <c r="A2672" s="4">
        <v>2650</v>
      </c>
      <c r="B2672" s="4" t="s">
        <v>5499</v>
      </c>
      <c r="C2672" s="4" t="s">
        <v>5519</v>
      </c>
      <c r="D2672" s="4"/>
      <c r="E2672" s="4" t="s">
        <v>5580</v>
      </c>
      <c r="F2672" s="4" t="s">
        <v>9774</v>
      </c>
      <c r="G2672" s="4" t="s">
        <v>9772</v>
      </c>
      <c r="H2672" s="4" t="s">
        <v>9773</v>
      </c>
      <c r="I2672" s="5">
        <v>38288</v>
      </c>
      <c r="J2672" s="4" t="s">
        <v>4798</v>
      </c>
      <c r="K2672" s="4" t="s">
        <v>57</v>
      </c>
      <c r="L2672" s="4"/>
      <c r="M2672" s="4"/>
    </row>
    <row r="2673" ht="16" customHeight="1" s="4" customFormat="1">
      <c r="A2673" s="4">
        <v>2651</v>
      </c>
      <c r="B2673" s="4" t="s">
        <v>5499</v>
      </c>
      <c r="C2673" s="4" t="s">
        <v>5519</v>
      </c>
      <c r="D2673" s="4"/>
      <c r="E2673" s="4" t="s">
        <v>5664</v>
      </c>
      <c r="F2673" s="4" t="s">
        <v>9775</v>
      </c>
      <c r="G2673" s="4" t="s">
        <v>8309</v>
      </c>
      <c r="H2673" s="4" t="s">
        <v>8310</v>
      </c>
      <c r="I2673" s="5">
        <v>38264</v>
      </c>
      <c r="J2673" s="4" t="s">
        <v>4798</v>
      </c>
      <c r="K2673" s="4" t="s">
        <v>57</v>
      </c>
      <c r="L2673" s="4"/>
      <c r="M2673" s="4"/>
    </row>
    <row r="2674" ht="16" customHeight="1" s="4" customFormat="1">
      <c r="A2674" s="4">
        <v>2652</v>
      </c>
      <c r="B2674" s="4" t="s">
        <v>5499</v>
      </c>
      <c r="C2674" s="4" t="s">
        <v>5519</v>
      </c>
      <c r="D2674" s="4"/>
      <c r="E2674" s="4" t="s">
        <v>5580</v>
      </c>
      <c r="F2674" s="4" t="s">
        <v>9776</v>
      </c>
      <c r="G2674" s="4" t="s">
        <v>8309</v>
      </c>
      <c r="H2674" s="4" t="s">
        <v>8310</v>
      </c>
      <c r="I2674" s="5">
        <v>38264</v>
      </c>
      <c r="J2674" s="4" t="s">
        <v>4798</v>
      </c>
      <c r="K2674" s="4" t="s">
        <v>57</v>
      </c>
      <c r="L2674" s="4"/>
      <c r="M2674" s="4"/>
    </row>
    <row r="2675" ht="16" customHeight="1" s="4" customFormat="1">
      <c r="A2675" s="4">
        <v>2653</v>
      </c>
      <c r="B2675" s="4" t="s">
        <v>5499</v>
      </c>
      <c r="C2675" s="4" t="s">
        <v>5519</v>
      </c>
      <c r="D2675" s="4"/>
      <c r="E2675" s="4" t="s">
        <v>6275</v>
      </c>
      <c r="F2675" s="4" t="s">
        <v>9777</v>
      </c>
      <c r="G2675" s="4" t="s">
        <v>9778</v>
      </c>
      <c r="H2675" s="4" t="s">
        <v>9778</v>
      </c>
      <c r="I2675" s="5">
        <v>38226</v>
      </c>
      <c r="J2675" s="4" t="s">
        <v>4798</v>
      </c>
      <c r="K2675" s="4" t="s">
        <v>57</v>
      </c>
      <c r="L2675" s="4"/>
      <c r="M2675" s="4"/>
    </row>
    <row r="2676" ht="16" customHeight="1" s="4" customFormat="1">
      <c r="A2676" s="4">
        <v>2654</v>
      </c>
      <c r="B2676" s="4" t="s">
        <v>5499</v>
      </c>
      <c r="C2676" s="4" t="s">
        <v>5519</v>
      </c>
      <c r="D2676" s="4"/>
      <c r="E2676" s="4" t="s">
        <v>6275</v>
      </c>
      <c r="F2676" s="4" t="s">
        <v>9779</v>
      </c>
      <c r="G2676" s="4" t="s">
        <v>9778</v>
      </c>
      <c r="H2676" s="4" t="s">
        <v>9778</v>
      </c>
      <c r="I2676" s="5">
        <v>38226</v>
      </c>
      <c r="J2676" s="4" t="s">
        <v>4798</v>
      </c>
      <c r="K2676" s="4" t="s">
        <v>57</v>
      </c>
      <c r="L2676" s="4"/>
      <c r="M2676" s="4"/>
    </row>
    <row r="2677" ht="16" customHeight="1" s="4" customFormat="1">
      <c r="A2677" s="4">
        <v>2655</v>
      </c>
      <c r="B2677" s="4" t="s">
        <v>5499</v>
      </c>
      <c r="C2677" s="4" t="s">
        <v>5519</v>
      </c>
      <c r="D2677" s="4"/>
      <c r="E2677" s="4" t="s">
        <v>6188</v>
      </c>
      <c r="F2677" s="4" t="s">
        <v>9780</v>
      </c>
      <c r="G2677" s="4" t="s">
        <v>5984</v>
      </c>
      <c r="H2677" s="4" t="s">
        <v>5984</v>
      </c>
      <c r="I2677" s="5">
        <v>38114</v>
      </c>
      <c r="J2677" s="4" t="s">
        <v>4798</v>
      </c>
      <c r="K2677" s="4" t="s">
        <v>57</v>
      </c>
      <c r="L2677" s="4"/>
      <c r="M2677" s="4"/>
    </row>
    <row r="2678" ht="16" customHeight="1" s="4" customFormat="1">
      <c r="A2678" s="4">
        <v>2656</v>
      </c>
      <c r="B2678" s="4" t="s">
        <v>5499</v>
      </c>
      <c r="C2678" s="4" t="s">
        <v>5519</v>
      </c>
      <c r="D2678" s="4"/>
      <c r="E2678" s="4" t="s">
        <v>6188</v>
      </c>
      <c r="F2678" s="4" t="s">
        <v>9781</v>
      </c>
      <c r="G2678" s="4" t="s">
        <v>5984</v>
      </c>
      <c r="H2678" s="4" t="s">
        <v>5984</v>
      </c>
      <c r="I2678" s="5">
        <v>38114</v>
      </c>
      <c r="J2678" s="4" t="s">
        <v>4798</v>
      </c>
      <c r="K2678" s="4" t="s">
        <v>57</v>
      </c>
      <c r="L2678" s="4"/>
      <c r="M2678" s="4"/>
    </row>
    <row r="2679" ht="16" customHeight="1" s="4" customFormat="1">
      <c r="A2679" s="4">
        <v>2657</v>
      </c>
      <c r="B2679" s="4" t="s">
        <v>5499</v>
      </c>
      <c r="C2679" s="4" t="s">
        <v>5519</v>
      </c>
      <c r="D2679" s="4"/>
      <c r="E2679" s="4" t="s">
        <v>5584</v>
      </c>
      <c r="F2679" s="4" t="s">
        <v>9782</v>
      </c>
      <c r="G2679" s="4" t="s">
        <v>9778</v>
      </c>
      <c r="H2679" s="4" t="s">
        <v>9783</v>
      </c>
      <c r="I2679" s="5">
        <v>38112</v>
      </c>
      <c r="J2679" s="4" t="s">
        <v>4798</v>
      </c>
      <c r="K2679" s="4" t="s">
        <v>57</v>
      </c>
      <c r="L2679" s="4"/>
      <c r="M2679" s="4"/>
    </row>
    <row r="2680" ht="16" customHeight="1" s="4" customFormat="1">
      <c r="A2680" s="4">
        <v>2658</v>
      </c>
      <c r="B2680" s="4" t="s">
        <v>5499</v>
      </c>
      <c r="C2680" s="4" t="s">
        <v>5519</v>
      </c>
      <c r="D2680" s="4"/>
      <c r="E2680" s="4" t="s">
        <v>9784</v>
      </c>
      <c r="F2680" s="4" t="s">
        <v>9785</v>
      </c>
      <c r="G2680" s="4" t="s">
        <v>9778</v>
      </c>
      <c r="H2680" s="4" t="s">
        <v>9778</v>
      </c>
      <c r="I2680" s="5">
        <v>38112</v>
      </c>
      <c r="J2680" s="4" t="s">
        <v>4798</v>
      </c>
      <c r="K2680" s="4" t="s">
        <v>57</v>
      </c>
      <c r="L2680" s="4"/>
      <c r="M2680" s="4"/>
    </row>
    <row r="2681" ht="16" customHeight="1" s="4" customFormat="1">
      <c r="A2681" s="4">
        <v>2659</v>
      </c>
      <c r="B2681" s="4" t="s">
        <v>5499</v>
      </c>
      <c r="C2681" s="4" t="s">
        <v>5519</v>
      </c>
      <c r="D2681" s="4"/>
      <c r="E2681" s="4" t="s">
        <v>5584</v>
      </c>
      <c r="F2681" s="4" t="s">
        <v>9786</v>
      </c>
      <c r="G2681" s="4" t="s">
        <v>6332</v>
      </c>
      <c r="H2681" s="4" t="s">
        <v>9787</v>
      </c>
      <c r="I2681" s="5">
        <v>38063</v>
      </c>
      <c r="J2681" s="4" t="s">
        <v>4798</v>
      </c>
      <c r="K2681" s="4" t="s">
        <v>57</v>
      </c>
      <c r="L2681" s="4"/>
      <c r="M2681" s="4"/>
    </row>
    <row r="2682" ht="16" customHeight="1" s="4" customFormat="1">
      <c r="A2682" s="4">
        <v>2660</v>
      </c>
      <c r="B2682" s="4" t="s">
        <v>5499</v>
      </c>
      <c r="C2682" s="4" t="s">
        <v>5519</v>
      </c>
      <c r="D2682" s="4"/>
      <c r="E2682" s="4" t="s">
        <v>9784</v>
      </c>
      <c r="F2682" s="4" t="s">
        <v>9788</v>
      </c>
      <c r="G2682" s="4" t="s">
        <v>6332</v>
      </c>
      <c r="H2682" s="4" t="s">
        <v>6332</v>
      </c>
      <c r="I2682" s="5">
        <v>38063</v>
      </c>
      <c r="J2682" s="4" t="s">
        <v>4798</v>
      </c>
      <c r="K2682" s="4" t="s">
        <v>57</v>
      </c>
      <c r="L2682" s="4"/>
      <c r="M2682" s="4"/>
    </row>
    <row r="2683" ht="16" customHeight="1" s="4" customFormat="1">
      <c r="A2683" s="4">
        <v>2661</v>
      </c>
      <c r="B2683" s="4" t="s">
        <v>5499</v>
      </c>
      <c r="C2683" s="4" t="s">
        <v>5500</v>
      </c>
      <c r="D2683" s="4"/>
      <c r="E2683" s="4"/>
      <c r="F2683" s="4" t="s">
        <v>9789</v>
      </c>
      <c r="G2683" s="4" t="s">
        <v>9790</v>
      </c>
      <c r="H2683" s="4" t="s">
        <v>9791</v>
      </c>
      <c r="I2683" s="5">
        <v>37954</v>
      </c>
      <c r="J2683" s="4" t="s">
        <v>4798</v>
      </c>
      <c r="K2683" s="4" t="s">
        <v>57</v>
      </c>
      <c r="L2683" s="4"/>
      <c r="M2683" s="4"/>
    </row>
    <row r="2684" ht="16" customHeight="1" s="4" customFormat="1">
      <c r="A2684" s="4">
        <v>2662</v>
      </c>
      <c r="B2684" s="4" t="s">
        <v>5499</v>
      </c>
      <c r="C2684" s="4" t="s">
        <v>5519</v>
      </c>
      <c r="D2684" s="4"/>
      <c r="E2684" s="4" t="s">
        <v>5580</v>
      </c>
      <c r="F2684" s="4" t="s">
        <v>9792</v>
      </c>
      <c r="G2684" s="4" t="s">
        <v>9793</v>
      </c>
      <c r="H2684" s="4" t="s">
        <v>5663</v>
      </c>
      <c r="I2684" s="5">
        <v>37945</v>
      </c>
      <c r="J2684" s="4" t="s">
        <v>4798</v>
      </c>
      <c r="K2684" s="4" t="s">
        <v>57</v>
      </c>
      <c r="L2684" s="4"/>
      <c r="M2684" s="4"/>
    </row>
    <row r="2685" ht="16" customHeight="1" s="4" customFormat="1">
      <c r="A2685" s="4">
        <v>2663</v>
      </c>
      <c r="B2685" s="4" t="s">
        <v>5499</v>
      </c>
      <c r="C2685" s="4" t="s">
        <v>5519</v>
      </c>
      <c r="D2685" s="4"/>
      <c r="E2685" s="4" t="s">
        <v>5648</v>
      </c>
      <c r="F2685" s="4" t="s">
        <v>9794</v>
      </c>
      <c r="G2685" s="4" t="s">
        <v>9793</v>
      </c>
      <c r="H2685" s="4" t="s">
        <v>5663</v>
      </c>
      <c r="I2685" s="5">
        <v>37945</v>
      </c>
      <c r="J2685" s="4" t="s">
        <v>4798</v>
      </c>
      <c r="K2685" s="4" t="s">
        <v>57</v>
      </c>
      <c r="L2685" s="4"/>
      <c r="M2685" s="4"/>
    </row>
    <row r="2686" ht="16" customHeight="1" s="4" customFormat="1">
      <c r="A2686" s="4">
        <v>2664</v>
      </c>
      <c r="B2686" s="4" t="s">
        <v>5499</v>
      </c>
      <c r="C2686" s="4" t="s">
        <v>5519</v>
      </c>
      <c r="D2686" s="4"/>
      <c r="E2686" s="4" t="s">
        <v>5580</v>
      </c>
      <c r="F2686" s="4" t="s">
        <v>9795</v>
      </c>
      <c r="G2686" s="4" t="s">
        <v>9796</v>
      </c>
      <c r="H2686" s="4"/>
      <c r="I2686" s="5">
        <v>37776</v>
      </c>
      <c r="J2686" s="4" t="s">
        <v>4798</v>
      </c>
      <c r="K2686" s="4" t="s">
        <v>57</v>
      </c>
      <c r="L2686" s="4"/>
      <c r="M2686" s="4"/>
    </row>
    <row r="2687" ht="16" customHeight="1" s="4" customFormat="1">
      <c r="A2687" s="4">
        <v>2665</v>
      </c>
      <c r="B2687" s="4" t="s">
        <v>5499</v>
      </c>
      <c r="C2687" s="4" t="s">
        <v>5519</v>
      </c>
      <c r="D2687" s="4"/>
      <c r="E2687" s="4" t="s">
        <v>6598</v>
      </c>
      <c r="F2687" s="4" t="s">
        <v>9797</v>
      </c>
      <c r="G2687" s="4" t="s">
        <v>9796</v>
      </c>
      <c r="H2687" s="4"/>
      <c r="I2687" s="5">
        <v>37776</v>
      </c>
      <c r="J2687" s="4" t="s">
        <v>4798</v>
      </c>
      <c r="K2687" s="4" t="s">
        <v>57</v>
      </c>
      <c r="L2687" s="4"/>
      <c r="M2687" s="4"/>
    </row>
    <row r="2688" ht="16" customHeight="1" s="4" customFormat="1">
      <c r="A2688" s="4">
        <v>2666</v>
      </c>
      <c r="B2688" s="4" t="s">
        <v>5499</v>
      </c>
      <c r="C2688" s="4" t="s">
        <v>5519</v>
      </c>
      <c r="D2688" s="4"/>
      <c r="E2688" s="4" t="s">
        <v>6188</v>
      </c>
      <c r="F2688" s="4" t="s">
        <v>9798</v>
      </c>
      <c r="G2688" s="4" t="s">
        <v>9799</v>
      </c>
      <c r="H2688" s="4" t="s">
        <v>9799</v>
      </c>
      <c r="I2688" s="5">
        <v>37756</v>
      </c>
      <c r="J2688" s="4" t="s">
        <v>4798</v>
      </c>
      <c r="K2688" s="4" t="s">
        <v>57</v>
      </c>
      <c r="L2688" s="4"/>
      <c r="M2688" s="4"/>
    </row>
    <row r="2689" ht="16" customHeight="1" s="4" customFormat="1">
      <c r="A2689" s="4">
        <v>2667</v>
      </c>
      <c r="B2689" s="4" t="s">
        <v>5499</v>
      </c>
      <c r="C2689" s="4" t="s">
        <v>5519</v>
      </c>
      <c r="D2689" s="4"/>
      <c r="E2689" s="4" t="s">
        <v>6188</v>
      </c>
      <c r="F2689" s="4" t="s">
        <v>9800</v>
      </c>
      <c r="G2689" s="4" t="s">
        <v>9799</v>
      </c>
      <c r="H2689" s="4" t="s">
        <v>9799</v>
      </c>
      <c r="I2689" s="5">
        <v>37756</v>
      </c>
      <c r="J2689" s="4" t="s">
        <v>4798</v>
      </c>
      <c r="K2689" s="4" t="s">
        <v>57</v>
      </c>
      <c r="L2689" s="4"/>
      <c r="M2689" s="4"/>
    </row>
    <row r="2690" ht="16" customHeight="1" s="4" customFormat="1">
      <c r="A2690" s="4">
        <v>2668</v>
      </c>
      <c r="B2690" s="4" t="s">
        <v>5499</v>
      </c>
      <c r="C2690" s="4" t="s">
        <v>5519</v>
      </c>
      <c r="D2690" s="4"/>
      <c r="E2690" s="4" t="s">
        <v>5584</v>
      </c>
      <c r="F2690" s="4" t="s">
        <v>9801</v>
      </c>
      <c r="G2690" s="4" t="s">
        <v>6332</v>
      </c>
      <c r="H2690" s="4" t="s">
        <v>9802</v>
      </c>
      <c r="I2690" s="5">
        <v>37735</v>
      </c>
      <c r="J2690" s="4" t="s">
        <v>4798</v>
      </c>
      <c r="K2690" s="4" t="s">
        <v>57</v>
      </c>
      <c r="L2690" s="4"/>
      <c r="M2690" s="4"/>
    </row>
    <row r="2691" ht="16" customHeight="1" s="4" customFormat="1">
      <c r="A2691" s="4">
        <v>2669</v>
      </c>
      <c r="B2691" s="4" t="s">
        <v>5499</v>
      </c>
      <c r="C2691" s="4" t="s">
        <v>5519</v>
      </c>
      <c r="D2691" s="4"/>
      <c r="E2691" s="4" t="s">
        <v>9784</v>
      </c>
      <c r="F2691" s="4" t="s">
        <v>9803</v>
      </c>
      <c r="G2691" s="4" t="s">
        <v>6332</v>
      </c>
      <c r="H2691" s="4" t="s">
        <v>6332</v>
      </c>
      <c r="I2691" s="5">
        <v>37735</v>
      </c>
      <c r="J2691" s="4" t="s">
        <v>4798</v>
      </c>
      <c r="K2691" s="4" t="s">
        <v>57</v>
      </c>
      <c r="L2691" s="4"/>
      <c r="M2691" s="4"/>
    </row>
    <row r="2692" ht="16" customHeight="1" s="4" customFormat="1">
      <c r="A2692" s="4">
        <v>2670</v>
      </c>
      <c r="B2692" s="4" t="s">
        <v>5499</v>
      </c>
      <c r="C2692" s="4" t="s">
        <v>5519</v>
      </c>
      <c r="D2692" s="4"/>
      <c r="E2692" s="4" t="s">
        <v>9784</v>
      </c>
      <c r="F2692" s="4" t="s">
        <v>9804</v>
      </c>
      <c r="G2692" s="4" t="s">
        <v>6332</v>
      </c>
      <c r="H2692" s="4" t="s">
        <v>6332</v>
      </c>
      <c r="I2692" s="5">
        <v>37735</v>
      </c>
      <c r="J2692" s="4" t="s">
        <v>4798</v>
      </c>
      <c r="K2692" s="4" t="s">
        <v>57</v>
      </c>
      <c r="L2692" s="4"/>
      <c r="M2692" s="4"/>
    </row>
    <row r="2693" ht="16" customHeight="1" s="4" customFormat="1">
      <c r="A2693" s="4">
        <v>2671</v>
      </c>
      <c r="B2693" s="4" t="s">
        <v>5499</v>
      </c>
      <c r="C2693" s="4" t="s">
        <v>5519</v>
      </c>
      <c r="D2693" s="4"/>
      <c r="E2693" s="4" t="s">
        <v>9784</v>
      </c>
      <c r="F2693" s="4" t="s">
        <v>9805</v>
      </c>
      <c r="G2693" s="4" t="s">
        <v>6332</v>
      </c>
      <c r="H2693" s="4" t="s">
        <v>6332</v>
      </c>
      <c r="I2693" s="5">
        <v>37735</v>
      </c>
      <c r="J2693" s="4" t="s">
        <v>4798</v>
      </c>
      <c r="K2693" s="4" t="s">
        <v>57</v>
      </c>
      <c r="L2693" s="4"/>
      <c r="M2693" s="4"/>
    </row>
    <row r="2694" ht="16" customHeight="1" s="4" customFormat="1">
      <c r="A2694" s="4">
        <v>89</v>
      </c>
      <c r="B2694" s="4" t="s">
        <v>5528</v>
      </c>
      <c r="C2694" s="4" t="s">
        <v>6140</v>
      </c>
      <c r="D2694" s="4" t="s">
        <v>5501</v>
      </c>
      <c r="E2694" s="4" t="s">
        <v>5502</v>
      </c>
      <c r="F2694" s="4" t="s">
        <v>9806</v>
      </c>
      <c r="G2694" s="4" t="s">
        <v>9807</v>
      </c>
      <c r="H2694" s="4" t="s">
        <v>9808</v>
      </c>
      <c r="I2694" s="5">
        <v>46006</v>
      </c>
      <c r="J2694" s="4" t="s">
        <v>4798</v>
      </c>
      <c r="K2694" s="4" t="s">
        <v>57</v>
      </c>
      <c r="L2694" s="4"/>
      <c r="M2694" s="4"/>
    </row>
    <row r="2695" ht="16" customHeight="1" s="4" customFormat="1">
      <c r="A2695" s="4">
        <v>90</v>
      </c>
      <c r="B2695" s="4" t="s">
        <v>5499</v>
      </c>
      <c r="C2695" s="4" t="s">
        <v>5590</v>
      </c>
      <c r="D2695" s="4" t="s">
        <v>5574</v>
      </c>
      <c r="E2695" s="4" t="s">
        <v>5575</v>
      </c>
      <c r="F2695" s="4" t="s">
        <v>9809</v>
      </c>
      <c r="G2695" s="4" t="s">
        <v>5843</v>
      </c>
      <c r="H2695" s="4" t="s">
        <v>7009</v>
      </c>
      <c r="I2695" s="5">
        <v>46006</v>
      </c>
      <c r="J2695" s="4" t="s">
        <v>4798</v>
      </c>
      <c r="K2695" s="4" t="s">
        <v>57</v>
      </c>
      <c r="L2695" s="4"/>
      <c r="M2695" s="4"/>
    </row>
    <row r="2696" ht="16" customHeight="1" s="4" customFormat="1">
      <c r="A2696" s="4">
        <v>91</v>
      </c>
      <c r="B2696" s="4" t="s">
        <v>5499</v>
      </c>
      <c r="C2696" s="4" t="s">
        <v>5590</v>
      </c>
      <c r="D2696" s="4" t="s">
        <v>5574</v>
      </c>
      <c r="E2696" s="4" t="s">
        <v>5575</v>
      </c>
      <c r="F2696" s="4" t="s">
        <v>9810</v>
      </c>
      <c r="G2696" s="4" t="s">
        <v>5843</v>
      </c>
      <c r="H2696" s="4" t="s">
        <v>7009</v>
      </c>
      <c r="I2696" s="5">
        <v>46006</v>
      </c>
      <c r="J2696" s="4" t="s">
        <v>4798</v>
      </c>
      <c r="K2696" s="4" t="s">
        <v>57</v>
      </c>
      <c r="L2696" s="4"/>
      <c r="M2696" s="4"/>
    </row>
    <row r="2697" ht="16" customHeight="1" s="4" customFormat="1">
      <c r="A2697" s="4">
        <v>92</v>
      </c>
      <c r="B2697" s="4" t="s">
        <v>5499</v>
      </c>
      <c r="C2697" s="4" t="s">
        <v>5590</v>
      </c>
      <c r="D2697" s="4" t="s">
        <v>5574</v>
      </c>
      <c r="E2697" s="4" t="s">
        <v>5575</v>
      </c>
      <c r="F2697" s="4" t="s">
        <v>9811</v>
      </c>
      <c r="G2697" s="4" t="s">
        <v>5843</v>
      </c>
      <c r="H2697" s="4" t="s">
        <v>7009</v>
      </c>
      <c r="I2697" s="5">
        <v>46006</v>
      </c>
      <c r="J2697" s="4" t="s">
        <v>4798</v>
      </c>
      <c r="K2697" s="4" t="s">
        <v>57</v>
      </c>
      <c r="L2697" s="4"/>
      <c r="M2697" s="4"/>
    </row>
    <row r="2698" ht="16" customHeight="1" s="4" customFormat="1">
      <c r="A2698" s="4">
        <v>93</v>
      </c>
      <c r="B2698" s="4" t="s">
        <v>5499</v>
      </c>
      <c r="C2698" s="4" t="s">
        <v>7220</v>
      </c>
      <c r="D2698" s="4" t="s">
        <v>5574</v>
      </c>
      <c r="E2698" s="4" t="s">
        <v>5575</v>
      </c>
      <c r="F2698" s="4" t="s">
        <v>9812</v>
      </c>
      <c r="G2698" s="4" t="s">
        <v>9813</v>
      </c>
      <c r="H2698" s="4" t="s">
        <v>9814</v>
      </c>
      <c r="I2698" s="5">
        <v>46006</v>
      </c>
      <c r="J2698" s="4" t="s">
        <v>5506</v>
      </c>
      <c r="K2698" s="4" t="s">
        <v>57</v>
      </c>
      <c r="L2698" s="4"/>
      <c r="M2698" s="4"/>
    </row>
    <row r="2699" ht="16" customHeight="1" s="4" customFormat="1">
      <c r="A2699" s="4">
        <v>94</v>
      </c>
      <c r="B2699" s="4" t="s">
        <v>5499</v>
      </c>
      <c r="C2699" s="4" t="s">
        <v>5590</v>
      </c>
      <c r="D2699" s="4" t="s">
        <v>5574</v>
      </c>
      <c r="E2699" s="4" t="s">
        <v>5575</v>
      </c>
      <c r="F2699" s="4" t="s">
        <v>9815</v>
      </c>
      <c r="G2699" s="4" t="s">
        <v>9816</v>
      </c>
      <c r="H2699" s="4" t="s">
        <v>6419</v>
      </c>
      <c r="I2699" s="5">
        <v>46003</v>
      </c>
      <c r="J2699" s="4" t="s">
        <v>4798</v>
      </c>
      <c r="K2699" s="4" t="s">
        <v>57</v>
      </c>
      <c r="L2699" s="4"/>
      <c r="M2699" s="4"/>
    </row>
    <row r="2700" ht="16" customHeight="1" s="4" customFormat="1">
      <c r="A2700" s="4">
        <v>95</v>
      </c>
      <c r="B2700" s="4" t="s">
        <v>5499</v>
      </c>
      <c r="C2700" s="4" t="s">
        <v>5509</v>
      </c>
      <c r="D2700" s="4"/>
      <c r="E2700" s="4"/>
      <c r="F2700" s="4" t="s">
        <v>9817</v>
      </c>
      <c r="G2700" s="4" t="s">
        <v>10</v>
      </c>
      <c r="H2700" s="4" t="s">
        <v>9818</v>
      </c>
      <c r="I2700" s="5">
        <v>46001</v>
      </c>
      <c r="J2700" s="4" t="s">
        <v>7729</v>
      </c>
      <c r="K2700" s="4" t="s">
        <v>57</v>
      </c>
      <c r="L2700" s="4"/>
      <c r="M2700" s="4"/>
    </row>
    <row r="2701" ht="16" customHeight="1" s="4" customFormat="1">
      <c r="A2701" s="4">
        <v>96</v>
      </c>
      <c r="B2701" s="4" t="s">
        <v>5528</v>
      </c>
      <c r="C2701" s="4" t="s">
        <v>8941</v>
      </c>
      <c r="D2701" s="4" t="s">
        <v>5514</v>
      </c>
      <c r="E2701" s="4" t="s">
        <v>5515</v>
      </c>
      <c r="F2701" s="4" t="s">
        <v>9819</v>
      </c>
      <c r="G2701" s="4" t="s">
        <v>9820</v>
      </c>
      <c r="H2701" s="4" t="s">
        <v>7171</v>
      </c>
      <c r="I2701" s="5">
        <v>45999</v>
      </c>
      <c r="J2701" s="4" t="s">
        <v>4842</v>
      </c>
      <c r="K2701" s="4" t="s">
        <v>57</v>
      </c>
      <c r="L2701" s="4"/>
      <c r="M2701" s="4"/>
    </row>
    <row r="2702" ht="16" customHeight="1" s="4" customFormat="1">
      <c r="A2702" s="4">
        <v>97</v>
      </c>
      <c r="B2702" s="4" t="s">
        <v>5528</v>
      </c>
      <c r="C2702" s="4" t="s">
        <v>8941</v>
      </c>
      <c r="D2702" s="4" t="s">
        <v>5514</v>
      </c>
      <c r="E2702" s="4" t="s">
        <v>5515</v>
      </c>
      <c r="F2702" s="4" t="s">
        <v>9821</v>
      </c>
      <c r="G2702" s="4" t="s">
        <v>9822</v>
      </c>
      <c r="H2702" s="4" t="s">
        <v>7171</v>
      </c>
      <c r="I2702" s="5">
        <v>45999</v>
      </c>
      <c r="J2702" s="4" t="s">
        <v>4842</v>
      </c>
      <c r="K2702" s="4" t="s">
        <v>57</v>
      </c>
      <c r="L2702" s="4"/>
      <c r="M2702" s="4"/>
    </row>
    <row r="2703" ht="16" customHeight="1" s="4" customFormat="1">
      <c r="A2703" s="4">
        <v>98</v>
      </c>
      <c r="B2703" s="4" t="s">
        <v>5528</v>
      </c>
      <c r="C2703" s="4" t="s">
        <v>8941</v>
      </c>
      <c r="D2703" s="4" t="s">
        <v>5514</v>
      </c>
      <c r="E2703" s="4" t="s">
        <v>5515</v>
      </c>
      <c r="F2703" s="4" t="s">
        <v>9823</v>
      </c>
      <c r="G2703" s="4" t="s">
        <v>9824</v>
      </c>
      <c r="H2703" s="4" t="s">
        <v>5532</v>
      </c>
      <c r="I2703" s="5">
        <v>45999</v>
      </c>
      <c r="J2703" s="4" t="s">
        <v>4842</v>
      </c>
      <c r="K2703" s="4" t="s">
        <v>57</v>
      </c>
      <c r="L2703" s="4"/>
      <c r="M2703" s="4"/>
    </row>
    <row r="2704" ht="16" customHeight="1" s="4" customFormat="1">
      <c r="A2704" s="4">
        <v>99</v>
      </c>
      <c r="B2704" s="4" t="s">
        <v>5499</v>
      </c>
      <c r="C2704" s="4" t="s">
        <v>7045</v>
      </c>
      <c r="D2704" s="4" t="s">
        <v>5574</v>
      </c>
      <c r="E2704" s="4" t="s">
        <v>5575</v>
      </c>
      <c r="F2704" s="4" t="s">
        <v>9825</v>
      </c>
      <c r="G2704" s="4" t="s">
        <v>9826</v>
      </c>
      <c r="H2704" s="4" t="s">
        <v>9827</v>
      </c>
      <c r="I2704" s="5">
        <v>45996</v>
      </c>
      <c r="J2704" s="4" t="s">
        <v>5506</v>
      </c>
      <c r="K2704" s="4" t="s">
        <v>57</v>
      </c>
      <c r="L2704" s="4"/>
      <c r="M2704" s="4"/>
    </row>
    <row r="2705" ht="16" customHeight="1" s="4" customFormat="1">
      <c r="A2705" s="4">
        <v>100</v>
      </c>
      <c r="B2705" s="4" t="s">
        <v>5499</v>
      </c>
      <c r="C2705" s="4" t="s">
        <v>5509</v>
      </c>
      <c r="D2705" s="4"/>
      <c r="E2705" s="4"/>
      <c r="F2705" s="4" t="s">
        <v>9828</v>
      </c>
      <c r="G2705" s="4" t="s">
        <v>9829</v>
      </c>
      <c r="H2705" s="4" t="s">
        <v>7607</v>
      </c>
      <c r="I2705" s="5">
        <v>45996</v>
      </c>
      <c r="J2705" s="4" t="s">
        <v>7729</v>
      </c>
      <c r="K2705" s="4" t="s">
        <v>57</v>
      </c>
      <c r="L2705" s="4"/>
      <c r="M2705" s="4"/>
    </row>
    <row r="2706" ht="16" customHeight="1" s="4" customFormat="1">
      <c r="A2706" s="4">
        <v>101</v>
      </c>
      <c r="B2706" s="4" t="s">
        <v>5528</v>
      </c>
      <c r="C2706" s="4" t="s">
        <v>5529</v>
      </c>
      <c r="D2706" s="4"/>
      <c r="E2706" s="4" t="s">
        <v>8114</v>
      </c>
      <c r="F2706" s="4" t="s">
        <v>9830</v>
      </c>
      <c r="G2706" s="4" t="s">
        <v>9831</v>
      </c>
      <c r="H2706" s="4" t="s">
        <v>9832</v>
      </c>
      <c r="I2706" s="5">
        <v>45995</v>
      </c>
      <c r="J2706" s="4" t="s">
        <v>4798</v>
      </c>
      <c r="K2706" s="4" t="s">
        <v>57</v>
      </c>
      <c r="L2706" s="4"/>
      <c r="M2706" s="4"/>
    </row>
    <row r="2707" ht="16" customHeight="1" s="4" customFormat="1">
      <c r="A2707" s="4">
        <v>102</v>
      </c>
      <c r="B2707" s="4" t="s">
        <v>5499</v>
      </c>
      <c r="C2707" s="4" t="s">
        <v>5500</v>
      </c>
      <c r="D2707" s="4" t="s">
        <v>5574</v>
      </c>
      <c r="E2707" s="4" t="s">
        <v>7696</v>
      </c>
      <c r="F2707" s="4" t="s">
        <v>9833</v>
      </c>
      <c r="G2707" s="4" t="s">
        <v>7698</v>
      </c>
      <c r="H2707" s="4" t="s">
        <v>7699</v>
      </c>
      <c r="I2707" s="5">
        <v>45980</v>
      </c>
      <c r="J2707" s="4" t="s">
        <v>5506</v>
      </c>
      <c r="K2707" s="4" t="s">
        <v>57</v>
      </c>
      <c r="L2707" s="4"/>
      <c r="M2707" s="4"/>
    </row>
    <row r="2708" ht="16" customHeight="1" s="4" customFormat="1">
      <c r="A2708" s="4">
        <v>103</v>
      </c>
      <c r="B2708" s="4" t="s">
        <v>5499</v>
      </c>
      <c r="C2708" s="4" t="s">
        <v>5573</v>
      </c>
      <c r="D2708" s="4" t="s">
        <v>5574</v>
      </c>
      <c r="E2708" s="4" t="s">
        <v>5575</v>
      </c>
      <c r="F2708" s="4" t="s">
        <v>9834</v>
      </c>
      <c r="G2708" s="4" t="s">
        <v>4850</v>
      </c>
      <c r="H2708" s="4" t="s">
        <v>9835</v>
      </c>
      <c r="I2708" s="5">
        <v>45975</v>
      </c>
      <c r="J2708" s="4" t="s">
        <v>4798</v>
      </c>
      <c r="K2708" s="4" t="s">
        <v>57</v>
      </c>
      <c r="L2708" s="4"/>
      <c r="M2708" s="4"/>
    </row>
    <row r="2709" ht="16" customHeight="1" s="4" customFormat="1">
      <c r="A2709" s="4">
        <v>104</v>
      </c>
      <c r="B2709" s="4" t="s">
        <v>5499</v>
      </c>
      <c r="C2709" s="4" t="s">
        <v>7201</v>
      </c>
      <c r="D2709" s="4"/>
      <c r="E2709" s="4" t="s">
        <v>7774</v>
      </c>
      <c r="F2709" s="4" t="s">
        <v>9836</v>
      </c>
      <c r="G2709" s="4" t="s">
        <v>7776</v>
      </c>
      <c r="H2709" s="4" t="s">
        <v>9837</v>
      </c>
      <c r="I2709" s="5">
        <v>45975</v>
      </c>
      <c r="J2709" s="4" t="s">
        <v>4798</v>
      </c>
      <c r="K2709" s="4" t="s">
        <v>57</v>
      </c>
      <c r="L2709" s="4"/>
      <c r="M2709" s="4"/>
    </row>
    <row r="2710" ht="16" customHeight="1" s="4" customFormat="1">
      <c r="A2710" s="4">
        <v>105</v>
      </c>
      <c r="B2710" s="4" t="s">
        <v>5499</v>
      </c>
      <c r="C2710" s="4" t="s">
        <v>5590</v>
      </c>
      <c r="D2710" s="4" t="s">
        <v>5574</v>
      </c>
      <c r="E2710" s="4" t="s">
        <v>5575</v>
      </c>
      <c r="F2710" s="4" t="s">
        <v>9838</v>
      </c>
      <c r="G2710" s="4" t="s">
        <v>9816</v>
      </c>
      <c r="H2710" s="4" t="s">
        <v>6419</v>
      </c>
      <c r="I2710" s="5">
        <v>45966</v>
      </c>
      <c r="J2710" s="4" t="s">
        <v>4842</v>
      </c>
      <c r="K2710" s="4" t="s">
        <v>57</v>
      </c>
      <c r="L2710" s="4"/>
      <c r="M2710" s="4"/>
    </row>
    <row r="2711" ht="16" customHeight="1" s="4" customFormat="1">
      <c r="A2711" s="4">
        <v>106</v>
      </c>
      <c r="B2711" s="4" t="s">
        <v>5499</v>
      </c>
      <c r="C2711" s="4" t="s">
        <v>5590</v>
      </c>
      <c r="D2711" s="4" t="s">
        <v>5574</v>
      </c>
      <c r="E2711" s="4" t="s">
        <v>5575</v>
      </c>
      <c r="F2711" s="4" t="s">
        <v>9839</v>
      </c>
      <c r="G2711" s="4" t="s">
        <v>9816</v>
      </c>
      <c r="H2711" s="4" t="s">
        <v>6419</v>
      </c>
      <c r="I2711" s="5">
        <v>45966</v>
      </c>
      <c r="J2711" s="4" t="s">
        <v>4842</v>
      </c>
      <c r="K2711" s="4" t="s">
        <v>57</v>
      </c>
      <c r="L2711" s="4"/>
      <c r="M2711" s="4"/>
    </row>
    <row r="2712" ht="16" customHeight="1" s="4" customFormat="1">
      <c r="A2712" s="4">
        <v>107</v>
      </c>
      <c r="B2712" s="4" t="s">
        <v>5499</v>
      </c>
      <c r="C2712" s="4" t="s">
        <v>5500</v>
      </c>
      <c r="D2712" s="4" t="s">
        <v>5574</v>
      </c>
      <c r="E2712" s="4" t="s">
        <v>5575</v>
      </c>
      <c r="F2712" s="4" t="s">
        <v>9840</v>
      </c>
      <c r="G2712" s="4" t="s">
        <v>4850</v>
      </c>
      <c r="H2712" s="4" t="s">
        <v>7009</v>
      </c>
      <c r="I2712" s="5">
        <v>45965</v>
      </c>
      <c r="J2712" s="4" t="s">
        <v>5506</v>
      </c>
      <c r="K2712" s="4" t="s">
        <v>57</v>
      </c>
      <c r="L2712" s="4"/>
      <c r="M2712" s="4"/>
    </row>
    <row r="2713" ht="16" customHeight="1" s="4" customFormat="1">
      <c r="A2713" s="4">
        <v>108</v>
      </c>
      <c r="B2713" s="4" t="s">
        <v>5499</v>
      </c>
      <c r="C2713" s="4" t="s">
        <v>5500</v>
      </c>
      <c r="D2713" s="4" t="s">
        <v>5574</v>
      </c>
      <c r="E2713" s="4" t="s">
        <v>7696</v>
      </c>
      <c r="F2713" s="4" t="s">
        <v>9841</v>
      </c>
      <c r="G2713" s="4" t="s">
        <v>7698</v>
      </c>
      <c r="H2713" s="4" t="s">
        <v>7699</v>
      </c>
      <c r="I2713" s="5">
        <v>45964</v>
      </c>
      <c r="J2713" s="4" t="s">
        <v>4798</v>
      </c>
      <c r="K2713" s="4" t="s">
        <v>57</v>
      </c>
      <c r="L2713" s="4"/>
      <c r="M2713" s="4"/>
    </row>
    <row r="2714" ht="16" customHeight="1" s="4" customFormat="1">
      <c r="A2714" s="4">
        <v>109</v>
      </c>
      <c r="B2714" s="4" t="s">
        <v>5499</v>
      </c>
      <c r="C2714" s="4" t="s">
        <v>5590</v>
      </c>
      <c r="D2714" s="4" t="s">
        <v>5574</v>
      </c>
      <c r="E2714" s="4" t="s">
        <v>5575</v>
      </c>
      <c r="F2714" s="4" t="s">
        <v>9842</v>
      </c>
      <c r="G2714" s="4" t="s">
        <v>4850</v>
      </c>
      <c r="H2714" s="4" t="s">
        <v>7113</v>
      </c>
      <c r="I2714" s="5">
        <v>45960</v>
      </c>
      <c r="J2714" s="4" t="s">
        <v>5506</v>
      </c>
      <c r="K2714" s="4" t="s">
        <v>57</v>
      </c>
      <c r="L2714" s="4"/>
      <c r="M2714" s="4"/>
    </row>
    <row r="2715" ht="16" customHeight="1" s="4" customFormat="1">
      <c r="A2715" s="4">
        <v>110</v>
      </c>
      <c r="B2715" s="4" t="s">
        <v>5499</v>
      </c>
      <c r="C2715" s="4" t="s">
        <v>5590</v>
      </c>
      <c r="D2715" s="4" t="s">
        <v>5574</v>
      </c>
      <c r="E2715" s="4" t="s">
        <v>5575</v>
      </c>
      <c r="F2715" s="4" t="s">
        <v>9843</v>
      </c>
      <c r="G2715" s="4" t="s">
        <v>4850</v>
      </c>
      <c r="H2715" s="4" t="s">
        <v>7113</v>
      </c>
      <c r="I2715" s="5">
        <v>45960</v>
      </c>
      <c r="J2715" s="4" t="s">
        <v>4842</v>
      </c>
      <c r="K2715" s="4" t="s">
        <v>57</v>
      </c>
      <c r="L2715" s="4"/>
      <c r="M2715" s="4"/>
    </row>
    <row r="2716" ht="16" customHeight="1" s="4" customFormat="1">
      <c r="A2716" s="4">
        <v>111</v>
      </c>
      <c r="B2716" s="4" t="s">
        <v>5499</v>
      </c>
      <c r="C2716" s="4" t="s">
        <v>5590</v>
      </c>
      <c r="D2716" s="4" t="s">
        <v>5574</v>
      </c>
      <c r="E2716" s="4" t="s">
        <v>5575</v>
      </c>
      <c r="F2716" s="4" t="s">
        <v>9844</v>
      </c>
      <c r="G2716" s="4" t="s">
        <v>4850</v>
      </c>
      <c r="H2716" s="4" t="s">
        <v>7113</v>
      </c>
      <c r="I2716" s="5">
        <v>45960</v>
      </c>
      <c r="J2716" s="4" t="s">
        <v>4842</v>
      </c>
      <c r="K2716" s="4" t="s">
        <v>57</v>
      </c>
      <c r="L2716" s="4"/>
      <c r="M2716" s="4"/>
    </row>
    <row r="2717" ht="16" customHeight="1" s="4" customFormat="1">
      <c r="A2717" s="4">
        <v>112</v>
      </c>
      <c r="B2717" s="4" t="s">
        <v>5499</v>
      </c>
      <c r="C2717" s="4" t="s">
        <v>5590</v>
      </c>
      <c r="D2717" s="4" t="s">
        <v>5574</v>
      </c>
      <c r="E2717" s="4" t="s">
        <v>5575</v>
      </c>
      <c r="F2717" s="4" t="s">
        <v>9845</v>
      </c>
      <c r="G2717" s="4" t="s">
        <v>4850</v>
      </c>
      <c r="H2717" s="4" t="s">
        <v>7113</v>
      </c>
      <c r="I2717" s="5">
        <v>45960</v>
      </c>
      <c r="J2717" s="4" t="s">
        <v>5506</v>
      </c>
      <c r="K2717" s="4" t="s">
        <v>57</v>
      </c>
      <c r="L2717" s="4"/>
      <c r="M2717" s="4"/>
    </row>
    <row r="2718" ht="16" customHeight="1" s="4" customFormat="1">
      <c r="A2718" s="4">
        <v>113</v>
      </c>
      <c r="B2718" s="4" t="s">
        <v>5499</v>
      </c>
      <c r="C2718" s="4" t="s">
        <v>5702</v>
      </c>
      <c r="D2718" s="4" t="s">
        <v>5574</v>
      </c>
      <c r="E2718" s="4" t="s">
        <v>5575</v>
      </c>
      <c r="F2718" s="4" t="s">
        <v>9846</v>
      </c>
      <c r="G2718" s="4" t="s">
        <v>9847</v>
      </c>
      <c r="H2718" s="4" t="s">
        <v>7009</v>
      </c>
      <c r="I2718" s="5">
        <v>45958</v>
      </c>
      <c r="J2718" s="4" t="s">
        <v>5506</v>
      </c>
      <c r="K2718" s="4" t="s">
        <v>57</v>
      </c>
      <c r="L2718" s="4"/>
      <c r="M2718" s="4"/>
    </row>
    <row r="2719" ht="16" customHeight="1" s="4" customFormat="1">
      <c r="A2719" s="4">
        <v>114</v>
      </c>
      <c r="B2719" s="4" t="s">
        <v>5499</v>
      </c>
      <c r="C2719" s="4" t="s">
        <v>5702</v>
      </c>
      <c r="D2719" s="4" t="s">
        <v>5728</v>
      </c>
      <c r="E2719" s="4" t="s">
        <v>5515</v>
      </c>
      <c r="F2719" s="4" t="s">
        <v>9848</v>
      </c>
      <c r="G2719" s="4" t="s">
        <v>9849</v>
      </c>
      <c r="H2719" s="4" t="s">
        <v>5532</v>
      </c>
      <c r="I2719" s="5">
        <v>45957</v>
      </c>
      <c r="J2719" s="4" t="s">
        <v>5506</v>
      </c>
      <c r="K2719" s="4" t="s">
        <v>57</v>
      </c>
      <c r="L2719" s="4"/>
      <c r="M2719" s="4"/>
    </row>
    <row r="2720" ht="16" customHeight="1" s="4" customFormat="1">
      <c r="A2720" s="4">
        <v>115</v>
      </c>
      <c r="B2720" s="4" t="s">
        <v>5499</v>
      </c>
      <c r="C2720" s="4" t="s">
        <v>5702</v>
      </c>
      <c r="D2720" s="4" t="s">
        <v>5728</v>
      </c>
      <c r="E2720" s="4" t="s">
        <v>5515</v>
      </c>
      <c r="F2720" s="4" t="s">
        <v>9850</v>
      </c>
      <c r="G2720" s="4" t="s">
        <v>9851</v>
      </c>
      <c r="H2720" s="4" t="s">
        <v>7026</v>
      </c>
      <c r="I2720" s="5">
        <v>45957</v>
      </c>
      <c r="J2720" s="4" t="s">
        <v>4798</v>
      </c>
      <c r="K2720" s="4" t="s">
        <v>57</v>
      </c>
      <c r="L2720" s="4"/>
      <c r="M2720" s="4"/>
    </row>
    <row r="2721" ht="16" customHeight="1" s="4" customFormat="1">
      <c r="A2721" s="4">
        <v>116</v>
      </c>
      <c r="B2721" s="4" t="s">
        <v>5499</v>
      </c>
      <c r="C2721" s="4" t="s">
        <v>5702</v>
      </c>
      <c r="D2721" s="4" t="s">
        <v>5728</v>
      </c>
      <c r="E2721" s="4" t="s">
        <v>5515</v>
      </c>
      <c r="F2721" s="4" t="s">
        <v>9852</v>
      </c>
      <c r="G2721" s="4" t="s">
        <v>9853</v>
      </c>
      <c r="H2721" s="4" t="s">
        <v>7026</v>
      </c>
      <c r="I2721" s="5">
        <v>45957</v>
      </c>
      <c r="J2721" s="4" t="s">
        <v>4798</v>
      </c>
      <c r="K2721" s="4" t="s">
        <v>57</v>
      </c>
      <c r="L2721" s="4"/>
      <c r="M2721" s="4"/>
    </row>
    <row r="2722" ht="16" customHeight="1" s="4" customFormat="1">
      <c r="A2722" s="4">
        <v>117</v>
      </c>
      <c r="B2722" s="4" t="s">
        <v>5499</v>
      </c>
      <c r="C2722" s="4" t="s">
        <v>5702</v>
      </c>
      <c r="D2722" s="4" t="s">
        <v>5728</v>
      </c>
      <c r="E2722" s="4" t="s">
        <v>5515</v>
      </c>
      <c r="F2722" s="4" t="s">
        <v>9854</v>
      </c>
      <c r="G2722" s="4" t="s">
        <v>9853</v>
      </c>
      <c r="H2722" s="4" t="s">
        <v>7026</v>
      </c>
      <c r="I2722" s="5">
        <v>45957</v>
      </c>
      <c r="J2722" s="4" t="s">
        <v>4798</v>
      </c>
      <c r="K2722" s="4" t="s">
        <v>57</v>
      </c>
      <c r="L2722" s="4"/>
      <c r="M2722" s="4"/>
    </row>
    <row r="2723" ht="16" customHeight="1" s="4" customFormat="1">
      <c r="A2723" s="4">
        <v>118</v>
      </c>
      <c r="B2723" s="4" t="s">
        <v>5499</v>
      </c>
      <c r="C2723" s="4" t="s">
        <v>5702</v>
      </c>
      <c r="D2723" s="4" t="s">
        <v>5728</v>
      </c>
      <c r="E2723" s="4" t="s">
        <v>5515</v>
      </c>
      <c r="F2723" s="4" t="s">
        <v>9855</v>
      </c>
      <c r="G2723" s="4" t="s">
        <v>9856</v>
      </c>
      <c r="H2723" s="4" t="s">
        <v>5532</v>
      </c>
      <c r="I2723" s="5">
        <v>45957</v>
      </c>
      <c r="J2723" s="4" t="s">
        <v>5506</v>
      </c>
      <c r="K2723" s="4" t="s">
        <v>57</v>
      </c>
      <c r="L2723" s="4"/>
      <c r="M2723" s="4"/>
    </row>
    <row r="2724" ht="16" customHeight="1" s="4" customFormat="1">
      <c r="A2724" s="4">
        <v>119</v>
      </c>
      <c r="B2724" s="4" t="s">
        <v>5499</v>
      </c>
      <c r="C2724" s="4" t="s">
        <v>5702</v>
      </c>
      <c r="D2724" s="4" t="s">
        <v>5728</v>
      </c>
      <c r="E2724" s="4" t="s">
        <v>5515</v>
      </c>
      <c r="F2724" s="4" t="s">
        <v>9857</v>
      </c>
      <c r="G2724" s="4" t="s">
        <v>9858</v>
      </c>
      <c r="H2724" s="4" t="s">
        <v>5532</v>
      </c>
      <c r="I2724" s="5">
        <v>45957</v>
      </c>
      <c r="J2724" s="4" t="s">
        <v>4798</v>
      </c>
      <c r="K2724" s="4" t="s">
        <v>57</v>
      </c>
      <c r="L2724" s="4"/>
      <c r="M2724" s="4"/>
    </row>
    <row r="2725" ht="16" customHeight="1" s="4" customFormat="1">
      <c r="A2725" s="4">
        <v>120</v>
      </c>
      <c r="B2725" s="4" t="s">
        <v>5499</v>
      </c>
      <c r="C2725" s="4" t="s">
        <v>5702</v>
      </c>
      <c r="D2725" s="4" t="s">
        <v>5728</v>
      </c>
      <c r="E2725" s="4" t="s">
        <v>5515</v>
      </c>
      <c r="F2725" s="4" t="s">
        <v>9859</v>
      </c>
      <c r="G2725" s="4" t="s">
        <v>9860</v>
      </c>
      <c r="H2725" s="4" t="s">
        <v>5532</v>
      </c>
      <c r="I2725" s="5">
        <v>45957</v>
      </c>
      <c r="J2725" s="4" t="s">
        <v>5506</v>
      </c>
      <c r="K2725" s="4" t="s">
        <v>57</v>
      </c>
      <c r="L2725" s="4"/>
      <c r="M2725" s="4"/>
    </row>
    <row r="2726" ht="16" customHeight="1" s="4" customFormat="1">
      <c r="A2726" s="4">
        <v>121</v>
      </c>
      <c r="B2726" s="4" t="s">
        <v>5499</v>
      </c>
      <c r="C2726" s="4" t="s">
        <v>5702</v>
      </c>
      <c r="D2726" s="4" t="s">
        <v>5728</v>
      </c>
      <c r="E2726" s="4" t="s">
        <v>5515</v>
      </c>
      <c r="F2726" s="4" t="s">
        <v>9861</v>
      </c>
      <c r="G2726" s="4" t="s">
        <v>9860</v>
      </c>
      <c r="H2726" s="4" t="s">
        <v>5532</v>
      </c>
      <c r="I2726" s="5">
        <v>45957</v>
      </c>
      <c r="J2726" s="4" t="s">
        <v>4798</v>
      </c>
      <c r="K2726" s="4" t="s">
        <v>57</v>
      </c>
      <c r="L2726" s="4"/>
      <c r="M2726" s="4"/>
    </row>
    <row r="2727" ht="16" customHeight="1" s="4" customFormat="1">
      <c r="A2727" s="4">
        <v>122</v>
      </c>
      <c r="B2727" s="4" t="s">
        <v>5499</v>
      </c>
      <c r="C2727" s="4" t="s">
        <v>5702</v>
      </c>
      <c r="D2727" s="4" t="s">
        <v>5728</v>
      </c>
      <c r="E2727" s="4" t="s">
        <v>5515</v>
      </c>
      <c r="F2727" s="4" t="s">
        <v>9862</v>
      </c>
      <c r="G2727" s="4" t="s">
        <v>9853</v>
      </c>
      <c r="H2727" s="4" t="s">
        <v>7026</v>
      </c>
      <c r="I2727" s="5">
        <v>45957</v>
      </c>
      <c r="J2727" s="4" t="s">
        <v>4798</v>
      </c>
      <c r="K2727" s="4" t="s">
        <v>57</v>
      </c>
      <c r="L2727" s="4"/>
      <c r="M2727" s="4"/>
    </row>
    <row r="2728" ht="16" customHeight="1" s="4" customFormat="1">
      <c r="A2728" s="4">
        <v>123</v>
      </c>
      <c r="B2728" s="4" t="s">
        <v>5499</v>
      </c>
      <c r="C2728" s="4" t="s">
        <v>5702</v>
      </c>
      <c r="D2728" s="4" t="s">
        <v>5728</v>
      </c>
      <c r="E2728" s="4" t="s">
        <v>5515</v>
      </c>
      <c r="F2728" s="4" t="s">
        <v>9863</v>
      </c>
      <c r="G2728" s="4" t="s">
        <v>9864</v>
      </c>
      <c r="H2728" s="4" t="s">
        <v>5532</v>
      </c>
      <c r="I2728" s="5">
        <v>45957</v>
      </c>
      <c r="J2728" s="4" t="s">
        <v>5506</v>
      </c>
      <c r="K2728" s="4" t="s">
        <v>57</v>
      </c>
      <c r="L2728" s="4"/>
      <c r="M2728" s="4"/>
    </row>
    <row r="2729" ht="16" customHeight="1" s="4" customFormat="1">
      <c r="A2729" s="4">
        <v>124</v>
      </c>
      <c r="B2729" s="4" t="s">
        <v>5499</v>
      </c>
      <c r="C2729" s="4" t="s">
        <v>5702</v>
      </c>
      <c r="D2729" s="4" t="s">
        <v>5728</v>
      </c>
      <c r="E2729" s="4" t="s">
        <v>5515</v>
      </c>
      <c r="F2729" s="4" t="s">
        <v>9865</v>
      </c>
      <c r="G2729" s="4" t="s">
        <v>9866</v>
      </c>
      <c r="H2729" s="4" t="s">
        <v>7026</v>
      </c>
      <c r="I2729" s="5">
        <v>45957</v>
      </c>
      <c r="J2729" s="4" t="s">
        <v>4798</v>
      </c>
      <c r="K2729" s="4" t="s">
        <v>57</v>
      </c>
      <c r="L2729" s="4"/>
      <c r="M2729" s="4"/>
    </row>
    <row r="2730" ht="16" customHeight="1" s="4" customFormat="1">
      <c r="A2730" s="4">
        <v>125</v>
      </c>
      <c r="B2730" s="4" t="s">
        <v>5499</v>
      </c>
      <c r="C2730" s="4" t="s">
        <v>5702</v>
      </c>
      <c r="D2730" s="4" t="s">
        <v>5728</v>
      </c>
      <c r="E2730" s="4" t="s">
        <v>5515</v>
      </c>
      <c r="F2730" s="4" t="s">
        <v>9867</v>
      </c>
      <c r="G2730" s="4" t="s">
        <v>9866</v>
      </c>
      <c r="H2730" s="4" t="s">
        <v>7026</v>
      </c>
      <c r="I2730" s="5">
        <v>45957</v>
      </c>
      <c r="J2730" s="4" t="s">
        <v>4798</v>
      </c>
      <c r="K2730" s="4" t="s">
        <v>57</v>
      </c>
      <c r="L2730" s="4"/>
      <c r="M2730" s="4"/>
    </row>
    <row r="2731" ht="16" customHeight="1" s="4" customFormat="1">
      <c r="A2731" s="4">
        <v>126</v>
      </c>
      <c r="B2731" s="4" t="s">
        <v>5499</v>
      </c>
      <c r="C2731" s="4" t="s">
        <v>5702</v>
      </c>
      <c r="D2731" s="4" t="s">
        <v>5728</v>
      </c>
      <c r="E2731" s="4" t="s">
        <v>5515</v>
      </c>
      <c r="F2731" s="4" t="s">
        <v>9868</v>
      </c>
      <c r="G2731" s="4" t="s">
        <v>9860</v>
      </c>
      <c r="H2731" s="4" t="s">
        <v>5532</v>
      </c>
      <c r="I2731" s="5">
        <v>45957</v>
      </c>
      <c r="J2731" s="4" t="s">
        <v>4798</v>
      </c>
      <c r="K2731" s="4" t="s">
        <v>57</v>
      </c>
      <c r="L2731" s="4"/>
      <c r="M2731" s="4"/>
    </row>
    <row r="2732" ht="16" customHeight="1" s="4" customFormat="1">
      <c r="A2732" s="4">
        <v>127</v>
      </c>
      <c r="B2732" s="4" t="s">
        <v>5499</v>
      </c>
      <c r="C2732" s="4" t="s">
        <v>5702</v>
      </c>
      <c r="D2732" s="4" t="s">
        <v>5728</v>
      </c>
      <c r="E2732" s="4" t="s">
        <v>5515</v>
      </c>
      <c r="F2732" s="4" t="s">
        <v>9869</v>
      </c>
      <c r="G2732" s="4" t="s">
        <v>9856</v>
      </c>
      <c r="H2732" s="4" t="s">
        <v>7026</v>
      </c>
      <c r="I2732" s="5">
        <v>45957</v>
      </c>
      <c r="J2732" s="4" t="s">
        <v>4798</v>
      </c>
      <c r="K2732" s="4" t="s">
        <v>57</v>
      </c>
      <c r="L2732" s="4"/>
      <c r="M2732" s="4"/>
    </row>
    <row r="2733" ht="16" customHeight="1" s="4" customFormat="1">
      <c r="A2733" s="4">
        <v>128</v>
      </c>
      <c r="B2733" s="4" t="s">
        <v>5499</v>
      </c>
      <c r="C2733" s="4" t="s">
        <v>5573</v>
      </c>
      <c r="D2733" s="4" t="s">
        <v>5574</v>
      </c>
      <c r="E2733" s="4" t="s">
        <v>5575</v>
      </c>
      <c r="F2733" s="4" t="s">
        <v>9870</v>
      </c>
      <c r="G2733" s="4" t="s">
        <v>9871</v>
      </c>
      <c r="H2733" s="4" t="s">
        <v>5588</v>
      </c>
      <c r="I2733" s="5">
        <v>45924</v>
      </c>
      <c r="J2733" s="4" t="s">
        <v>4798</v>
      </c>
      <c r="K2733" s="4" t="s">
        <v>57</v>
      </c>
      <c r="L2733" s="4"/>
      <c r="M2733" s="4"/>
    </row>
    <row r="2734" ht="16" customHeight="1" s="4" customFormat="1">
      <c r="A2734" s="4">
        <v>129</v>
      </c>
      <c r="B2734" s="4" t="s">
        <v>5528</v>
      </c>
      <c r="C2734" s="4" t="s">
        <v>5529</v>
      </c>
      <c r="D2734" s="4"/>
      <c r="E2734" s="4" t="s">
        <v>9417</v>
      </c>
      <c r="F2734" s="4" t="s">
        <v>9872</v>
      </c>
      <c r="G2734" s="4" t="s">
        <v>9873</v>
      </c>
      <c r="H2734" s="4" t="s">
        <v>4850</v>
      </c>
      <c r="I2734" s="5">
        <v>45915</v>
      </c>
      <c r="J2734" s="4" t="s">
        <v>4798</v>
      </c>
      <c r="K2734" s="4" t="s">
        <v>57</v>
      </c>
      <c r="L2734" s="4"/>
      <c r="M2734" s="4"/>
    </row>
    <row r="2735" ht="16" customHeight="1" s="4" customFormat="1">
      <c r="A2735" s="4">
        <v>130</v>
      </c>
      <c r="B2735" s="4" t="s">
        <v>5499</v>
      </c>
      <c r="C2735" s="4" t="s">
        <v>5573</v>
      </c>
      <c r="D2735" s="4" t="s">
        <v>5574</v>
      </c>
      <c r="E2735" s="4" t="s">
        <v>5575</v>
      </c>
      <c r="F2735" s="4" t="s">
        <v>9874</v>
      </c>
      <c r="G2735" s="4" t="s">
        <v>6419</v>
      </c>
      <c r="H2735" s="4" t="s">
        <v>9875</v>
      </c>
      <c r="I2735" s="5">
        <v>45911</v>
      </c>
      <c r="J2735" s="4" t="s">
        <v>4798</v>
      </c>
      <c r="K2735" s="4" t="s">
        <v>57</v>
      </c>
      <c r="L2735" s="4"/>
      <c r="M2735" s="4"/>
    </row>
    <row r="2736" ht="16" customHeight="1" s="4" customFormat="1">
      <c r="A2736" s="4">
        <v>131</v>
      </c>
      <c r="B2736" s="4" t="s">
        <v>6161</v>
      </c>
      <c r="C2736" s="4" t="s">
        <v>6618</v>
      </c>
      <c r="D2736" s="4"/>
      <c r="E2736" s="4"/>
      <c r="F2736" s="4" t="s">
        <v>9876</v>
      </c>
      <c r="G2736" s="4" t="s">
        <v>5771</v>
      </c>
      <c r="H2736" s="4" t="s">
        <v>8256</v>
      </c>
      <c r="I2736" s="5">
        <v>45911</v>
      </c>
      <c r="J2736" s="4" t="s">
        <v>4842</v>
      </c>
      <c r="K2736" s="4" t="s">
        <v>57</v>
      </c>
      <c r="L2736" s="4"/>
      <c r="M2736" s="4"/>
    </row>
    <row r="2737" ht="16" customHeight="1" s="4" customFormat="1">
      <c r="A2737" s="4">
        <v>132</v>
      </c>
      <c r="B2737" s="4" t="s">
        <v>5499</v>
      </c>
      <c r="C2737" s="4" t="s">
        <v>5590</v>
      </c>
      <c r="D2737" s="4" t="s">
        <v>5574</v>
      </c>
      <c r="E2737" s="4" t="s">
        <v>5575</v>
      </c>
      <c r="F2737" s="4" t="s">
        <v>9877</v>
      </c>
      <c r="G2737" s="4" t="s">
        <v>4850</v>
      </c>
      <c r="H2737" s="4" t="s">
        <v>7113</v>
      </c>
      <c r="I2737" s="5">
        <v>45910</v>
      </c>
      <c r="J2737" s="4" t="s">
        <v>4798</v>
      </c>
      <c r="K2737" s="4" t="s">
        <v>57</v>
      </c>
      <c r="L2737" s="4"/>
      <c r="M2737" s="4"/>
    </row>
    <row r="2738" ht="16" customHeight="1" s="4" customFormat="1">
      <c r="A2738" s="4">
        <v>133</v>
      </c>
      <c r="B2738" s="4" t="s">
        <v>5499</v>
      </c>
      <c r="C2738" s="4" t="s">
        <v>5590</v>
      </c>
      <c r="D2738" s="4"/>
      <c r="E2738" s="4" t="s">
        <v>5952</v>
      </c>
      <c r="F2738" s="4" t="s">
        <v>9878</v>
      </c>
      <c r="G2738" s="4" t="s">
        <v>4850</v>
      </c>
      <c r="H2738" s="4" t="s">
        <v>7113</v>
      </c>
      <c r="I2738" s="5">
        <v>45910</v>
      </c>
      <c r="J2738" s="4" t="s">
        <v>4798</v>
      </c>
      <c r="K2738" s="4" t="s">
        <v>57</v>
      </c>
      <c r="L2738" s="4"/>
      <c r="M2738" s="4"/>
    </row>
    <row r="2739" ht="16" customHeight="1" s="4" customFormat="1">
      <c r="A2739" s="4">
        <v>134</v>
      </c>
      <c r="B2739" s="4" t="s">
        <v>5499</v>
      </c>
      <c r="C2739" s="4" t="s">
        <v>5590</v>
      </c>
      <c r="D2739" s="4"/>
      <c r="E2739" s="4" t="s">
        <v>5952</v>
      </c>
      <c r="F2739" s="4" t="s">
        <v>9879</v>
      </c>
      <c r="G2739" s="4" t="s">
        <v>4850</v>
      </c>
      <c r="H2739" s="4" t="s">
        <v>7113</v>
      </c>
      <c r="I2739" s="5">
        <v>45910</v>
      </c>
      <c r="J2739" s="4" t="s">
        <v>4798</v>
      </c>
      <c r="K2739" s="4" t="s">
        <v>57</v>
      </c>
      <c r="L2739" s="4"/>
      <c r="M2739" s="4"/>
    </row>
    <row r="2740" ht="16" customHeight="1" s="4" customFormat="1">
      <c r="A2740" s="4">
        <v>135</v>
      </c>
      <c r="B2740" s="4" t="s">
        <v>5499</v>
      </c>
      <c r="C2740" s="4" t="s">
        <v>5590</v>
      </c>
      <c r="D2740" s="4"/>
      <c r="E2740" s="4" t="s">
        <v>5952</v>
      </c>
      <c r="F2740" s="4" t="s">
        <v>9880</v>
      </c>
      <c r="G2740" s="4" t="s">
        <v>4850</v>
      </c>
      <c r="H2740" s="4" t="s">
        <v>7113</v>
      </c>
      <c r="I2740" s="5">
        <v>45910</v>
      </c>
      <c r="J2740" s="4" t="s">
        <v>4798</v>
      </c>
      <c r="K2740" s="4" t="s">
        <v>57</v>
      </c>
      <c r="L2740" s="4"/>
      <c r="M2740" s="4"/>
    </row>
    <row r="2741" ht="16" customHeight="1" s="4" customFormat="1">
      <c r="A2741" s="4">
        <v>136</v>
      </c>
      <c r="B2741" s="4" t="s">
        <v>5499</v>
      </c>
      <c r="C2741" s="4" t="s">
        <v>5590</v>
      </c>
      <c r="D2741" s="4"/>
      <c r="E2741" s="4" t="s">
        <v>5952</v>
      </c>
      <c r="F2741" s="4" t="s">
        <v>9881</v>
      </c>
      <c r="G2741" s="4" t="s">
        <v>4850</v>
      </c>
      <c r="H2741" s="4" t="s">
        <v>7113</v>
      </c>
      <c r="I2741" s="5">
        <v>45910</v>
      </c>
      <c r="J2741" s="4" t="s">
        <v>4798</v>
      </c>
      <c r="K2741" s="4" t="s">
        <v>57</v>
      </c>
      <c r="L2741" s="4"/>
      <c r="M2741" s="4"/>
    </row>
    <row r="2742" ht="16" customHeight="1" s="4" customFormat="1">
      <c r="A2742" s="4">
        <v>137</v>
      </c>
      <c r="B2742" s="4" t="s">
        <v>5499</v>
      </c>
      <c r="C2742" s="4" t="s">
        <v>5702</v>
      </c>
      <c r="D2742" s="4" t="s">
        <v>5574</v>
      </c>
      <c r="E2742" s="4" t="s">
        <v>5575</v>
      </c>
      <c r="F2742" s="4" t="s">
        <v>9882</v>
      </c>
      <c r="G2742" s="4" t="s">
        <v>9883</v>
      </c>
      <c r="H2742" s="4" t="s">
        <v>9884</v>
      </c>
      <c r="I2742" s="5">
        <v>45902</v>
      </c>
      <c r="J2742" s="4" t="s">
        <v>5506</v>
      </c>
      <c r="K2742" s="4" t="s">
        <v>57</v>
      </c>
      <c r="L2742" s="4"/>
      <c r="M2742" s="4"/>
    </row>
    <row r="2743" ht="16" customHeight="1" s="4" customFormat="1">
      <c r="A2743" s="4">
        <v>138</v>
      </c>
      <c r="B2743" s="4" t="s">
        <v>5499</v>
      </c>
      <c r="C2743" s="4" t="s">
        <v>5702</v>
      </c>
      <c r="D2743" s="4" t="s">
        <v>5574</v>
      </c>
      <c r="E2743" s="4" t="s">
        <v>5575</v>
      </c>
      <c r="F2743" s="4" t="s">
        <v>9885</v>
      </c>
      <c r="G2743" s="4" t="s">
        <v>9886</v>
      </c>
      <c r="H2743" s="4" t="s">
        <v>9887</v>
      </c>
      <c r="I2743" s="5">
        <v>45902</v>
      </c>
      <c r="J2743" s="4" t="s">
        <v>5506</v>
      </c>
      <c r="K2743" s="4" t="s">
        <v>57</v>
      </c>
      <c r="L2743" s="4"/>
      <c r="M2743" s="4"/>
    </row>
    <row r="2744" ht="16" customHeight="1" s="4" customFormat="1">
      <c r="A2744" s="4">
        <v>139</v>
      </c>
      <c r="B2744" s="4" t="s">
        <v>5499</v>
      </c>
      <c r="C2744" s="4" t="s">
        <v>5590</v>
      </c>
      <c r="D2744" s="4" t="s">
        <v>5574</v>
      </c>
      <c r="E2744" s="4" t="s">
        <v>5575</v>
      </c>
      <c r="F2744" s="4" t="s">
        <v>9888</v>
      </c>
      <c r="G2744" s="4" t="s">
        <v>7014</v>
      </c>
      <c r="H2744" s="4" t="s">
        <v>9889</v>
      </c>
      <c r="I2744" s="5">
        <v>45898</v>
      </c>
      <c r="J2744" s="4" t="s">
        <v>5506</v>
      </c>
      <c r="K2744" s="4" t="s">
        <v>57</v>
      </c>
      <c r="L2744" s="4"/>
      <c r="M2744" s="4"/>
    </row>
    <row r="2745" ht="16" customHeight="1" s="4" customFormat="1">
      <c r="A2745" s="4">
        <v>140</v>
      </c>
      <c r="B2745" s="4" t="s">
        <v>5499</v>
      </c>
      <c r="C2745" s="4" t="s">
        <v>5590</v>
      </c>
      <c r="D2745" s="4" t="s">
        <v>5574</v>
      </c>
      <c r="E2745" s="4" t="s">
        <v>5575</v>
      </c>
      <c r="F2745" s="4" t="s">
        <v>9890</v>
      </c>
      <c r="G2745" s="4" t="s">
        <v>7014</v>
      </c>
      <c r="H2745" s="4" t="s">
        <v>9889</v>
      </c>
      <c r="I2745" s="5">
        <v>45898</v>
      </c>
      <c r="J2745" s="4" t="s">
        <v>5506</v>
      </c>
      <c r="K2745" s="4" t="s">
        <v>57</v>
      </c>
      <c r="L2745" s="4"/>
      <c r="M2745" s="4"/>
    </row>
    <row r="2746" ht="16" customHeight="1" s="4" customFormat="1">
      <c r="A2746" s="4">
        <v>141</v>
      </c>
      <c r="B2746" s="4" t="s">
        <v>5499</v>
      </c>
      <c r="C2746" s="4" t="s">
        <v>5590</v>
      </c>
      <c r="D2746" s="4" t="s">
        <v>5574</v>
      </c>
      <c r="E2746" s="4" t="s">
        <v>5575</v>
      </c>
      <c r="F2746" s="4" t="s">
        <v>9891</v>
      </c>
      <c r="G2746" s="4" t="s">
        <v>7014</v>
      </c>
      <c r="H2746" s="4" t="s">
        <v>9889</v>
      </c>
      <c r="I2746" s="5">
        <v>45898</v>
      </c>
      <c r="J2746" s="4" t="s">
        <v>5506</v>
      </c>
      <c r="K2746" s="4" t="s">
        <v>57</v>
      </c>
      <c r="L2746" s="4"/>
      <c r="M2746" s="4"/>
    </row>
    <row r="2747" ht="16" customHeight="1" s="4" customFormat="1">
      <c r="A2747" s="4">
        <v>142</v>
      </c>
      <c r="B2747" s="4" t="s">
        <v>5499</v>
      </c>
      <c r="C2747" s="4" t="s">
        <v>5590</v>
      </c>
      <c r="D2747" s="4" t="s">
        <v>5574</v>
      </c>
      <c r="E2747" s="4" t="s">
        <v>5575</v>
      </c>
      <c r="F2747" s="4" t="s">
        <v>9892</v>
      </c>
      <c r="G2747" s="4" t="s">
        <v>7014</v>
      </c>
      <c r="H2747" s="4" t="s">
        <v>9889</v>
      </c>
      <c r="I2747" s="5">
        <v>45898</v>
      </c>
      <c r="J2747" s="4" t="s">
        <v>5506</v>
      </c>
      <c r="K2747" s="4" t="s">
        <v>57</v>
      </c>
      <c r="L2747" s="4"/>
      <c r="M2747" s="4"/>
    </row>
    <row r="2748" ht="16" customHeight="1" s="4" customFormat="1">
      <c r="A2748" s="4">
        <v>143</v>
      </c>
      <c r="B2748" s="4" t="s">
        <v>5499</v>
      </c>
      <c r="C2748" s="4" t="s">
        <v>5590</v>
      </c>
      <c r="D2748" s="4" t="s">
        <v>5574</v>
      </c>
      <c r="E2748" s="4" t="s">
        <v>5575</v>
      </c>
      <c r="F2748" s="4" t="s">
        <v>9893</v>
      </c>
      <c r="G2748" s="4" t="s">
        <v>7014</v>
      </c>
      <c r="H2748" s="4" t="s">
        <v>9889</v>
      </c>
      <c r="I2748" s="5">
        <v>45898</v>
      </c>
      <c r="J2748" s="4" t="s">
        <v>5506</v>
      </c>
      <c r="K2748" s="4" t="s">
        <v>57</v>
      </c>
      <c r="L2748" s="4"/>
      <c r="M2748" s="4"/>
    </row>
    <row r="2749" ht="16" customHeight="1" s="4" customFormat="1">
      <c r="A2749" s="4">
        <v>144</v>
      </c>
      <c r="B2749" s="4" t="s">
        <v>5499</v>
      </c>
      <c r="C2749" s="4" t="s">
        <v>5590</v>
      </c>
      <c r="D2749" s="4" t="s">
        <v>5574</v>
      </c>
      <c r="E2749" s="4" t="s">
        <v>5575</v>
      </c>
      <c r="F2749" s="4" t="s">
        <v>9894</v>
      </c>
      <c r="G2749" s="4" t="s">
        <v>7014</v>
      </c>
      <c r="H2749" s="4" t="s">
        <v>9889</v>
      </c>
      <c r="I2749" s="5">
        <v>45898</v>
      </c>
      <c r="J2749" s="4" t="s">
        <v>5506</v>
      </c>
      <c r="K2749" s="4" t="s">
        <v>57</v>
      </c>
      <c r="L2749" s="4"/>
      <c r="M2749" s="4"/>
    </row>
    <row r="2750" ht="16" customHeight="1" s="4" customFormat="1">
      <c r="A2750" s="4">
        <v>145</v>
      </c>
      <c r="B2750" s="4" t="s">
        <v>5499</v>
      </c>
      <c r="C2750" s="4" t="s">
        <v>5590</v>
      </c>
      <c r="D2750" s="4" t="s">
        <v>5574</v>
      </c>
      <c r="E2750" s="4" t="s">
        <v>5575</v>
      </c>
      <c r="F2750" s="4" t="s">
        <v>9895</v>
      </c>
      <c r="G2750" s="4" t="s">
        <v>7014</v>
      </c>
      <c r="H2750" s="4" t="s">
        <v>9889</v>
      </c>
      <c r="I2750" s="5">
        <v>45898</v>
      </c>
      <c r="J2750" s="4" t="s">
        <v>5506</v>
      </c>
      <c r="K2750" s="4" t="s">
        <v>57</v>
      </c>
      <c r="L2750" s="4"/>
      <c r="M2750" s="4"/>
    </row>
    <row r="2751" ht="16" customHeight="1" s="4" customFormat="1">
      <c r="A2751" s="4">
        <v>146</v>
      </c>
      <c r="B2751" s="4" t="s">
        <v>5499</v>
      </c>
      <c r="C2751" s="4" t="s">
        <v>5590</v>
      </c>
      <c r="D2751" s="4" t="s">
        <v>5574</v>
      </c>
      <c r="E2751" s="4" t="s">
        <v>5575</v>
      </c>
      <c r="F2751" s="4" t="s">
        <v>9896</v>
      </c>
      <c r="G2751" s="4" t="s">
        <v>7014</v>
      </c>
      <c r="H2751" s="4" t="s">
        <v>9889</v>
      </c>
      <c r="I2751" s="5">
        <v>45898</v>
      </c>
      <c r="J2751" s="4" t="s">
        <v>5506</v>
      </c>
      <c r="K2751" s="4" t="s">
        <v>57</v>
      </c>
      <c r="L2751" s="4"/>
      <c r="M2751" s="4"/>
    </row>
    <row r="2752" ht="16" customHeight="1" s="4" customFormat="1">
      <c r="A2752" s="4">
        <v>147</v>
      </c>
      <c r="B2752" s="4" t="s">
        <v>5499</v>
      </c>
      <c r="C2752" s="4" t="s">
        <v>5590</v>
      </c>
      <c r="D2752" s="4" t="s">
        <v>5574</v>
      </c>
      <c r="E2752" s="4" t="s">
        <v>5575</v>
      </c>
      <c r="F2752" s="4" t="s">
        <v>9897</v>
      </c>
      <c r="G2752" s="4" t="s">
        <v>7014</v>
      </c>
      <c r="H2752" s="4" t="s">
        <v>9889</v>
      </c>
      <c r="I2752" s="5">
        <v>45898</v>
      </c>
      <c r="J2752" s="4" t="s">
        <v>5506</v>
      </c>
      <c r="K2752" s="4" t="s">
        <v>57</v>
      </c>
      <c r="L2752" s="4"/>
      <c r="M2752" s="4"/>
    </row>
    <row r="2753" ht="16" customHeight="1" s="4" customFormat="1">
      <c r="A2753" s="4">
        <v>148</v>
      </c>
      <c r="B2753" s="4" t="s">
        <v>5499</v>
      </c>
      <c r="C2753" s="4" t="s">
        <v>5590</v>
      </c>
      <c r="D2753" s="4" t="s">
        <v>5574</v>
      </c>
      <c r="E2753" s="4" t="s">
        <v>5575</v>
      </c>
      <c r="F2753" s="4" t="s">
        <v>9898</v>
      </c>
      <c r="G2753" s="4" t="s">
        <v>7014</v>
      </c>
      <c r="H2753" s="4" t="s">
        <v>7206</v>
      </c>
      <c r="I2753" s="5">
        <v>45898</v>
      </c>
      <c r="J2753" s="4" t="s">
        <v>5506</v>
      </c>
      <c r="K2753" s="4" t="s">
        <v>57</v>
      </c>
      <c r="L2753" s="4"/>
      <c r="M2753" s="4"/>
    </row>
    <row r="2754" ht="16" customHeight="1" s="4" customFormat="1">
      <c r="A2754" s="4">
        <v>149</v>
      </c>
      <c r="B2754" s="4" t="s">
        <v>5499</v>
      </c>
      <c r="C2754" s="4" t="s">
        <v>5590</v>
      </c>
      <c r="D2754" s="4" t="s">
        <v>5574</v>
      </c>
      <c r="E2754" s="4" t="s">
        <v>5575</v>
      </c>
      <c r="F2754" s="4" t="s">
        <v>9899</v>
      </c>
      <c r="G2754" s="4" t="s">
        <v>7014</v>
      </c>
      <c r="H2754" s="4" t="s">
        <v>7206</v>
      </c>
      <c r="I2754" s="5">
        <v>45898</v>
      </c>
      <c r="J2754" s="4" t="s">
        <v>5506</v>
      </c>
      <c r="K2754" s="4" t="s">
        <v>57</v>
      </c>
      <c r="L2754" s="4"/>
      <c r="M2754" s="4"/>
    </row>
    <row r="2755" ht="16" customHeight="1" s="4" customFormat="1">
      <c r="A2755" s="4">
        <v>150</v>
      </c>
      <c r="B2755" s="4" t="s">
        <v>5499</v>
      </c>
      <c r="C2755" s="4" t="s">
        <v>5590</v>
      </c>
      <c r="D2755" s="4" t="s">
        <v>5574</v>
      </c>
      <c r="E2755" s="4" t="s">
        <v>5575</v>
      </c>
      <c r="F2755" s="4" t="s">
        <v>9900</v>
      </c>
      <c r="G2755" s="4" t="s">
        <v>7014</v>
      </c>
      <c r="H2755" s="4" t="s">
        <v>7206</v>
      </c>
      <c r="I2755" s="5">
        <v>45898</v>
      </c>
      <c r="J2755" s="4" t="s">
        <v>5506</v>
      </c>
      <c r="K2755" s="4" t="s">
        <v>57</v>
      </c>
      <c r="L2755" s="4"/>
      <c r="M2755" s="4"/>
    </row>
    <row r="2756" ht="16" customHeight="1" s="4" customFormat="1">
      <c r="A2756" s="4">
        <v>151</v>
      </c>
      <c r="B2756" s="4" t="s">
        <v>5499</v>
      </c>
      <c r="C2756" s="4" t="s">
        <v>5590</v>
      </c>
      <c r="D2756" s="4" t="s">
        <v>5574</v>
      </c>
      <c r="E2756" s="4" t="s">
        <v>5575</v>
      </c>
      <c r="F2756" s="4" t="s">
        <v>9901</v>
      </c>
      <c r="G2756" s="4" t="s">
        <v>7014</v>
      </c>
      <c r="H2756" s="4" t="s">
        <v>7206</v>
      </c>
      <c r="I2756" s="5">
        <v>45898</v>
      </c>
      <c r="J2756" s="4" t="s">
        <v>5506</v>
      </c>
      <c r="K2756" s="4" t="s">
        <v>57</v>
      </c>
      <c r="L2756" s="4"/>
      <c r="M2756" s="4"/>
    </row>
    <row r="2757" ht="16" customHeight="1" s="4" customFormat="1">
      <c r="A2757" s="4">
        <v>152</v>
      </c>
      <c r="B2757" s="4" t="s">
        <v>5499</v>
      </c>
      <c r="C2757" s="4" t="s">
        <v>5590</v>
      </c>
      <c r="D2757" s="4" t="s">
        <v>5574</v>
      </c>
      <c r="E2757" s="4" t="s">
        <v>5575</v>
      </c>
      <c r="F2757" s="4" t="s">
        <v>9902</v>
      </c>
      <c r="G2757" s="4" t="s">
        <v>7014</v>
      </c>
      <c r="H2757" s="4" t="s">
        <v>7206</v>
      </c>
      <c r="I2757" s="5">
        <v>45898</v>
      </c>
      <c r="J2757" s="4" t="s">
        <v>5506</v>
      </c>
      <c r="K2757" s="4" t="s">
        <v>57</v>
      </c>
      <c r="L2757" s="4"/>
      <c r="M2757" s="4"/>
    </row>
    <row r="2758" ht="16" customHeight="1" s="4" customFormat="1">
      <c r="A2758" s="4">
        <v>153</v>
      </c>
      <c r="B2758" s="4" t="s">
        <v>5499</v>
      </c>
      <c r="C2758" s="4" t="s">
        <v>5590</v>
      </c>
      <c r="D2758" s="4" t="s">
        <v>5574</v>
      </c>
      <c r="E2758" s="4" t="s">
        <v>5575</v>
      </c>
      <c r="F2758" s="4" t="s">
        <v>9903</v>
      </c>
      <c r="G2758" s="4" t="s">
        <v>7014</v>
      </c>
      <c r="H2758" s="4" t="s">
        <v>7206</v>
      </c>
      <c r="I2758" s="5">
        <v>45898</v>
      </c>
      <c r="J2758" s="4" t="s">
        <v>5506</v>
      </c>
      <c r="K2758" s="4" t="s">
        <v>57</v>
      </c>
      <c r="L2758" s="4"/>
      <c r="M2758" s="4"/>
    </row>
    <row r="2759" ht="16" customHeight="1" s="4" customFormat="1">
      <c r="A2759" s="4">
        <v>154</v>
      </c>
      <c r="B2759" s="4" t="s">
        <v>5499</v>
      </c>
      <c r="C2759" s="4" t="s">
        <v>5590</v>
      </c>
      <c r="D2759" s="4" t="s">
        <v>5574</v>
      </c>
      <c r="E2759" s="4" t="s">
        <v>5575</v>
      </c>
      <c r="F2759" s="4" t="s">
        <v>9904</v>
      </c>
      <c r="G2759" s="4" t="s">
        <v>7014</v>
      </c>
      <c r="H2759" s="4" t="s">
        <v>7206</v>
      </c>
      <c r="I2759" s="5">
        <v>45898</v>
      </c>
      <c r="J2759" s="4" t="s">
        <v>5506</v>
      </c>
      <c r="K2759" s="4" t="s">
        <v>57</v>
      </c>
      <c r="L2759" s="4"/>
      <c r="M2759" s="4"/>
    </row>
    <row r="2760" ht="16" customHeight="1" s="4" customFormat="1">
      <c r="A2760" s="4">
        <v>155</v>
      </c>
      <c r="B2760" s="4" t="s">
        <v>5499</v>
      </c>
      <c r="C2760" s="4" t="s">
        <v>5590</v>
      </c>
      <c r="D2760" s="4" t="s">
        <v>5574</v>
      </c>
      <c r="E2760" s="4" t="s">
        <v>5575</v>
      </c>
      <c r="F2760" s="4" t="s">
        <v>9905</v>
      </c>
      <c r="G2760" s="4" t="s">
        <v>7206</v>
      </c>
      <c r="H2760" s="4" t="s">
        <v>7014</v>
      </c>
      <c r="I2760" s="5">
        <v>45898</v>
      </c>
      <c r="J2760" s="4" t="s">
        <v>5506</v>
      </c>
      <c r="K2760" s="4" t="s">
        <v>57</v>
      </c>
      <c r="L2760" s="4"/>
      <c r="M2760" s="4"/>
    </row>
    <row r="2761" ht="16" customHeight="1" s="4" customFormat="1">
      <c r="A2761" s="4">
        <v>156</v>
      </c>
      <c r="B2761" s="4" t="s">
        <v>5499</v>
      </c>
      <c r="C2761" s="4" t="s">
        <v>5590</v>
      </c>
      <c r="D2761" s="4" t="s">
        <v>5574</v>
      </c>
      <c r="E2761" s="4" t="s">
        <v>5575</v>
      </c>
      <c r="F2761" s="4" t="s">
        <v>9906</v>
      </c>
      <c r="G2761" s="4" t="s">
        <v>7206</v>
      </c>
      <c r="H2761" s="4" t="s">
        <v>7014</v>
      </c>
      <c r="I2761" s="5">
        <v>45898</v>
      </c>
      <c r="J2761" s="4" t="s">
        <v>5506</v>
      </c>
      <c r="K2761" s="4" t="s">
        <v>57</v>
      </c>
      <c r="L2761" s="4"/>
      <c r="M2761" s="4"/>
    </row>
    <row r="2762" ht="16" customHeight="1" s="4" customFormat="1">
      <c r="A2762" s="4">
        <v>157</v>
      </c>
      <c r="B2762" s="4" t="s">
        <v>5499</v>
      </c>
      <c r="C2762" s="4" t="s">
        <v>5590</v>
      </c>
      <c r="D2762" s="4" t="s">
        <v>5574</v>
      </c>
      <c r="E2762" s="4" t="s">
        <v>5575</v>
      </c>
      <c r="F2762" s="4" t="s">
        <v>9907</v>
      </c>
      <c r="G2762" s="4" t="s">
        <v>7206</v>
      </c>
      <c r="H2762" s="4" t="s">
        <v>7014</v>
      </c>
      <c r="I2762" s="5">
        <v>45898</v>
      </c>
      <c r="J2762" s="4" t="s">
        <v>5506</v>
      </c>
      <c r="K2762" s="4" t="s">
        <v>57</v>
      </c>
      <c r="L2762" s="4"/>
      <c r="M2762" s="4"/>
    </row>
    <row r="2763" ht="16" customHeight="1" s="4" customFormat="1">
      <c r="A2763" s="4">
        <v>158</v>
      </c>
      <c r="B2763" s="4" t="s">
        <v>5499</v>
      </c>
      <c r="C2763" s="4" t="s">
        <v>5590</v>
      </c>
      <c r="D2763" s="4" t="s">
        <v>5574</v>
      </c>
      <c r="E2763" s="4" t="s">
        <v>5575</v>
      </c>
      <c r="F2763" s="4" t="s">
        <v>9908</v>
      </c>
      <c r="G2763" s="4" t="s">
        <v>7206</v>
      </c>
      <c r="H2763" s="4" t="s">
        <v>7014</v>
      </c>
      <c r="I2763" s="5">
        <v>45898</v>
      </c>
      <c r="J2763" s="4" t="s">
        <v>5506</v>
      </c>
      <c r="K2763" s="4" t="s">
        <v>57</v>
      </c>
      <c r="L2763" s="4"/>
      <c r="M2763" s="4"/>
    </row>
    <row r="2764" ht="16" customHeight="1" s="4" customFormat="1">
      <c r="A2764" s="4">
        <v>159</v>
      </c>
      <c r="B2764" s="4" t="s">
        <v>5499</v>
      </c>
      <c r="C2764" s="4" t="s">
        <v>5590</v>
      </c>
      <c r="D2764" s="4" t="s">
        <v>5574</v>
      </c>
      <c r="E2764" s="4" t="s">
        <v>5575</v>
      </c>
      <c r="F2764" s="4" t="s">
        <v>9909</v>
      </c>
      <c r="G2764" s="4" t="s">
        <v>7206</v>
      </c>
      <c r="H2764" s="4" t="s">
        <v>7014</v>
      </c>
      <c r="I2764" s="5">
        <v>45898</v>
      </c>
      <c r="J2764" s="4" t="s">
        <v>4798</v>
      </c>
      <c r="K2764" s="4" t="s">
        <v>57</v>
      </c>
      <c r="L2764" s="4"/>
      <c r="M2764" s="4"/>
    </row>
    <row r="2765" ht="16" customHeight="1" s="4" customFormat="1">
      <c r="A2765" s="4">
        <v>160</v>
      </c>
      <c r="B2765" s="4" t="s">
        <v>5499</v>
      </c>
      <c r="C2765" s="4" t="s">
        <v>5590</v>
      </c>
      <c r="D2765" s="4" t="s">
        <v>5574</v>
      </c>
      <c r="E2765" s="4" t="s">
        <v>5575</v>
      </c>
      <c r="F2765" s="4" t="s">
        <v>9910</v>
      </c>
      <c r="G2765" s="4" t="s">
        <v>7206</v>
      </c>
      <c r="H2765" s="4" t="s">
        <v>7014</v>
      </c>
      <c r="I2765" s="5">
        <v>45898</v>
      </c>
      <c r="J2765" s="4" t="s">
        <v>4798</v>
      </c>
      <c r="K2765" s="4" t="s">
        <v>57</v>
      </c>
      <c r="L2765" s="4"/>
      <c r="M2765" s="4"/>
    </row>
    <row r="2766" ht="16" customHeight="1" s="4" customFormat="1">
      <c r="A2766" s="4">
        <v>161</v>
      </c>
      <c r="B2766" s="4" t="s">
        <v>5499</v>
      </c>
      <c r="C2766" s="4" t="s">
        <v>5590</v>
      </c>
      <c r="D2766" s="4" t="s">
        <v>5574</v>
      </c>
      <c r="E2766" s="4" t="s">
        <v>5575</v>
      </c>
      <c r="F2766" s="4" t="s">
        <v>9911</v>
      </c>
      <c r="G2766" s="4" t="s">
        <v>7206</v>
      </c>
      <c r="H2766" s="4" t="s">
        <v>7014</v>
      </c>
      <c r="I2766" s="5">
        <v>45898</v>
      </c>
      <c r="J2766" s="4" t="s">
        <v>4798</v>
      </c>
      <c r="K2766" s="4" t="s">
        <v>57</v>
      </c>
      <c r="L2766" s="4"/>
      <c r="M2766" s="4"/>
    </row>
    <row r="2767" ht="16" customHeight="1" s="4" customFormat="1">
      <c r="A2767" s="4">
        <v>162</v>
      </c>
      <c r="B2767" s="4" t="s">
        <v>5499</v>
      </c>
      <c r="C2767" s="4" t="s">
        <v>5590</v>
      </c>
      <c r="D2767" s="4" t="s">
        <v>5574</v>
      </c>
      <c r="E2767" s="4" t="s">
        <v>5575</v>
      </c>
      <c r="F2767" s="4" t="s">
        <v>9912</v>
      </c>
      <c r="G2767" s="4" t="s">
        <v>7206</v>
      </c>
      <c r="H2767" s="4" t="s">
        <v>7014</v>
      </c>
      <c r="I2767" s="5">
        <v>45898</v>
      </c>
      <c r="J2767" s="4" t="s">
        <v>4798</v>
      </c>
      <c r="K2767" s="4" t="s">
        <v>57</v>
      </c>
      <c r="L2767" s="4"/>
      <c r="M2767" s="4"/>
    </row>
    <row r="2768" ht="16" customHeight="1" s="4" customFormat="1">
      <c r="A2768" s="4">
        <v>163</v>
      </c>
      <c r="B2768" s="4" t="s">
        <v>5499</v>
      </c>
      <c r="C2768" s="4" t="s">
        <v>5590</v>
      </c>
      <c r="D2768" s="4" t="s">
        <v>5574</v>
      </c>
      <c r="E2768" s="4" t="s">
        <v>5575</v>
      </c>
      <c r="F2768" s="4" t="s">
        <v>9913</v>
      </c>
      <c r="G2768" s="4" t="s">
        <v>7206</v>
      </c>
      <c r="H2768" s="4" t="s">
        <v>7014</v>
      </c>
      <c r="I2768" s="5">
        <v>45898</v>
      </c>
      <c r="J2768" s="4" t="s">
        <v>4798</v>
      </c>
      <c r="K2768" s="4" t="s">
        <v>57</v>
      </c>
      <c r="L2768" s="4"/>
      <c r="M2768" s="4"/>
    </row>
    <row r="2769" ht="16" customHeight="1" s="4" customFormat="1">
      <c r="A2769" s="4">
        <v>164</v>
      </c>
      <c r="B2769" s="4" t="s">
        <v>5499</v>
      </c>
      <c r="C2769" s="4" t="s">
        <v>5590</v>
      </c>
      <c r="D2769" s="4" t="s">
        <v>5574</v>
      </c>
      <c r="E2769" s="4" t="s">
        <v>5575</v>
      </c>
      <c r="F2769" s="4" t="s">
        <v>9914</v>
      </c>
      <c r="G2769" s="4" t="s">
        <v>7206</v>
      </c>
      <c r="H2769" s="4" t="s">
        <v>7014</v>
      </c>
      <c r="I2769" s="5">
        <v>45898</v>
      </c>
      <c r="J2769" s="4" t="s">
        <v>4798</v>
      </c>
      <c r="K2769" s="4" t="s">
        <v>57</v>
      </c>
      <c r="L2769" s="4"/>
      <c r="M2769" s="4"/>
    </row>
    <row r="2770" ht="16" customHeight="1" s="4" customFormat="1">
      <c r="A2770" s="4">
        <v>165</v>
      </c>
      <c r="B2770" s="4" t="s">
        <v>5499</v>
      </c>
      <c r="C2770" s="4" t="s">
        <v>5590</v>
      </c>
      <c r="D2770" s="4" t="s">
        <v>5574</v>
      </c>
      <c r="E2770" s="4" t="s">
        <v>5575</v>
      </c>
      <c r="F2770" s="4" t="s">
        <v>9915</v>
      </c>
      <c r="G2770" s="4" t="s">
        <v>7206</v>
      </c>
      <c r="H2770" s="4" t="s">
        <v>7014</v>
      </c>
      <c r="I2770" s="5">
        <v>45898</v>
      </c>
      <c r="J2770" s="4" t="s">
        <v>5506</v>
      </c>
      <c r="K2770" s="4" t="s">
        <v>57</v>
      </c>
      <c r="L2770" s="4"/>
      <c r="M2770" s="4"/>
    </row>
    <row r="2771" ht="16" customHeight="1" s="4" customFormat="1">
      <c r="A2771" s="4">
        <v>166</v>
      </c>
      <c r="B2771" s="4" t="s">
        <v>5499</v>
      </c>
      <c r="C2771" s="4" t="s">
        <v>5590</v>
      </c>
      <c r="D2771" s="4" t="s">
        <v>5574</v>
      </c>
      <c r="E2771" s="4" t="s">
        <v>5575</v>
      </c>
      <c r="F2771" s="4" t="s">
        <v>9916</v>
      </c>
      <c r="G2771" s="4" t="s">
        <v>7206</v>
      </c>
      <c r="H2771" s="4" t="s">
        <v>7014</v>
      </c>
      <c r="I2771" s="5">
        <v>45898</v>
      </c>
      <c r="J2771" s="4" t="s">
        <v>4798</v>
      </c>
      <c r="K2771" s="4" t="s">
        <v>57</v>
      </c>
      <c r="L2771" s="4"/>
      <c r="M2771" s="4"/>
    </row>
    <row r="2772" ht="16" customHeight="1" s="4" customFormat="1">
      <c r="A2772" s="4">
        <v>167</v>
      </c>
      <c r="B2772" s="4" t="s">
        <v>5499</v>
      </c>
      <c r="C2772" s="4" t="s">
        <v>5590</v>
      </c>
      <c r="D2772" s="4" t="s">
        <v>5574</v>
      </c>
      <c r="E2772" s="4" t="s">
        <v>5575</v>
      </c>
      <c r="F2772" s="4" t="s">
        <v>9917</v>
      </c>
      <c r="G2772" s="4" t="s">
        <v>9889</v>
      </c>
      <c r="H2772" s="4" t="s">
        <v>7014</v>
      </c>
      <c r="I2772" s="5">
        <v>45898</v>
      </c>
      <c r="J2772" s="4" t="s">
        <v>4798</v>
      </c>
      <c r="K2772" s="4" t="s">
        <v>57</v>
      </c>
      <c r="L2772" s="4"/>
      <c r="M2772" s="4"/>
    </row>
    <row r="2773" ht="16" customHeight="1" s="4" customFormat="1">
      <c r="A2773" s="4">
        <v>168</v>
      </c>
      <c r="B2773" s="4" t="s">
        <v>5499</v>
      </c>
      <c r="C2773" s="4" t="s">
        <v>5590</v>
      </c>
      <c r="D2773" s="4" t="s">
        <v>5574</v>
      </c>
      <c r="E2773" s="4" t="s">
        <v>5575</v>
      </c>
      <c r="F2773" s="4" t="s">
        <v>9918</v>
      </c>
      <c r="G2773" s="4" t="s">
        <v>9889</v>
      </c>
      <c r="H2773" s="4" t="s">
        <v>7014</v>
      </c>
      <c r="I2773" s="5">
        <v>45898</v>
      </c>
      <c r="J2773" s="4" t="s">
        <v>5506</v>
      </c>
      <c r="K2773" s="4" t="s">
        <v>57</v>
      </c>
      <c r="L2773" s="4"/>
      <c r="M2773" s="4"/>
    </row>
    <row r="2774" ht="16" customHeight="1" s="4" customFormat="1">
      <c r="A2774" s="4">
        <v>169</v>
      </c>
      <c r="B2774" s="4" t="s">
        <v>5499</v>
      </c>
      <c r="C2774" s="4" t="s">
        <v>5590</v>
      </c>
      <c r="D2774" s="4" t="s">
        <v>5574</v>
      </c>
      <c r="E2774" s="4" t="s">
        <v>5575</v>
      </c>
      <c r="F2774" s="4" t="s">
        <v>9919</v>
      </c>
      <c r="G2774" s="4" t="s">
        <v>9889</v>
      </c>
      <c r="H2774" s="4" t="s">
        <v>7014</v>
      </c>
      <c r="I2774" s="5">
        <v>45898</v>
      </c>
      <c r="J2774" s="4" t="s">
        <v>5506</v>
      </c>
      <c r="K2774" s="4" t="s">
        <v>57</v>
      </c>
      <c r="L2774" s="4"/>
      <c r="M2774" s="4"/>
    </row>
    <row r="2775" ht="16" customHeight="1" s="4" customFormat="1">
      <c r="A2775" s="4">
        <v>170</v>
      </c>
      <c r="B2775" s="4" t="s">
        <v>5499</v>
      </c>
      <c r="C2775" s="4" t="s">
        <v>5590</v>
      </c>
      <c r="D2775" s="4" t="s">
        <v>5574</v>
      </c>
      <c r="E2775" s="4" t="s">
        <v>5575</v>
      </c>
      <c r="F2775" s="4" t="s">
        <v>9920</v>
      </c>
      <c r="G2775" s="4" t="s">
        <v>9889</v>
      </c>
      <c r="H2775" s="4" t="s">
        <v>7014</v>
      </c>
      <c r="I2775" s="5">
        <v>45898</v>
      </c>
      <c r="J2775" s="4" t="s">
        <v>5506</v>
      </c>
      <c r="K2775" s="4" t="s">
        <v>57</v>
      </c>
      <c r="L2775" s="4"/>
      <c r="M2775" s="4"/>
    </row>
    <row r="2776" ht="16" customHeight="1" s="4" customFormat="1">
      <c r="A2776" s="4">
        <v>171</v>
      </c>
      <c r="B2776" s="4" t="s">
        <v>5499</v>
      </c>
      <c r="C2776" s="4" t="s">
        <v>5590</v>
      </c>
      <c r="D2776" s="4" t="s">
        <v>5574</v>
      </c>
      <c r="E2776" s="4" t="s">
        <v>5575</v>
      </c>
      <c r="F2776" s="4" t="s">
        <v>9921</v>
      </c>
      <c r="G2776" s="4" t="s">
        <v>9889</v>
      </c>
      <c r="H2776" s="4" t="s">
        <v>7014</v>
      </c>
      <c r="I2776" s="5">
        <v>45898</v>
      </c>
      <c r="J2776" s="4" t="s">
        <v>5506</v>
      </c>
      <c r="K2776" s="4" t="s">
        <v>57</v>
      </c>
      <c r="L2776" s="4"/>
      <c r="M2776" s="4"/>
    </row>
    <row r="2777" ht="16" customHeight="1" s="4" customFormat="1">
      <c r="A2777" s="4">
        <v>172</v>
      </c>
      <c r="B2777" s="4" t="s">
        <v>5499</v>
      </c>
      <c r="C2777" s="4" t="s">
        <v>5590</v>
      </c>
      <c r="D2777" s="4" t="s">
        <v>5574</v>
      </c>
      <c r="E2777" s="4" t="s">
        <v>5575</v>
      </c>
      <c r="F2777" s="4" t="s">
        <v>9922</v>
      </c>
      <c r="G2777" s="4" t="s">
        <v>9889</v>
      </c>
      <c r="H2777" s="4" t="s">
        <v>7014</v>
      </c>
      <c r="I2777" s="5">
        <v>45898</v>
      </c>
      <c r="J2777" s="4" t="s">
        <v>5506</v>
      </c>
      <c r="K2777" s="4" t="s">
        <v>57</v>
      </c>
      <c r="L2777" s="4"/>
      <c r="M2777" s="4"/>
    </row>
    <row r="2778" ht="16" customHeight="1" s="4" customFormat="1">
      <c r="A2778" s="4">
        <v>173</v>
      </c>
      <c r="B2778" s="4" t="s">
        <v>5499</v>
      </c>
      <c r="C2778" s="4" t="s">
        <v>5573</v>
      </c>
      <c r="D2778" s="4" t="s">
        <v>5574</v>
      </c>
      <c r="E2778" s="4" t="s">
        <v>7696</v>
      </c>
      <c r="F2778" s="4" t="s">
        <v>9923</v>
      </c>
      <c r="G2778" s="4"/>
      <c r="H2778" s="4" t="s">
        <v>9924</v>
      </c>
      <c r="I2778" s="5">
        <v>45881</v>
      </c>
      <c r="J2778" s="4" t="s">
        <v>4798</v>
      </c>
      <c r="K2778" s="4" t="s">
        <v>57</v>
      </c>
      <c r="L2778" s="4"/>
      <c r="M2778" s="4"/>
    </row>
    <row r="2779" ht="16" customHeight="1" s="4" customFormat="1">
      <c r="A2779" s="4">
        <v>174</v>
      </c>
      <c r="B2779" s="4" t="s">
        <v>5499</v>
      </c>
      <c r="C2779" s="4" t="s">
        <v>5590</v>
      </c>
      <c r="D2779" s="4"/>
      <c r="E2779" s="4" t="s">
        <v>9925</v>
      </c>
      <c r="F2779" s="4" t="s">
        <v>9926</v>
      </c>
      <c r="G2779" s="4" t="s">
        <v>9927</v>
      </c>
      <c r="H2779" s="4" t="s">
        <v>4850</v>
      </c>
      <c r="I2779" s="5">
        <v>45876</v>
      </c>
      <c r="J2779" s="4" t="s">
        <v>5506</v>
      </c>
      <c r="K2779" s="4" t="s">
        <v>57</v>
      </c>
      <c r="L2779" s="4"/>
      <c r="M2779" s="4"/>
    </row>
    <row r="2780" ht="16" customHeight="1" s="4" customFormat="1">
      <c r="A2780" s="4">
        <v>175</v>
      </c>
      <c r="B2780" s="4" t="s">
        <v>5499</v>
      </c>
      <c r="C2780" s="4" t="s">
        <v>5500</v>
      </c>
      <c r="D2780" s="4"/>
      <c r="E2780" s="4" t="s">
        <v>6301</v>
      </c>
      <c r="F2780" s="4" t="s">
        <v>9928</v>
      </c>
      <c r="G2780" s="4" t="s">
        <v>9929</v>
      </c>
      <c r="H2780" s="4" t="s">
        <v>9930</v>
      </c>
      <c r="I2780" s="5">
        <v>45868</v>
      </c>
      <c r="J2780" s="4" t="s">
        <v>4798</v>
      </c>
      <c r="K2780" s="4" t="s">
        <v>57</v>
      </c>
      <c r="L2780" s="4"/>
      <c r="M2780" s="4"/>
    </row>
    <row r="2781" ht="16" customHeight="1" s="4" customFormat="1">
      <c r="A2781" s="4">
        <v>176</v>
      </c>
      <c r="B2781" s="4" t="s">
        <v>5499</v>
      </c>
      <c r="C2781" s="4" t="s">
        <v>5509</v>
      </c>
      <c r="D2781" s="4"/>
      <c r="E2781" s="4"/>
      <c r="F2781" s="4" t="s">
        <v>9931</v>
      </c>
      <c r="G2781" s="4" t="s">
        <v>9932</v>
      </c>
      <c r="H2781" s="4" t="s">
        <v>5791</v>
      </c>
      <c r="I2781" s="5">
        <v>45866</v>
      </c>
      <c r="J2781" s="4" t="s">
        <v>9933</v>
      </c>
      <c r="K2781" s="4" t="s">
        <v>57</v>
      </c>
      <c r="L2781" s="4"/>
      <c r="M2781" s="4"/>
    </row>
    <row r="2782" ht="16" customHeight="1" s="4" customFormat="1">
      <c r="A2782" s="4">
        <v>177</v>
      </c>
      <c r="B2782" s="4" t="s">
        <v>5499</v>
      </c>
      <c r="C2782" s="4" t="s">
        <v>5590</v>
      </c>
      <c r="D2782" s="4"/>
      <c r="E2782" s="4" t="s">
        <v>9925</v>
      </c>
      <c r="F2782" s="4" t="s">
        <v>9934</v>
      </c>
      <c r="G2782" s="4" t="s">
        <v>9935</v>
      </c>
      <c r="H2782" s="4" t="s">
        <v>5843</v>
      </c>
      <c r="I2782" s="5">
        <v>45855</v>
      </c>
      <c r="J2782" s="4" t="s">
        <v>5506</v>
      </c>
      <c r="K2782" s="4" t="s">
        <v>57</v>
      </c>
      <c r="L2782" s="4"/>
      <c r="M2782" s="4"/>
    </row>
    <row r="2783" ht="16" customHeight="1" s="4" customFormat="1">
      <c r="A2783" s="4">
        <v>178</v>
      </c>
      <c r="B2783" s="4" t="s">
        <v>5499</v>
      </c>
      <c r="C2783" s="4" t="s">
        <v>5702</v>
      </c>
      <c r="D2783" s="4" t="s">
        <v>5574</v>
      </c>
      <c r="E2783" s="4" t="s">
        <v>5575</v>
      </c>
      <c r="F2783" s="4" t="s">
        <v>9936</v>
      </c>
      <c r="G2783" s="4" t="s">
        <v>9937</v>
      </c>
      <c r="H2783" s="4" t="s">
        <v>9938</v>
      </c>
      <c r="I2783" s="5">
        <v>45854</v>
      </c>
      <c r="J2783" s="4" t="s">
        <v>5506</v>
      </c>
      <c r="K2783" s="4" t="s">
        <v>57</v>
      </c>
      <c r="L2783" s="4"/>
      <c r="M2783" s="4"/>
    </row>
    <row r="2784" ht="16" customHeight="1" s="4" customFormat="1">
      <c r="A2784" s="4">
        <v>179</v>
      </c>
      <c r="B2784" s="4" t="s">
        <v>5528</v>
      </c>
      <c r="C2784" s="4" t="s">
        <v>7692</v>
      </c>
      <c r="D2784" s="4"/>
      <c r="E2784" s="4" t="s">
        <v>9939</v>
      </c>
      <c r="F2784" s="4" t="s">
        <v>9940</v>
      </c>
      <c r="G2784" s="4" t="s">
        <v>9941</v>
      </c>
      <c r="H2784" s="4" t="s">
        <v>4850</v>
      </c>
      <c r="I2784" s="5">
        <v>45847</v>
      </c>
      <c r="J2784" s="4" t="s">
        <v>4842</v>
      </c>
      <c r="K2784" s="4" t="s">
        <v>57</v>
      </c>
      <c r="L2784" s="4"/>
      <c r="M2784" s="4"/>
    </row>
    <row r="2785" ht="16" customHeight="1" s="4" customFormat="1">
      <c r="A2785" s="4">
        <v>180</v>
      </c>
      <c r="B2785" s="4" t="s">
        <v>5499</v>
      </c>
      <c r="C2785" s="4" t="s">
        <v>5702</v>
      </c>
      <c r="D2785" s="4" t="s">
        <v>5574</v>
      </c>
      <c r="E2785" s="4" t="s">
        <v>5575</v>
      </c>
      <c r="F2785" s="4" t="s">
        <v>9942</v>
      </c>
      <c r="G2785" s="4" t="s">
        <v>9943</v>
      </c>
      <c r="H2785" s="4" t="s">
        <v>9944</v>
      </c>
      <c r="I2785" s="5">
        <v>45847</v>
      </c>
      <c r="J2785" s="4" t="s">
        <v>5506</v>
      </c>
      <c r="K2785" s="4" t="s">
        <v>57</v>
      </c>
      <c r="L2785" s="4"/>
      <c r="M2785" s="4"/>
    </row>
    <row r="2786" ht="16" customHeight="1" s="4" customFormat="1">
      <c r="A2786" s="4">
        <v>181</v>
      </c>
      <c r="B2786" s="4" t="s">
        <v>5499</v>
      </c>
      <c r="C2786" s="4" t="s">
        <v>5702</v>
      </c>
      <c r="D2786" s="4" t="s">
        <v>5574</v>
      </c>
      <c r="E2786" s="4" t="s">
        <v>5575</v>
      </c>
      <c r="F2786" s="4" t="s">
        <v>9945</v>
      </c>
      <c r="G2786" s="4" t="s">
        <v>9946</v>
      </c>
      <c r="H2786" s="4" t="s">
        <v>9947</v>
      </c>
      <c r="I2786" s="5">
        <v>45847</v>
      </c>
      <c r="J2786" s="4" t="s">
        <v>4798</v>
      </c>
      <c r="K2786" s="4" t="s">
        <v>57</v>
      </c>
      <c r="L2786" s="4"/>
      <c r="M2786" s="4"/>
    </row>
    <row r="2787" ht="16" customHeight="1" s="4" customFormat="1">
      <c r="A2787" s="4">
        <v>182</v>
      </c>
      <c r="B2787" s="4" t="s">
        <v>5499</v>
      </c>
      <c r="C2787" s="4" t="s">
        <v>5702</v>
      </c>
      <c r="D2787" s="4" t="s">
        <v>5574</v>
      </c>
      <c r="E2787" s="4" t="s">
        <v>5575</v>
      </c>
      <c r="F2787" s="4" t="s">
        <v>9948</v>
      </c>
      <c r="G2787" s="4" t="s">
        <v>9949</v>
      </c>
      <c r="H2787" s="4" t="s">
        <v>9950</v>
      </c>
      <c r="I2787" s="5">
        <v>45847</v>
      </c>
      <c r="J2787" s="4" t="s">
        <v>4798</v>
      </c>
      <c r="K2787" s="4" t="s">
        <v>57</v>
      </c>
      <c r="L2787" s="4"/>
      <c r="M2787" s="4"/>
    </row>
    <row r="2788" ht="16" customHeight="1" s="4" customFormat="1">
      <c r="A2788" s="4">
        <v>183</v>
      </c>
      <c r="B2788" s="4" t="s">
        <v>5499</v>
      </c>
      <c r="C2788" s="4" t="s">
        <v>5590</v>
      </c>
      <c r="D2788" s="4" t="s">
        <v>5574</v>
      </c>
      <c r="E2788" s="4" t="s">
        <v>5575</v>
      </c>
      <c r="F2788" s="4" t="s">
        <v>9951</v>
      </c>
      <c r="G2788" s="4" t="s">
        <v>9952</v>
      </c>
      <c r="H2788" s="4" t="s">
        <v>9953</v>
      </c>
      <c r="I2788" s="5">
        <v>45839</v>
      </c>
      <c r="J2788" s="4" t="s">
        <v>4798</v>
      </c>
      <c r="K2788" s="4" t="s">
        <v>57</v>
      </c>
      <c r="L2788" s="4"/>
      <c r="M2788" s="4"/>
    </row>
    <row r="2789" ht="16" customHeight="1" s="4" customFormat="1">
      <c r="A2789" s="4">
        <v>184</v>
      </c>
      <c r="B2789" s="4" t="s">
        <v>5499</v>
      </c>
      <c r="C2789" s="4" t="s">
        <v>5513</v>
      </c>
      <c r="D2789" s="4" t="s">
        <v>5574</v>
      </c>
      <c r="E2789" s="4" t="s">
        <v>5575</v>
      </c>
      <c r="F2789" s="4" t="s">
        <v>9954</v>
      </c>
      <c r="G2789" s="4" t="s">
        <v>4850</v>
      </c>
      <c r="H2789" s="4" t="s">
        <v>9955</v>
      </c>
      <c r="I2789" s="5">
        <v>45839</v>
      </c>
      <c r="J2789" s="4" t="s">
        <v>5506</v>
      </c>
      <c r="K2789" s="4" t="s">
        <v>57</v>
      </c>
      <c r="L2789" s="4"/>
      <c r="M2789" s="4"/>
    </row>
    <row r="2790" ht="16" customHeight="1" s="4" customFormat="1">
      <c r="A2790" s="4">
        <v>185</v>
      </c>
      <c r="B2790" s="4" t="s">
        <v>5499</v>
      </c>
      <c r="C2790" s="4" t="s">
        <v>5590</v>
      </c>
      <c r="D2790" s="4" t="s">
        <v>5574</v>
      </c>
      <c r="E2790" s="4" t="s">
        <v>5575</v>
      </c>
      <c r="F2790" s="4" t="s">
        <v>9956</v>
      </c>
      <c r="G2790" s="4" t="s">
        <v>9957</v>
      </c>
      <c r="H2790" s="4" t="s">
        <v>4850</v>
      </c>
      <c r="I2790" s="5">
        <v>45838</v>
      </c>
      <c r="J2790" s="4" t="s">
        <v>4798</v>
      </c>
      <c r="K2790" s="4" t="s">
        <v>57</v>
      </c>
      <c r="L2790" s="4"/>
      <c r="M2790" s="4"/>
    </row>
    <row r="2791" ht="16" customHeight="1" s="4" customFormat="1">
      <c r="A2791" s="4">
        <v>186</v>
      </c>
      <c r="B2791" s="4" t="s">
        <v>6161</v>
      </c>
      <c r="C2791" s="4" t="s">
        <v>6618</v>
      </c>
      <c r="D2791" s="4"/>
      <c r="E2791" s="4"/>
      <c r="F2791" s="4" t="s">
        <v>9958</v>
      </c>
      <c r="G2791" s="4" t="s">
        <v>7597</v>
      </c>
      <c r="H2791" s="4" t="s">
        <v>9959</v>
      </c>
      <c r="I2791" s="5">
        <v>45835</v>
      </c>
      <c r="J2791" s="4" t="s">
        <v>4798</v>
      </c>
      <c r="K2791" s="4" t="s">
        <v>57</v>
      </c>
      <c r="L2791" s="4"/>
      <c r="M2791" s="4"/>
    </row>
    <row r="2792" ht="16" customHeight="1" s="4" customFormat="1">
      <c r="A2792" s="4">
        <v>187</v>
      </c>
      <c r="B2792" s="4" t="s">
        <v>6161</v>
      </c>
      <c r="C2792" s="4" t="s">
        <v>6618</v>
      </c>
      <c r="D2792" s="4"/>
      <c r="E2792" s="4"/>
      <c r="F2792" s="4" t="s">
        <v>9960</v>
      </c>
      <c r="G2792" s="4" t="s">
        <v>7597</v>
      </c>
      <c r="H2792" s="4" t="s">
        <v>9959</v>
      </c>
      <c r="I2792" s="5">
        <v>45835</v>
      </c>
      <c r="J2792" s="4" t="s">
        <v>4798</v>
      </c>
      <c r="K2792" s="4" t="s">
        <v>57</v>
      </c>
      <c r="L2792" s="4"/>
      <c r="M2792" s="4"/>
    </row>
    <row r="2793" ht="16" customHeight="1" s="4" customFormat="1">
      <c r="A2793" s="4">
        <v>188</v>
      </c>
      <c r="B2793" s="4" t="s">
        <v>6161</v>
      </c>
      <c r="C2793" s="4" t="s">
        <v>6618</v>
      </c>
      <c r="D2793" s="4"/>
      <c r="E2793" s="4"/>
      <c r="F2793" s="4" t="s">
        <v>9961</v>
      </c>
      <c r="G2793" s="4" t="s">
        <v>7597</v>
      </c>
      <c r="H2793" s="4" t="s">
        <v>9959</v>
      </c>
      <c r="I2793" s="5">
        <v>45835</v>
      </c>
      <c r="J2793" s="4" t="s">
        <v>4798</v>
      </c>
      <c r="K2793" s="4" t="s">
        <v>57</v>
      </c>
      <c r="L2793" s="4"/>
      <c r="M2793" s="4"/>
    </row>
    <row r="2794" ht="16" customHeight="1" s="4" customFormat="1">
      <c r="A2794" s="4">
        <v>189</v>
      </c>
      <c r="B2794" s="4" t="s">
        <v>6161</v>
      </c>
      <c r="C2794" s="4" t="s">
        <v>6618</v>
      </c>
      <c r="D2794" s="4"/>
      <c r="E2794" s="4"/>
      <c r="F2794" s="4" t="s">
        <v>9962</v>
      </c>
      <c r="G2794" s="4" t="s">
        <v>7597</v>
      </c>
      <c r="H2794" s="4" t="s">
        <v>9959</v>
      </c>
      <c r="I2794" s="5">
        <v>45835</v>
      </c>
      <c r="J2794" s="4" t="s">
        <v>4798</v>
      </c>
      <c r="K2794" s="4" t="s">
        <v>57</v>
      </c>
      <c r="L2794" s="4"/>
      <c r="M2794" s="4"/>
    </row>
    <row r="2795" ht="16" customHeight="1" s="4" customFormat="1">
      <c r="A2795" s="4">
        <v>190</v>
      </c>
      <c r="B2795" s="4" t="s">
        <v>6161</v>
      </c>
      <c r="C2795" s="4" t="s">
        <v>6618</v>
      </c>
      <c r="D2795" s="4"/>
      <c r="E2795" s="4"/>
      <c r="F2795" s="4" t="s">
        <v>9963</v>
      </c>
      <c r="G2795" s="4" t="s">
        <v>7597</v>
      </c>
      <c r="H2795" s="4" t="s">
        <v>9959</v>
      </c>
      <c r="I2795" s="5">
        <v>45835</v>
      </c>
      <c r="J2795" s="4" t="s">
        <v>4798</v>
      </c>
      <c r="K2795" s="4" t="s">
        <v>57</v>
      </c>
      <c r="L2795" s="4"/>
      <c r="M2795" s="4"/>
    </row>
    <row r="2796" ht="16" customHeight="1" s="4" customFormat="1">
      <c r="A2796" s="4">
        <v>191</v>
      </c>
      <c r="B2796" s="4" t="s">
        <v>6161</v>
      </c>
      <c r="C2796" s="4" t="s">
        <v>6618</v>
      </c>
      <c r="D2796" s="4"/>
      <c r="E2796" s="4"/>
      <c r="F2796" s="4" t="s">
        <v>9964</v>
      </c>
      <c r="G2796" s="4" t="s">
        <v>7597</v>
      </c>
      <c r="H2796" s="4" t="s">
        <v>9959</v>
      </c>
      <c r="I2796" s="5">
        <v>45834</v>
      </c>
      <c r="J2796" s="4" t="s">
        <v>4798</v>
      </c>
      <c r="K2796" s="4" t="s">
        <v>57</v>
      </c>
      <c r="L2796" s="4"/>
      <c r="M2796" s="4"/>
    </row>
    <row r="2797" ht="16" customHeight="1" s="4" customFormat="1">
      <c r="A2797" s="4">
        <v>192</v>
      </c>
      <c r="B2797" s="4" t="s">
        <v>5499</v>
      </c>
      <c r="C2797" s="4" t="s">
        <v>5702</v>
      </c>
      <c r="D2797" s="4" t="s">
        <v>5574</v>
      </c>
      <c r="E2797" s="4" t="s">
        <v>5575</v>
      </c>
      <c r="F2797" s="4" t="s">
        <v>9965</v>
      </c>
      <c r="G2797" s="4" t="s">
        <v>9966</v>
      </c>
      <c r="H2797" s="4" t="s">
        <v>9967</v>
      </c>
      <c r="I2797" s="5">
        <v>45833</v>
      </c>
      <c r="J2797" s="4" t="s">
        <v>5506</v>
      </c>
      <c r="K2797" s="4" t="s">
        <v>57</v>
      </c>
      <c r="L2797" s="4"/>
      <c r="M2797" s="4"/>
    </row>
    <row r="2798" ht="16" customHeight="1" s="4" customFormat="1">
      <c r="A2798" s="4">
        <v>193</v>
      </c>
      <c r="B2798" s="4" t="s">
        <v>5499</v>
      </c>
      <c r="C2798" s="4" t="s">
        <v>5590</v>
      </c>
      <c r="D2798" s="4" t="s">
        <v>5574</v>
      </c>
      <c r="E2798" s="4" t="s">
        <v>5575</v>
      </c>
      <c r="F2798" s="4" t="s">
        <v>9968</v>
      </c>
      <c r="G2798" s="4" t="s">
        <v>4850</v>
      </c>
      <c r="H2798" s="4" t="s">
        <v>9969</v>
      </c>
      <c r="I2798" s="5">
        <v>45827</v>
      </c>
      <c r="J2798" s="4" t="s">
        <v>5506</v>
      </c>
      <c r="K2798" s="4" t="s">
        <v>57</v>
      </c>
      <c r="L2798" s="4"/>
      <c r="M2798" s="4"/>
    </row>
    <row r="2799" ht="16" customHeight="1" s="4" customFormat="1">
      <c r="A2799" s="4">
        <v>194</v>
      </c>
      <c r="B2799" s="4" t="s">
        <v>5499</v>
      </c>
      <c r="C2799" s="4" t="s">
        <v>5590</v>
      </c>
      <c r="D2799" s="4" t="s">
        <v>5514</v>
      </c>
      <c r="E2799" s="4" t="s">
        <v>5515</v>
      </c>
      <c r="F2799" s="4" t="s">
        <v>9970</v>
      </c>
      <c r="G2799" s="4" t="s">
        <v>4850</v>
      </c>
      <c r="H2799" s="4" t="s">
        <v>9969</v>
      </c>
      <c r="I2799" s="5">
        <v>45827</v>
      </c>
      <c r="J2799" s="4" t="s">
        <v>5506</v>
      </c>
      <c r="K2799" s="4" t="s">
        <v>57</v>
      </c>
      <c r="L2799" s="4"/>
      <c r="M2799" s="4"/>
    </row>
    <row r="2800" ht="16" customHeight="1" s="4" customFormat="1">
      <c r="A2800" s="4">
        <v>195</v>
      </c>
      <c r="B2800" s="4" t="s">
        <v>5499</v>
      </c>
      <c r="C2800" s="4" t="s">
        <v>5500</v>
      </c>
      <c r="D2800" s="4" t="s">
        <v>5574</v>
      </c>
      <c r="E2800" s="4" t="s">
        <v>7696</v>
      </c>
      <c r="F2800" s="4" t="s">
        <v>9971</v>
      </c>
      <c r="G2800" s="4" t="s">
        <v>7698</v>
      </c>
      <c r="H2800" s="4" t="s">
        <v>7699</v>
      </c>
      <c r="I2800" s="5">
        <v>45824</v>
      </c>
      <c r="J2800" s="4" t="s">
        <v>4798</v>
      </c>
      <c r="K2800" s="4" t="s">
        <v>57</v>
      </c>
      <c r="L2800" s="4"/>
      <c r="M2800" s="4"/>
    </row>
    <row r="2801" ht="16" customHeight="1" s="4" customFormat="1">
      <c r="A2801" s="4">
        <v>196</v>
      </c>
      <c r="B2801" s="4" t="s">
        <v>5528</v>
      </c>
      <c r="C2801" s="4" t="s">
        <v>7530</v>
      </c>
      <c r="D2801" s="4" t="s">
        <v>5574</v>
      </c>
      <c r="E2801" s="4" t="s">
        <v>7531</v>
      </c>
      <c r="F2801" s="4" t="s">
        <v>9972</v>
      </c>
      <c r="G2801" s="4" t="s">
        <v>4850</v>
      </c>
      <c r="H2801" s="4" t="s">
        <v>9973</v>
      </c>
      <c r="I2801" s="5">
        <v>45821</v>
      </c>
      <c r="J2801" s="4" t="s">
        <v>4798</v>
      </c>
      <c r="K2801" s="4" t="s">
        <v>57</v>
      </c>
      <c r="L2801" s="4"/>
      <c r="M2801" s="4"/>
    </row>
    <row r="2802" ht="16" customHeight="1" s="4" customFormat="1">
      <c r="A2802" s="4">
        <v>197</v>
      </c>
      <c r="B2802" s="4" t="s">
        <v>5499</v>
      </c>
      <c r="C2802" s="4" t="s">
        <v>5590</v>
      </c>
      <c r="D2802" s="4" t="s">
        <v>5574</v>
      </c>
      <c r="E2802" s="4" t="s">
        <v>5575</v>
      </c>
      <c r="F2802" s="4" t="s">
        <v>9974</v>
      </c>
      <c r="G2802" s="4" t="s">
        <v>7133</v>
      </c>
      <c r="H2802" s="4"/>
      <c r="I2802" s="5">
        <v>45820</v>
      </c>
      <c r="J2802" s="4" t="s">
        <v>4798</v>
      </c>
      <c r="K2802" s="4" t="s">
        <v>57</v>
      </c>
      <c r="L2802" s="4"/>
      <c r="M2802" s="4"/>
    </row>
    <row r="2803" ht="16" customHeight="1" s="4" customFormat="1">
      <c r="A2803" s="4">
        <v>198</v>
      </c>
      <c r="B2803" s="4" t="s">
        <v>5499</v>
      </c>
      <c r="C2803" s="4" t="s">
        <v>5590</v>
      </c>
      <c r="D2803" s="4" t="s">
        <v>5574</v>
      </c>
      <c r="E2803" s="4" t="s">
        <v>5575</v>
      </c>
      <c r="F2803" s="4" t="s">
        <v>9975</v>
      </c>
      <c r="G2803" s="4" t="s">
        <v>7133</v>
      </c>
      <c r="H2803" s="4"/>
      <c r="I2803" s="5">
        <v>45820</v>
      </c>
      <c r="J2803" s="4" t="s">
        <v>4798</v>
      </c>
      <c r="K2803" s="4" t="s">
        <v>57</v>
      </c>
      <c r="L2803" s="4"/>
      <c r="M2803" s="4"/>
    </row>
    <row r="2804" ht="16" customHeight="1" s="4" customFormat="1">
      <c r="A2804" s="4">
        <v>199</v>
      </c>
      <c r="B2804" s="4" t="s">
        <v>5499</v>
      </c>
      <c r="C2804" s="4" t="s">
        <v>5590</v>
      </c>
      <c r="D2804" s="4" t="s">
        <v>5574</v>
      </c>
      <c r="E2804" s="4" t="s">
        <v>5575</v>
      </c>
      <c r="F2804" s="4" t="s">
        <v>9976</v>
      </c>
      <c r="G2804" s="4" t="s">
        <v>7133</v>
      </c>
      <c r="H2804" s="4"/>
      <c r="I2804" s="5">
        <v>45820</v>
      </c>
      <c r="J2804" s="4" t="s">
        <v>4798</v>
      </c>
      <c r="K2804" s="4" t="s">
        <v>57</v>
      </c>
      <c r="L2804" s="4"/>
      <c r="M2804" s="4"/>
    </row>
    <row r="2805" ht="16" customHeight="1" s="4" customFormat="1">
      <c r="A2805" s="4">
        <v>200</v>
      </c>
      <c r="B2805" s="4" t="s">
        <v>5528</v>
      </c>
      <c r="C2805" s="4" t="s">
        <v>5529</v>
      </c>
      <c r="D2805" s="4"/>
      <c r="E2805" s="4" t="s">
        <v>9977</v>
      </c>
      <c r="F2805" s="4" t="s">
        <v>9978</v>
      </c>
      <c r="G2805" s="4" t="s">
        <v>9979</v>
      </c>
      <c r="H2805" s="4" t="s">
        <v>7533</v>
      </c>
      <c r="I2805" s="5">
        <v>45812</v>
      </c>
      <c r="J2805" s="4" t="s">
        <v>4798</v>
      </c>
      <c r="K2805" s="4" t="s">
        <v>57</v>
      </c>
      <c r="L2805" s="4"/>
      <c r="M2805" s="4"/>
    </row>
    <row r="2806" ht="16" customHeight="1" s="4" customFormat="1">
      <c r="A2806" s="4">
        <v>201</v>
      </c>
      <c r="B2806" s="4" t="s">
        <v>5499</v>
      </c>
      <c r="C2806" s="4" t="s">
        <v>5573</v>
      </c>
      <c r="D2806" s="4" t="s">
        <v>6450</v>
      </c>
      <c r="E2806" s="4" t="s">
        <v>6451</v>
      </c>
      <c r="F2806" s="4" t="s">
        <v>9980</v>
      </c>
      <c r="G2806" s="4" t="s">
        <v>9981</v>
      </c>
      <c r="H2806" s="4" t="s">
        <v>9982</v>
      </c>
      <c r="I2806" s="5">
        <v>45810</v>
      </c>
      <c r="J2806" s="4" t="s">
        <v>4798</v>
      </c>
      <c r="K2806" s="4" t="s">
        <v>57</v>
      </c>
      <c r="L2806" s="4"/>
      <c r="M2806" s="4"/>
    </row>
    <row r="2807" ht="16" customHeight="1" s="4" customFormat="1">
      <c r="A2807" s="4">
        <v>202</v>
      </c>
      <c r="B2807" s="4" t="s">
        <v>5600</v>
      </c>
      <c r="C2807" s="4" t="s">
        <v>5600</v>
      </c>
      <c r="D2807" s="4"/>
      <c r="E2807" s="4" t="s">
        <v>9983</v>
      </c>
      <c r="F2807" s="4" t="s">
        <v>9984</v>
      </c>
      <c r="G2807" s="4" t="s">
        <v>9985</v>
      </c>
      <c r="H2807" s="4" t="s">
        <v>9986</v>
      </c>
      <c r="I2807" s="5">
        <v>45799</v>
      </c>
      <c r="J2807" s="4" t="s">
        <v>4798</v>
      </c>
      <c r="K2807" s="4" t="s">
        <v>57</v>
      </c>
      <c r="L2807" s="4"/>
      <c r="M2807" s="4"/>
    </row>
    <row r="2808" ht="16" customHeight="1" s="4" customFormat="1">
      <c r="A2808" s="4">
        <v>203</v>
      </c>
      <c r="B2808" s="4" t="s">
        <v>5499</v>
      </c>
      <c r="C2808" s="4" t="s">
        <v>7045</v>
      </c>
      <c r="D2808" s="4" t="s">
        <v>5574</v>
      </c>
      <c r="E2808" s="4" t="s">
        <v>7046</v>
      </c>
      <c r="F2808" s="4" t="s">
        <v>9987</v>
      </c>
      <c r="G2808" s="4" t="s">
        <v>4850</v>
      </c>
      <c r="H2808" s="4" t="s">
        <v>7009</v>
      </c>
      <c r="I2808" s="5">
        <v>45797</v>
      </c>
      <c r="J2808" s="4" t="s">
        <v>5506</v>
      </c>
      <c r="K2808" s="4" t="s">
        <v>57</v>
      </c>
      <c r="L2808" s="4"/>
      <c r="M2808" s="4"/>
    </row>
    <row r="2809" ht="16" customHeight="1" s="4" customFormat="1">
      <c r="A2809" s="4">
        <v>204</v>
      </c>
      <c r="B2809" s="4" t="s">
        <v>5499</v>
      </c>
      <c r="C2809" s="4" t="s">
        <v>5509</v>
      </c>
      <c r="D2809" s="4"/>
      <c r="E2809" s="4"/>
      <c r="F2809" s="4" t="s">
        <v>9988</v>
      </c>
      <c r="G2809" s="4" t="s">
        <v>10</v>
      </c>
      <c r="H2809" s="4" t="s">
        <v>7766</v>
      </c>
      <c r="I2809" s="5">
        <v>45794</v>
      </c>
      <c r="J2809" s="4" t="s">
        <v>4842</v>
      </c>
      <c r="K2809" s="4" t="s">
        <v>57</v>
      </c>
      <c r="L2809" s="4"/>
      <c r="M2809" s="4"/>
    </row>
    <row r="2810" ht="16" customHeight="1" s="4" customFormat="1">
      <c r="A2810" s="4">
        <v>205</v>
      </c>
      <c r="B2810" s="4" t="s">
        <v>5528</v>
      </c>
      <c r="C2810" s="4" t="s">
        <v>8627</v>
      </c>
      <c r="D2810" s="4"/>
      <c r="E2810" s="4" t="s">
        <v>9485</v>
      </c>
      <c r="F2810" s="4" t="s">
        <v>9989</v>
      </c>
      <c r="G2810" s="4" t="s">
        <v>9990</v>
      </c>
      <c r="H2810" s="4" t="s">
        <v>9991</v>
      </c>
      <c r="I2810" s="5">
        <v>45793</v>
      </c>
      <c r="J2810" s="4" t="s">
        <v>4842</v>
      </c>
      <c r="K2810" s="4" t="s">
        <v>57</v>
      </c>
      <c r="L2810" s="4"/>
      <c r="M2810" s="4"/>
    </row>
    <row r="2811" ht="16" customHeight="1" s="4" customFormat="1">
      <c r="A2811" s="4">
        <v>206</v>
      </c>
      <c r="B2811" s="4" t="s">
        <v>6161</v>
      </c>
      <c r="C2811" s="4" t="s">
        <v>6618</v>
      </c>
      <c r="D2811" s="4"/>
      <c r="E2811" s="4"/>
      <c r="F2811" s="4" t="s">
        <v>9992</v>
      </c>
      <c r="G2811" s="4" t="s">
        <v>8256</v>
      </c>
      <c r="H2811" s="4" t="s">
        <v>10</v>
      </c>
      <c r="I2811" s="5">
        <v>45793</v>
      </c>
      <c r="J2811" s="4" t="s">
        <v>4842</v>
      </c>
      <c r="K2811" s="4" t="s">
        <v>57</v>
      </c>
      <c r="L2811" s="4"/>
      <c r="M2811" s="4"/>
    </row>
    <row r="2812" ht="16" customHeight="1" s="4" customFormat="1">
      <c r="A2812" s="4">
        <v>207</v>
      </c>
      <c r="B2812" s="4" t="s">
        <v>5499</v>
      </c>
      <c r="C2812" s="4" t="s">
        <v>5702</v>
      </c>
      <c r="D2812" s="4" t="s">
        <v>5728</v>
      </c>
      <c r="E2812" s="4" t="s">
        <v>5515</v>
      </c>
      <c r="F2812" s="4" t="s">
        <v>9993</v>
      </c>
      <c r="G2812" s="4" t="s">
        <v>9994</v>
      </c>
      <c r="H2812" s="4" t="s">
        <v>7026</v>
      </c>
      <c r="I2812" s="5">
        <v>45786</v>
      </c>
      <c r="J2812" s="4" t="s">
        <v>4798</v>
      </c>
      <c r="K2812" s="4" t="s">
        <v>57</v>
      </c>
      <c r="L2812" s="4"/>
      <c r="M2812" s="4"/>
    </row>
    <row r="2813" ht="16" customHeight="1" s="4" customFormat="1">
      <c r="A2813" s="4">
        <v>208</v>
      </c>
      <c r="B2813" s="4" t="s">
        <v>5499</v>
      </c>
      <c r="C2813" s="4" t="s">
        <v>5702</v>
      </c>
      <c r="D2813" s="4" t="s">
        <v>5728</v>
      </c>
      <c r="E2813" s="4" t="s">
        <v>5515</v>
      </c>
      <c r="F2813" s="4" t="s">
        <v>9995</v>
      </c>
      <c r="G2813" s="4" t="s">
        <v>9996</v>
      </c>
      <c r="H2813" s="4" t="s">
        <v>5532</v>
      </c>
      <c r="I2813" s="5">
        <v>45772</v>
      </c>
      <c r="J2813" s="4" t="s">
        <v>5506</v>
      </c>
      <c r="K2813" s="4" t="s">
        <v>57</v>
      </c>
      <c r="L2813" s="4"/>
      <c r="M2813" s="4"/>
    </row>
    <row r="2814" ht="16" customHeight="1" s="4" customFormat="1">
      <c r="A2814" s="4">
        <v>209</v>
      </c>
      <c r="B2814" s="4" t="s">
        <v>5499</v>
      </c>
      <c r="C2814" s="4" t="s">
        <v>5590</v>
      </c>
      <c r="D2814" s="4" t="s">
        <v>5574</v>
      </c>
      <c r="E2814" s="4" t="s">
        <v>5575</v>
      </c>
      <c r="F2814" s="4" t="s">
        <v>9997</v>
      </c>
      <c r="G2814" s="4" t="s">
        <v>4850</v>
      </c>
      <c r="H2814" s="4" t="s">
        <v>9998</v>
      </c>
      <c r="I2814" s="5">
        <v>45771</v>
      </c>
      <c r="J2814" s="4" t="s">
        <v>4798</v>
      </c>
      <c r="K2814" s="4" t="s">
        <v>57</v>
      </c>
      <c r="L2814" s="4"/>
      <c r="M2814" s="4"/>
    </row>
    <row r="2815" ht="16" customHeight="1" s="4" customFormat="1">
      <c r="A2815" s="4">
        <v>210</v>
      </c>
      <c r="B2815" s="4" t="s">
        <v>5499</v>
      </c>
      <c r="C2815" s="4" t="s">
        <v>5590</v>
      </c>
      <c r="D2815" s="4" t="s">
        <v>5574</v>
      </c>
      <c r="E2815" s="4" t="s">
        <v>5575</v>
      </c>
      <c r="F2815" s="4" t="s">
        <v>9999</v>
      </c>
      <c r="G2815" s="4" t="s">
        <v>4850</v>
      </c>
      <c r="H2815" s="4" t="s">
        <v>9998</v>
      </c>
      <c r="I2815" s="5">
        <v>45771</v>
      </c>
      <c r="J2815" s="4" t="s">
        <v>4798</v>
      </c>
      <c r="K2815" s="4" t="s">
        <v>57</v>
      </c>
      <c r="L2815" s="4"/>
      <c r="M2815" s="4"/>
    </row>
    <row r="2816" ht="16" customHeight="1" s="4" customFormat="1">
      <c r="A2816" s="4">
        <v>211</v>
      </c>
      <c r="B2816" s="4" t="s">
        <v>5499</v>
      </c>
      <c r="C2816" s="4" t="s">
        <v>5590</v>
      </c>
      <c r="D2816" s="4" t="s">
        <v>5574</v>
      </c>
      <c r="E2816" s="4" t="s">
        <v>5575</v>
      </c>
      <c r="F2816" s="4" t="s">
        <v>10000</v>
      </c>
      <c r="G2816" s="4" t="s">
        <v>4850</v>
      </c>
      <c r="H2816" s="4" t="s">
        <v>9998</v>
      </c>
      <c r="I2816" s="5">
        <v>45771</v>
      </c>
      <c r="J2816" s="4" t="s">
        <v>4798</v>
      </c>
      <c r="K2816" s="4" t="s">
        <v>57</v>
      </c>
      <c r="L2816" s="4"/>
      <c r="M2816" s="4"/>
    </row>
    <row r="2817" ht="16" customHeight="1" s="4" customFormat="1">
      <c r="A2817" s="4">
        <v>212</v>
      </c>
      <c r="B2817" s="4" t="s">
        <v>5499</v>
      </c>
      <c r="C2817" s="4" t="s">
        <v>5590</v>
      </c>
      <c r="D2817" s="4" t="s">
        <v>5574</v>
      </c>
      <c r="E2817" s="4" t="s">
        <v>5575</v>
      </c>
      <c r="F2817" s="4" t="s">
        <v>10001</v>
      </c>
      <c r="G2817" s="4" t="s">
        <v>4850</v>
      </c>
      <c r="H2817" s="4" t="s">
        <v>9998</v>
      </c>
      <c r="I2817" s="5">
        <v>45771</v>
      </c>
      <c r="J2817" s="4" t="s">
        <v>4798</v>
      </c>
      <c r="K2817" s="4" t="s">
        <v>57</v>
      </c>
      <c r="L2817" s="4"/>
      <c r="M2817" s="4"/>
    </row>
    <row r="2818" ht="16" customHeight="1" s="4" customFormat="1">
      <c r="A2818" s="4">
        <v>213</v>
      </c>
      <c r="B2818" s="4" t="s">
        <v>5499</v>
      </c>
      <c r="C2818" s="4" t="s">
        <v>5590</v>
      </c>
      <c r="D2818" s="4" t="s">
        <v>5574</v>
      </c>
      <c r="E2818" s="4" t="s">
        <v>5575</v>
      </c>
      <c r="F2818" s="4" t="s">
        <v>10002</v>
      </c>
      <c r="G2818" s="4" t="s">
        <v>4850</v>
      </c>
      <c r="H2818" s="4" t="s">
        <v>9998</v>
      </c>
      <c r="I2818" s="5">
        <v>45771</v>
      </c>
      <c r="J2818" s="4" t="s">
        <v>4798</v>
      </c>
      <c r="K2818" s="4" t="s">
        <v>57</v>
      </c>
      <c r="L2818" s="4"/>
      <c r="M2818" s="4"/>
    </row>
    <row r="2819" ht="16" customHeight="1" s="4" customFormat="1">
      <c r="A2819" s="4">
        <v>214</v>
      </c>
      <c r="B2819" s="4" t="s">
        <v>5528</v>
      </c>
      <c r="C2819" s="4" t="s">
        <v>8941</v>
      </c>
      <c r="D2819" s="4" t="s">
        <v>5514</v>
      </c>
      <c r="E2819" s="4" t="s">
        <v>5515</v>
      </c>
      <c r="F2819" s="4" t="s">
        <v>10003</v>
      </c>
      <c r="G2819" s="4" t="s">
        <v>10004</v>
      </c>
      <c r="H2819" s="4" t="s">
        <v>10005</v>
      </c>
      <c r="I2819" s="5">
        <v>45766</v>
      </c>
      <c r="J2819" s="4" t="s">
        <v>4842</v>
      </c>
      <c r="K2819" s="4" t="s">
        <v>57</v>
      </c>
      <c r="L2819" s="4"/>
      <c r="M2819" s="4"/>
    </row>
    <row r="2820" ht="16" customHeight="1" s="4" customFormat="1">
      <c r="A2820" s="4">
        <v>215</v>
      </c>
      <c r="B2820" s="4" t="s">
        <v>5499</v>
      </c>
      <c r="C2820" s="4" t="s">
        <v>5702</v>
      </c>
      <c r="D2820" s="4" t="s">
        <v>5574</v>
      </c>
      <c r="E2820" s="4" t="s">
        <v>5575</v>
      </c>
      <c r="F2820" s="4" t="s">
        <v>10006</v>
      </c>
      <c r="G2820" s="4" t="s">
        <v>10007</v>
      </c>
      <c r="H2820" s="4" t="s">
        <v>10008</v>
      </c>
      <c r="I2820" s="5">
        <v>45763</v>
      </c>
      <c r="J2820" s="4" t="s">
        <v>5506</v>
      </c>
      <c r="K2820" s="4" t="s">
        <v>57</v>
      </c>
      <c r="L2820" s="4"/>
      <c r="M2820" s="4"/>
    </row>
    <row r="2821" ht="16" customHeight="1" s="4" customFormat="1">
      <c r="A2821" s="4">
        <v>216</v>
      </c>
      <c r="B2821" s="4" t="s">
        <v>5499</v>
      </c>
      <c r="C2821" s="4" t="s">
        <v>5509</v>
      </c>
      <c r="D2821" s="4"/>
      <c r="E2821" s="4"/>
      <c r="F2821" s="4" t="s">
        <v>10009</v>
      </c>
      <c r="G2821" s="4" t="s">
        <v>10010</v>
      </c>
      <c r="H2821" s="4" t="s">
        <v>8714</v>
      </c>
      <c r="I2821" s="5">
        <v>45740</v>
      </c>
      <c r="J2821" s="4" t="s">
        <v>4842</v>
      </c>
      <c r="K2821" s="4" t="s">
        <v>57</v>
      </c>
      <c r="L2821" s="4"/>
      <c r="M2821" s="4"/>
    </row>
    <row r="2822" ht="16" customHeight="1" s="4" customFormat="1">
      <c r="A2822" s="4">
        <v>217</v>
      </c>
      <c r="B2822" s="4" t="s">
        <v>5499</v>
      </c>
      <c r="C2822" s="4" t="s">
        <v>5590</v>
      </c>
      <c r="D2822" s="4"/>
      <c r="E2822" s="4" t="s">
        <v>5952</v>
      </c>
      <c r="F2822" s="4" t="s">
        <v>10011</v>
      </c>
      <c r="G2822" s="4" t="s">
        <v>4850</v>
      </c>
      <c r="H2822" s="4" t="s">
        <v>7113</v>
      </c>
      <c r="I2822" s="5">
        <v>45736</v>
      </c>
      <c r="J2822" s="4" t="s">
        <v>5506</v>
      </c>
      <c r="K2822" s="4" t="s">
        <v>57</v>
      </c>
      <c r="L2822" s="4"/>
      <c r="M2822" s="4"/>
    </row>
    <row r="2823" ht="16" customHeight="1" s="4" customFormat="1">
      <c r="A2823" s="4">
        <v>218</v>
      </c>
      <c r="B2823" s="4" t="s">
        <v>5499</v>
      </c>
      <c r="C2823" s="4" t="s">
        <v>5509</v>
      </c>
      <c r="D2823" s="4"/>
      <c r="E2823" s="4"/>
      <c r="F2823" s="4" t="s">
        <v>10012</v>
      </c>
      <c r="G2823" s="4" t="s">
        <v>10</v>
      </c>
      <c r="H2823" s="4" t="s">
        <v>10013</v>
      </c>
      <c r="I2823" s="5">
        <v>45736</v>
      </c>
      <c r="J2823" s="4" t="s">
        <v>4842</v>
      </c>
      <c r="K2823" s="4" t="s">
        <v>57</v>
      </c>
      <c r="L2823" s="4"/>
      <c r="M2823" s="4"/>
    </row>
    <row r="2824" ht="16" customHeight="1" s="4" customFormat="1">
      <c r="A2824" s="4">
        <v>219</v>
      </c>
      <c r="B2824" s="4" t="s">
        <v>6161</v>
      </c>
      <c r="C2824" s="4" t="s">
        <v>6618</v>
      </c>
      <c r="D2824" s="4"/>
      <c r="E2824" s="4"/>
      <c r="F2824" s="4" t="s">
        <v>10014</v>
      </c>
      <c r="G2824" s="4" t="s">
        <v>7597</v>
      </c>
      <c r="H2824" s="4" t="s">
        <v>10015</v>
      </c>
      <c r="I2824" s="5">
        <v>45728</v>
      </c>
      <c r="J2824" s="4" t="s">
        <v>4798</v>
      </c>
      <c r="K2824" s="4" t="s">
        <v>57</v>
      </c>
      <c r="L2824" s="4"/>
      <c r="M2824" s="4"/>
    </row>
    <row r="2825" ht="16" customHeight="1" s="4" customFormat="1">
      <c r="A2825" s="4">
        <v>220</v>
      </c>
      <c r="B2825" s="4" t="s">
        <v>6161</v>
      </c>
      <c r="C2825" s="4" t="s">
        <v>6618</v>
      </c>
      <c r="D2825" s="4"/>
      <c r="E2825" s="4"/>
      <c r="F2825" s="4" t="s">
        <v>10016</v>
      </c>
      <c r="G2825" s="4" t="s">
        <v>7597</v>
      </c>
      <c r="H2825" s="4" t="s">
        <v>10015</v>
      </c>
      <c r="I2825" s="5">
        <v>45728</v>
      </c>
      <c r="J2825" s="4" t="s">
        <v>4798</v>
      </c>
      <c r="K2825" s="4" t="s">
        <v>57</v>
      </c>
      <c r="L2825" s="4"/>
      <c r="M2825" s="4"/>
    </row>
    <row r="2826" ht="16" customHeight="1" s="4" customFormat="1">
      <c r="A2826" s="4">
        <v>221</v>
      </c>
      <c r="B2826" s="4" t="s">
        <v>6161</v>
      </c>
      <c r="C2826" s="4" t="s">
        <v>6618</v>
      </c>
      <c r="D2826" s="4"/>
      <c r="E2826" s="4"/>
      <c r="F2826" s="4" t="s">
        <v>10017</v>
      </c>
      <c r="G2826" s="4" t="s">
        <v>7597</v>
      </c>
      <c r="H2826" s="4" t="s">
        <v>10015</v>
      </c>
      <c r="I2826" s="5">
        <v>45728</v>
      </c>
      <c r="J2826" s="4" t="s">
        <v>4798</v>
      </c>
      <c r="K2826" s="4" t="s">
        <v>57</v>
      </c>
      <c r="L2826" s="4"/>
      <c r="M2826" s="4"/>
    </row>
    <row r="2827" ht="16" customHeight="1" s="4" customFormat="1">
      <c r="A2827" s="4">
        <v>222</v>
      </c>
      <c r="B2827" s="4" t="s">
        <v>6161</v>
      </c>
      <c r="C2827" s="4" t="s">
        <v>6618</v>
      </c>
      <c r="D2827" s="4"/>
      <c r="E2827" s="4"/>
      <c r="F2827" s="4" t="s">
        <v>10018</v>
      </c>
      <c r="G2827" s="4" t="s">
        <v>7597</v>
      </c>
      <c r="H2827" s="4" t="s">
        <v>10015</v>
      </c>
      <c r="I2827" s="5">
        <v>45728</v>
      </c>
      <c r="J2827" s="4" t="s">
        <v>4798</v>
      </c>
      <c r="K2827" s="4" t="s">
        <v>57</v>
      </c>
      <c r="L2827" s="4"/>
      <c r="M2827" s="4"/>
    </row>
    <row r="2828" ht="16" customHeight="1" s="4" customFormat="1">
      <c r="A2828" s="4">
        <v>223</v>
      </c>
      <c r="B2828" s="4" t="s">
        <v>6161</v>
      </c>
      <c r="C2828" s="4" t="s">
        <v>6618</v>
      </c>
      <c r="D2828" s="4"/>
      <c r="E2828" s="4"/>
      <c r="F2828" s="4" t="s">
        <v>10019</v>
      </c>
      <c r="G2828" s="4" t="s">
        <v>7597</v>
      </c>
      <c r="H2828" s="4" t="s">
        <v>10015</v>
      </c>
      <c r="I2828" s="5">
        <v>45728</v>
      </c>
      <c r="J2828" s="4" t="s">
        <v>4798</v>
      </c>
      <c r="K2828" s="4" t="s">
        <v>57</v>
      </c>
      <c r="L2828" s="4"/>
      <c r="M2828" s="4"/>
    </row>
    <row r="2829" ht="16" customHeight="1" s="4" customFormat="1">
      <c r="A2829" s="4">
        <v>224</v>
      </c>
      <c r="B2829" s="4" t="s">
        <v>6161</v>
      </c>
      <c r="C2829" s="4" t="s">
        <v>6618</v>
      </c>
      <c r="D2829" s="4"/>
      <c r="E2829" s="4"/>
      <c r="F2829" s="4" t="s">
        <v>10020</v>
      </c>
      <c r="G2829" s="4" t="s">
        <v>9649</v>
      </c>
      <c r="H2829" s="4" t="s">
        <v>8589</v>
      </c>
      <c r="I2829" s="5">
        <v>45728</v>
      </c>
      <c r="J2829" s="4" t="s">
        <v>4798</v>
      </c>
      <c r="K2829" s="4" t="s">
        <v>57</v>
      </c>
      <c r="L2829" s="4"/>
      <c r="M2829" s="4"/>
    </row>
    <row r="2830" ht="16" customHeight="1" s="4" customFormat="1">
      <c r="A2830" s="4">
        <v>225</v>
      </c>
      <c r="B2830" s="4" t="s">
        <v>5499</v>
      </c>
      <c r="C2830" s="4" t="s">
        <v>5702</v>
      </c>
      <c r="D2830" s="4" t="s">
        <v>5574</v>
      </c>
      <c r="E2830" s="4" t="s">
        <v>5575</v>
      </c>
      <c r="F2830" s="4" t="s">
        <v>10021</v>
      </c>
      <c r="G2830" s="4" t="s">
        <v>10022</v>
      </c>
      <c r="H2830" s="4" t="s">
        <v>10023</v>
      </c>
      <c r="I2830" s="5">
        <v>45721</v>
      </c>
      <c r="J2830" s="4" t="s">
        <v>5506</v>
      </c>
      <c r="K2830" s="4" t="s">
        <v>57</v>
      </c>
      <c r="L2830" s="4"/>
      <c r="M2830" s="4"/>
    </row>
    <row r="2831" ht="16" customHeight="1" s="4" customFormat="1">
      <c r="A2831" s="4">
        <v>226</v>
      </c>
      <c r="B2831" s="4" t="s">
        <v>5528</v>
      </c>
      <c r="C2831" s="4" t="s">
        <v>5529</v>
      </c>
      <c r="D2831" s="4"/>
      <c r="E2831" s="4" t="s">
        <v>5570</v>
      </c>
      <c r="F2831" s="4" t="s">
        <v>10024</v>
      </c>
      <c r="G2831" s="4" t="s">
        <v>10025</v>
      </c>
      <c r="H2831" s="4" t="s">
        <v>4850</v>
      </c>
      <c r="I2831" s="5">
        <v>45720</v>
      </c>
      <c r="J2831" s="4" t="s">
        <v>4798</v>
      </c>
      <c r="K2831" s="4" t="s">
        <v>57</v>
      </c>
      <c r="L2831" s="4"/>
      <c r="M2831" s="4"/>
    </row>
    <row r="2832" ht="16" customHeight="1" s="4" customFormat="1">
      <c r="A2832" s="4">
        <v>227</v>
      </c>
      <c r="B2832" s="4" t="s">
        <v>5499</v>
      </c>
      <c r="C2832" s="4" t="s">
        <v>5590</v>
      </c>
      <c r="D2832" s="4" t="s">
        <v>5574</v>
      </c>
      <c r="E2832" s="4" t="s">
        <v>5575</v>
      </c>
      <c r="F2832" s="4" t="s">
        <v>10026</v>
      </c>
      <c r="G2832" s="4" t="s">
        <v>7062</v>
      </c>
      <c r="H2832" s="4" t="s">
        <v>5716</v>
      </c>
      <c r="I2832" s="5">
        <v>45712</v>
      </c>
      <c r="J2832" s="4" t="s">
        <v>4798</v>
      </c>
      <c r="K2832" s="4" t="s">
        <v>57</v>
      </c>
      <c r="L2832" s="4"/>
      <c r="M2832" s="4"/>
    </row>
    <row r="2833" ht="16" customHeight="1" s="4" customFormat="1">
      <c r="A2833" s="4">
        <v>228</v>
      </c>
      <c r="B2833" s="4" t="s">
        <v>5499</v>
      </c>
      <c r="C2833" s="4" t="s">
        <v>5500</v>
      </c>
      <c r="D2833" s="4" t="s">
        <v>5574</v>
      </c>
      <c r="E2833" s="4" t="s">
        <v>7696</v>
      </c>
      <c r="F2833" s="4" t="s">
        <v>10027</v>
      </c>
      <c r="G2833" s="4" t="s">
        <v>7698</v>
      </c>
      <c r="H2833" s="4" t="s">
        <v>7699</v>
      </c>
      <c r="I2833" s="5">
        <v>45708</v>
      </c>
      <c r="J2833" s="4" t="s">
        <v>4798</v>
      </c>
      <c r="K2833" s="4" t="s">
        <v>57</v>
      </c>
      <c r="L2833" s="4"/>
      <c r="M2833" s="4"/>
    </row>
    <row r="2834" ht="16" customHeight="1" s="4" customFormat="1">
      <c r="A2834" s="4">
        <v>229</v>
      </c>
      <c r="B2834" s="4" t="s">
        <v>5499</v>
      </c>
      <c r="C2834" s="4" t="s">
        <v>5500</v>
      </c>
      <c r="D2834" s="4" t="s">
        <v>5574</v>
      </c>
      <c r="E2834" s="4" t="s">
        <v>5575</v>
      </c>
      <c r="F2834" s="4" t="s">
        <v>10028</v>
      </c>
      <c r="G2834" s="4" t="s">
        <v>10029</v>
      </c>
      <c r="H2834" s="4"/>
      <c r="I2834" s="5">
        <v>45698</v>
      </c>
      <c r="J2834" s="4" t="s">
        <v>4798</v>
      </c>
      <c r="K2834" s="4" t="s">
        <v>57</v>
      </c>
      <c r="L2834" s="4"/>
      <c r="M2834" s="4"/>
    </row>
    <row r="2835" ht="16" customHeight="1" s="4" customFormat="1">
      <c r="A2835" s="4">
        <v>230</v>
      </c>
      <c r="B2835" s="4" t="s">
        <v>5499</v>
      </c>
      <c r="C2835" s="4" t="s">
        <v>5500</v>
      </c>
      <c r="D2835" s="4" t="s">
        <v>5574</v>
      </c>
      <c r="E2835" s="4" t="s">
        <v>5575</v>
      </c>
      <c r="F2835" s="4" t="s">
        <v>10030</v>
      </c>
      <c r="G2835" s="4" t="s">
        <v>10031</v>
      </c>
      <c r="H2835" s="4"/>
      <c r="I2835" s="5">
        <v>45698</v>
      </c>
      <c r="J2835" s="4" t="s">
        <v>4798</v>
      </c>
      <c r="K2835" s="4" t="s">
        <v>57</v>
      </c>
      <c r="L2835" s="4"/>
      <c r="M2835" s="4"/>
    </row>
    <row r="2836" ht="16" customHeight="1" s="4" customFormat="1">
      <c r="A2836" s="4">
        <v>231</v>
      </c>
      <c r="B2836" s="4" t="s">
        <v>5499</v>
      </c>
      <c r="C2836" s="4" t="s">
        <v>5509</v>
      </c>
      <c r="D2836" s="4"/>
      <c r="E2836" s="4"/>
      <c r="F2836" s="4" t="s">
        <v>10032</v>
      </c>
      <c r="G2836" s="4" t="s">
        <v>10</v>
      </c>
      <c r="H2836" s="4" t="s">
        <v>7243</v>
      </c>
      <c r="I2836" s="5">
        <v>45695</v>
      </c>
      <c r="J2836" s="4" t="s">
        <v>9416</v>
      </c>
      <c r="K2836" s="4" t="s">
        <v>57</v>
      </c>
      <c r="L2836" s="4"/>
      <c r="M2836" s="4"/>
    </row>
    <row r="2837" ht="16" customHeight="1" s="4" customFormat="1">
      <c r="A2837" s="4">
        <v>232</v>
      </c>
      <c r="B2837" s="4" t="s">
        <v>5499</v>
      </c>
      <c r="C2837" s="4" t="s">
        <v>5500</v>
      </c>
      <c r="D2837" s="4" t="s">
        <v>6450</v>
      </c>
      <c r="E2837" s="4" t="s">
        <v>10033</v>
      </c>
      <c r="F2837" s="4" t="s">
        <v>10034</v>
      </c>
      <c r="G2837" s="4" t="s">
        <v>9929</v>
      </c>
      <c r="H2837" s="4" t="s">
        <v>9930</v>
      </c>
      <c r="I2837" s="5">
        <v>45688</v>
      </c>
      <c r="J2837" s="4" t="s">
        <v>5506</v>
      </c>
      <c r="K2837" s="4" t="s">
        <v>57</v>
      </c>
      <c r="L2837" s="4"/>
      <c r="M2837" s="4"/>
    </row>
    <row r="2838" ht="16" customHeight="1" s="4" customFormat="1">
      <c r="A2838" s="4">
        <v>233</v>
      </c>
      <c r="B2838" s="4" t="s">
        <v>5499</v>
      </c>
      <c r="C2838" s="4" t="s">
        <v>5509</v>
      </c>
      <c r="D2838" s="4"/>
      <c r="E2838" s="4"/>
      <c r="F2838" s="4" t="s">
        <v>10035</v>
      </c>
      <c r="G2838" s="4" t="s">
        <v>10036</v>
      </c>
      <c r="H2838" s="4" t="s">
        <v>6308</v>
      </c>
      <c r="I2838" s="5">
        <v>45678</v>
      </c>
      <c r="J2838" s="4" t="s">
        <v>4842</v>
      </c>
      <c r="K2838" s="4" t="s">
        <v>57</v>
      </c>
      <c r="L2838" s="4"/>
      <c r="M2838" s="4"/>
    </row>
    <row r="2839" ht="16" customHeight="1" s="4" customFormat="1">
      <c r="A2839" s="4">
        <v>234</v>
      </c>
      <c r="B2839" s="4" t="s">
        <v>5499</v>
      </c>
      <c r="C2839" s="4" t="s">
        <v>5702</v>
      </c>
      <c r="D2839" s="4" t="s">
        <v>5574</v>
      </c>
      <c r="E2839" s="4" t="s">
        <v>5575</v>
      </c>
      <c r="F2839" s="4" t="s">
        <v>10037</v>
      </c>
      <c r="G2839" s="4" t="s">
        <v>10038</v>
      </c>
      <c r="H2839" s="4" t="s">
        <v>7009</v>
      </c>
      <c r="I2839" s="5">
        <v>45678</v>
      </c>
      <c r="J2839" s="4" t="s">
        <v>4798</v>
      </c>
      <c r="K2839" s="4" t="s">
        <v>57</v>
      </c>
      <c r="L2839" s="4"/>
      <c r="M2839" s="4"/>
    </row>
    <row r="2840" ht="16" customHeight="1" s="4" customFormat="1">
      <c r="A2840" s="4">
        <v>235</v>
      </c>
      <c r="B2840" s="4" t="s">
        <v>5499</v>
      </c>
      <c r="C2840" s="4" t="s">
        <v>7045</v>
      </c>
      <c r="D2840" s="4" t="s">
        <v>5574</v>
      </c>
      <c r="E2840" s="4" t="s">
        <v>5575</v>
      </c>
      <c r="F2840" s="4" t="s">
        <v>10039</v>
      </c>
      <c r="G2840" s="4" t="s">
        <v>7026</v>
      </c>
      <c r="H2840" s="4" t="s">
        <v>7072</v>
      </c>
      <c r="I2840" s="5">
        <v>45670</v>
      </c>
      <c r="J2840" s="4" t="s">
        <v>5506</v>
      </c>
      <c r="K2840" s="4" t="s">
        <v>57</v>
      </c>
      <c r="L2840" s="4"/>
      <c r="M2840" s="4"/>
    </row>
    <row r="2841" ht="16" customHeight="1" s="4" customFormat="1">
      <c r="A2841" s="4">
        <v>236</v>
      </c>
      <c r="B2841" s="4" t="s">
        <v>5499</v>
      </c>
      <c r="C2841" s="4" t="s">
        <v>5590</v>
      </c>
      <c r="D2841" s="4" t="s">
        <v>5574</v>
      </c>
      <c r="E2841" s="4" t="s">
        <v>5575</v>
      </c>
      <c r="F2841" s="4" t="s">
        <v>10040</v>
      </c>
      <c r="G2841" s="4" t="s">
        <v>5716</v>
      </c>
      <c r="H2841" s="4" t="s">
        <v>7107</v>
      </c>
      <c r="I2841" s="5">
        <v>45665</v>
      </c>
      <c r="J2841" s="4" t="s">
        <v>4798</v>
      </c>
      <c r="K2841" s="4" t="s">
        <v>57</v>
      </c>
      <c r="L2841" s="4"/>
      <c r="M2841" s="4"/>
    </row>
    <row r="2842" ht="16" customHeight="1" s="4" customFormat="1">
      <c r="A2842" s="4">
        <v>237</v>
      </c>
      <c r="B2842" s="4" t="s">
        <v>5499</v>
      </c>
      <c r="C2842" s="4" t="s">
        <v>5590</v>
      </c>
      <c r="D2842" s="4" t="s">
        <v>5574</v>
      </c>
      <c r="E2842" s="4" t="s">
        <v>5575</v>
      </c>
      <c r="F2842" s="4" t="s">
        <v>10041</v>
      </c>
      <c r="G2842" s="4" t="s">
        <v>5716</v>
      </c>
      <c r="H2842" s="4" t="s">
        <v>7107</v>
      </c>
      <c r="I2842" s="5">
        <v>45665</v>
      </c>
      <c r="J2842" s="4" t="s">
        <v>4798</v>
      </c>
      <c r="K2842" s="4" t="s">
        <v>57</v>
      </c>
      <c r="L2842" s="4"/>
      <c r="M2842" s="4"/>
    </row>
    <row r="2843" ht="16" customHeight="1" s="4" customFormat="1">
      <c r="A2843" s="4">
        <v>238</v>
      </c>
      <c r="B2843" s="4" t="s">
        <v>5499</v>
      </c>
      <c r="C2843" s="4" t="s">
        <v>5590</v>
      </c>
      <c r="D2843" s="4" t="s">
        <v>5574</v>
      </c>
      <c r="E2843" s="4" t="s">
        <v>5575</v>
      </c>
      <c r="F2843" s="4" t="s">
        <v>10042</v>
      </c>
      <c r="G2843" s="4" t="s">
        <v>5716</v>
      </c>
      <c r="H2843" s="4" t="s">
        <v>7107</v>
      </c>
      <c r="I2843" s="5">
        <v>45665</v>
      </c>
      <c r="J2843" s="4" t="s">
        <v>4798</v>
      </c>
      <c r="K2843" s="4" t="s">
        <v>57</v>
      </c>
      <c r="L2843" s="4"/>
      <c r="M2843" s="4"/>
    </row>
    <row r="2844" ht="16" customHeight="1" s="4" customFormat="1">
      <c r="A2844" s="4">
        <v>239</v>
      </c>
      <c r="B2844" s="4" t="s">
        <v>5499</v>
      </c>
      <c r="C2844" s="4" t="s">
        <v>7201</v>
      </c>
      <c r="D2844" s="4"/>
      <c r="E2844" s="4" t="s">
        <v>7202</v>
      </c>
      <c r="F2844" s="4" t="s">
        <v>10043</v>
      </c>
      <c r="G2844" s="4" t="s">
        <v>4850</v>
      </c>
      <c r="H2844" s="4" t="s">
        <v>7204</v>
      </c>
      <c r="I2844" s="5">
        <v>45664</v>
      </c>
      <c r="J2844" s="4" t="s">
        <v>5506</v>
      </c>
      <c r="K2844" s="4" t="s">
        <v>57</v>
      </c>
      <c r="L2844" s="4"/>
      <c r="M2844" s="4"/>
    </row>
    <row r="2845" ht="16" customHeight="1" s="4" customFormat="1">
      <c r="A2845" s="4">
        <v>240</v>
      </c>
      <c r="B2845" s="4" t="s">
        <v>5499</v>
      </c>
      <c r="C2845" s="4" t="s">
        <v>5509</v>
      </c>
      <c r="D2845" s="4"/>
      <c r="E2845" s="4"/>
      <c r="F2845" s="4" t="s">
        <v>10044</v>
      </c>
      <c r="G2845" s="4" t="s">
        <v>5835</v>
      </c>
      <c r="H2845" s="4" t="s">
        <v>5837</v>
      </c>
      <c r="I2845" s="5">
        <v>45645</v>
      </c>
      <c r="J2845" s="4" t="s">
        <v>4842</v>
      </c>
      <c r="K2845" s="4" t="s">
        <v>57</v>
      </c>
      <c r="L2845" s="4"/>
      <c r="M2845" s="4"/>
    </row>
    <row r="2846" ht="16" customHeight="1" s="4" customFormat="1">
      <c r="A2846" s="4">
        <v>241</v>
      </c>
      <c r="B2846" s="4" t="s">
        <v>5499</v>
      </c>
      <c r="C2846" s="4" t="s">
        <v>5702</v>
      </c>
      <c r="D2846" s="4" t="s">
        <v>5574</v>
      </c>
      <c r="E2846" s="4" t="s">
        <v>5575</v>
      </c>
      <c r="F2846" s="4" t="s">
        <v>10045</v>
      </c>
      <c r="G2846" s="4" t="s">
        <v>10046</v>
      </c>
      <c r="H2846" s="4" t="s">
        <v>10047</v>
      </c>
      <c r="I2846" s="5">
        <v>45644</v>
      </c>
      <c r="J2846" s="4" t="s">
        <v>5506</v>
      </c>
      <c r="K2846" s="4" t="s">
        <v>57</v>
      </c>
      <c r="L2846" s="4"/>
      <c r="M2846" s="4"/>
    </row>
    <row r="2847" ht="16" customHeight="1" s="4" customFormat="1">
      <c r="A2847" s="4">
        <v>242</v>
      </c>
      <c r="B2847" s="4" t="s">
        <v>5499</v>
      </c>
      <c r="C2847" s="4" t="s">
        <v>5702</v>
      </c>
      <c r="D2847" s="4"/>
      <c r="E2847" s="4" t="s">
        <v>10048</v>
      </c>
      <c r="F2847" s="4" t="s">
        <v>10049</v>
      </c>
      <c r="G2847" s="4" t="s">
        <v>10050</v>
      </c>
      <c r="H2847" s="4" t="s">
        <v>10007</v>
      </c>
      <c r="I2847" s="5">
        <v>45637</v>
      </c>
      <c r="J2847" s="4" t="s">
        <v>4798</v>
      </c>
      <c r="K2847" s="4" t="s">
        <v>57</v>
      </c>
      <c r="L2847" s="4"/>
      <c r="M2847" s="4"/>
    </row>
    <row r="2848" ht="16" customHeight="1" s="4" customFormat="1">
      <c r="A2848" s="4">
        <v>243</v>
      </c>
      <c r="B2848" s="4" t="s">
        <v>5499</v>
      </c>
      <c r="C2848" s="4" t="s">
        <v>5702</v>
      </c>
      <c r="D2848" s="4" t="s">
        <v>5574</v>
      </c>
      <c r="E2848" s="4" t="s">
        <v>5575</v>
      </c>
      <c r="F2848" s="4" t="s">
        <v>10051</v>
      </c>
      <c r="G2848" s="4" t="s">
        <v>10052</v>
      </c>
      <c r="H2848" s="4" t="s">
        <v>10053</v>
      </c>
      <c r="I2848" s="5">
        <v>45636</v>
      </c>
      <c r="J2848" s="4" t="s">
        <v>4798</v>
      </c>
      <c r="K2848" s="4" t="s">
        <v>57</v>
      </c>
      <c r="L2848" s="4"/>
      <c r="M2848" s="4"/>
    </row>
    <row r="2849" ht="16" customHeight="1" s="4" customFormat="1">
      <c r="A2849" s="4">
        <v>244</v>
      </c>
      <c r="B2849" s="4" t="s">
        <v>5499</v>
      </c>
      <c r="C2849" s="4" t="s">
        <v>5509</v>
      </c>
      <c r="D2849" s="4"/>
      <c r="E2849" s="4"/>
      <c r="F2849" s="4" t="s">
        <v>10054</v>
      </c>
      <c r="G2849" s="4" t="s">
        <v>10055</v>
      </c>
      <c r="H2849" s="4" t="s">
        <v>5837</v>
      </c>
      <c r="I2849" s="5">
        <v>45632</v>
      </c>
      <c r="J2849" s="4" t="s">
        <v>4842</v>
      </c>
      <c r="K2849" s="4" t="s">
        <v>57</v>
      </c>
      <c r="L2849" s="4"/>
      <c r="M2849" s="4"/>
    </row>
    <row r="2850" ht="16" customHeight="1" s="4" customFormat="1">
      <c r="A2850" s="4">
        <v>245</v>
      </c>
      <c r="B2850" s="4" t="s">
        <v>5499</v>
      </c>
      <c r="C2850" s="4" t="s">
        <v>5702</v>
      </c>
      <c r="D2850" s="4" t="s">
        <v>5574</v>
      </c>
      <c r="E2850" s="4" t="s">
        <v>5575</v>
      </c>
      <c r="F2850" s="4" t="s">
        <v>10056</v>
      </c>
      <c r="G2850" s="4" t="s">
        <v>10057</v>
      </c>
      <c r="H2850" s="4" t="s">
        <v>10058</v>
      </c>
      <c r="I2850" s="5">
        <v>45632</v>
      </c>
      <c r="J2850" s="4" t="s">
        <v>4798</v>
      </c>
      <c r="K2850" s="4" t="s">
        <v>57</v>
      </c>
      <c r="L2850" s="4"/>
      <c r="M2850" s="4"/>
    </row>
    <row r="2851" ht="16" customHeight="1" s="4" customFormat="1">
      <c r="A2851" s="4">
        <v>246</v>
      </c>
      <c r="B2851" s="4" t="s">
        <v>5499</v>
      </c>
      <c r="C2851" s="4" t="s">
        <v>5702</v>
      </c>
      <c r="D2851" s="4" t="s">
        <v>5574</v>
      </c>
      <c r="E2851" s="4" t="s">
        <v>5575</v>
      </c>
      <c r="F2851" s="4" t="s">
        <v>10059</v>
      </c>
      <c r="G2851" s="4" t="s">
        <v>10060</v>
      </c>
      <c r="H2851" s="4" t="s">
        <v>10061</v>
      </c>
      <c r="I2851" s="5">
        <v>45632</v>
      </c>
      <c r="J2851" s="4" t="s">
        <v>4798</v>
      </c>
      <c r="K2851" s="4" t="s">
        <v>57</v>
      </c>
      <c r="L2851" s="4"/>
      <c r="M2851" s="4"/>
    </row>
    <row r="2852" ht="16" customHeight="1" s="4" customFormat="1">
      <c r="A2852" s="4">
        <v>247</v>
      </c>
      <c r="B2852" s="4" t="s">
        <v>5499</v>
      </c>
      <c r="C2852" s="4" t="s">
        <v>5513</v>
      </c>
      <c r="D2852" s="4" t="s">
        <v>5574</v>
      </c>
      <c r="E2852" s="4" t="s">
        <v>5575</v>
      </c>
      <c r="F2852" s="4" t="s">
        <v>10062</v>
      </c>
      <c r="G2852" s="4" t="s">
        <v>4850</v>
      </c>
      <c r="H2852" s="4" t="s">
        <v>10063</v>
      </c>
      <c r="I2852" s="5">
        <v>45624</v>
      </c>
      <c r="J2852" s="4" t="s">
        <v>5506</v>
      </c>
      <c r="K2852" s="4" t="s">
        <v>57</v>
      </c>
      <c r="L2852" s="4"/>
      <c r="M2852" s="4"/>
    </row>
    <row r="2853" ht="16" customHeight="1" s="4" customFormat="1">
      <c r="A2853" s="4">
        <v>248</v>
      </c>
      <c r="B2853" s="4" t="s">
        <v>5499</v>
      </c>
      <c r="C2853" s="4" t="s">
        <v>5702</v>
      </c>
      <c r="D2853" s="4" t="s">
        <v>5574</v>
      </c>
      <c r="E2853" s="4" t="s">
        <v>5575</v>
      </c>
      <c r="F2853" s="4" t="s">
        <v>10064</v>
      </c>
      <c r="G2853" s="4" t="s">
        <v>10065</v>
      </c>
      <c r="H2853" s="4" t="s">
        <v>10066</v>
      </c>
      <c r="I2853" s="5">
        <v>45616</v>
      </c>
      <c r="J2853" s="4" t="s">
        <v>5506</v>
      </c>
      <c r="K2853" s="4" t="s">
        <v>57</v>
      </c>
      <c r="L2853" s="4"/>
      <c r="M2853" s="4"/>
    </row>
    <row r="2854" ht="16" customHeight="1" s="4" customFormat="1">
      <c r="A2854" s="4">
        <v>249</v>
      </c>
      <c r="B2854" s="4" t="s">
        <v>5499</v>
      </c>
      <c r="C2854" s="4" t="s">
        <v>5573</v>
      </c>
      <c r="D2854" s="4" t="s">
        <v>5574</v>
      </c>
      <c r="E2854" s="4" t="s">
        <v>5575</v>
      </c>
      <c r="F2854" s="4" t="s">
        <v>10067</v>
      </c>
      <c r="G2854" s="4" t="s">
        <v>4850</v>
      </c>
      <c r="H2854" s="4" t="s">
        <v>5588</v>
      </c>
      <c r="I2854" s="5">
        <v>45611</v>
      </c>
      <c r="J2854" s="4" t="s">
        <v>5506</v>
      </c>
      <c r="K2854" s="4" t="s">
        <v>57</v>
      </c>
      <c r="L2854" s="4"/>
      <c r="M2854" s="4"/>
    </row>
    <row r="2855" ht="16" customHeight="1" s="4" customFormat="1">
      <c r="A2855" s="4">
        <v>250</v>
      </c>
      <c r="B2855" s="4" t="s">
        <v>5499</v>
      </c>
      <c r="C2855" s="4" t="s">
        <v>5513</v>
      </c>
      <c r="D2855" s="4" t="s">
        <v>5574</v>
      </c>
      <c r="E2855" s="4" t="s">
        <v>5575</v>
      </c>
      <c r="F2855" s="4" t="s">
        <v>10068</v>
      </c>
      <c r="G2855" s="4" t="s">
        <v>4850</v>
      </c>
      <c r="H2855" s="4" t="s">
        <v>7009</v>
      </c>
      <c r="I2855" s="5">
        <v>45600</v>
      </c>
      <c r="J2855" s="4" t="s">
        <v>5506</v>
      </c>
      <c r="K2855" s="4" t="s">
        <v>57</v>
      </c>
      <c r="L2855" s="4"/>
      <c r="M2855" s="4"/>
    </row>
    <row r="2856" ht="16" customHeight="1" s="4" customFormat="1">
      <c r="A2856" s="4">
        <v>251</v>
      </c>
      <c r="B2856" s="4" t="s">
        <v>5499</v>
      </c>
      <c r="C2856" s="4" t="s">
        <v>5573</v>
      </c>
      <c r="D2856" s="4" t="s">
        <v>5574</v>
      </c>
      <c r="E2856" s="4" t="s">
        <v>5575</v>
      </c>
      <c r="F2856" s="4" t="s">
        <v>10069</v>
      </c>
      <c r="G2856" s="4" t="s">
        <v>10070</v>
      </c>
      <c r="H2856" s="4" t="s">
        <v>10071</v>
      </c>
      <c r="I2856" s="5">
        <v>45586</v>
      </c>
      <c r="J2856" s="4" t="s">
        <v>5506</v>
      </c>
      <c r="K2856" s="4" t="s">
        <v>57</v>
      </c>
      <c r="L2856" s="4"/>
      <c r="M2856" s="4"/>
    </row>
    <row r="2857" ht="16" customHeight="1" s="4" customFormat="1">
      <c r="A2857" s="4">
        <v>252</v>
      </c>
      <c r="B2857" s="4" t="s">
        <v>5499</v>
      </c>
      <c r="C2857" s="4" t="s">
        <v>5573</v>
      </c>
      <c r="D2857" s="4" t="s">
        <v>5574</v>
      </c>
      <c r="E2857" s="4" t="s">
        <v>7696</v>
      </c>
      <c r="F2857" s="4" t="s">
        <v>10072</v>
      </c>
      <c r="G2857" s="4" t="s">
        <v>10073</v>
      </c>
      <c r="H2857" s="4" t="s">
        <v>5657</v>
      </c>
      <c r="I2857" s="5">
        <v>45566</v>
      </c>
      <c r="J2857" s="4" t="s">
        <v>4798</v>
      </c>
      <c r="K2857" s="4" t="s">
        <v>57</v>
      </c>
      <c r="L2857" s="4"/>
      <c r="M2857" s="4"/>
    </row>
    <row r="2858" ht="16" customHeight="1" s="4" customFormat="1">
      <c r="A2858" s="4">
        <v>253</v>
      </c>
      <c r="B2858" s="4" t="s">
        <v>5499</v>
      </c>
      <c r="C2858" s="4" t="s">
        <v>5500</v>
      </c>
      <c r="D2858" s="4"/>
      <c r="E2858" s="4" t="s">
        <v>7258</v>
      </c>
      <c r="F2858" s="4" t="s">
        <v>10074</v>
      </c>
      <c r="G2858" s="4" t="s">
        <v>7839</v>
      </c>
      <c r="H2858" s="4" t="s">
        <v>10075</v>
      </c>
      <c r="I2858" s="5">
        <v>45560</v>
      </c>
      <c r="J2858" s="4" t="s">
        <v>5506</v>
      </c>
      <c r="K2858" s="4" t="s">
        <v>57</v>
      </c>
      <c r="L2858" s="4"/>
      <c r="M2858" s="4"/>
    </row>
    <row r="2859" ht="16" customHeight="1" s="4" customFormat="1">
      <c r="A2859" s="4">
        <v>254</v>
      </c>
      <c r="B2859" s="4" t="s">
        <v>5499</v>
      </c>
      <c r="C2859" s="4" t="s">
        <v>5702</v>
      </c>
      <c r="D2859" s="4" t="s">
        <v>5728</v>
      </c>
      <c r="E2859" s="4" t="s">
        <v>6003</v>
      </c>
      <c r="F2859" s="4" t="s">
        <v>10076</v>
      </c>
      <c r="G2859" s="4" t="s">
        <v>7752</v>
      </c>
      <c r="H2859" s="4" t="s">
        <v>7241</v>
      </c>
      <c r="I2859" s="5">
        <v>45559</v>
      </c>
      <c r="J2859" s="4" t="s">
        <v>5506</v>
      </c>
      <c r="K2859" s="4" t="s">
        <v>57</v>
      </c>
      <c r="L2859" s="4"/>
      <c r="M2859" s="4"/>
    </row>
    <row r="2860" ht="16" customHeight="1" s="4" customFormat="1">
      <c r="A2860" s="4">
        <v>255</v>
      </c>
      <c r="B2860" s="4" t="s">
        <v>5528</v>
      </c>
      <c r="C2860" s="4" t="s">
        <v>7530</v>
      </c>
      <c r="D2860" s="4" t="s">
        <v>5591</v>
      </c>
      <c r="E2860" s="4" t="s">
        <v>5592</v>
      </c>
      <c r="F2860" s="4" t="s">
        <v>10077</v>
      </c>
      <c r="G2860" s="4" t="s">
        <v>9395</v>
      </c>
      <c r="H2860" s="4" t="s">
        <v>10078</v>
      </c>
      <c r="I2860" s="5">
        <v>45549</v>
      </c>
      <c r="J2860" s="4" t="s">
        <v>4798</v>
      </c>
      <c r="K2860" s="4" t="s">
        <v>57</v>
      </c>
      <c r="L2860" s="4"/>
      <c r="M2860" s="4"/>
    </row>
    <row r="2861" ht="16" customHeight="1" s="4" customFormat="1">
      <c r="A2861" s="4">
        <v>256</v>
      </c>
      <c r="B2861" s="4" t="s">
        <v>5528</v>
      </c>
      <c r="C2861" s="4" t="s">
        <v>7530</v>
      </c>
      <c r="D2861" s="4" t="s">
        <v>5591</v>
      </c>
      <c r="E2861" s="4" t="s">
        <v>5592</v>
      </c>
      <c r="F2861" s="4" t="s">
        <v>10079</v>
      </c>
      <c r="G2861" s="4" t="s">
        <v>9395</v>
      </c>
      <c r="H2861" s="4" t="s">
        <v>10080</v>
      </c>
      <c r="I2861" s="5">
        <v>45549</v>
      </c>
      <c r="J2861" s="4" t="s">
        <v>4798</v>
      </c>
      <c r="K2861" s="4" t="s">
        <v>57</v>
      </c>
      <c r="L2861" s="4"/>
      <c r="M2861" s="4"/>
    </row>
    <row r="2862" ht="16" customHeight="1" s="4" customFormat="1">
      <c r="A2862" s="4">
        <v>257</v>
      </c>
      <c r="B2862" s="4" t="s">
        <v>5528</v>
      </c>
      <c r="C2862" s="4" t="s">
        <v>7530</v>
      </c>
      <c r="D2862" s="4" t="s">
        <v>5591</v>
      </c>
      <c r="E2862" s="4" t="s">
        <v>5592</v>
      </c>
      <c r="F2862" s="4" t="s">
        <v>10081</v>
      </c>
      <c r="G2862" s="4" t="s">
        <v>9395</v>
      </c>
      <c r="H2862" s="4" t="s">
        <v>9398</v>
      </c>
      <c r="I2862" s="5">
        <v>45549</v>
      </c>
      <c r="J2862" s="4" t="s">
        <v>4798</v>
      </c>
      <c r="K2862" s="4" t="s">
        <v>57</v>
      </c>
      <c r="L2862" s="4"/>
      <c r="M2862" s="4"/>
    </row>
    <row r="2863" ht="16" customHeight="1" s="4" customFormat="1">
      <c r="A2863" s="4">
        <v>258</v>
      </c>
      <c r="B2863" s="4" t="s">
        <v>5528</v>
      </c>
      <c r="C2863" s="4" t="s">
        <v>7530</v>
      </c>
      <c r="D2863" s="4" t="s">
        <v>5591</v>
      </c>
      <c r="E2863" s="4" t="s">
        <v>5592</v>
      </c>
      <c r="F2863" s="4" t="s">
        <v>10082</v>
      </c>
      <c r="G2863" s="4" t="s">
        <v>9395</v>
      </c>
      <c r="H2863" s="4" t="s">
        <v>10083</v>
      </c>
      <c r="I2863" s="5">
        <v>45549</v>
      </c>
      <c r="J2863" s="4" t="s">
        <v>4798</v>
      </c>
      <c r="K2863" s="4" t="s">
        <v>57</v>
      </c>
      <c r="L2863" s="4"/>
      <c r="M2863" s="4"/>
    </row>
    <row r="2864" ht="16" customHeight="1" s="4" customFormat="1">
      <c r="A2864" s="4">
        <v>259</v>
      </c>
      <c r="B2864" s="4" t="s">
        <v>5499</v>
      </c>
      <c r="C2864" s="4" t="s">
        <v>5509</v>
      </c>
      <c r="D2864" s="4"/>
      <c r="E2864" s="4"/>
      <c r="F2864" s="4" t="s">
        <v>10084</v>
      </c>
      <c r="G2864" s="4" t="s">
        <v>10085</v>
      </c>
      <c r="H2864" s="4" t="s">
        <v>5771</v>
      </c>
      <c r="I2864" s="5">
        <v>45548</v>
      </c>
      <c r="J2864" s="4" t="s">
        <v>10086</v>
      </c>
      <c r="K2864" s="4" t="s">
        <v>57</v>
      </c>
      <c r="L2864" s="4"/>
      <c r="M2864" s="4"/>
    </row>
    <row r="2865" ht="16" customHeight="1" s="4" customFormat="1">
      <c r="A2865" s="4">
        <v>260</v>
      </c>
      <c r="B2865" s="4" t="s">
        <v>5499</v>
      </c>
      <c r="C2865" s="4" t="s">
        <v>5590</v>
      </c>
      <c r="D2865" s="4" t="s">
        <v>5514</v>
      </c>
      <c r="E2865" s="4" t="s">
        <v>5515</v>
      </c>
      <c r="F2865" s="4" t="s">
        <v>10087</v>
      </c>
      <c r="G2865" s="4" t="s">
        <v>7755</v>
      </c>
      <c r="H2865" s="4" t="s">
        <v>5657</v>
      </c>
      <c r="I2865" s="5">
        <v>45547</v>
      </c>
      <c r="J2865" s="4" t="s">
        <v>5506</v>
      </c>
      <c r="K2865" s="4" t="s">
        <v>57</v>
      </c>
      <c r="L2865" s="4"/>
      <c r="M2865" s="4"/>
    </row>
    <row r="2866" ht="16" customHeight="1" s="4" customFormat="1">
      <c r="A2866" s="4">
        <v>261</v>
      </c>
      <c r="B2866" s="4" t="s">
        <v>5499</v>
      </c>
      <c r="C2866" s="4" t="s">
        <v>5590</v>
      </c>
      <c r="D2866" s="4" t="s">
        <v>5591</v>
      </c>
      <c r="E2866" s="4" t="s">
        <v>5592</v>
      </c>
      <c r="F2866" s="4" t="s">
        <v>10088</v>
      </c>
      <c r="G2866" s="4" t="s">
        <v>4850</v>
      </c>
      <c r="H2866" s="4" t="s">
        <v>7799</v>
      </c>
      <c r="I2866" s="5">
        <v>45545</v>
      </c>
      <c r="J2866" s="4" t="s">
        <v>4798</v>
      </c>
      <c r="K2866" s="4" t="s">
        <v>57</v>
      </c>
      <c r="L2866" s="4"/>
      <c r="M2866" s="4"/>
    </row>
    <row r="2867" ht="16" customHeight="1" s="4" customFormat="1">
      <c r="A2867" s="4">
        <v>262</v>
      </c>
      <c r="B2867" s="4" t="s">
        <v>5499</v>
      </c>
      <c r="C2867" s="4" t="s">
        <v>5702</v>
      </c>
      <c r="D2867" s="4" t="s">
        <v>5574</v>
      </c>
      <c r="E2867" s="4" t="s">
        <v>5575</v>
      </c>
      <c r="F2867" s="4" t="s">
        <v>10089</v>
      </c>
      <c r="G2867" s="4" t="s">
        <v>10090</v>
      </c>
      <c r="H2867" s="4" t="s">
        <v>10091</v>
      </c>
      <c r="I2867" s="5">
        <v>45540</v>
      </c>
      <c r="J2867" s="4" t="s">
        <v>5506</v>
      </c>
      <c r="K2867" s="4" t="s">
        <v>57</v>
      </c>
      <c r="L2867" s="4"/>
      <c r="M2867" s="4"/>
    </row>
    <row r="2868" ht="16" customHeight="1" s="4" customFormat="1">
      <c r="A2868" s="4">
        <v>263</v>
      </c>
      <c r="B2868" s="4" t="s">
        <v>5528</v>
      </c>
      <c r="C2868" s="4" t="s">
        <v>7530</v>
      </c>
      <c r="D2868" s="4" t="s">
        <v>5591</v>
      </c>
      <c r="E2868" s="4" t="s">
        <v>5592</v>
      </c>
      <c r="F2868" s="4" t="s">
        <v>10092</v>
      </c>
      <c r="G2868" s="4" t="s">
        <v>9395</v>
      </c>
      <c r="H2868" s="4" t="s">
        <v>10078</v>
      </c>
      <c r="I2868" s="5">
        <v>45512</v>
      </c>
      <c r="J2868" s="4" t="s">
        <v>4798</v>
      </c>
      <c r="K2868" s="4" t="s">
        <v>57</v>
      </c>
      <c r="L2868" s="4"/>
      <c r="M2868" s="4"/>
    </row>
    <row r="2869" ht="16" customHeight="1" s="4" customFormat="1">
      <c r="A2869" s="4">
        <v>264</v>
      </c>
      <c r="B2869" s="4" t="s">
        <v>5528</v>
      </c>
      <c r="C2869" s="4" t="s">
        <v>7530</v>
      </c>
      <c r="D2869" s="4" t="s">
        <v>5591</v>
      </c>
      <c r="E2869" s="4" t="s">
        <v>5592</v>
      </c>
      <c r="F2869" s="4" t="s">
        <v>10093</v>
      </c>
      <c r="G2869" s="4" t="s">
        <v>9395</v>
      </c>
      <c r="H2869" s="4" t="s">
        <v>10078</v>
      </c>
      <c r="I2869" s="5">
        <v>45509</v>
      </c>
      <c r="J2869" s="4" t="s">
        <v>4798</v>
      </c>
      <c r="K2869" s="4" t="s">
        <v>57</v>
      </c>
      <c r="L2869" s="4"/>
      <c r="M2869" s="4"/>
    </row>
    <row r="2870" ht="16" customHeight="1" s="4" customFormat="1">
      <c r="A2870" s="4">
        <v>265</v>
      </c>
      <c r="B2870" s="4" t="s">
        <v>5600</v>
      </c>
      <c r="C2870" s="4" t="s">
        <v>5600</v>
      </c>
      <c r="D2870" s="4"/>
      <c r="E2870" s="4" t="s">
        <v>9642</v>
      </c>
      <c r="F2870" s="4" t="s">
        <v>10094</v>
      </c>
      <c r="G2870" s="4" t="s">
        <v>6359</v>
      </c>
      <c r="H2870" s="4" t="s">
        <v>10095</v>
      </c>
      <c r="I2870" s="5">
        <v>45504</v>
      </c>
      <c r="J2870" s="4" t="s">
        <v>4842</v>
      </c>
      <c r="K2870" s="4" t="s">
        <v>57</v>
      </c>
      <c r="L2870" s="4"/>
      <c r="M2870" s="4"/>
    </row>
    <row r="2871" ht="16" customHeight="1" s="4" customFormat="1">
      <c r="A2871" s="4">
        <v>266</v>
      </c>
      <c r="B2871" s="4" t="s">
        <v>5499</v>
      </c>
      <c r="C2871" s="4" t="s">
        <v>5702</v>
      </c>
      <c r="D2871" s="4" t="s">
        <v>5574</v>
      </c>
      <c r="E2871" s="4" t="s">
        <v>5575</v>
      </c>
      <c r="F2871" s="4" t="s">
        <v>10096</v>
      </c>
      <c r="G2871" s="4" t="s">
        <v>4850</v>
      </c>
      <c r="H2871" s="4" t="s">
        <v>10097</v>
      </c>
      <c r="I2871" s="5">
        <v>45491</v>
      </c>
      <c r="J2871" s="4" t="s">
        <v>5506</v>
      </c>
      <c r="K2871" s="4" t="s">
        <v>57</v>
      </c>
      <c r="L2871" s="4"/>
      <c r="M2871" s="4"/>
    </row>
    <row r="2872" ht="16" customHeight="1" s="4" customFormat="1">
      <c r="A2872" s="4">
        <v>267</v>
      </c>
      <c r="B2872" s="4" t="s">
        <v>5499</v>
      </c>
      <c r="C2872" s="4" t="s">
        <v>5702</v>
      </c>
      <c r="D2872" s="4" t="s">
        <v>5574</v>
      </c>
      <c r="E2872" s="4" t="s">
        <v>5575</v>
      </c>
      <c r="F2872" s="4" t="s">
        <v>10098</v>
      </c>
      <c r="G2872" s="4" t="s">
        <v>7631</v>
      </c>
      <c r="H2872" s="4" t="s">
        <v>7009</v>
      </c>
      <c r="I2872" s="5">
        <v>45488</v>
      </c>
      <c r="J2872" s="4" t="s">
        <v>5506</v>
      </c>
      <c r="K2872" s="4" t="s">
        <v>57</v>
      </c>
      <c r="L2872" s="4"/>
      <c r="M2872" s="4"/>
    </row>
    <row r="2873" ht="16" customHeight="1" s="4" customFormat="1">
      <c r="A2873" s="4">
        <v>268</v>
      </c>
      <c r="B2873" s="4" t="s">
        <v>5528</v>
      </c>
      <c r="C2873" s="4" t="s">
        <v>7530</v>
      </c>
      <c r="D2873" s="4" t="s">
        <v>5574</v>
      </c>
      <c r="E2873" s="4" t="s">
        <v>7531</v>
      </c>
      <c r="F2873" s="4" t="s">
        <v>10099</v>
      </c>
      <c r="G2873" s="4" t="s">
        <v>4850</v>
      </c>
      <c r="H2873" s="4" t="s">
        <v>10100</v>
      </c>
      <c r="I2873" s="5">
        <v>45478</v>
      </c>
      <c r="J2873" s="4" t="s">
        <v>4842</v>
      </c>
      <c r="K2873" s="4" t="s">
        <v>57</v>
      </c>
      <c r="L2873" s="4"/>
      <c r="M2873" s="4"/>
    </row>
    <row r="2874" ht="16" customHeight="1" s="4" customFormat="1">
      <c r="A2874" s="4">
        <v>269</v>
      </c>
      <c r="B2874" s="4" t="s">
        <v>5528</v>
      </c>
      <c r="C2874" s="4" t="s">
        <v>5529</v>
      </c>
      <c r="D2874" s="4"/>
      <c r="E2874" s="4" t="s">
        <v>5570</v>
      </c>
      <c r="F2874" s="4" t="s">
        <v>10101</v>
      </c>
      <c r="G2874" s="4" t="s">
        <v>10102</v>
      </c>
      <c r="H2874" s="4" t="s">
        <v>5726</v>
      </c>
      <c r="I2874" s="5">
        <v>45477</v>
      </c>
      <c r="J2874" s="4" t="s">
        <v>4842</v>
      </c>
      <c r="K2874" s="4" t="s">
        <v>57</v>
      </c>
      <c r="L2874" s="4"/>
      <c r="M2874" s="4"/>
    </row>
    <row r="2875" ht="16" customHeight="1" s="4" customFormat="1">
      <c r="A2875" s="4">
        <v>270</v>
      </c>
      <c r="B2875" s="4" t="s">
        <v>5528</v>
      </c>
      <c r="C2875" s="4" t="s">
        <v>7692</v>
      </c>
      <c r="D2875" s="4"/>
      <c r="E2875" s="4" t="s">
        <v>10103</v>
      </c>
      <c r="F2875" s="4" t="s">
        <v>10104</v>
      </c>
      <c r="G2875" s="4" t="s">
        <v>10105</v>
      </c>
      <c r="H2875" s="4" t="s">
        <v>10106</v>
      </c>
      <c r="I2875" s="5">
        <v>45467</v>
      </c>
      <c r="J2875" s="4" t="s">
        <v>4842</v>
      </c>
      <c r="K2875" s="4" t="s">
        <v>57</v>
      </c>
      <c r="L2875" s="4"/>
      <c r="M2875" s="4"/>
    </row>
    <row r="2876" ht="16" customHeight="1" s="4" customFormat="1">
      <c r="A2876" s="4">
        <v>271</v>
      </c>
      <c r="B2876" s="4" t="s">
        <v>5528</v>
      </c>
      <c r="C2876" s="4" t="s">
        <v>7530</v>
      </c>
      <c r="D2876" s="4" t="s">
        <v>5574</v>
      </c>
      <c r="E2876" s="4" t="s">
        <v>7531</v>
      </c>
      <c r="F2876" s="4" t="s">
        <v>10107</v>
      </c>
      <c r="G2876" s="4" t="s">
        <v>4850</v>
      </c>
      <c r="H2876" s="4" t="s">
        <v>10108</v>
      </c>
      <c r="I2876" s="5">
        <v>45455</v>
      </c>
      <c r="J2876" s="4" t="s">
        <v>4842</v>
      </c>
      <c r="K2876" s="4" t="s">
        <v>57</v>
      </c>
      <c r="L2876" s="4"/>
      <c r="M2876" s="4"/>
    </row>
    <row r="2877" ht="16" customHeight="1" s="4" customFormat="1">
      <c r="A2877" s="4">
        <v>272</v>
      </c>
      <c r="B2877" s="4" t="s">
        <v>5499</v>
      </c>
      <c r="C2877" s="4" t="s">
        <v>5509</v>
      </c>
      <c r="D2877" s="4"/>
      <c r="E2877" s="4"/>
      <c r="F2877" s="4" t="s">
        <v>10109</v>
      </c>
      <c r="G2877" s="4" t="s">
        <v>10</v>
      </c>
      <c r="H2877" s="4" t="s">
        <v>10110</v>
      </c>
      <c r="I2877" s="5">
        <v>45436</v>
      </c>
      <c r="J2877" s="4" t="s">
        <v>4842</v>
      </c>
      <c r="K2877" s="4" t="s">
        <v>57</v>
      </c>
      <c r="L2877" s="4"/>
      <c r="M2877" s="4"/>
    </row>
    <row r="2878" ht="16" customHeight="1" s="4" customFormat="1">
      <c r="A2878" s="4">
        <v>273</v>
      </c>
      <c r="B2878" s="4" t="s">
        <v>5499</v>
      </c>
      <c r="C2878" s="4" t="s">
        <v>5702</v>
      </c>
      <c r="D2878" s="4" t="s">
        <v>5574</v>
      </c>
      <c r="E2878" s="4" t="s">
        <v>5575</v>
      </c>
      <c r="F2878" s="4" t="s">
        <v>10111</v>
      </c>
      <c r="G2878" s="4" t="s">
        <v>10112</v>
      </c>
      <c r="H2878" s="4" t="s">
        <v>7009</v>
      </c>
      <c r="I2878" s="5">
        <v>45432</v>
      </c>
      <c r="J2878" s="4" t="s">
        <v>5506</v>
      </c>
      <c r="K2878" s="4" t="s">
        <v>57</v>
      </c>
      <c r="L2878" s="4"/>
      <c r="M2878" s="4"/>
    </row>
    <row r="2879" ht="16" customHeight="1" s="4" customFormat="1">
      <c r="A2879" s="4">
        <v>274</v>
      </c>
      <c r="B2879" s="4" t="s">
        <v>5499</v>
      </c>
      <c r="C2879" s="4" t="s">
        <v>5702</v>
      </c>
      <c r="D2879" s="4" t="s">
        <v>5574</v>
      </c>
      <c r="E2879" s="4" t="s">
        <v>5575</v>
      </c>
      <c r="F2879" s="4" t="s">
        <v>10113</v>
      </c>
      <c r="G2879" s="4" t="s">
        <v>10114</v>
      </c>
      <c r="H2879" s="4" t="s">
        <v>7009</v>
      </c>
      <c r="I2879" s="5">
        <v>45432</v>
      </c>
      <c r="J2879" s="4" t="s">
        <v>5506</v>
      </c>
      <c r="K2879" s="4" t="s">
        <v>57</v>
      </c>
      <c r="L2879" s="4"/>
      <c r="M2879" s="4"/>
    </row>
    <row r="2880" ht="16" customHeight="1" s="4" customFormat="1">
      <c r="A2880" s="4">
        <v>275</v>
      </c>
      <c r="B2880" s="4" t="s">
        <v>5499</v>
      </c>
      <c r="C2880" s="4" t="s">
        <v>5702</v>
      </c>
      <c r="D2880" s="4" t="s">
        <v>6391</v>
      </c>
      <c r="E2880" s="4" t="s">
        <v>6392</v>
      </c>
      <c r="F2880" s="4" t="s">
        <v>10115</v>
      </c>
      <c r="G2880" s="4" t="s">
        <v>10116</v>
      </c>
      <c r="H2880" s="4" t="s">
        <v>10117</v>
      </c>
      <c r="I2880" s="5">
        <v>45425</v>
      </c>
      <c r="J2880" s="4" t="s">
        <v>4798</v>
      </c>
      <c r="K2880" s="4" t="s">
        <v>57</v>
      </c>
      <c r="L2880" s="4"/>
      <c r="M2880" s="4"/>
    </row>
    <row r="2881" ht="16" customHeight="1" s="4" customFormat="1">
      <c r="A2881" s="4">
        <v>276</v>
      </c>
      <c r="B2881" s="4" t="s">
        <v>5534</v>
      </c>
      <c r="C2881" s="4" t="s">
        <v>9593</v>
      </c>
      <c r="D2881" s="4"/>
      <c r="E2881" s="4"/>
      <c r="F2881" s="4" t="s">
        <v>10118</v>
      </c>
      <c r="G2881" s="4" t="s">
        <v>10119</v>
      </c>
      <c r="H2881" s="4" t="s">
        <v>10120</v>
      </c>
      <c r="I2881" s="5">
        <v>45419</v>
      </c>
      <c r="J2881" s="4" t="s">
        <v>4842</v>
      </c>
      <c r="K2881" s="4" t="s">
        <v>57</v>
      </c>
      <c r="L2881" s="4"/>
      <c r="M2881" s="4"/>
    </row>
    <row r="2882" ht="16" customHeight="1" s="4" customFormat="1">
      <c r="A2882" s="4">
        <v>277</v>
      </c>
      <c r="B2882" s="4" t="s">
        <v>5528</v>
      </c>
      <c r="C2882" s="4" t="s">
        <v>5529</v>
      </c>
      <c r="D2882" s="4"/>
      <c r="E2882" s="4" t="s">
        <v>5570</v>
      </c>
      <c r="F2882" s="4" t="s">
        <v>10121</v>
      </c>
      <c r="G2882" s="4" t="s">
        <v>4850</v>
      </c>
      <c r="H2882" s="4" t="s">
        <v>5546</v>
      </c>
      <c r="I2882" s="5">
        <v>45411</v>
      </c>
      <c r="J2882" s="4" t="s">
        <v>4798</v>
      </c>
      <c r="K2882" s="4" t="s">
        <v>57</v>
      </c>
      <c r="L2882" s="4"/>
      <c r="M2882" s="4"/>
    </row>
    <row r="2883" ht="16" customHeight="1" s="4" customFormat="1">
      <c r="A2883" s="4">
        <v>2410</v>
      </c>
      <c r="B2883" s="4" t="s">
        <v>5499</v>
      </c>
      <c r="C2883" s="4" t="s">
        <v>5573</v>
      </c>
      <c r="D2883" s="4" t="s">
        <v>5574</v>
      </c>
      <c r="E2883" s="4" t="s">
        <v>5575</v>
      </c>
      <c r="F2883" s="4" t="s">
        <v>10122</v>
      </c>
      <c r="G2883" s="4" t="s">
        <v>5577</v>
      </c>
      <c r="H2883" s="4" t="s">
        <v>5578</v>
      </c>
      <c r="I2883" s="5">
        <v>40589</v>
      </c>
      <c r="J2883" s="4" t="s">
        <v>4798</v>
      </c>
      <c r="K2883" s="4" t="s">
        <v>57</v>
      </c>
      <c r="L2883" s="4"/>
      <c r="M2883" s="4"/>
    </row>
    <row r="2884" ht="16" customHeight="1" s="4" customFormat="1">
      <c r="A2884" s="4">
        <v>2411</v>
      </c>
      <c r="B2884" s="4" t="s">
        <v>5499</v>
      </c>
      <c r="C2884" s="4" t="s">
        <v>5573</v>
      </c>
      <c r="D2884" s="4" t="s">
        <v>5574</v>
      </c>
      <c r="E2884" s="4" t="s">
        <v>5575</v>
      </c>
      <c r="F2884" s="4" t="s">
        <v>10123</v>
      </c>
      <c r="G2884" s="4" t="s">
        <v>5577</v>
      </c>
      <c r="H2884" s="4" t="s">
        <v>5578</v>
      </c>
      <c r="I2884" s="5">
        <v>40589</v>
      </c>
      <c r="J2884" s="4" t="s">
        <v>4798</v>
      </c>
      <c r="K2884" s="4" t="s">
        <v>57</v>
      </c>
      <c r="L2884" s="4"/>
      <c r="M2884" s="4"/>
    </row>
    <row r="2885" ht="16" customHeight="1" s="4" customFormat="1">
      <c r="A2885" s="4">
        <v>2412</v>
      </c>
      <c r="B2885" s="4" t="s">
        <v>5499</v>
      </c>
      <c r="C2885" s="4" t="s">
        <v>5519</v>
      </c>
      <c r="D2885" s="4"/>
      <c r="E2885" s="4" t="s">
        <v>5648</v>
      </c>
      <c r="F2885" s="4" t="s">
        <v>10124</v>
      </c>
      <c r="G2885" s="4" t="s">
        <v>6531</v>
      </c>
      <c r="H2885" s="4" t="s">
        <v>5511</v>
      </c>
      <c r="I2885" s="5">
        <v>40588</v>
      </c>
      <c r="J2885" s="4" t="s">
        <v>4842</v>
      </c>
      <c r="K2885" s="4" t="s">
        <v>57</v>
      </c>
      <c r="L2885" s="4"/>
      <c r="M2885" s="4"/>
    </row>
    <row r="2886" ht="16" customHeight="1" s="4" customFormat="1">
      <c r="A2886" s="4">
        <v>2413</v>
      </c>
      <c r="B2886" s="4" t="s">
        <v>5499</v>
      </c>
      <c r="C2886" s="4" t="s">
        <v>5519</v>
      </c>
      <c r="D2886" s="4"/>
      <c r="E2886" s="4" t="s">
        <v>5584</v>
      </c>
      <c r="F2886" s="4" t="s">
        <v>10125</v>
      </c>
      <c r="G2886" s="4" t="s">
        <v>8187</v>
      </c>
      <c r="H2886" s="4" t="s">
        <v>10126</v>
      </c>
      <c r="I2886" s="5">
        <v>40560</v>
      </c>
      <c r="J2886" s="4" t="s">
        <v>4798</v>
      </c>
      <c r="K2886" s="4" t="s">
        <v>57</v>
      </c>
      <c r="L2886" s="4"/>
      <c r="M2886" s="4"/>
    </row>
    <row r="2887" ht="16" customHeight="1" s="4" customFormat="1">
      <c r="A2887" s="4">
        <v>2414</v>
      </c>
      <c r="B2887" s="4" t="s">
        <v>5499</v>
      </c>
      <c r="C2887" s="4" t="s">
        <v>5519</v>
      </c>
      <c r="D2887" s="4"/>
      <c r="E2887" s="4" t="s">
        <v>5641</v>
      </c>
      <c r="F2887" s="4" t="s">
        <v>10127</v>
      </c>
      <c r="G2887" s="4" t="s">
        <v>8187</v>
      </c>
      <c r="H2887" s="4" t="s">
        <v>10126</v>
      </c>
      <c r="I2887" s="5">
        <v>40560</v>
      </c>
      <c r="J2887" s="4" t="s">
        <v>4798</v>
      </c>
      <c r="K2887" s="4" t="s">
        <v>57</v>
      </c>
      <c r="L2887" s="4"/>
      <c r="M2887" s="4"/>
    </row>
    <row r="2888" ht="16" customHeight="1" s="4" customFormat="1">
      <c r="A2888" s="4">
        <v>2415</v>
      </c>
      <c r="B2888" s="4" t="s">
        <v>5528</v>
      </c>
      <c r="C2888" s="4" t="s">
        <v>5529</v>
      </c>
      <c r="D2888" s="4"/>
      <c r="E2888" s="4" t="s">
        <v>9417</v>
      </c>
      <c r="F2888" s="4" t="s">
        <v>10128</v>
      </c>
      <c r="G2888" s="4" t="s">
        <v>10129</v>
      </c>
      <c r="H2888" s="4" t="s">
        <v>10130</v>
      </c>
      <c r="I2888" s="5">
        <v>40508</v>
      </c>
      <c r="J2888" s="4" t="s">
        <v>4798</v>
      </c>
      <c r="K2888" s="4" t="s">
        <v>57</v>
      </c>
      <c r="L2888" s="4"/>
      <c r="M2888" s="4"/>
    </row>
    <row r="2889" ht="16" customHeight="1" s="4" customFormat="1">
      <c r="A2889" s="4">
        <v>2416</v>
      </c>
      <c r="B2889" s="4" t="s">
        <v>5499</v>
      </c>
      <c r="C2889" s="4" t="s">
        <v>5519</v>
      </c>
      <c r="D2889" s="4"/>
      <c r="E2889" s="4" t="s">
        <v>6382</v>
      </c>
      <c r="F2889" s="4" t="s">
        <v>10131</v>
      </c>
      <c r="G2889" s="4" t="s">
        <v>10132</v>
      </c>
      <c r="H2889" s="4" t="s">
        <v>10132</v>
      </c>
      <c r="I2889" s="5">
        <v>40476</v>
      </c>
      <c r="J2889" s="4" t="s">
        <v>4798</v>
      </c>
      <c r="K2889" s="4" t="s">
        <v>57</v>
      </c>
      <c r="L2889" s="4"/>
      <c r="M2889" s="4"/>
    </row>
    <row r="2890" ht="16" customHeight="1" s="4" customFormat="1">
      <c r="A2890" s="4">
        <v>2417</v>
      </c>
      <c r="B2890" s="4" t="s">
        <v>5499</v>
      </c>
      <c r="C2890" s="4" t="s">
        <v>5519</v>
      </c>
      <c r="D2890" s="4"/>
      <c r="E2890" s="4" t="s">
        <v>6382</v>
      </c>
      <c r="F2890" s="4" t="s">
        <v>10133</v>
      </c>
      <c r="G2890" s="4" t="s">
        <v>5611</v>
      </c>
      <c r="H2890" s="4" t="s">
        <v>5611</v>
      </c>
      <c r="I2890" s="5">
        <v>40476</v>
      </c>
      <c r="J2890" s="4" t="s">
        <v>4798</v>
      </c>
      <c r="K2890" s="4" t="s">
        <v>57</v>
      </c>
      <c r="L2890" s="4"/>
      <c r="M2890" s="4"/>
    </row>
    <row r="2891" ht="16" customHeight="1" s="4" customFormat="1">
      <c r="A2891" s="4">
        <v>2418</v>
      </c>
      <c r="B2891" s="4" t="s">
        <v>5499</v>
      </c>
      <c r="C2891" s="4" t="s">
        <v>5573</v>
      </c>
      <c r="D2891" s="4" t="s">
        <v>5574</v>
      </c>
      <c r="E2891" s="4" t="s">
        <v>5575</v>
      </c>
      <c r="F2891" s="4" t="s">
        <v>10134</v>
      </c>
      <c r="G2891" s="4" t="s">
        <v>5577</v>
      </c>
      <c r="H2891" s="4" t="s">
        <v>10135</v>
      </c>
      <c r="I2891" s="5">
        <v>40471</v>
      </c>
      <c r="J2891" s="4" t="s">
        <v>4842</v>
      </c>
      <c r="K2891" s="4" t="s">
        <v>57</v>
      </c>
      <c r="L2891" s="4"/>
      <c r="M2891" s="4"/>
    </row>
    <row r="2892" ht="16" customHeight="1" s="4" customFormat="1">
      <c r="A2892" s="4">
        <v>2419</v>
      </c>
      <c r="B2892" s="4" t="s">
        <v>5499</v>
      </c>
      <c r="C2892" s="4" t="s">
        <v>5519</v>
      </c>
      <c r="D2892" s="4"/>
      <c r="E2892" s="4" t="s">
        <v>6094</v>
      </c>
      <c r="F2892" s="4" t="s">
        <v>7179</v>
      </c>
      <c r="G2892" s="4" t="s">
        <v>10136</v>
      </c>
      <c r="H2892" s="4" t="s">
        <v>10136</v>
      </c>
      <c r="I2892" s="5">
        <v>40469</v>
      </c>
      <c r="J2892" s="4" t="s">
        <v>4842</v>
      </c>
      <c r="K2892" s="4" t="s">
        <v>57</v>
      </c>
      <c r="L2892" s="4"/>
      <c r="M2892" s="4"/>
    </row>
    <row r="2893" ht="16" customHeight="1" s="4" customFormat="1">
      <c r="A2893" s="4">
        <v>2420</v>
      </c>
      <c r="B2893" s="4" t="s">
        <v>5499</v>
      </c>
      <c r="C2893" s="4" t="s">
        <v>5519</v>
      </c>
      <c r="D2893" s="4"/>
      <c r="E2893" s="4" t="s">
        <v>6188</v>
      </c>
      <c r="F2893" s="4" t="s">
        <v>9368</v>
      </c>
      <c r="G2893" s="4" t="s">
        <v>10132</v>
      </c>
      <c r="H2893" s="4" t="s">
        <v>10132</v>
      </c>
      <c r="I2893" s="5">
        <v>40455</v>
      </c>
      <c r="J2893" s="4" t="s">
        <v>4842</v>
      </c>
      <c r="K2893" s="4" t="s">
        <v>57</v>
      </c>
      <c r="L2893" s="4"/>
      <c r="M2893" s="4"/>
    </row>
    <row r="2894" ht="16" customHeight="1" s="4" customFormat="1">
      <c r="A2894" s="4">
        <v>2421</v>
      </c>
      <c r="B2894" s="4" t="s">
        <v>5534</v>
      </c>
      <c r="C2894" s="4" t="s">
        <v>5773</v>
      </c>
      <c r="D2894" s="4"/>
      <c r="E2894" s="4"/>
      <c r="F2894" s="4" t="s">
        <v>10137</v>
      </c>
      <c r="G2894" s="4" t="s">
        <v>6041</v>
      </c>
      <c r="H2894" s="4" t="s">
        <v>10138</v>
      </c>
      <c r="I2894" s="5">
        <v>40450</v>
      </c>
      <c r="J2894" s="4" t="s">
        <v>5506</v>
      </c>
      <c r="K2894" s="4" t="s">
        <v>57</v>
      </c>
      <c r="L2894" s="4"/>
      <c r="M2894" s="4"/>
    </row>
    <row r="2895" ht="16" customHeight="1" s="4" customFormat="1">
      <c r="A2895" s="4">
        <v>2422</v>
      </c>
      <c r="B2895" s="4" t="s">
        <v>5499</v>
      </c>
      <c r="C2895" s="4" t="s">
        <v>5573</v>
      </c>
      <c r="D2895" s="4" t="s">
        <v>5574</v>
      </c>
      <c r="E2895" s="4" t="s">
        <v>5575</v>
      </c>
      <c r="F2895" s="4" t="s">
        <v>10139</v>
      </c>
      <c r="G2895" s="4" t="s">
        <v>10140</v>
      </c>
      <c r="H2895" s="4" t="s">
        <v>10141</v>
      </c>
      <c r="I2895" s="5">
        <v>40445</v>
      </c>
      <c r="J2895" s="4" t="s">
        <v>5506</v>
      </c>
      <c r="K2895" s="4" t="s">
        <v>57</v>
      </c>
      <c r="L2895" s="4"/>
      <c r="M2895" s="4"/>
    </row>
    <row r="2896" ht="16" customHeight="1" s="4" customFormat="1">
      <c r="A2896" s="4">
        <v>2423</v>
      </c>
      <c r="B2896" s="4" t="s">
        <v>5534</v>
      </c>
      <c r="C2896" s="4" t="s">
        <v>5773</v>
      </c>
      <c r="D2896" s="4"/>
      <c r="E2896" s="4"/>
      <c r="F2896" s="4" t="s">
        <v>10142</v>
      </c>
      <c r="G2896" s="4" t="s">
        <v>5984</v>
      </c>
      <c r="H2896" s="4" t="s">
        <v>6018</v>
      </c>
      <c r="I2896" s="5">
        <v>40409</v>
      </c>
      <c r="J2896" s="4" t="s">
        <v>4798</v>
      </c>
      <c r="K2896" s="4" t="s">
        <v>57</v>
      </c>
      <c r="L2896" s="4"/>
      <c r="M2896" s="4"/>
    </row>
    <row r="2897" ht="16" customHeight="1" s="4" customFormat="1">
      <c r="A2897" s="4">
        <v>2424</v>
      </c>
      <c r="B2897" s="4" t="s">
        <v>5534</v>
      </c>
      <c r="C2897" s="4" t="s">
        <v>5773</v>
      </c>
      <c r="D2897" s="4"/>
      <c r="E2897" s="4"/>
      <c r="F2897" s="4" t="s">
        <v>10143</v>
      </c>
      <c r="G2897" s="4" t="s">
        <v>5984</v>
      </c>
      <c r="H2897" s="4" t="s">
        <v>6018</v>
      </c>
      <c r="I2897" s="5">
        <v>40409</v>
      </c>
      <c r="J2897" s="4" t="s">
        <v>4798</v>
      </c>
      <c r="K2897" s="4" t="s">
        <v>57</v>
      </c>
      <c r="L2897" s="4"/>
      <c r="M2897" s="4"/>
    </row>
    <row r="2898" ht="16" customHeight="1" s="4" customFormat="1">
      <c r="A2898" s="4">
        <v>2425</v>
      </c>
      <c r="B2898" s="4" t="s">
        <v>5534</v>
      </c>
      <c r="C2898" s="4" t="s">
        <v>5773</v>
      </c>
      <c r="D2898" s="4"/>
      <c r="E2898" s="4"/>
      <c r="F2898" s="4" t="s">
        <v>10144</v>
      </c>
      <c r="G2898" s="4" t="s">
        <v>5984</v>
      </c>
      <c r="H2898" s="4" t="s">
        <v>6018</v>
      </c>
      <c r="I2898" s="5">
        <v>40409</v>
      </c>
      <c r="J2898" s="4" t="s">
        <v>4798</v>
      </c>
      <c r="K2898" s="4" t="s">
        <v>57</v>
      </c>
      <c r="L2898" s="4"/>
      <c r="M2898" s="4"/>
    </row>
    <row r="2899" ht="16" customHeight="1" s="4" customFormat="1">
      <c r="A2899" s="4">
        <v>2426</v>
      </c>
      <c r="B2899" s="4" t="s">
        <v>5534</v>
      </c>
      <c r="C2899" s="4" t="s">
        <v>5773</v>
      </c>
      <c r="D2899" s="4"/>
      <c r="E2899" s="4"/>
      <c r="F2899" s="4" t="s">
        <v>10145</v>
      </c>
      <c r="G2899" s="4" t="s">
        <v>5984</v>
      </c>
      <c r="H2899" s="4" t="s">
        <v>6018</v>
      </c>
      <c r="I2899" s="5">
        <v>40409</v>
      </c>
      <c r="J2899" s="4" t="s">
        <v>4798</v>
      </c>
      <c r="K2899" s="4" t="s">
        <v>57</v>
      </c>
      <c r="L2899" s="4"/>
      <c r="M2899" s="4"/>
    </row>
    <row r="2900" ht="16" customHeight="1" s="4" customFormat="1">
      <c r="A2900" s="4">
        <v>2427</v>
      </c>
      <c r="B2900" s="4" t="s">
        <v>5534</v>
      </c>
      <c r="C2900" s="4" t="s">
        <v>5773</v>
      </c>
      <c r="D2900" s="4"/>
      <c r="E2900" s="4"/>
      <c r="F2900" s="4" t="s">
        <v>10146</v>
      </c>
      <c r="G2900" s="4" t="s">
        <v>5984</v>
      </c>
      <c r="H2900" s="4" t="s">
        <v>6018</v>
      </c>
      <c r="I2900" s="5">
        <v>40409</v>
      </c>
      <c r="J2900" s="4" t="s">
        <v>4798</v>
      </c>
      <c r="K2900" s="4" t="s">
        <v>57</v>
      </c>
      <c r="L2900" s="4"/>
      <c r="M2900" s="4"/>
    </row>
    <row r="2901" ht="16" customHeight="1" s="4" customFormat="1">
      <c r="A2901" s="4">
        <v>2428</v>
      </c>
      <c r="B2901" s="4" t="s">
        <v>5534</v>
      </c>
      <c r="C2901" s="4" t="s">
        <v>5773</v>
      </c>
      <c r="D2901" s="4"/>
      <c r="E2901" s="4"/>
      <c r="F2901" s="4" t="s">
        <v>10147</v>
      </c>
      <c r="G2901" s="4" t="s">
        <v>5984</v>
      </c>
      <c r="H2901" s="4" t="s">
        <v>6018</v>
      </c>
      <c r="I2901" s="5">
        <v>40409</v>
      </c>
      <c r="J2901" s="4" t="s">
        <v>4798</v>
      </c>
      <c r="K2901" s="4" t="s">
        <v>57</v>
      </c>
      <c r="L2901" s="4"/>
      <c r="M2901" s="4"/>
    </row>
    <row r="2902" ht="16" customHeight="1" s="4" customFormat="1">
      <c r="A2902" s="4">
        <v>2429</v>
      </c>
      <c r="B2902" s="4" t="s">
        <v>5534</v>
      </c>
      <c r="C2902" s="4" t="s">
        <v>5773</v>
      </c>
      <c r="D2902" s="4"/>
      <c r="E2902" s="4"/>
      <c r="F2902" s="4" t="s">
        <v>10148</v>
      </c>
      <c r="G2902" s="4" t="s">
        <v>5984</v>
      </c>
      <c r="H2902" s="4" t="s">
        <v>6018</v>
      </c>
      <c r="I2902" s="5">
        <v>40409</v>
      </c>
      <c r="J2902" s="4" t="s">
        <v>4798</v>
      </c>
      <c r="K2902" s="4" t="s">
        <v>57</v>
      </c>
      <c r="L2902" s="4"/>
      <c r="M2902" s="4"/>
    </row>
    <row r="2903" ht="16" customHeight="1" s="4" customFormat="1">
      <c r="A2903" s="4">
        <v>2430</v>
      </c>
      <c r="B2903" s="4" t="s">
        <v>5534</v>
      </c>
      <c r="C2903" s="4" t="s">
        <v>5773</v>
      </c>
      <c r="D2903" s="4"/>
      <c r="E2903" s="4"/>
      <c r="F2903" s="4" t="s">
        <v>10149</v>
      </c>
      <c r="G2903" s="4" t="s">
        <v>5984</v>
      </c>
      <c r="H2903" s="4" t="s">
        <v>6018</v>
      </c>
      <c r="I2903" s="5">
        <v>40409</v>
      </c>
      <c r="J2903" s="4" t="s">
        <v>4798</v>
      </c>
      <c r="K2903" s="4" t="s">
        <v>57</v>
      </c>
      <c r="L2903" s="4"/>
      <c r="M2903" s="4"/>
    </row>
    <row r="2904" ht="16" customHeight="1" s="4" customFormat="1">
      <c r="A2904" s="4">
        <v>2431</v>
      </c>
      <c r="B2904" s="4" t="s">
        <v>5534</v>
      </c>
      <c r="C2904" s="4" t="s">
        <v>5773</v>
      </c>
      <c r="D2904" s="4"/>
      <c r="E2904" s="4"/>
      <c r="F2904" s="4" t="s">
        <v>10150</v>
      </c>
      <c r="G2904" s="4" t="s">
        <v>5984</v>
      </c>
      <c r="H2904" s="4" t="s">
        <v>6018</v>
      </c>
      <c r="I2904" s="5">
        <v>40409</v>
      </c>
      <c r="J2904" s="4" t="s">
        <v>4798</v>
      </c>
      <c r="K2904" s="4" t="s">
        <v>57</v>
      </c>
      <c r="L2904" s="4"/>
      <c r="M2904" s="4"/>
    </row>
    <row r="2905" ht="16" customHeight="1" s="4" customFormat="1">
      <c r="A2905" s="4">
        <v>2432</v>
      </c>
      <c r="B2905" s="4" t="s">
        <v>5499</v>
      </c>
      <c r="C2905" s="4" t="s">
        <v>5519</v>
      </c>
      <c r="D2905" s="4"/>
      <c r="E2905" s="4" t="s">
        <v>6079</v>
      </c>
      <c r="F2905" s="4" t="s">
        <v>10151</v>
      </c>
      <c r="G2905" s="4" t="s">
        <v>5815</v>
      </c>
      <c r="H2905" s="4" t="s">
        <v>5663</v>
      </c>
      <c r="I2905" s="5">
        <v>40396</v>
      </c>
      <c r="J2905" s="4" t="s">
        <v>4798</v>
      </c>
      <c r="K2905" s="4" t="s">
        <v>57</v>
      </c>
      <c r="L2905" s="4"/>
      <c r="M2905" s="4"/>
    </row>
    <row r="2906" ht="16" customHeight="1" s="4" customFormat="1">
      <c r="A2906" s="4">
        <v>2433</v>
      </c>
      <c r="B2906" s="4" t="s">
        <v>5499</v>
      </c>
      <c r="C2906" s="4" t="s">
        <v>5573</v>
      </c>
      <c r="D2906" s="4" t="s">
        <v>5574</v>
      </c>
      <c r="E2906" s="4" t="s">
        <v>5575</v>
      </c>
      <c r="F2906" s="4" t="s">
        <v>10152</v>
      </c>
      <c r="G2906" s="4" t="s">
        <v>5577</v>
      </c>
      <c r="H2906" s="4" t="s">
        <v>5578</v>
      </c>
      <c r="I2906" s="5">
        <v>40395</v>
      </c>
      <c r="J2906" s="4" t="s">
        <v>4798</v>
      </c>
      <c r="K2906" s="4" t="s">
        <v>57</v>
      </c>
      <c r="L2906" s="4"/>
      <c r="M2906" s="4"/>
    </row>
    <row r="2907" ht="16" customHeight="1" s="4" customFormat="1">
      <c r="A2907" s="4">
        <v>2434</v>
      </c>
      <c r="B2907" s="4" t="s">
        <v>5534</v>
      </c>
      <c r="C2907" s="4" t="s">
        <v>5773</v>
      </c>
      <c r="D2907" s="4"/>
      <c r="E2907" s="4"/>
      <c r="F2907" s="4" t="s">
        <v>10153</v>
      </c>
      <c r="G2907" s="4" t="s">
        <v>5984</v>
      </c>
      <c r="H2907" s="4" t="s">
        <v>6018</v>
      </c>
      <c r="I2907" s="5">
        <v>40395</v>
      </c>
      <c r="J2907" s="4" t="s">
        <v>4798</v>
      </c>
      <c r="K2907" s="4" t="s">
        <v>57</v>
      </c>
      <c r="L2907" s="4"/>
      <c r="M2907" s="4"/>
    </row>
    <row r="2908" ht="16" customHeight="1" s="4" customFormat="1">
      <c r="A2908" s="4">
        <v>2435</v>
      </c>
      <c r="B2908" s="4" t="s">
        <v>5534</v>
      </c>
      <c r="C2908" s="4" t="s">
        <v>5773</v>
      </c>
      <c r="D2908" s="4"/>
      <c r="E2908" s="4"/>
      <c r="F2908" s="4" t="s">
        <v>10154</v>
      </c>
      <c r="G2908" s="4" t="s">
        <v>5984</v>
      </c>
      <c r="H2908" s="4" t="s">
        <v>6018</v>
      </c>
      <c r="I2908" s="5">
        <v>40395</v>
      </c>
      <c r="J2908" s="4" t="s">
        <v>4798</v>
      </c>
      <c r="K2908" s="4" t="s">
        <v>57</v>
      </c>
      <c r="L2908" s="4"/>
      <c r="M2908" s="4"/>
    </row>
    <row r="2909" ht="16" customHeight="1" s="4" customFormat="1">
      <c r="A2909" s="4">
        <v>2436</v>
      </c>
      <c r="B2909" s="4" t="s">
        <v>5534</v>
      </c>
      <c r="C2909" s="4" t="s">
        <v>5773</v>
      </c>
      <c r="D2909" s="4"/>
      <c r="E2909" s="4"/>
      <c r="F2909" s="4" t="s">
        <v>10155</v>
      </c>
      <c r="G2909" s="4" t="s">
        <v>5984</v>
      </c>
      <c r="H2909" s="4" t="s">
        <v>6018</v>
      </c>
      <c r="I2909" s="5">
        <v>40395</v>
      </c>
      <c r="J2909" s="4" t="s">
        <v>4798</v>
      </c>
      <c r="K2909" s="4" t="s">
        <v>57</v>
      </c>
      <c r="L2909" s="4"/>
      <c r="M2909" s="4"/>
    </row>
    <row r="2910" ht="16" customHeight="1" s="4" customFormat="1">
      <c r="A2910" s="4">
        <v>2437</v>
      </c>
      <c r="B2910" s="4" t="s">
        <v>5534</v>
      </c>
      <c r="C2910" s="4" t="s">
        <v>5773</v>
      </c>
      <c r="D2910" s="4"/>
      <c r="E2910" s="4"/>
      <c r="F2910" s="4" t="s">
        <v>10156</v>
      </c>
      <c r="G2910" s="4" t="s">
        <v>5984</v>
      </c>
      <c r="H2910" s="4" t="s">
        <v>6018</v>
      </c>
      <c r="I2910" s="5">
        <v>40395</v>
      </c>
      <c r="J2910" s="4" t="s">
        <v>4798</v>
      </c>
      <c r="K2910" s="4" t="s">
        <v>57</v>
      </c>
      <c r="L2910" s="4"/>
      <c r="M2910" s="4"/>
    </row>
    <row r="2911" ht="16" customHeight="1" s="4" customFormat="1">
      <c r="A2911" s="4">
        <v>2438</v>
      </c>
      <c r="B2911" s="4" t="s">
        <v>5534</v>
      </c>
      <c r="C2911" s="4" t="s">
        <v>5773</v>
      </c>
      <c r="D2911" s="4"/>
      <c r="E2911" s="4"/>
      <c r="F2911" s="4" t="s">
        <v>10157</v>
      </c>
      <c r="G2911" s="4" t="s">
        <v>5984</v>
      </c>
      <c r="H2911" s="4" t="s">
        <v>6018</v>
      </c>
      <c r="I2911" s="5">
        <v>40395</v>
      </c>
      <c r="J2911" s="4" t="s">
        <v>4798</v>
      </c>
      <c r="K2911" s="4" t="s">
        <v>57</v>
      </c>
      <c r="L2911" s="4"/>
      <c r="M2911" s="4"/>
    </row>
    <row r="2912" ht="16" customHeight="1" s="4" customFormat="1">
      <c r="A2912" s="4">
        <v>2439</v>
      </c>
      <c r="B2912" s="4" t="s">
        <v>5534</v>
      </c>
      <c r="C2912" s="4" t="s">
        <v>5773</v>
      </c>
      <c r="D2912" s="4"/>
      <c r="E2912" s="4"/>
      <c r="F2912" s="4" t="s">
        <v>10158</v>
      </c>
      <c r="G2912" s="4" t="s">
        <v>5984</v>
      </c>
      <c r="H2912" s="4" t="s">
        <v>6018</v>
      </c>
      <c r="I2912" s="5">
        <v>40395</v>
      </c>
      <c r="J2912" s="4" t="s">
        <v>4798</v>
      </c>
      <c r="K2912" s="4" t="s">
        <v>57</v>
      </c>
      <c r="L2912" s="4"/>
      <c r="M2912" s="4"/>
    </row>
    <row r="2913" ht="16" customHeight="1" s="4" customFormat="1">
      <c r="A2913" s="4">
        <v>2440</v>
      </c>
      <c r="B2913" s="4" t="s">
        <v>5534</v>
      </c>
      <c r="C2913" s="4" t="s">
        <v>5773</v>
      </c>
      <c r="D2913" s="4"/>
      <c r="E2913" s="4"/>
      <c r="F2913" s="4" t="s">
        <v>10159</v>
      </c>
      <c r="G2913" s="4" t="s">
        <v>5984</v>
      </c>
      <c r="H2913" s="4" t="s">
        <v>6018</v>
      </c>
      <c r="I2913" s="5">
        <v>40395</v>
      </c>
      <c r="J2913" s="4" t="s">
        <v>4798</v>
      </c>
      <c r="K2913" s="4" t="s">
        <v>57</v>
      </c>
      <c r="L2913" s="4"/>
      <c r="M2913" s="4"/>
    </row>
    <row r="2914" ht="16" customHeight="1" s="4" customFormat="1">
      <c r="A2914" s="4">
        <v>2441</v>
      </c>
      <c r="B2914" s="4" t="s">
        <v>5534</v>
      </c>
      <c r="C2914" s="4" t="s">
        <v>5773</v>
      </c>
      <c r="D2914" s="4"/>
      <c r="E2914" s="4"/>
      <c r="F2914" s="4" t="s">
        <v>10160</v>
      </c>
      <c r="G2914" s="4" t="s">
        <v>5984</v>
      </c>
      <c r="H2914" s="4" t="s">
        <v>6018</v>
      </c>
      <c r="I2914" s="5">
        <v>40395</v>
      </c>
      <c r="J2914" s="4" t="s">
        <v>4798</v>
      </c>
      <c r="K2914" s="4" t="s">
        <v>57</v>
      </c>
      <c r="L2914" s="4"/>
      <c r="M2914" s="4"/>
    </row>
    <row r="2915" ht="16" customHeight="1" s="4" customFormat="1">
      <c r="A2915" s="4">
        <v>2442</v>
      </c>
      <c r="B2915" s="4" t="s">
        <v>5534</v>
      </c>
      <c r="C2915" s="4" t="s">
        <v>5773</v>
      </c>
      <c r="D2915" s="4"/>
      <c r="E2915" s="4"/>
      <c r="F2915" s="4" t="s">
        <v>10161</v>
      </c>
      <c r="G2915" s="4" t="s">
        <v>5984</v>
      </c>
      <c r="H2915" s="4" t="s">
        <v>6018</v>
      </c>
      <c r="I2915" s="5">
        <v>40395</v>
      </c>
      <c r="J2915" s="4" t="s">
        <v>4798</v>
      </c>
      <c r="K2915" s="4" t="s">
        <v>57</v>
      </c>
      <c r="L2915" s="4"/>
      <c r="M2915" s="4"/>
    </row>
    <row r="2916" ht="16" customHeight="1" s="4" customFormat="1">
      <c r="A2916" s="4">
        <v>2443</v>
      </c>
      <c r="B2916" s="4" t="s">
        <v>5534</v>
      </c>
      <c r="C2916" s="4" t="s">
        <v>5773</v>
      </c>
      <c r="D2916" s="4"/>
      <c r="E2916" s="4"/>
      <c r="F2916" s="4" t="s">
        <v>10162</v>
      </c>
      <c r="G2916" s="4" t="s">
        <v>5984</v>
      </c>
      <c r="H2916" s="4" t="s">
        <v>6018</v>
      </c>
      <c r="I2916" s="5">
        <v>40395</v>
      </c>
      <c r="J2916" s="4" t="s">
        <v>4798</v>
      </c>
      <c r="K2916" s="4" t="s">
        <v>57</v>
      </c>
      <c r="L2916" s="4"/>
      <c r="M2916" s="4"/>
    </row>
    <row r="2917" ht="16" customHeight="1" s="4" customFormat="1">
      <c r="A2917" s="4">
        <v>2444</v>
      </c>
      <c r="B2917" s="4" t="s">
        <v>5534</v>
      </c>
      <c r="C2917" s="4" t="s">
        <v>5773</v>
      </c>
      <c r="D2917" s="4"/>
      <c r="E2917" s="4"/>
      <c r="F2917" s="4" t="s">
        <v>10163</v>
      </c>
      <c r="G2917" s="4" t="s">
        <v>5984</v>
      </c>
      <c r="H2917" s="4" t="s">
        <v>6018</v>
      </c>
      <c r="I2917" s="5">
        <v>40395</v>
      </c>
      <c r="J2917" s="4" t="s">
        <v>4798</v>
      </c>
      <c r="K2917" s="4" t="s">
        <v>57</v>
      </c>
      <c r="L2917" s="4"/>
      <c r="M2917" s="4"/>
    </row>
    <row r="2918" ht="16" customHeight="1" s="4" customFormat="1">
      <c r="A2918" s="4">
        <v>2445</v>
      </c>
      <c r="B2918" s="4" t="s">
        <v>5534</v>
      </c>
      <c r="C2918" s="4" t="s">
        <v>5773</v>
      </c>
      <c r="D2918" s="4"/>
      <c r="E2918" s="4"/>
      <c r="F2918" s="4" t="s">
        <v>10164</v>
      </c>
      <c r="G2918" s="4" t="s">
        <v>5984</v>
      </c>
      <c r="H2918" s="4" t="s">
        <v>6018</v>
      </c>
      <c r="I2918" s="5">
        <v>40395</v>
      </c>
      <c r="J2918" s="4" t="s">
        <v>4798</v>
      </c>
      <c r="K2918" s="4" t="s">
        <v>57</v>
      </c>
      <c r="L2918" s="4"/>
      <c r="M2918" s="4"/>
    </row>
    <row r="2919" ht="16" customHeight="1" s="4" customFormat="1">
      <c r="A2919" s="4">
        <v>2446</v>
      </c>
      <c r="B2919" s="4" t="s">
        <v>5534</v>
      </c>
      <c r="C2919" s="4" t="s">
        <v>5773</v>
      </c>
      <c r="D2919" s="4"/>
      <c r="E2919" s="4"/>
      <c r="F2919" s="4" t="s">
        <v>10165</v>
      </c>
      <c r="G2919" s="4" t="s">
        <v>5984</v>
      </c>
      <c r="H2919" s="4" t="s">
        <v>6018</v>
      </c>
      <c r="I2919" s="5">
        <v>40395</v>
      </c>
      <c r="J2919" s="4" t="s">
        <v>4798</v>
      </c>
      <c r="K2919" s="4" t="s">
        <v>57</v>
      </c>
      <c r="L2919" s="4"/>
      <c r="M2919" s="4"/>
    </row>
    <row r="2920" ht="16" customHeight="1" s="4" customFormat="1">
      <c r="A2920" s="4">
        <v>2447</v>
      </c>
      <c r="B2920" s="4" t="s">
        <v>5534</v>
      </c>
      <c r="C2920" s="4" t="s">
        <v>5773</v>
      </c>
      <c r="D2920" s="4"/>
      <c r="E2920" s="4"/>
      <c r="F2920" s="4" t="s">
        <v>10166</v>
      </c>
      <c r="G2920" s="4" t="s">
        <v>5984</v>
      </c>
      <c r="H2920" s="4" t="s">
        <v>6018</v>
      </c>
      <c r="I2920" s="5">
        <v>40395</v>
      </c>
      <c r="J2920" s="4" t="s">
        <v>4798</v>
      </c>
      <c r="K2920" s="4" t="s">
        <v>57</v>
      </c>
      <c r="L2920" s="4"/>
      <c r="M2920" s="4"/>
    </row>
    <row r="2921" ht="16" customHeight="1" s="4" customFormat="1">
      <c r="A2921" s="4">
        <v>2448</v>
      </c>
      <c r="B2921" s="4" t="s">
        <v>5534</v>
      </c>
      <c r="C2921" s="4" t="s">
        <v>5773</v>
      </c>
      <c r="D2921" s="4"/>
      <c r="E2921" s="4"/>
      <c r="F2921" s="4" t="s">
        <v>10167</v>
      </c>
      <c r="G2921" s="4" t="s">
        <v>5984</v>
      </c>
      <c r="H2921" s="4" t="s">
        <v>6018</v>
      </c>
      <c r="I2921" s="5">
        <v>40395</v>
      </c>
      <c r="J2921" s="4" t="s">
        <v>4798</v>
      </c>
      <c r="K2921" s="4" t="s">
        <v>57</v>
      </c>
      <c r="L2921" s="4"/>
      <c r="M2921" s="4"/>
    </row>
    <row r="2922" ht="16" customHeight="1" s="4" customFormat="1">
      <c r="A2922" s="4">
        <v>2449</v>
      </c>
      <c r="B2922" s="4" t="s">
        <v>5534</v>
      </c>
      <c r="C2922" s="4" t="s">
        <v>5773</v>
      </c>
      <c r="D2922" s="4"/>
      <c r="E2922" s="4"/>
      <c r="F2922" s="4" t="s">
        <v>10168</v>
      </c>
      <c r="G2922" s="4" t="s">
        <v>5984</v>
      </c>
      <c r="H2922" s="4" t="s">
        <v>6018</v>
      </c>
      <c r="I2922" s="5">
        <v>40395</v>
      </c>
      <c r="J2922" s="4" t="s">
        <v>4798</v>
      </c>
      <c r="K2922" s="4" t="s">
        <v>57</v>
      </c>
      <c r="L2922" s="4"/>
      <c r="M2922" s="4"/>
    </row>
    <row r="2923" ht="16" customHeight="1" s="4" customFormat="1">
      <c r="A2923" s="4">
        <v>2450</v>
      </c>
      <c r="B2923" s="4" t="s">
        <v>5534</v>
      </c>
      <c r="C2923" s="4" t="s">
        <v>5773</v>
      </c>
      <c r="D2923" s="4"/>
      <c r="E2923" s="4"/>
      <c r="F2923" s="4" t="s">
        <v>10169</v>
      </c>
      <c r="G2923" s="4" t="s">
        <v>5984</v>
      </c>
      <c r="H2923" s="4" t="s">
        <v>6018</v>
      </c>
      <c r="I2923" s="5">
        <v>40395</v>
      </c>
      <c r="J2923" s="4" t="s">
        <v>4798</v>
      </c>
      <c r="K2923" s="4" t="s">
        <v>57</v>
      </c>
      <c r="L2923" s="4"/>
      <c r="M2923" s="4"/>
    </row>
    <row r="2924" ht="16" customHeight="1" s="4" customFormat="1">
      <c r="A2924" s="4">
        <v>2451</v>
      </c>
      <c r="B2924" s="4" t="s">
        <v>5534</v>
      </c>
      <c r="C2924" s="4" t="s">
        <v>5773</v>
      </c>
      <c r="D2924" s="4"/>
      <c r="E2924" s="4"/>
      <c r="F2924" s="4" t="s">
        <v>10170</v>
      </c>
      <c r="G2924" s="4" t="s">
        <v>5984</v>
      </c>
      <c r="H2924" s="4" t="s">
        <v>6018</v>
      </c>
      <c r="I2924" s="5">
        <v>40395</v>
      </c>
      <c r="J2924" s="4" t="s">
        <v>4798</v>
      </c>
      <c r="K2924" s="4" t="s">
        <v>57</v>
      </c>
      <c r="L2924" s="4"/>
      <c r="M2924" s="4"/>
    </row>
    <row r="2925" ht="16" customHeight="1" s="4" customFormat="1">
      <c r="A2925" s="4">
        <v>2452</v>
      </c>
      <c r="B2925" s="4" t="s">
        <v>5534</v>
      </c>
      <c r="C2925" s="4" t="s">
        <v>5773</v>
      </c>
      <c r="D2925" s="4"/>
      <c r="E2925" s="4"/>
      <c r="F2925" s="4" t="s">
        <v>10171</v>
      </c>
      <c r="G2925" s="4" t="s">
        <v>5984</v>
      </c>
      <c r="H2925" s="4" t="s">
        <v>6018</v>
      </c>
      <c r="I2925" s="5">
        <v>40395</v>
      </c>
      <c r="J2925" s="4" t="s">
        <v>4798</v>
      </c>
      <c r="K2925" s="4" t="s">
        <v>57</v>
      </c>
      <c r="L2925" s="4"/>
      <c r="M2925" s="4"/>
    </row>
    <row r="2926" ht="16" customHeight="1" s="4" customFormat="1">
      <c r="A2926" s="4">
        <v>2453</v>
      </c>
      <c r="B2926" s="4" t="s">
        <v>5534</v>
      </c>
      <c r="C2926" s="4" t="s">
        <v>5773</v>
      </c>
      <c r="D2926" s="4"/>
      <c r="E2926" s="4"/>
      <c r="F2926" s="4" t="s">
        <v>10172</v>
      </c>
      <c r="G2926" s="4" t="s">
        <v>5984</v>
      </c>
      <c r="H2926" s="4" t="s">
        <v>6018</v>
      </c>
      <c r="I2926" s="5">
        <v>40395</v>
      </c>
      <c r="J2926" s="4" t="s">
        <v>4798</v>
      </c>
      <c r="K2926" s="4" t="s">
        <v>57</v>
      </c>
      <c r="L2926" s="4"/>
      <c r="M2926" s="4"/>
    </row>
    <row r="2927" ht="16" customHeight="1" s="4" customFormat="1">
      <c r="A2927" s="4">
        <v>2454</v>
      </c>
      <c r="B2927" s="4" t="s">
        <v>5534</v>
      </c>
      <c r="C2927" s="4" t="s">
        <v>5773</v>
      </c>
      <c r="D2927" s="4"/>
      <c r="E2927" s="4"/>
      <c r="F2927" s="4" t="s">
        <v>10173</v>
      </c>
      <c r="G2927" s="4" t="s">
        <v>5984</v>
      </c>
      <c r="H2927" s="4" t="s">
        <v>6018</v>
      </c>
      <c r="I2927" s="5">
        <v>40395</v>
      </c>
      <c r="J2927" s="4" t="s">
        <v>4798</v>
      </c>
      <c r="K2927" s="4" t="s">
        <v>57</v>
      </c>
      <c r="L2927" s="4"/>
      <c r="M2927" s="4"/>
    </row>
    <row r="2928" ht="16" customHeight="1" s="4" customFormat="1">
      <c r="A2928" s="4">
        <v>2455</v>
      </c>
      <c r="B2928" s="4" t="s">
        <v>5534</v>
      </c>
      <c r="C2928" s="4" t="s">
        <v>5773</v>
      </c>
      <c r="D2928" s="4"/>
      <c r="E2928" s="4"/>
      <c r="F2928" s="4" t="s">
        <v>10174</v>
      </c>
      <c r="G2928" s="4" t="s">
        <v>5984</v>
      </c>
      <c r="H2928" s="4" t="s">
        <v>6018</v>
      </c>
      <c r="I2928" s="5">
        <v>40395</v>
      </c>
      <c r="J2928" s="4" t="s">
        <v>4798</v>
      </c>
      <c r="K2928" s="4" t="s">
        <v>57</v>
      </c>
      <c r="L2928" s="4"/>
      <c r="M2928" s="4"/>
    </row>
    <row r="2929" ht="16" customHeight="1" s="4" customFormat="1">
      <c r="A2929" s="4">
        <v>2456</v>
      </c>
      <c r="B2929" s="4" t="s">
        <v>5534</v>
      </c>
      <c r="C2929" s="4" t="s">
        <v>5773</v>
      </c>
      <c r="D2929" s="4"/>
      <c r="E2929" s="4"/>
      <c r="F2929" s="4" t="s">
        <v>10175</v>
      </c>
      <c r="G2929" s="4" t="s">
        <v>5984</v>
      </c>
      <c r="H2929" s="4" t="s">
        <v>6018</v>
      </c>
      <c r="I2929" s="5">
        <v>40395</v>
      </c>
      <c r="J2929" s="4" t="s">
        <v>4798</v>
      </c>
      <c r="K2929" s="4" t="s">
        <v>57</v>
      </c>
      <c r="L2929" s="4"/>
      <c r="M2929" s="4"/>
    </row>
    <row r="2930" ht="16" customHeight="1" s="4" customFormat="1">
      <c r="A2930" s="4">
        <v>2457</v>
      </c>
      <c r="B2930" s="4" t="s">
        <v>5534</v>
      </c>
      <c r="C2930" s="4" t="s">
        <v>5773</v>
      </c>
      <c r="D2930" s="4"/>
      <c r="E2930" s="4"/>
      <c r="F2930" s="4" t="s">
        <v>10176</v>
      </c>
      <c r="G2930" s="4" t="s">
        <v>5984</v>
      </c>
      <c r="H2930" s="4" t="s">
        <v>6018</v>
      </c>
      <c r="I2930" s="5">
        <v>40395</v>
      </c>
      <c r="J2930" s="4" t="s">
        <v>4798</v>
      </c>
      <c r="K2930" s="4" t="s">
        <v>57</v>
      </c>
      <c r="L2930" s="4"/>
      <c r="M2930" s="4"/>
    </row>
    <row r="2931" ht="16" customHeight="1" s="4" customFormat="1">
      <c r="A2931" s="4">
        <v>2458</v>
      </c>
      <c r="B2931" s="4" t="s">
        <v>5534</v>
      </c>
      <c r="C2931" s="4" t="s">
        <v>5773</v>
      </c>
      <c r="D2931" s="4"/>
      <c r="E2931" s="4"/>
      <c r="F2931" s="4" t="s">
        <v>10177</v>
      </c>
      <c r="G2931" s="4" t="s">
        <v>5984</v>
      </c>
      <c r="H2931" s="4" t="s">
        <v>6018</v>
      </c>
      <c r="I2931" s="5">
        <v>40395</v>
      </c>
      <c r="J2931" s="4" t="s">
        <v>4798</v>
      </c>
      <c r="K2931" s="4" t="s">
        <v>57</v>
      </c>
      <c r="L2931" s="4"/>
      <c r="M2931" s="4"/>
    </row>
    <row r="2932" ht="16" customHeight="1" s="4" customFormat="1">
      <c r="A2932" s="4">
        <v>2459</v>
      </c>
      <c r="B2932" s="4" t="s">
        <v>5534</v>
      </c>
      <c r="C2932" s="4" t="s">
        <v>5773</v>
      </c>
      <c r="D2932" s="4"/>
      <c r="E2932" s="4"/>
      <c r="F2932" s="4" t="s">
        <v>10178</v>
      </c>
      <c r="G2932" s="4" t="s">
        <v>5984</v>
      </c>
      <c r="H2932" s="4" t="s">
        <v>6018</v>
      </c>
      <c r="I2932" s="5">
        <v>40395</v>
      </c>
      <c r="J2932" s="4" t="s">
        <v>4798</v>
      </c>
      <c r="K2932" s="4" t="s">
        <v>57</v>
      </c>
      <c r="L2932" s="4"/>
      <c r="M2932" s="4"/>
    </row>
    <row r="2933" ht="16" customHeight="1" s="4" customFormat="1">
      <c r="A2933" s="4">
        <v>2460</v>
      </c>
      <c r="B2933" s="4" t="s">
        <v>5534</v>
      </c>
      <c r="C2933" s="4" t="s">
        <v>5773</v>
      </c>
      <c r="D2933" s="4"/>
      <c r="E2933" s="4"/>
      <c r="F2933" s="4" t="s">
        <v>10179</v>
      </c>
      <c r="G2933" s="4" t="s">
        <v>5984</v>
      </c>
      <c r="H2933" s="4" t="s">
        <v>6018</v>
      </c>
      <c r="I2933" s="5">
        <v>40395</v>
      </c>
      <c r="J2933" s="4" t="s">
        <v>4798</v>
      </c>
      <c r="K2933" s="4" t="s">
        <v>57</v>
      </c>
      <c r="L2933" s="4"/>
      <c r="M2933" s="4"/>
    </row>
    <row r="2934" ht="16" customHeight="1" s="4" customFormat="1">
      <c r="A2934" s="4">
        <v>2461</v>
      </c>
      <c r="B2934" s="4" t="s">
        <v>5534</v>
      </c>
      <c r="C2934" s="4" t="s">
        <v>5773</v>
      </c>
      <c r="D2934" s="4"/>
      <c r="E2934" s="4"/>
      <c r="F2934" s="4" t="s">
        <v>10180</v>
      </c>
      <c r="G2934" s="4" t="s">
        <v>5984</v>
      </c>
      <c r="H2934" s="4" t="s">
        <v>6018</v>
      </c>
      <c r="I2934" s="5">
        <v>40395</v>
      </c>
      <c r="J2934" s="4" t="s">
        <v>4798</v>
      </c>
      <c r="K2934" s="4" t="s">
        <v>57</v>
      </c>
      <c r="L2934" s="4"/>
      <c r="M2934" s="4"/>
    </row>
    <row r="2935" ht="16" customHeight="1" s="4" customFormat="1">
      <c r="A2935" s="4">
        <v>2462</v>
      </c>
      <c r="B2935" s="4" t="s">
        <v>5534</v>
      </c>
      <c r="C2935" s="4" t="s">
        <v>5773</v>
      </c>
      <c r="D2935" s="4"/>
      <c r="E2935" s="4"/>
      <c r="F2935" s="4" t="s">
        <v>10181</v>
      </c>
      <c r="G2935" s="4" t="s">
        <v>5984</v>
      </c>
      <c r="H2935" s="4" t="s">
        <v>6018</v>
      </c>
      <c r="I2935" s="5">
        <v>40395</v>
      </c>
      <c r="J2935" s="4" t="s">
        <v>4798</v>
      </c>
      <c r="K2935" s="4" t="s">
        <v>57</v>
      </c>
      <c r="L2935" s="4"/>
      <c r="M2935" s="4"/>
    </row>
    <row r="2936" ht="16" customHeight="1" s="4" customFormat="1">
      <c r="A2936" s="4">
        <v>2463</v>
      </c>
      <c r="B2936" s="4" t="s">
        <v>5534</v>
      </c>
      <c r="C2936" s="4" t="s">
        <v>5773</v>
      </c>
      <c r="D2936" s="4"/>
      <c r="E2936" s="4"/>
      <c r="F2936" s="4" t="s">
        <v>10182</v>
      </c>
      <c r="G2936" s="4" t="s">
        <v>5984</v>
      </c>
      <c r="H2936" s="4" t="s">
        <v>6018</v>
      </c>
      <c r="I2936" s="5">
        <v>40395</v>
      </c>
      <c r="J2936" s="4" t="s">
        <v>4798</v>
      </c>
      <c r="K2936" s="4" t="s">
        <v>57</v>
      </c>
      <c r="L2936" s="4"/>
      <c r="M2936" s="4"/>
    </row>
    <row r="2937" ht="16" customHeight="1" s="4" customFormat="1">
      <c r="A2937" s="4">
        <v>2464</v>
      </c>
      <c r="B2937" s="4" t="s">
        <v>5534</v>
      </c>
      <c r="C2937" s="4" t="s">
        <v>5773</v>
      </c>
      <c r="D2937" s="4"/>
      <c r="E2937" s="4"/>
      <c r="F2937" s="4" t="s">
        <v>10183</v>
      </c>
      <c r="G2937" s="4" t="s">
        <v>5984</v>
      </c>
      <c r="H2937" s="4" t="s">
        <v>6018</v>
      </c>
      <c r="I2937" s="5">
        <v>40395</v>
      </c>
      <c r="J2937" s="4" t="s">
        <v>4798</v>
      </c>
      <c r="K2937" s="4" t="s">
        <v>57</v>
      </c>
      <c r="L2937" s="4"/>
      <c r="M2937" s="4"/>
    </row>
    <row r="2938" ht="16" customHeight="1" s="4" customFormat="1">
      <c r="A2938" s="4">
        <v>2465</v>
      </c>
      <c r="B2938" s="4" t="s">
        <v>5534</v>
      </c>
      <c r="C2938" s="4" t="s">
        <v>5773</v>
      </c>
      <c r="D2938" s="4"/>
      <c r="E2938" s="4"/>
      <c r="F2938" s="4" t="s">
        <v>10184</v>
      </c>
      <c r="G2938" s="4" t="s">
        <v>5984</v>
      </c>
      <c r="H2938" s="4" t="s">
        <v>6018</v>
      </c>
      <c r="I2938" s="5">
        <v>40395</v>
      </c>
      <c r="J2938" s="4" t="s">
        <v>4798</v>
      </c>
      <c r="K2938" s="4" t="s">
        <v>57</v>
      </c>
      <c r="L2938" s="4"/>
      <c r="M2938" s="4"/>
    </row>
    <row r="2939" ht="16" customHeight="1" s="4" customFormat="1">
      <c r="A2939" s="4">
        <v>2466</v>
      </c>
      <c r="B2939" s="4" t="s">
        <v>5534</v>
      </c>
      <c r="C2939" s="4" t="s">
        <v>5773</v>
      </c>
      <c r="D2939" s="4"/>
      <c r="E2939" s="4"/>
      <c r="F2939" s="4" t="s">
        <v>10185</v>
      </c>
      <c r="G2939" s="4" t="s">
        <v>5984</v>
      </c>
      <c r="H2939" s="4" t="s">
        <v>6018</v>
      </c>
      <c r="I2939" s="5">
        <v>40395</v>
      </c>
      <c r="J2939" s="4" t="s">
        <v>4798</v>
      </c>
      <c r="K2939" s="4" t="s">
        <v>57</v>
      </c>
      <c r="L2939" s="4"/>
      <c r="M2939" s="4"/>
    </row>
    <row r="2940" ht="16" customHeight="1" s="4" customFormat="1">
      <c r="A2940" s="4">
        <v>2467</v>
      </c>
      <c r="B2940" s="4" t="s">
        <v>5534</v>
      </c>
      <c r="C2940" s="4" t="s">
        <v>5773</v>
      </c>
      <c r="D2940" s="4"/>
      <c r="E2940" s="4"/>
      <c r="F2940" s="4" t="s">
        <v>10186</v>
      </c>
      <c r="G2940" s="4" t="s">
        <v>5984</v>
      </c>
      <c r="H2940" s="4" t="s">
        <v>6018</v>
      </c>
      <c r="I2940" s="5">
        <v>40395</v>
      </c>
      <c r="J2940" s="4" t="s">
        <v>4798</v>
      </c>
      <c r="K2940" s="4" t="s">
        <v>57</v>
      </c>
      <c r="L2940" s="4"/>
      <c r="M2940" s="4"/>
    </row>
    <row r="2941" ht="16" customHeight="1" s="4" customFormat="1">
      <c r="A2941" s="4">
        <v>2468</v>
      </c>
      <c r="B2941" s="4" t="s">
        <v>5534</v>
      </c>
      <c r="C2941" s="4" t="s">
        <v>5773</v>
      </c>
      <c r="D2941" s="4"/>
      <c r="E2941" s="4"/>
      <c r="F2941" s="4" t="s">
        <v>10187</v>
      </c>
      <c r="G2941" s="4" t="s">
        <v>5984</v>
      </c>
      <c r="H2941" s="4" t="s">
        <v>6018</v>
      </c>
      <c r="I2941" s="5">
        <v>40395</v>
      </c>
      <c r="J2941" s="4" t="s">
        <v>4798</v>
      </c>
      <c r="K2941" s="4" t="s">
        <v>57</v>
      </c>
      <c r="L2941" s="4"/>
      <c r="M2941" s="4"/>
    </row>
    <row r="2942" ht="16" customHeight="1" s="4" customFormat="1">
      <c r="A2942" s="4">
        <v>2469</v>
      </c>
      <c r="B2942" s="4" t="s">
        <v>5534</v>
      </c>
      <c r="C2942" s="4" t="s">
        <v>5773</v>
      </c>
      <c r="D2942" s="4"/>
      <c r="E2942" s="4"/>
      <c r="F2942" s="4" t="s">
        <v>10188</v>
      </c>
      <c r="G2942" s="4" t="s">
        <v>5984</v>
      </c>
      <c r="H2942" s="4" t="s">
        <v>6018</v>
      </c>
      <c r="I2942" s="5">
        <v>40395</v>
      </c>
      <c r="J2942" s="4" t="s">
        <v>4798</v>
      </c>
      <c r="K2942" s="4" t="s">
        <v>57</v>
      </c>
      <c r="L2942" s="4"/>
      <c r="M2942" s="4"/>
    </row>
    <row r="2943" ht="16" customHeight="1" s="4" customFormat="1">
      <c r="A2943" s="4">
        <v>2470</v>
      </c>
      <c r="B2943" s="4" t="s">
        <v>5534</v>
      </c>
      <c r="C2943" s="4" t="s">
        <v>5773</v>
      </c>
      <c r="D2943" s="4"/>
      <c r="E2943" s="4"/>
      <c r="F2943" s="4" t="s">
        <v>10189</v>
      </c>
      <c r="G2943" s="4" t="s">
        <v>5984</v>
      </c>
      <c r="H2943" s="4" t="s">
        <v>6018</v>
      </c>
      <c r="I2943" s="5">
        <v>40395</v>
      </c>
      <c r="J2943" s="4" t="s">
        <v>4798</v>
      </c>
      <c r="K2943" s="4" t="s">
        <v>57</v>
      </c>
      <c r="L2943" s="4"/>
      <c r="M2943" s="4"/>
    </row>
    <row r="2944" ht="16" customHeight="1" s="4" customFormat="1">
      <c r="A2944" s="4">
        <v>2471</v>
      </c>
      <c r="B2944" s="4" t="s">
        <v>5534</v>
      </c>
      <c r="C2944" s="4" t="s">
        <v>5773</v>
      </c>
      <c r="D2944" s="4"/>
      <c r="E2944" s="4"/>
      <c r="F2944" s="4" t="s">
        <v>10190</v>
      </c>
      <c r="G2944" s="4" t="s">
        <v>5984</v>
      </c>
      <c r="H2944" s="4" t="s">
        <v>6018</v>
      </c>
      <c r="I2944" s="5">
        <v>40395</v>
      </c>
      <c r="J2944" s="4" t="s">
        <v>4798</v>
      </c>
      <c r="K2944" s="4" t="s">
        <v>57</v>
      </c>
      <c r="L2944" s="4"/>
      <c r="M2944" s="4"/>
    </row>
    <row r="2945" ht="16" customHeight="1" s="4" customFormat="1">
      <c r="A2945" s="4">
        <v>2472</v>
      </c>
      <c r="B2945" s="4" t="s">
        <v>5534</v>
      </c>
      <c r="C2945" s="4" t="s">
        <v>5773</v>
      </c>
      <c r="D2945" s="4"/>
      <c r="E2945" s="4"/>
      <c r="F2945" s="4" t="s">
        <v>10191</v>
      </c>
      <c r="G2945" s="4" t="s">
        <v>5984</v>
      </c>
      <c r="H2945" s="4" t="s">
        <v>6018</v>
      </c>
      <c r="I2945" s="5">
        <v>40395</v>
      </c>
      <c r="J2945" s="4" t="s">
        <v>4798</v>
      </c>
      <c r="K2945" s="4" t="s">
        <v>57</v>
      </c>
      <c r="L2945" s="4"/>
      <c r="M2945" s="4"/>
    </row>
    <row r="2946" ht="16" customHeight="1" s="4" customFormat="1">
      <c r="A2946" s="4">
        <v>2473</v>
      </c>
      <c r="B2946" s="4" t="s">
        <v>5534</v>
      </c>
      <c r="C2946" s="4" t="s">
        <v>5773</v>
      </c>
      <c r="D2946" s="4"/>
      <c r="E2946" s="4"/>
      <c r="F2946" s="4" t="s">
        <v>10192</v>
      </c>
      <c r="G2946" s="4" t="s">
        <v>5984</v>
      </c>
      <c r="H2946" s="4" t="s">
        <v>6018</v>
      </c>
      <c r="I2946" s="5">
        <v>40395</v>
      </c>
      <c r="J2946" s="4" t="s">
        <v>4798</v>
      </c>
      <c r="K2946" s="4" t="s">
        <v>57</v>
      </c>
      <c r="L2946" s="4"/>
      <c r="M2946" s="4"/>
    </row>
    <row r="2947" ht="16" customHeight="1" s="4" customFormat="1">
      <c r="A2947" s="4">
        <v>2474</v>
      </c>
      <c r="B2947" s="4" t="s">
        <v>5534</v>
      </c>
      <c r="C2947" s="4" t="s">
        <v>5773</v>
      </c>
      <c r="D2947" s="4"/>
      <c r="E2947" s="4"/>
      <c r="F2947" s="4" t="s">
        <v>10193</v>
      </c>
      <c r="G2947" s="4" t="s">
        <v>5984</v>
      </c>
      <c r="H2947" s="4" t="s">
        <v>6018</v>
      </c>
      <c r="I2947" s="5">
        <v>40395</v>
      </c>
      <c r="J2947" s="4" t="s">
        <v>4798</v>
      </c>
      <c r="K2947" s="4" t="s">
        <v>57</v>
      </c>
      <c r="L2947" s="4"/>
      <c r="M2947" s="4"/>
    </row>
    <row r="2948" ht="16" customHeight="1" s="4" customFormat="1">
      <c r="A2948" s="4">
        <v>2475</v>
      </c>
      <c r="B2948" s="4" t="s">
        <v>5534</v>
      </c>
      <c r="C2948" s="4" t="s">
        <v>5773</v>
      </c>
      <c r="D2948" s="4"/>
      <c r="E2948" s="4"/>
      <c r="F2948" s="4" t="s">
        <v>10194</v>
      </c>
      <c r="G2948" s="4" t="s">
        <v>5984</v>
      </c>
      <c r="H2948" s="4" t="s">
        <v>6018</v>
      </c>
      <c r="I2948" s="5">
        <v>40395</v>
      </c>
      <c r="J2948" s="4" t="s">
        <v>4798</v>
      </c>
      <c r="K2948" s="4" t="s">
        <v>57</v>
      </c>
      <c r="L2948" s="4"/>
      <c r="M2948" s="4"/>
    </row>
    <row r="2949" ht="16" customHeight="1" s="4" customFormat="1">
      <c r="A2949" s="4">
        <v>2476</v>
      </c>
      <c r="B2949" s="4" t="s">
        <v>5534</v>
      </c>
      <c r="C2949" s="4" t="s">
        <v>5773</v>
      </c>
      <c r="D2949" s="4"/>
      <c r="E2949" s="4"/>
      <c r="F2949" s="4" t="s">
        <v>10195</v>
      </c>
      <c r="G2949" s="4" t="s">
        <v>5984</v>
      </c>
      <c r="H2949" s="4" t="s">
        <v>6018</v>
      </c>
      <c r="I2949" s="5">
        <v>40395</v>
      </c>
      <c r="J2949" s="4" t="s">
        <v>4798</v>
      </c>
      <c r="K2949" s="4" t="s">
        <v>57</v>
      </c>
      <c r="L2949" s="4"/>
      <c r="M2949" s="4"/>
    </row>
    <row r="2950" ht="16" customHeight="1" s="4" customFormat="1">
      <c r="A2950" s="4">
        <v>2477</v>
      </c>
      <c r="B2950" s="4" t="s">
        <v>5534</v>
      </c>
      <c r="C2950" s="4" t="s">
        <v>5773</v>
      </c>
      <c r="D2950" s="4"/>
      <c r="E2950" s="4"/>
      <c r="F2950" s="4" t="s">
        <v>10196</v>
      </c>
      <c r="G2950" s="4" t="s">
        <v>5984</v>
      </c>
      <c r="H2950" s="4" t="s">
        <v>6018</v>
      </c>
      <c r="I2950" s="5">
        <v>40395</v>
      </c>
      <c r="J2950" s="4" t="s">
        <v>4798</v>
      </c>
      <c r="K2950" s="4" t="s">
        <v>57</v>
      </c>
      <c r="L2950" s="4"/>
      <c r="M2950" s="4"/>
    </row>
    <row r="2951" ht="16" customHeight="1" s="4" customFormat="1">
      <c r="A2951" s="4">
        <v>2478</v>
      </c>
      <c r="B2951" s="4" t="s">
        <v>5534</v>
      </c>
      <c r="C2951" s="4" t="s">
        <v>5773</v>
      </c>
      <c r="D2951" s="4"/>
      <c r="E2951" s="4"/>
      <c r="F2951" s="4" t="s">
        <v>10197</v>
      </c>
      <c r="G2951" s="4" t="s">
        <v>5984</v>
      </c>
      <c r="H2951" s="4" t="s">
        <v>6018</v>
      </c>
      <c r="I2951" s="5">
        <v>40395</v>
      </c>
      <c r="J2951" s="4" t="s">
        <v>4798</v>
      </c>
      <c r="K2951" s="4" t="s">
        <v>57</v>
      </c>
      <c r="L2951" s="4"/>
      <c r="M2951" s="4"/>
    </row>
    <row r="2952" ht="16" customHeight="1" s="4" customFormat="1">
      <c r="A2952" s="4">
        <v>2479</v>
      </c>
      <c r="B2952" s="4" t="s">
        <v>5499</v>
      </c>
      <c r="C2952" s="4" t="s">
        <v>5519</v>
      </c>
      <c r="D2952" s="4"/>
      <c r="E2952" s="4" t="s">
        <v>5580</v>
      </c>
      <c r="F2952" s="4" t="s">
        <v>10198</v>
      </c>
      <c r="G2952" s="4" t="s">
        <v>10199</v>
      </c>
      <c r="H2952" s="4" t="s">
        <v>10200</v>
      </c>
      <c r="I2952" s="5">
        <v>40393</v>
      </c>
      <c r="J2952" s="4" t="s">
        <v>4798</v>
      </c>
      <c r="K2952" s="4" t="s">
        <v>57</v>
      </c>
      <c r="L2952" s="4"/>
      <c r="M2952" s="4"/>
    </row>
    <row r="2953" ht="16" customHeight="1" s="4" customFormat="1">
      <c r="A2953" s="4">
        <v>2480</v>
      </c>
      <c r="B2953" s="4" t="s">
        <v>5499</v>
      </c>
      <c r="C2953" s="4" t="s">
        <v>5519</v>
      </c>
      <c r="D2953" s="4"/>
      <c r="E2953" s="4" t="s">
        <v>6144</v>
      </c>
      <c r="F2953" s="4" t="s">
        <v>10201</v>
      </c>
      <c r="G2953" s="4" t="s">
        <v>6572</v>
      </c>
      <c r="H2953" s="4" t="s">
        <v>6572</v>
      </c>
      <c r="I2953" s="5">
        <v>40393</v>
      </c>
      <c r="J2953" s="4" t="s">
        <v>4798</v>
      </c>
      <c r="K2953" s="4" t="s">
        <v>57</v>
      </c>
      <c r="L2953" s="4"/>
      <c r="M2953" s="4"/>
    </row>
    <row r="2954" ht="16" customHeight="1" s="4" customFormat="1">
      <c r="A2954" s="4">
        <v>2481</v>
      </c>
      <c r="B2954" s="4" t="s">
        <v>5534</v>
      </c>
      <c r="C2954" s="4" t="s">
        <v>5773</v>
      </c>
      <c r="D2954" s="4"/>
      <c r="E2954" s="4"/>
      <c r="F2954" s="4" t="s">
        <v>10202</v>
      </c>
      <c r="G2954" s="4" t="s">
        <v>5984</v>
      </c>
      <c r="H2954" s="4" t="s">
        <v>6018</v>
      </c>
      <c r="I2954" s="5">
        <v>40389</v>
      </c>
      <c r="J2954" s="4" t="s">
        <v>4798</v>
      </c>
      <c r="K2954" s="4" t="s">
        <v>57</v>
      </c>
      <c r="L2954" s="4"/>
      <c r="M2954" s="4"/>
    </row>
    <row r="2955" ht="16" customHeight="1" s="4" customFormat="1">
      <c r="A2955" s="4">
        <v>2482</v>
      </c>
      <c r="B2955" s="4" t="s">
        <v>5499</v>
      </c>
      <c r="C2955" s="4" t="s">
        <v>5519</v>
      </c>
      <c r="D2955" s="4"/>
      <c r="E2955" s="4" t="s">
        <v>5584</v>
      </c>
      <c r="F2955" s="4" t="s">
        <v>10203</v>
      </c>
      <c r="G2955" s="4" t="s">
        <v>10204</v>
      </c>
      <c r="H2955" s="4" t="s">
        <v>10205</v>
      </c>
      <c r="I2955" s="5">
        <v>40346</v>
      </c>
      <c r="J2955" s="4" t="s">
        <v>4798</v>
      </c>
      <c r="K2955" s="4" t="s">
        <v>57</v>
      </c>
      <c r="L2955" s="4"/>
      <c r="M2955" s="4"/>
    </row>
    <row r="2956" ht="16" customHeight="1" s="4" customFormat="1">
      <c r="A2956" s="4">
        <v>2483</v>
      </c>
      <c r="B2956" s="4" t="s">
        <v>5499</v>
      </c>
      <c r="C2956" s="4" t="s">
        <v>5519</v>
      </c>
      <c r="D2956" s="4"/>
      <c r="E2956" s="4" t="s">
        <v>6079</v>
      </c>
      <c r="F2956" s="4" t="s">
        <v>10206</v>
      </c>
      <c r="G2956" s="4" t="s">
        <v>6350</v>
      </c>
      <c r="H2956" s="4" t="s">
        <v>5984</v>
      </c>
      <c r="I2956" s="5">
        <v>40339</v>
      </c>
      <c r="J2956" s="4" t="s">
        <v>4842</v>
      </c>
      <c r="K2956" s="4" t="s">
        <v>57</v>
      </c>
      <c r="L2956" s="4"/>
      <c r="M2956" s="4"/>
    </row>
    <row r="2957" ht="16" customHeight="1" s="4" customFormat="1">
      <c r="A2957" s="4">
        <v>2484</v>
      </c>
      <c r="B2957" s="4" t="s">
        <v>5499</v>
      </c>
      <c r="C2957" s="4" t="s">
        <v>5519</v>
      </c>
      <c r="D2957" s="4"/>
      <c r="E2957" s="4" t="s">
        <v>5580</v>
      </c>
      <c r="F2957" s="4" t="s">
        <v>10207</v>
      </c>
      <c r="G2957" s="4" t="s">
        <v>6350</v>
      </c>
      <c r="H2957" s="4" t="s">
        <v>5984</v>
      </c>
      <c r="I2957" s="5">
        <v>40339</v>
      </c>
      <c r="J2957" s="4" t="s">
        <v>4842</v>
      </c>
      <c r="K2957" s="4" t="s">
        <v>57</v>
      </c>
      <c r="L2957" s="4"/>
      <c r="M2957" s="4"/>
    </row>
    <row r="2958" ht="16" customHeight="1" s="4" customFormat="1">
      <c r="A2958" s="4">
        <v>2485</v>
      </c>
      <c r="B2958" s="4" t="s">
        <v>5499</v>
      </c>
      <c r="C2958" s="4" t="s">
        <v>5519</v>
      </c>
      <c r="D2958" s="4"/>
      <c r="E2958" s="4" t="s">
        <v>5584</v>
      </c>
      <c r="F2958" s="4" t="s">
        <v>10208</v>
      </c>
      <c r="G2958" s="4" t="s">
        <v>10209</v>
      </c>
      <c r="H2958" s="4" t="s">
        <v>5667</v>
      </c>
      <c r="I2958" s="5">
        <v>40337</v>
      </c>
      <c r="J2958" s="4" t="s">
        <v>4798</v>
      </c>
      <c r="K2958" s="4" t="s">
        <v>57</v>
      </c>
      <c r="L2958" s="4"/>
      <c r="M2958" s="4"/>
    </row>
    <row r="2959" ht="16" customHeight="1" s="4" customFormat="1">
      <c r="A2959" s="4">
        <v>2486</v>
      </c>
      <c r="B2959" s="4" t="s">
        <v>5499</v>
      </c>
      <c r="C2959" s="4" t="s">
        <v>5519</v>
      </c>
      <c r="D2959" s="4"/>
      <c r="E2959" s="4" t="s">
        <v>5641</v>
      </c>
      <c r="F2959" s="4" t="s">
        <v>10210</v>
      </c>
      <c r="G2959" s="4" t="s">
        <v>10209</v>
      </c>
      <c r="H2959" s="4" t="s">
        <v>5667</v>
      </c>
      <c r="I2959" s="5">
        <v>40337</v>
      </c>
      <c r="J2959" s="4" t="s">
        <v>4798</v>
      </c>
      <c r="K2959" s="4" t="s">
        <v>57</v>
      </c>
      <c r="L2959" s="4"/>
      <c r="M2959" s="4"/>
    </row>
    <row r="2960" ht="16" customHeight="1" s="4" customFormat="1">
      <c r="A2960" s="4">
        <v>2487</v>
      </c>
      <c r="B2960" s="4" t="s">
        <v>6161</v>
      </c>
      <c r="C2960" s="4" t="s">
        <v>6162</v>
      </c>
      <c r="D2960" s="4" t="s">
        <v>5728</v>
      </c>
      <c r="E2960" s="4" t="s">
        <v>5729</v>
      </c>
      <c r="F2960" s="4" t="s">
        <v>10211</v>
      </c>
      <c r="G2960" s="4" t="s">
        <v>5511</v>
      </c>
      <c r="H2960" s="4" t="s">
        <v>10212</v>
      </c>
      <c r="I2960" s="5">
        <v>40308</v>
      </c>
      <c r="J2960" s="4" t="s">
        <v>5506</v>
      </c>
      <c r="K2960" s="4" t="s">
        <v>57</v>
      </c>
      <c r="L2960" s="4"/>
      <c r="M2960" s="4"/>
    </row>
    <row r="2961" ht="16" customHeight="1" s="4" customFormat="1">
      <c r="A2961" s="4">
        <v>2488</v>
      </c>
      <c r="B2961" s="4" t="s">
        <v>5499</v>
      </c>
      <c r="C2961" s="4" t="s">
        <v>5519</v>
      </c>
      <c r="D2961" s="4"/>
      <c r="E2961" s="4" t="s">
        <v>5613</v>
      </c>
      <c r="F2961" s="4" t="s">
        <v>10213</v>
      </c>
      <c r="G2961" s="4" t="s">
        <v>10214</v>
      </c>
      <c r="H2961" s="4" t="s">
        <v>10214</v>
      </c>
      <c r="I2961" s="5">
        <v>40301</v>
      </c>
      <c r="J2961" s="4" t="s">
        <v>4798</v>
      </c>
      <c r="K2961" s="4" t="s">
        <v>57</v>
      </c>
      <c r="L2961" s="4"/>
      <c r="M2961" s="4"/>
    </row>
    <row r="2962" ht="16" customHeight="1" s="4" customFormat="1">
      <c r="A2962" s="4">
        <v>2489</v>
      </c>
      <c r="B2962" s="4" t="s">
        <v>5499</v>
      </c>
      <c r="C2962" s="4" t="s">
        <v>5519</v>
      </c>
      <c r="D2962" s="4"/>
      <c r="E2962" s="4" t="s">
        <v>10215</v>
      </c>
      <c r="F2962" s="4" t="s">
        <v>10216</v>
      </c>
      <c r="G2962" s="4" t="s">
        <v>10214</v>
      </c>
      <c r="H2962" s="4" t="s">
        <v>10214</v>
      </c>
      <c r="I2962" s="5">
        <v>40297</v>
      </c>
      <c r="J2962" s="4" t="s">
        <v>4798</v>
      </c>
      <c r="K2962" s="4" t="s">
        <v>57</v>
      </c>
      <c r="L2962" s="4"/>
      <c r="M2962" s="4"/>
    </row>
    <row r="2963" ht="16" customHeight="1" s="4" customFormat="1">
      <c r="A2963" s="4">
        <v>2490</v>
      </c>
      <c r="B2963" s="4" t="s">
        <v>5499</v>
      </c>
      <c r="C2963" s="4" t="s">
        <v>5573</v>
      </c>
      <c r="D2963" s="4" t="s">
        <v>5574</v>
      </c>
      <c r="E2963" s="4" t="s">
        <v>5575</v>
      </c>
      <c r="F2963" s="4" t="s">
        <v>10217</v>
      </c>
      <c r="G2963" s="4" t="s">
        <v>10218</v>
      </c>
      <c r="H2963" s="4" t="s">
        <v>10219</v>
      </c>
      <c r="I2963" s="5">
        <v>40273</v>
      </c>
      <c r="J2963" s="4" t="s">
        <v>5506</v>
      </c>
      <c r="K2963" s="4" t="s">
        <v>57</v>
      </c>
      <c r="L2963" s="4"/>
      <c r="M2963" s="4"/>
    </row>
    <row r="2964" ht="16" customHeight="1" s="4" customFormat="1">
      <c r="A2964" s="4">
        <v>2491</v>
      </c>
      <c r="B2964" s="4" t="s">
        <v>5499</v>
      </c>
      <c r="C2964" s="4" t="s">
        <v>5519</v>
      </c>
      <c r="D2964" s="4"/>
      <c r="E2964" s="4"/>
      <c r="F2964" s="4" t="s">
        <v>10220</v>
      </c>
      <c r="G2964" s="4" t="s">
        <v>5511</v>
      </c>
      <c r="H2964" s="4" t="s">
        <v>5511</v>
      </c>
      <c r="I2964" s="5">
        <v>40246</v>
      </c>
      <c r="J2964" s="4" t="s">
        <v>4798</v>
      </c>
      <c r="K2964" s="4" t="s">
        <v>57</v>
      </c>
      <c r="L2964" s="4"/>
      <c r="M2964" s="4"/>
    </row>
    <row r="2965" ht="16" customHeight="1" s="4" customFormat="1">
      <c r="A2965" s="4">
        <v>2492</v>
      </c>
      <c r="B2965" s="4" t="s">
        <v>5499</v>
      </c>
      <c r="C2965" s="4" t="s">
        <v>5519</v>
      </c>
      <c r="D2965" s="4"/>
      <c r="E2965" s="4"/>
      <c r="F2965" s="4" t="s">
        <v>10221</v>
      </c>
      <c r="G2965" s="4" t="s">
        <v>5511</v>
      </c>
      <c r="H2965" s="4" t="s">
        <v>5511</v>
      </c>
      <c r="I2965" s="5">
        <v>40246</v>
      </c>
      <c r="J2965" s="4" t="s">
        <v>4798</v>
      </c>
      <c r="K2965" s="4" t="s">
        <v>57</v>
      </c>
      <c r="L2965" s="4"/>
      <c r="M2965" s="4"/>
    </row>
    <row r="2966" ht="16" customHeight="1" s="4" customFormat="1">
      <c r="A2966" s="4">
        <v>2493</v>
      </c>
      <c r="B2966" s="4" t="s">
        <v>5499</v>
      </c>
      <c r="C2966" s="4" t="s">
        <v>5519</v>
      </c>
      <c r="D2966" s="4"/>
      <c r="E2966" s="4" t="s">
        <v>5664</v>
      </c>
      <c r="F2966" s="4" t="s">
        <v>10222</v>
      </c>
      <c r="G2966" s="4" t="s">
        <v>5983</v>
      </c>
      <c r="H2966" s="4" t="s">
        <v>5667</v>
      </c>
      <c r="I2966" s="5">
        <v>40240</v>
      </c>
      <c r="J2966" s="4" t="s">
        <v>5506</v>
      </c>
      <c r="K2966" s="4" t="s">
        <v>57</v>
      </c>
      <c r="L2966" s="4"/>
      <c r="M2966" s="4"/>
    </row>
    <row r="2967" ht="16" customHeight="1" s="4" customFormat="1">
      <c r="A2967" s="4">
        <v>2494</v>
      </c>
      <c r="B2967" s="4" t="s">
        <v>5499</v>
      </c>
      <c r="C2967" s="4" t="s">
        <v>5519</v>
      </c>
      <c r="D2967" s="4"/>
      <c r="E2967" s="4" t="s">
        <v>5641</v>
      </c>
      <c r="F2967" s="4" t="s">
        <v>10223</v>
      </c>
      <c r="G2967" s="4" t="s">
        <v>5983</v>
      </c>
      <c r="H2967" s="4" t="s">
        <v>5667</v>
      </c>
      <c r="I2967" s="5">
        <v>40240</v>
      </c>
      <c r="J2967" s="4" t="s">
        <v>5506</v>
      </c>
      <c r="K2967" s="4" t="s">
        <v>57</v>
      </c>
      <c r="L2967" s="4"/>
      <c r="M2967" s="4"/>
    </row>
    <row r="2968" ht="16" customHeight="1" s="4" customFormat="1">
      <c r="A2968" s="4">
        <v>2495</v>
      </c>
      <c r="B2968" s="4" t="s">
        <v>5499</v>
      </c>
      <c r="C2968" s="4" t="s">
        <v>5519</v>
      </c>
      <c r="D2968" s="4"/>
      <c r="E2968" s="4" t="s">
        <v>10224</v>
      </c>
      <c r="F2968" s="4" t="s">
        <v>10225</v>
      </c>
      <c r="G2968" s="4" t="s">
        <v>5511</v>
      </c>
      <c r="H2968" s="4" t="s">
        <v>5511</v>
      </c>
      <c r="I2968" s="5">
        <v>40240</v>
      </c>
      <c r="J2968" s="4" t="s">
        <v>4798</v>
      </c>
      <c r="K2968" s="4" t="s">
        <v>57</v>
      </c>
      <c r="L2968" s="4"/>
      <c r="M2968" s="4"/>
    </row>
    <row r="2969" ht="16" customHeight="1" s="4" customFormat="1">
      <c r="A2969" s="4">
        <v>2496</v>
      </c>
      <c r="B2969" s="4" t="s">
        <v>5499</v>
      </c>
      <c r="C2969" s="4" t="s">
        <v>5519</v>
      </c>
      <c r="D2969" s="4"/>
      <c r="E2969" s="4" t="s">
        <v>10224</v>
      </c>
      <c r="F2969" s="4" t="s">
        <v>10226</v>
      </c>
      <c r="G2969" s="4" t="s">
        <v>5511</v>
      </c>
      <c r="H2969" s="4" t="s">
        <v>5511</v>
      </c>
      <c r="I2969" s="5">
        <v>40240</v>
      </c>
      <c r="J2969" s="4" t="s">
        <v>4798</v>
      </c>
      <c r="K2969" s="4" t="s">
        <v>57</v>
      </c>
      <c r="L2969" s="4"/>
      <c r="M2969" s="4"/>
    </row>
    <row r="2970" ht="16" customHeight="1" s="4" customFormat="1">
      <c r="A2970" s="4">
        <v>2497</v>
      </c>
      <c r="B2970" s="4" t="s">
        <v>5499</v>
      </c>
      <c r="C2970" s="4" t="s">
        <v>5519</v>
      </c>
      <c r="D2970" s="4"/>
      <c r="E2970" s="4" t="s">
        <v>5641</v>
      </c>
      <c r="F2970" s="4" t="s">
        <v>10227</v>
      </c>
      <c r="G2970" s="4" t="s">
        <v>10228</v>
      </c>
      <c r="H2970" s="4" t="s">
        <v>5667</v>
      </c>
      <c r="I2970" s="5">
        <v>40226</v>
      </c>
      <c r="J2970" s="4" t="s">
        <v>4798</v>
      </c>
      <c r="K2970" s="4" t="s">
        <v>57</v>
      </c>
      <c r="L2970" s="4"/>
      <c r="M2970" s="4"/>
    </row>
    <row r="2971" ht="16" customHeight="1" s="4" customFormat="1">
      <c r="A2971" s="4">
        <v>2498</v>
      </c>
      <c r="B2971" s="4" t="s">
        <v>5499</v>
      </c>
      <c r="C2971" s="4" t="s">
        <v>5519</v>
      </c>
      <c r="D2971" s="4"/>
      <c r="E2971" s="4" t="s">
        <v>6700</v>
      </c>
      <c r="F2971" s="4" t="s">
        <v>10229</v>
      </c>
      <c r="G2971" s="4" t="s">
        <v>10228</v>
      </c>
      <c r="H2971" s="4" t="s">
        <v>5667</v>
      </c>
      <c r="I2971" s="5">
        <v>40226</v>
      </c>
      <c r="J2971" s="4" t="s">
        <v>4798</v>
      </c>
      <c r="K2971" s="4" t="s">
        <v>57</v>
      </c>
      <c r="L2971" s="4"/>
      <c r="M2971" s="4"/>
    </row>
    <row r="2972" ht="16" customHeight="1" s="4" customFormat="1">
      <c r="A2972" s="4">
        <v>2499</v>
      </c>
      <c r="B2972" s="4" t="s">
        <v>5499</v>
      </c>
      <c r="C2972" s="4" t="s">
        <v>5519</v>
      </c>
      <c r="D2972" s="4"/>
      <c r="E2972" s="4" t="s">
        <v>7911</v>
      </c>
      <c r="F2972" s="4" t="s">
        <v>10230</v>
      </c>
      <c r="G2972" s="4" t="s">
        <v>5511</v>
      </c>
      <c r="H2972" s="4" t="s">
        <v>5511</v>
      </c>
      <c r="I2972" s="5">
        <v>40210</v>
      </c>
      <c r="J2972" s="4" t="s">
        <v>4798</v>
      </c>
      <c r="K2972" s="4" t="s">
        <v>57</v>
      </c>
      <c r="L2972" s="4"/>
      <c r="M2972" s="4"/>
    </row>
    <row r="2973" ht="16" customHeight="1" s="4" customFormat="1">
      <c r="A2973" s="4">
        <v>2500</v>
      </c>
      <c r="B2973" s="4" t="s">
        <v>5499</v>
      </c>
      <c r="C2973" s="4" t="s">
        <v>5519</v>
      </c>
      <c r="D2973" s="4"/>
      <c r="E2973" s="4" t="s">
        <v>7911</v>
      </c>
      <c r="F2973" s="4" t="s">
        <v>10231</v>
      </c>
      <c r="G2973" s="4" t="s">
        <v>5511</v>
      </c>
      <c r="H2973" s="4" t="s">
        <v>5511</v>
      </c>
      <c r="I2973" s="5">
        <v>40210</v>
      </c>
      <c r="J2973" s="4" t="s">
        <v>4798</v>
      </c>
      <c r="K2973" s="4" t="s">
        <v>57</v>
      </c>
      <c r="L2973" s="4"/>
      <c r="M2973" s="4"/>
    </row>
    <row r="2974" ht="16" customHeight="1" s="4" customFormat="1">
      <c r="A2974" s="4">
        <v>2501</v>
      </c>
      <c r="B2974" s="4" t="s">
        <v>5499</v>
      </c>
      <c r="C2974" s="4" t="s">
        <v>5519</v>
      </c>
      <c r="D2974" s="4"/>
      <c r="E2974" s="4" t="s">
        <v>7911</v>
      </c>
      <c r="F2974" s="4" t="s">
        <v>10232</v>
      </c>
      <c r="G2974" s="4" t="s">
        <v>5511</v>
      </c>
      <c r="H2974" s="4" t="s">
        <v>5511</v>
      </c>
      <c r="I2974" s="5">
        <v>40210</v>
      </c>
      <c r="J2974" s="4" t="s">
        <v>4798</v>
      </c>
      <c r="K2974" s="4" t="s">
        <v>57</v>
      </c>
      <c r="L2974" s="4"/>
      <c r="M2974" s="4"/>
    </row>
    <row r="2975" ht="16" customHeight="1" s="4" customFormat="1">
      <c r="A2975" s="4">
        <v>2502</v>
      </c>
      <c r="B2975" s="4" t="s">
        <v>5499</v>
      </c>
      <c r="C2975" s="4" t="s">
        <v>5519</v>
      </c>
      <c r="D2975" s="4"/>
      <c r="E2975" s="4" t="s">
        <v>7911</v>
      </c>
      <c r="F2975" s="4" t="s">
        <v>10233</v>
      </c>
      <c r="G2975" s="4" t="s">
        <v>5511</v>
      </c>
      <c r="H2975" s="4" t="s">
        <v>5511</v>
      </c>
      <c r="I2975" s="5">
        <v>40210</v>
      </c>
      <c r="J2975" s="4" t="s">
        <v>4798</v>
      </c>
      <c r="K2975" s="4" t="s">
        <v>57</v>
      </c>
      <c r="L2975" s="4"/>
      <c r="M2975" s="4"/>
    </row>
    <row r="2976" ht="16" customHeight="1" s="4" customFormat="1">
      <c r="A2976" s="4">
        <v>2503</v>
      </c>
      <c r="B2976" s="4" t="s">
        <v>5600</v>
      </c>
      <c r="C2976" s="4" t="s">
        <v>5600</v>
      </c>
      <c r="D2976" s="4" t="s">
        <v>5728</v>
      </c>
      <c r="E2976" s="4" t="s">
        <v>6011</v>
      </c>
      <c r="F2976" s="4" t="s">
        <v>10234</v>
      </c>
      <c r="G2976" s="4" t="s">
        <v>5577</v>
      </c>
      <c r="H2976" s="4" t="s">
        <v>10235</v>
      </c>
      <c r="I2976" s="5">
        <v>40147</v>
      </c>
      <c r="J2976" s="4" t="s">
        <v>4798</v>
      </c>
      <c r="K2976" s="4" t="s">
        <v>57</v>
      </c>
      <c r="L2976" s="4"/>
      <c r="M2976" s="4"/>
    </row>
    <row r="2977" ht="16" customHeight="1" s="4" customFormat="1">
      <c r="A2977" s="4">
        <v>2504</v>
      </c>
      <c r="B2977" s="4" t="s">
        <v>5600</v>
      </c>
      <c r="C2977" s="4" t="s">
        <v>5600</v>
      </c>
      <c r="D2977" s="4" t="s">
        <v>5728</v>
      </c>
      <c r="E2977" s="4" t="s">
        <v>6011</v>
      </c>
      <c r="F2977" s="4" t="s">
        <v>10236</v>
      </c>
      <c r="G2977" s="4" t="s">
        <v>8988</v>
      </c>
      <c r="H2977" s="4" t="s">
        <v>8989</v>
      </c>
      <c r="I2977" s="5">
        <v>40147</v>
      </c>
      <c r="J2977" s="4" t="s">
        <v>5506</v>
      </c>
      <c r="K2977" s="4" t="s">
        <v>57</v>
      </c>
      <c r="L2977" s="4"/>
      <c r="M2977" s="4"/>
    </row>
    <row r="2978" ht="16" customHeight="1" s="4" customFormat="1">
      <c r="A2978" s="4">
        <v>2505</v>
      </c>
      <c r="B2978" s="4" t="s">
        <v>6161</v>
      </c>
      <c r="C2978" s="4" t="s">
        <v>6162</v>
      </c>
      <c r="D2978" s="4" t="s">
        <v>5728</v>
      </c>
      <c r="E2978" s="4" t="s">
        <v>5729</v>
      </c>
      <c r="F2978" s="4" t="s">
        <v>10237</v>
      </c>
      <c r="G2978" s="4" t="s">
        <v>9959</v>
      </c>
      <c r="H2978" s="4" t="s">
        <v>5511</v>
      </c>
      <c r="I2978" s="5">
        <v>40116</v>
      </c>
      <c r="J2978" s="4" t="s">
        <v>5506</v>
      </c>
      <c r="K2978" s="4" t="s">
        <v>57</v>
      </c>
      <c r="L2978" s="4"/>
      <c r="M2978" s="4"/>
    </row>
    <row r="2979" ht="16" customHeight="1" s="4" customFormat="1">
      <c r="A2979" s="4">
        <v>2506</v>
      </c>
      <c r="B2979" s="4" t="s">
        <v>6161</v>
      </c>
      <c r="C2979" s="4" t="s">
        <v>6618</v>
      </c>
      <c r="D2979" s="4"/>
      <c r="E2979" s="4"/>
      <c r="F2979" s="4" t="s">
        <v>10238</v>
      </c>
      <c r="G2979" s="4" t="s">
        <v>10239</v>
      </c>
      <c r="H2979" s="4" t="s">
        <v>5604</v>
      </c>
      <c r="I2979" s="5">
        <v>40116</v>
      </c>
      <c r="J2979" s="4" t="s">
        <v>4798</v>
      </c>
      <c r="K2979" s="4" t="s">
        <v>57</v>
      </c>
      <c r="L2979" s="4"/>
      <c r="M2979" s="4"/>
    </row>
    <row r="2980" ht="16" customHeight="1" s="4" customFormat="1">
      <c r="A2980" s="4">
        <v>2507</v>
      </c>
      <c r="B2980" s="4" t="s">
        <v>5499</v>
      </c>
      <c r="C2980" s="4" t="s">
        <v>5573</v>
      </c>
      <c r="D2980" s="4" t="s">
        <v>5574</v>
      </c>
      <c r="E2980" s="4" t="s">
        <v>5575</v>
      </c>
      <c r="F2980" s="4" t="s">
        <v>10240</v>
      </c>
      <c r="G2980" s="4" t="s">
        <v>5577</v>
      </c>
      <c r="H2980" s="4" t="s">
        <v>10241</v>
      </c>
      <c r="I2980" s="5">
        <v>40112</v>
      </c>
      <c r="J2980" s="4" t="s">
        <v>4798</v>
      </c>
      <c r="K2980" s="4" t="s">
        <v>57</v>
      </c>
      <c r="L2980" s="4"/>
      <c r="M2980" s="4"/>
    </row>
    <row r="2981" ht="16" customHeight="1" s="4" customFormat="1">
      <c r="A2981" s="4">
        <v>2508</v>
      </c>
      <c r="B2981" s="4" t="s">
        <v>5499</v>
      </c>
      <c r="C2981" s="4" t="s">
        <v>5519</v>
      </c>
      <c r="D2981" s="4"/>
      <c r="E2981" s="4" t="s">
        <v>6079</v>
      </c>
      <c r="F2981" s="4" t="s">
        <v>10242</v>
      </c>
      <c r="G2981" s="4" t="s">
        <v>6350</v>
      </c>
      <c r="H2981" s="4" t="s">
        <v>5984</v>
      </c>
      <c r="I2981" s="5">
        <v>40095</v>
      </c>
      <c r="J2981" s="4" t="s">
        <v>4798</v>
      </c>
      <c r="K2981" s="4" t="s">
        <v>57</v>
      </c>
      <c r="L2981" s="4"/>
      <c r="M2981" s="4"/>
    </row>
    <row r="2982" ht="16" customHeight="1" s="4" customFormat="1">
      <c r="A2982" s="4">
        <v>2509</v>
      </c>
      <c r="B2982" s="4" t="s">
        <v>5499</v>
      </c>
      <c r="C2982" s="4" t="s">
        <v>5519</v>
      </c>
      <c r="D2982" s="4"/>
      <c r="E2982" s="4" t="s">
        <v>5641</v>
      </c>
      <c r="F2982" s="4" t="s">
        <v>10243</v>
      </c>
      <c r="G2982" s="4" t="s">
        <v>10244</v>
      </c>
      <c r="H2982" s="4" t="s">
        <v>5667</v>
      </c>
      <c r="I2982" s="5">
        <v>40085</v>
      </c>
      <c r="J2982" s="4" t="s">
        <v>4798</v>
      </c>
      <c r="K2982" s="4" t="s">
        <v>57</v>
      </c>
      <c r="L2982" s="4"/>
      <c r="M2982" s="4"/>
    </row>
    <row r="2983" ht="16" customHeight="1" s="4" customFormat="1">
      <c r="A2983" s="4">
        <v>2510</v>
      </c>
      <c r="B2983" s="4" t="s">
        <v>5499</v>
      </c>
      <c r="C2983" s="4" t="s">
        <v>5519</v>
      </c>
      <c r="D2983" s="4"/>
      <c r="E2983" s="4" t="s">
        <v>6700</v>
      </c>
      <c r="F2983" s="4" t="s">
        <v>10245</v>
      </c>
      <c r="G2983" s="4" t="s">
        <v>10244</v>
      </c>
      <c r="H2983" s="4" t="s">
        <v>5667</v>
      </c>
      <c r="I2983" s="5">
        <v>40085</v>
      </c>
      <c r="J2983" s="4" t="s">
        <v>4798</v>
      </c>
      <c r="K2983" s="4" t="s">
        <v>57</v>
      </c>
      <c r="L2983" s="4"/>
      <c r="M2983" s="4"/>
    </row>
    <row r="2984" ht="16" customHeight="1" s="4" customFormat="1">
      <c r="A2984" s="4">
        <v>2511</v>
      </c>
      <c r="B2984" s="4" t="s">
        <v>5499</v>
      </c>
      <c r="C2984" s="4" t="s">
        <v>5519</v>
      </c>
      <c r="D2984" s="4"/>
      <c r="E2984" s="4" t="s">
        <v>6704</v>
      </c>
      <c r="F2984" s="4" t="s">
        <v>10246</v>
      </c>
      <c r="G2984" s="4" t="s">
        <v>6350</v>
      </c>
      <c r="H2984" s="4" t="s">
        <v>5984</v>
      </c>
      <c r="I2984" s="5">
        <v>40080</v>
      </c>
      <c r="J2984" s="4" t="s">
        <v>4798</v>
      </c>
      <c r="K2984" s="4" t="s">
        <v>57</v>
      </c>
      <c r="L2984" s="4"/>
      <c r="M2984" s="4"/>
    </row>
    <row r="2985" ht="16" customHeight="1" s="4" customFormat="1">
      <c r="A2985" s="4">
        <v>2512</v>
      </c>
      <c r="B2985" s="4" t="s">
        <v>5499</v>
      </c>
      <c r="C2985" s="4" t="s">
        <v>5519</v>
      </c>
      <c r="D2985" s="4"/>
      <c r="E2985" s="4" t="s">
        <v>10215</v>
      </c>
      <c r="F2985" s="4" t="s">
        <v>10247</v>
      </c>
      <c r="G2985" s="4" t="s">
        <v>5984</v>
      </c>
      <c r="H2985" s="4" t="s">
        <v>5984</v>
      </c>
      <c r="I2985" s="5">
        <v>40072</v>
      </c>
      <c r="J2985" s="4" t="s">
        <v>4798</v>
      </c>
      <c r="K2985" s="4" t="s">
        <v>57</v>
      </c>
      <c r="L2985" s="4"/>
      <c r="M2985" s="4"/>
    </row>
    <row r="2986" ht="16" customHeight="1" s="4" customFormat="1">
      <c r="A2986" s="4">
        <v>2513</v>
      </c>
      <c r="B2986" s="4" t="s">
        <v>5499</v>
      </c>
      <c r="C2986" s="4" t="s">
        <v>5519</v>
      </c>
      <c r="D2986" s="4"/>
      <c r="E2986" s="4" t="s">
        <v>5613</v>
      </c>
      <c r="F2986" s="4" t="s">
        <v>10248</v>
      </c>
      <c r="G2986" s="4" t="s">
        <v>5984</v>
      </c>
      <c r="H2986" s="4" t="s">
        <v>5984</v>
      </c>
      <c r="I2986" s="5">
        <v>40072</v>
      </c>
      <c r="J2986" s="4" t="s">
        <v>4798</v>
      </c>
      <c r="K2986" s="4" t="s">
        <v>57</v>
      </c>
      <c r="L2986" s="4"/>
      <c r="M2986" s="4"/>
    </row>
    <row r="2987" ht="16" customHeight="1" s="4" customFormat="1">
      <c r="A2987" s="4">
        <v>2514</v>
      </c>
      <c r="B2987" s="4" t="s">
        <v>5499</v>
      </c>
      <c r="C2987" s="4" t="s">
        <v>5500</v>
      </c>
      <c r="D2987" s="4" t="s">
        <v>5728</v>
      </c>
      <c r="E2987" s="4" t="s">
        <v>5729</v>
      </c>
      <c r="F2987" s="4" t="s">
        <v>10249</v>
      </c>
      <c r="G2987" s="4" t="s">
        <v>5984</v>
      </c>
      <c r="H2987" s="4" t="s">
        <v>10250</v>
      </c>
      <c r="I2987" s="5">
        <v>40065</v>
      </c>
      <c r="J2987" s="4" t="s">
        <v>4798</v>
      </c>
      <c r="K2987" s="4" t="s">
        <v>57</v>
      </c>
      <c r="L2987" s="4"/>
      <c r="M2987" s="4"/>
    </row>
    <row r="2988" ht="16" customHeight="1" s="4" customFormat="1">
      <c r="A2988" s="4">
        <v>2515</v>
      </c>
      <c r="B2988" s="4" t="s">
        <v>5499</v>
      </c>
      <c r="C2988" s="4" t="s">
        <v>5519</v>
      </c>
      <c r="D2988" s="4"/>
      <c r="E2988" s="4" t="s">
        <v>5613</v>
      </c>
      <c r="F2988" s="4" t="s">
        <v>10251</v>
      </c>
      <c r="G2988" s="4" t="s">
        <v>10252</v>
      </c>
      <c r="H2988" s="4" t="s">
        <v>10252</v>
      </c>
      <c r="I2988" s="5">
        <v>40056</v>
      </c>
      <c r="J2988" s="4" t="s">
        <v>4798</v>
      </c>
      <c r="K2988" s="4" t="s">
        <v>57</v>
      </c>
      <c r="L2988" s="4"/>
      <c r="M2988" s="4"/>
    </row>
    <row r="2989" ht="16" customHeight="1" s="4" customFormat="1">
      <c r="A2989" s="4">
        <v>2516</v>
      </c>
      <c r="B2989" s="4" t="s">
        <v>5499</v>
      </c>
      <c r="C2989" s="4" t="s">
        <v>5573</v>
      </c>
      <c r="D2989" s="4" t="s">
        <v>5574</v>
      </c>
      <c r="E2989" s="4" t="s">
        <v>5575</v>
      </c>
      <c r="F2989" s="4" t="s">
        <v>10253</v>
      </c>
      <c r="G2989" s="4" t="s">
        <v>5577</v>
      </c>
      <c r="H2989" s="4" t="s">
        <v>10254</v>
      </c>
      <c r="I2989" s="5">
        <v>40044</v>
      </c>
      <c r="J2989" s="4" t="s">
        <v>4798</v>
      </c>
      <c r="K2989" s="4" t="s">
        <v>57</v>
      </c>
      <c r="L2989" s="4"/>
      <c r="M2989" s="4"/>
    </row>
    <row r="2990" ht="16" customHeight="1" s="4" customFormat="1">
      <c r="A2990" s="4">
        <v>2517</v>
      </c>
      <c r="B2990" s="4" t="s">
        <v>5499</v>
      </c>
      <c r="C2990" s="4" t="s">
        <v>5519</v>
      </c>
      <c r="D2990" s="4"/>
      <c r="E2990" s="4" t="s">
        <v>6094</v>
      </c>
      <c r="F2990" s="4" t="s">
        <v>10255</v>
      </c>
      <c r="G2990" s="4" t="s">
        <v>10256</v>
      </c>
      <c r="H2990" s="4" t="s">
        <v>10256</v>
      </c>
      <c r="I2990" s="5">
        <v>40026</v>
      </c>
      <c r="J2990" s="4" t="s">
        <v>4798</v>
      </c>
      <c r="K2990" s="4" t="s">
        <v>57</v>
      </c>
      <c r="L2990" s="4"/>
      <c r="M2990" s="4"/>
    </row>
    <row r="2991" ht="16" customHeight="1" s="4" customFormat="1">
      <c r="A2991" s="4">
        <v>2518</v>
      </c>
      <c r="B2991" s="4" t="s">
        <v>5499</v>
      </c>
      <c r="C2991" s="4" t="s">
        <v>5519</v>
      </c>
      <c r="D2991" s="4"/>
      <c r="E2991" s="4" t="s">
        <v>6570</v>
      </c>
      <c r="F2991" s="4" t="s">
        <v>10257</v>
      </c>
      <c r="G2991" s="4" t="s">
        <v>10214</v>
      </c>
      <c r="H2991" s="4" t="s">
        <v>10214</v>
      </c>
      <c r="I2991" s="5">
        <v>40007</v>
      </c>
      <c r="J2991" s="4" t="s">
        <v>4798</v>
      </c>
      <c r="K2991" s="4" t="s">
        <v>57</v>
      </c>
      <c r="L2991" s="4"/>
      <c r="M2991" s="4"/>
    </row>
    <row r="2992" ht="16" customHeight="1" s="4" customFormat="1">
      <c r="A2992" s="4">
        <v>2519</v>
      </c>
      <c r="B2992" s="4" t="s">
        <v>5499</v>
      </c>
      <c r="C2992" s="4" t="s">
        <v>5519</v>
      </c>
      <c r="D2992" s="4"/>
      <c r="E2992" s="4" t="s">
        <v>10258</v>
      </c>
      <c r="F2992" s="4" t="s">
        <v>10259</v>
      </c>
      <c r="G2992" s="4" t="s">
        <v>10214</v>
      </c>
      <c r="H2992" s="4" t="s">
        <v>10214</v>
      </c>
      <c r="I2992" s="5">
        <v>39989</v>
      </c>
      <c r="J2992" s="4" t="s">
        <v>4798</v>
      </c>
      <c r="K2992" s="4" t="s">
        <v>57</v>
      </c>
      <c r="L2992" s="4"/>
      <c r="M2992" s="4"/>
    </row>
    <row r="2993" ht="16" customHeight="1" s="4" customFormat="1">
      <c r="A2993" s="4">
        <v>2520</v>
      </c>
      <c r="B2993" s="4" t="s">
        <v>5534</v>
      </c>
      <c r="C2993" s="4" t="s">
        <v>5773</v>
      </c>
      <c r="D2993" s="4"/>
      <c r="E2993" s="4"/>
      <c r="F2993" s="4" t="s">
        <v>10260</v>
      </c>
      <c r="G2993" s="4" t="s">
        <v>10261</v>
      </c>
      <c r="H2993" s="4" t="s">
        <v>10262</v>
      </c>
      <c r="I2993" s="5">
        <v>39981</v>
      </c>
      <c r="J2993" s="4" t="s">
        <v>5506</v>
      </c>
      <c r="K2993" s="4" t="s">
        <v>57</v>
      </c>
      <c r="L2993" s="4"/>
      <c r="M2993" s="4"/>
    </row>
    <row r="2994" ht="16" customHeight="1" s="4" customFormat="1">
      <c r="A2994" s="4">
        <v>2521</v>
      </c>
      <c r="B2994" s="4" t="s">
        <v>5534</v>
      </c>
      <c r="C2994" s="4" t="s">
        <v>5773</v>
      </c>
      <c r="D2994" s="4"/>
      <c r="E2994" s="4"/>
      <c r="F2994" s="4" t="s">
        <v>10263</v>
      </c>
      <c r="G2994" s="4" t="s">
        <v>10261</v>
      </c>
      <c r="H2994" s="4" t="s">
        <v>10262</v>
      </c>
      <c r="I2994" s="5">
        <v>39981</v>
      </c>
      <c r="J2994" s="4" t="s">
        <v>5506</v>
      </c>
      <c r="K2994" s="4" t="s">
        <v>57</v>
      </c>
      <c r="L2994" s="4"/>
      <c r="M2994" s="4"/>
    </row>
    <row r="2995" ht="16" customHeight="1" s="4" customFormat="1">
      <c r="A2995" s="4">
        <v>2522</v>
      </c>
      <c r="B2995" s="4" t="s">
        <v>5534</v>
      </c>
      <c r="C2995" s="4" t="s">
        <v>5773</v>
      </c>
      <c r="D2995" s="4"/>
      <c r="E2995" s="4"/>
      <c r="F2995" s="4" t="s">
        <v>10264</v>
      </c>
      <c r="G2995" s="4" t="s">
        <v>10261</v>
      </c>
      <c r="H2995" s="4" t="s">
        <v>10262</v>
      </c>
      <c r="I2995" s="5">
        <v>39981</v>
      </c>
      <c r="J2995" s="4" t="s">
        <v>5506</v>
      </c>
      <c r="K2995" s="4" t="s">
        <v>57</v>
      </c>
      <c r="L2995" s="4"/>
      <c r="M2995" s="4"/>
    </row>
    <row r="2996" ht="16" customHeight="1" s="4" customFormat="1">
      <c r="A2996" s="4">
        <v>2523</v>
      </c>
      <c r="B2996" s="4" t="s">
        <v>5534</v>
      </c>
      <c r="C2996" s="4" t="s">
        <v>5773</v>
      </c>
      <c r="D2996" s="4"/>
      <c r="E2996" s="4"/>
      <c r="F2996" s="4" t="s">
        <v>10265</v>
      </c>
      <c r="G2996" s="4" t="s">
        <v>5984</v>
      </c>
      <c r="H2996" s="4" t="s">
        <v>6018</v>
      </c>
      <c r="I2996" s="5">
        <v>39981</v>
      </c>
      <c r="J2996" s="4" t="s">
        <v>4798</v>
      </c>
      <c r="K2996" s="4" t="s">
        <v>57</v>
      </c>
      <c r="L2996" s="4"/>
      <c r="M2996" s="4"/>
    </row>
    <row r="2997" ht="16" customHeight="1" s="4" customFormat="1">
      <c r="A2997" s="4">
        <v>2524</v>
      </c>
      <c r="B2997" s="4" t="s">
        <v>5534</v>
      </c>
      <c r="C2997" s="4" t="s">
        <v>5773</v>
      </c>
      <c r="D2997" s="4"/>
      <c r="E2997" s="4"/>
      <c r="F2997" s="4" t="s">
        <v>10266</v>
      </c>
      <c r="G2997" s="4" t="s">
        <v>5984</v>
      </c>
      <c r="H2997" s="4" t="s">
        <v>6018</v>
      </c>
      <c r="I2997" s="5">
        <v>39981</v>
      </c>
      <c r="J2997" s="4" t="s">
        <v>4798</v>
      </c>
      <c r="K2997" s="4" t="s">
        <v>57</v>
      </c>
      <c r="L2997" s="4"/>
      <c r="M2997" s="4"/>
    </row>
    <row r="2998" ht="16" customHeight="1" s="4" customFormat="1">
      <c r="A2998" s="4">
        <v>2525</v>
      </c>
      <c r="B2998" s="4" t="s">
        <v>5534</v>
      </c>
      <c r="C2998" s="4" t="s">
        <v>5773</v>
      </c>
      <c r="D2998" s="4"/>
      <c r="E2998" s="4"/>
      <c r="F2998" s="4" t="s">
        <v>10267</v>
      </c>
      <c r="G2998" s="4" t="s">
        <v>5984</v>
      </c>
      <c r="H2998" s="4" t="s">
        <v>6018</v>
      </c>
      <c r="I2998" s="5">
        <v>39981</v>
      </c>
      <c r="J2998" s="4" t="s">
        <v>4798</v>
      </c>
      <c r="K2998" s="4" t="s">
        <v>57</v>
      </c>
      <c r="L2998" s="4"/>
      <c r="M2998" s="4"/>
    </row>
    <row r="2999" ht="16" customHeight="1" s="4" customFormat="1">
      <c r="A2999" s="4">
        <v>2526</v>
      </c>
      <c r="B2999" s="4" t="s">
        <v>5534</v>
      </c>
      <c r="C2999" s="4" t="s">
        <v>5773</v>
      </c>
      <c r="D2999" s="4"/>
      <c r="E2999" s="4"/>
      <c r="F2999" s="4" t="s">
        <v>10268</v>
      </c>
      <c r="G2999" s="4" t="s">
        <v>10269</v>
      </c>
      <c r="H2999" s="4" t="s">
        <v>10270</v>
      </c>
      <c r="I2999" s="5">
        <v>39972</v>
      </c>
      <c r="J2999" s="4" t="s">
        <v>5506</v>
      </c>
      <c r="K2999" s="4" t="s">
        <v>57</v>
      </c>
      <c r="L2999" s="4"/>
      <c r="M2999" s="4"/>
    </row>
    <row r="3000" ht="16" customHeight="1" s="4" customFormat="1">
      <c r="A3000" s="4">
        <v>2527</v>
      </c>
      <c r="B3000" s="4" t="s">
        <v>5499</v>
      </c>
      <c r="C3000" s="4" t="s">
        <v>5590</v>
      </c>
      <c r="D3000" s="4" t="s">
        <v>5574</v>
      </c>
      <c r="E3000" s="4" t="s">
        <v>5575</v>
      </c>
      <c r="F3000" s="4" t="s">
        <v>10271</v>
      </c>
      <c r="G3000" s="4" t="s">
        <v>5970</v>
      </c>
      <c r="H3000" s="4" t="s">
        <v>8205</v>
      </c>
      <c r="I3000" s="5">
        <v>39958</v>
      </c>
      <c r="J3000" s="4" t="s">
        <v>4798</v>
      </c>
      <c r="K3000" s="4" t="s">
        <v>57</v>
      </c>
      <c r="L3000" s="4"/>
      <c r="M3000" s="4"/>
    </row>
    <row r="3001" ht="16" customHeight="1" s="4" customFormat="1">
      <c r="A3001" s="4">
        <v>2528</v>
      </c>
      <c r="B3001" s="4" t="s">
        <v>5499</v>
      </c>
      <c r="C3001" s="4" t="s">
        <v>5590</v>
      </c>
      <c r="D3001" s="4" t="s">
        <v>5574</v>
      </c>
      <c r="E3001" s="4" t="s">
        <v>5575</v>
      </c>
      <c r="F3001" s="4" t="s">
        <v>10272</v>
      </c>
      <c r="G3001" s="4" t="s">
        <v>10273</v>
      </c>
      <c r="H3001" s="4" t="s">
        <v>7009</v>
      </c>
      <c r="I3001" s="5">
        <v>39958</v>
      </c>
      <c r="J3001" s="4" t="s">
        <v>4798</v>
      </c>
      <c r="K3001" s="4" t="s">
        <v>57</v>
      </c>
      <c r="L3001" s="4"/>
      <c r="M3001" s="4"/>
    </row>
    <row r="3002" ht="16" customHeight="1" s="4" customFormat="1">
      <c r="A3002" s="4">
        <v>2529</v>
      </c>
      <c r="B3002" s="4" t="s">
        <v>5499</v>
      </c>
      <c r="C3002" s="4" t="s">
        <v>5519</v>
      </c>
      <c r="D3002" s="4"/>
      <c r="E3002" s="4" t="s">
        <v>10274</v>
      </c>
      <c r="F3002" s="4" t="s">
        <v>10275</v>
      </c>
      <c r="G3002" s="4" t="s">
        <v>10252</v>
      </c>
      <c r="H3002" s="4" t="s">
        <v>10252</v>
      </c>
      <c r="I3002" s="5">
        <v>39941</v>
      </c>
      <c r="J3002" s="4" t="s">
        <v>4798</v>
      </c>
      <c r="K3002" s="4" t="s">
        <v>57</v>
      </c>
      <c r="L3002" s="4"/>
      <c r="M3002" s="4"/>
    </row>
    <row r="3003" ht="16" customHeight="1" s="4" customFormat="1">
      <c r="A3003" s="4">
        <v>2530</v>
      </c>
      <c r="B3003" s="4" t="s">
        <v>5534</v>
      </c>
      <c r="C3003" s="4" t="s">
        <v>5773</v>
      </c>
      <c r="D3003" s="4"/>
      <c r="E3003" s="4"/>
      <c r="F3003" s="4" t="s">
        <v>10276</v>
      </c>
      <c r="G3003" s="4" t="s">
        <v>5984</v>
      </c>
      <c r="H3003" s="4" t="s">
        <v>6018</v>
      </c>
      <c r="I3003" s="5">
        <v>39909</v>
      </c>
      <c r="J3003" s="4" t="s">
        <v>4798</v>
      </c>
      <c r="K3003" s="4" t="s">
        <v>57</v>
      </c>
      <c r="L3003" s="4"/>
      <c r="M3003" s="4"/>
    </row>
    <row r="3004" ht="16" customHeight="1" s="4" customFormat="1">
      <c r="A3004" s="4">
        <v>2531</v>
      </c>
      <c r="B3004" s="4" t="s">
        <v>5499</v>
      </c>
      <c r="C3004" s="4" t="s">
        <v>5573</v>
      </c>
      <c r="D3004" s="4" t="s">
        <v>5574</v>
      </c>
      <c r="E3004" s="4" t="s">
        <v>5575</v>
      </c>
      <c r="F3004" s="4" t="s">
        <v>10277</v>
      </c>
      <c r="G3004" s="4" t="s">
        <v>10278</v>
      </c>
      <c r="H3004" s="4" t="s">
        <v>10279</v>
      </c>
      <c r="I3004" s="5">
        <v>39893</v>
      </c>
      <c r="J3004" s="4" t="s">
        <v>4798</v>
      </c>
      <c r="K3004" s="4" t="s">
        <v>57</v>
      </c>
      <c r="L3004" s="4"/>
      <c r="M3004" s="4"/>
    </row>
    <row r="3005" ht="16" customHeight="1" s="4" customFormat="1">
      <c r="A3005" s="4">
        <v>2532</v>
      </c>
      <c r="B3005" s="4" t="s">
        <v>5499</v>
      </c>
      <c r="C3005" s="4" t="s">
        <v>5519</v>
      </c>
      <c r="D3005" s="4"/>
      <c r="E3005" s="4" t="s">
        <v>5641</v>
      </c>
      <c r="F3005" s="4" t="s">
        <v>10280</v>
      </c>
      <c r="G3005" s="4" t="s">
        <v>5983</v>
      </c>
      <c r="H3005" s="4" t="s">
        <v>5604</v>
      </c>
      <c r="I3005" s="5">
        <v>39893</v>
      </c>
      <c r="J3005" s="4" t="s">
        <v>5506</v>
      </c>
      <c r="K3005" s="4" t="s">
        <v>57</v>
      </c>
      <c r="L3005" s="4"/>
      <c r="M3005" s="4"/>
    </row>
    <row r="3006" ht="16" customHeight="1" s="4" customFormat="1">
      <c r="A3006" s="4">
        <v>2533</v>
      </c>
      <c r="B3006" s="4" t="s">
        <v>5499</v>
      </c>
      <c r="C3006" s="4" t="s">
        <v>5519</v>
      </c>
      <c r="D3006" s="4"/>
      <c r="E3006" s="4" t="s">
        <v>5641</v>
      </c>
      <c r="F3006" s="4" t="s">
        <v>10281</v>
      </c>
      <c r="G3006" s="4" t="s">
        <v>5983</v>
      </c>
      <c r="H3006" s="4" t="s">
        <v>5604</v>
      </c>
      <c r="I3006" s="5">
        <v>39893</v>
      </c>
      <c r="J3006" s="4" t="s">
        <v>5506</v>
      </c>
      <c r="K3006" s="4" t="s">
        <v>57</v>
      </c>
      <c r="L3006" s="4"/>
      <c r="M3006" s="4"/>
    </row>
    <row r="3007" ht="16" customHeight="1" s="4" customFormat="1">
      <c r="A3007" s="4">
        <v>2534</v>
      </c>
      <c r="B3007" s="4" t="s">
        <v>5499</v>
      </c>
      <c r="C3007" s="4" t="s">
        <v>5519</v>
      </c>
      <c r="D3007" s="4"/>
      <c r="E3007" s="4" t="s">
        <v>5664</v>
      </c>
      <c r="F3007" s="4" t="s">
        <v>10282</v>
      </c>
      <c r="G3007" s="4" t="s">
        <v>5983</v>
      </c>
      <c r="H3007" s="4" t="s">
        <v>6041</v>
      </c>
      <c r="I3007" s="5">
        <v>39893</v>
      </c>
      <c r="J3007" s="4" t="s">
        <v>5506</v>
      </c>
      <c r="K3007" s="4" t="s">
        <v>57</v>
      </c>
      <c r="L3007" s="4"/>
      <c r="M3007" s="4"/>
    </row>
    <row r="3008" ht="16" customHeight="1" s="4" customFormat="1">
      <c r="A3008" s="4">
        <v>2535</v>
      </c>
      <c r="B3008" s="4" t="s">
        <v>5499</v>
      </c>
      <c r="C3008" s="4" t="s">
        <v>5519</v>
      </c>
      <c r="D3008" s="4"/>
      <c r="E3008" s="4" t="s">
        <v>5664</v>
      </c>
      <c r="F3008" s="4" t="s">
        <v>10283</v>
      </c>
      <c r="G3008" s="4" t="s">
        <v>5983</v>
      </c>
      <c r="H3008" s="4" t="s">
        <v>6041</v>
      </c>
      <c r="I3008" s="5">
        <v>39893</v>
      </c>
      <c r="J3008" s="4" t="s">
        <v>5506</v>
      </c>
      <c r="K3008" s="4" t="s">
        <v>57</v>
      </c>
      <c r="L3008" s="4"/>
      <c r="M3008" s="4"/>
    </row>
    <row r="3009" ht="16" customHeight="1" s="4" customFormat="1">
      <c r="A3009" s="4">
        <v>2536</v>
      </c>
      <c r="B3009" s="4" t="s">
        <v>5499</v>
      </c>
      <c r="C3009" s="4" t="s">
        <v>5519</v>
      </c>
      <c r="D3009" s="4"/>
      <c r="E3009" s="4" t="s">
        <v>5664</v>
      </c>
      <c r="F3009" s="4" t="s">
        <v>10284</v>
      </c>
      <c r="G3009" s="4" t="s">
        <v>5983</v>
      </c>
      <c r="H3009" s="4" t="s">
        <v>6041</v>
      </c>
      <c r="I3009" s="5">
        <v>39893</v>
      </c>
      <c r="J3009" s="4" t="s">
        <v>5506</v>
      </c>
      <c r="K3009" s="4" t="s">
        <v>57</v>
      </c>
      <c r="L3009" s="4"/>
      <c r="M3009" s="4"/>
    </row>
    <row r="3010" ht="16" customHeight="1" s="4" customFormat="1">
      <c r="A3010" s="4">
        <v>2537</v>
      </c>
      <c r="B3010" s="4" t="s">
        <v>5499</v>
      </c>
      <c r="C3010" s="4" t="s">
        <v>5519</v>
      </c>
      <c r="D3010" s="4"/>
      <c r="E3010" s="4" t="s">
        <v>5664</v>
      </c>
      <c r="F3010" s="4" t="s">
        <v>10285</v>
      </c>
      <c r="G3010" s="4" t="s">
        <v>5983</v>
      </c>
      <c r="H3010" s="4" t="s">
        <v>5604</v>
      </c>
      <c r="I3010" s="5">
        <v>39893</v>
      </c>
      <c r="J3010" s="4" t="s">
        <v>5506</v>
      </c>
      <c r="K3010" s="4" t="s">
        <v>57</v>
      </c>
      <c r="L3010" s="4"/>
      <c r="M3010" s="4"/>
    </row>
    <row r="3011" ht="16" customHeight="1" s="4" customFormat="1">
      <c r="A3011" s="4">
        <v>2538</v>
      </c>
      <c r="B3011" s="4" t="s">
        <v>5499</v>
      </c>
      <c r="C3011" s="4" t="s">
        <v>5519</v>
      </c>
      <c r="D3011" s="4"/>
      <c r="E3011" s="4" t="s">
        <v>5664</v>
      </c>
      <c r="F3011" s="4" t="s">
        <v>10286</v>
      </c>
      <c r="G3011" s="4" t="s">
        <v>5983</v>
      </c>
      <c r="H3011" s="4" t="s">
        <v>5604</v>
      </c>
      <c r="I3011" s="5">
        <v>39893</v>
      </c>
      <c r="J3011" s="4" t="s">
        <v>5506</v>
      </c>
      <c r="K3011" s="4" t="s">
        <v>57</v>
      </c>
      <c r="L3011" s="4"/>
      <c r="M3011" s="4"/>
    </row>
    <row r="3012" ht="16" customHeight="1" s="4" customFormat="1">
      <c r="A3012" s="4">
        <v>2539</v>
      </c>
      <c r="B3012" s="4" t="s">
        <v>5499</v>
      </c>
      <c r="C3012" s="4" t="s">
        <v>5573</v>
      </c>
      <c r="D3012" s="4" t="s">
        <v>5574</v>
      </c>
      <c r="E3012" s="4" t="s">
        <v>5575</v>
      </c>
      <c r="F3012" s="4" t="s">
        <v>10287</v>
      </c>
      <c r="G3012" s="4" t="s">
        <v>10218</v>
      </c>
      <c r="H3012" s="4" t="s">
        <v>10288</v>
      </c>
      <c r="I3012" s="5">
        <v>39885</v>
      </c>
      <c r="J3012" s="4" t="s">
        <v>5506</v>
      </c>
      <c r="K3012" s="4" t="s">
        <v>57</v>
      </c>
      <c r="L3012" s="4"/>
      <c r="M3012" s="4"/>
    </row>
    <row r="3013" ht="16" customHeight="1" s="4" customFormat="1">
      <c r="A3013" s="4">
        <v>2540</v>
      </c>
      <c r="B3013" s="4" t="s">
        <v>5499</v>
      </c>
      <c r="C3013" s="4" t="s">
        <v>5573</v>
      </c>
      <c r="D3013" s="4" t="s">
        <v>5574</v>
      </c>
      <c r="E3013" s="4" t="s">
        <v>5575</v>
      </c>
      <c r="F3013" s="4" t="s">
        <v>10289</v>
      </c>
      <c r="G3013" s="4" t="s">
        <v>5577</v>
      </c>
      <c r="H3013" s="4" t="s">
        <v>10290</v>
      </c>
      <c r="I3013" s="5">
        <v>39884</v>
      </c>
      <c r="J3013" s="4" t="s">
        <v>4798</v>
      </c>
      <c r="K3013" s="4" t="s">
        <v>57</v>
      </c>
      <c r="L3013" s="4"/>
      <c r="M3013" s="4"/>
    </row>
    <row r="3014" ht="16" customHeight="1" s="4" customFormat="1">
      <c r="A3014" s="4">
        <v>2541</v>
      </c>
      <c r="B3014" s="4" t="s">
        <v>5499</v>
      </c>
      <c r="C3014" s="4" t="s">
        <v>5519</v>
      </c>
      <c r="D3014" s="4"/>
      <c r="E3014" s="4" t="s">
        <v>5641</v>
      </c>
      <c r="F3014" s="4" t="s">
        <v>10291</v>
      </c>
      <c r="G3014" s="4" t="s">
        <v>5983</v>
      </c>
      <c r="H3014" s="4" t="s">
        <v>5667</v>
      </c>
      <c r="I3014" s="5">
        <v>39868</v>
      </c>
      <c r="J3014" s="4" t="s">
        <v>5506</v>
      </c>
      <c r="K3014" s="4" t="s">
        <v>57</v>
      </c>
      <c r="L3014" s="4"/>
      <c r="M3014" s="4"/>
    </row>
    <row r="3015" ht="16" customHeight="1" s="4" customFormat="1">
      <c r="A3015" s="4">
        <v>2542</v>
      </c>
      <c r="B3015" s="4" t="s">
        <v>5499</v>
      </c>
      <c r="C3015" s="4" t="s">
        <v>5519</v>
      </c>
      <c r="D3015" s="4"/>
      <c r="E3015" s="4" t="s">
        <v>5641</v>
      </c>
      <c r="F3015" s="4" t="s">
        <v>10292</v>
      </c>
      <c r="G3015" s="4" t="s">
        <v>5983</v>
      </c>
      <c r="H3015" s="4" t="s">
        <v>5604</v>
      </c>
      <c r="I3015" s="5">
        <v>39868</v>
      </c>
      <c r="J3015" s="4" t="s">
        <v>5506</v>
      </c>
      <c r="K3015" s="4" t="s">
        <v>57</v>
      </c>
      <c r="L3015" s="4"/>
      <c r="M3015" s="4"/>
    </row>
    <row r="3016" ht="16" customHeight="1" s="4" customFormat="1">
      <c r="A3016" s="4">
        <v>2543</v>
      </c>
      <c r="B3016" s="4" t="s">
        <v>5499</v>
      </c>
      <c r="C3016" s="4" t="s">
        <v>5519</v>
      </c>
      <c r="D3016" s="4"/>
      <c r="E3016" s="4" t="s">
        <v>5641</v>
      </c>
      <c r="F3016" s="4" t="s">
        <v>10293</v>
      </c>
      <c r="G3016" s="4" t="s">
        <v>5983</v>
      </c>
      <c r="H3016" s="4" t="s">
        <v>5604</v>
      </c>
      <c r="I3016" s="5">
        <v>39868</v>
      </c>
      <c r="J3016" s="4" t="s">
        <v>5506</v>
      </c>
      <c r="K3016" s="4" t="s">
        <v>57</v>
      </c>
      <c r="L3016" s="4"/>
      <c r="M3016" s="4"/>
    </row>
    <row r="3017" ht="16" customHeight="1" s="4" customFormat="1">
      <c r="A3017" s="4">
        <v>2544</v>
      </c>
      <c r="B3017" s="4" t="s">
        <v>5499</v>
      </c>
      <c r="C3017" s="4" t="s">
        <v>5519</v>
      </c>
      <c r="D3017" s="4"/>
      <c r="E3017" s="4" t="s">
        <v>5664</v>
      </c>
      <c r="F3017" s="4" t="s">
        <v>10294</v>
      </c>
      <c r="G3017" s="4" t="s">
        <v>5983</v>
      </c>
      <c r="H3017" s="4" t="s">
        <v>5667</v>
      </c>
      <c r="I3017" s="5">
        <v>39868</v>
      </c>
      <c r="J3017" s="4" t="s">
        <v>5506</v>
      </c>
      <c r="K3017" s="4" t="s">
        <v>57</v>
      </c>
      <c r="L3017" s="4"/>
      <c r="M3017" s="4"/>
    </row>
    <row r="3018" ht="16" customHeight="1" s="4" customFormat="1">
      <c r="A3018" s="4">
        <v>2545</v>
      </c>
      <c r="B3018" s="4" t="s">
        <v>5499</v>
      </c>
      <c r="C3018" s="4" t="s">
        <v>5519</v>
      </c>
      <c r="D3018" s="4"/>
      <c r="E3018" s="4" t="s">
        <v>5664</v>
      </c>
      <c r="F3018" s="4" t="s">
        <v>10295</v>
      </c>
      <c r="G3018" s="4" t="s">
        <v>5983</v>
      </c>
      <c r="H3018" s="4" t="s">
        <v>5604</v>
      </c>
      <c r="I3018" s="5">
        <v>39868</v>
      </c>
      <c r="J3018" s="4" t="s">
        <v>5506</v>
      </c>
      <c r="K3018" s="4" t="s">
        <v>57</v>
      </c>
      <c r="L3018" s="4"/>
      <c r="M3018" s="4"/>
    </row>
    <row r="3019" ht="16" customHeight="1" s="4" customFormat="1">
      <c r="A3019" s="4">
        <v>2546</v>
      </c>
      <c r="B3019" s="4" t="s">
        <v>5499</v>
      </c>
      <c r="C3019" s="4" t="s">
        <v>5519</v>
      </c>
      <c r="D3019" s="4"/>
      <c r="E3019" s="4" t="s">
        <v>5664</v>
      </c>
      <c r="F3019" s="4" t="s">
        <v>10296</v>
      </c>
      <c r="G3019" s="4" t="s">
        <v>5983</v>
      </c>
      <c r="H3019" s="4" t="s">
        <v>5604</v>
      </c>
      <c r="I3019" s="5">
        <v>39868</v>
      </c>
      <c r="J3019" s="4" t="s">
        <v>5506</v>
      </c>
      <c r="K3019" s="4" t="s">
        <v>57</v>
      </c>
      <c r="L3019" s="4"/>
      <c r="M3019" s="4"/>
    </row>
    <row r="3020" ht="16" customHeight="1" s="4" customFormat="1">
      <c r="A3020" s="4">
        <v>2547</v>
      </c>
      <c r="B3020" s="4" t="s">
        <v>5499</v>
      </c>
      <c r="C3020" s="4" t="s">
        <v>5519</v>
      </c>
      <c r="D3020" s="4"/>
      <c r="E3020" s="4" t="s">
        <v>5687</v>
      </c>
      <c r="F3020" s="4" t="s">
        <v>10297</v>
      </c>
      <c r="G3020" s="4" t="s">
        <v>5511</v>
      </c>
      <c r="H3020" s="4" t="s">
        <v>5511</v>
      </c>
      <c r="I3020" s="5">
        <v>39868</v>
      </c>
      <c r="J3020" s="4" t="s">
        <v>5506</v>
      </c>
      <c r="K3020" s="4" t="s">
        <v>57</v>
      </c>
      <c r="L3020" s="4"/>
      <c r="M3020" s="4"/>
    </row>
    <row r="3021" ht="16" customHeight="1" s="4" customFormat="1">
      <c r="A3021" s="4">
        <v>2548</v>
      </c>
      <c r="B3021" s="4" t="s">
        <v>5499</v>
      </c>
      <c r="C3021" s="4" t="s">
        <v>5519</v>
      </c>
      <c r="D3021" s="4"/>
      <c r="E3021" s="4" t="s">
        <v>5687</v>
      </c>
      <c r="F3021" s="4" t="s">
        <v>10298</v>
      </c>
      <c r="G3021" s="4" t="s">
        <v>5511</v>
      </c>
      <c r="H3021" s="4" t="s">
        <v>5511</v>
      </c>
      <c r="I3021" s="5">
        <v>39868</v>
      </c>
      <c r="J3021" s="4" t="s">
        <v>5506</v>
      </c>
      <c r="K3021" s="4" t="s">
        <v>57</v>
      </c>
      <c r="L3021" s="4"/>
      <c r="M3021" s="4"/>
    </row>
    <row r="3022" ht="16" customHeight="1" s="4" customFormat="1">
      <c r="A3022" s="4">
        <v>2549</v>
      </c>
      <c r="B3022" s="4" t="s">
        <v>5499</v>
      </c>
      <c r="C3022" s="4" t="s">
        <v>5519</v>
      </c>
      <c r="D3022" s="4"/>
      <c r="E3022" s="4" t="s">
        <v>5687</v>
      </c>
      <c r="F3022" s="4" t="s">
        <v>10299</v>
      </c>
      <c r="G3022" s="4" t="s">
        <v>5511</v>
      </c>
      <c r="H3022" s="4" t="s">
        <v>5511</v>
      </c>
      <c r="I3022" s="5">
        <v>39868</v>
      </c>
      <c r="J3022" s="4" t="s">
        <v>5506</v>
      </c>
      <c r="K3022" s="4" t="s">
        <v>57</v>
      </c>
      <c r="L3022" s="4"/>
      <c r="M3022" s="4"/>
    </row>
    <row r="3023" ht="16" customHeight="1" s="4" customFormat="1">
      <c r="A3023" s="4">
        <v>2550</v>
      </c>
      <c r="B3023" s="4" t="s">
        <v>5499</v>
      </c>
      <c r="C3023" s="4" t="s">
        <v>5519</v>
      </c>
      <c r="D3023" s="4"/>
      <c r="E3023" s="4" t="s">
        <v>5687</v>
      </c>
      <c r="F3023" s="4" t="s">
        <v>10300</v>
      </c>
      <c r="G3023" s="4" t="s">
        <v>5511</v>
      </c>
      <c r="H3023" s="4" t="s">
        <v>5511</v>
      </c>
      <c r="I3023" s="5">
        <v>39868</v>
      </c>
      <c r="J3023" s="4" t="s">
        <v>5506</v>
      </c>
      <c r="K3023" s="4" t="s">
        <v>57</v>
      </c>
      <c r="L3023" s="4"/>
      <c r="M3023" s="4"/>
    </row>
    <row r="3024" ht="16" customHeight="1" s="4" customFormat="1">
      <c r="A3024" s="4">
        <v>2551</v>
      </c>
      <c r="B3024" s="4" t="s">
        <v>5499</v>
      </c>
      <c r="C3024" s="4" t="s">
        <v>5573</v>
      </c>
      <c r="D3024" s="4" t="s">
        <v>5574</v>
      </c>
      <c r="E3024" s="4" t="s">
        <v>5575</v>
      </c>
      <c r="F3024" s="4" t="s">
        <v>10301</v>
      </c>
      <c r="G3024" s="4" t="s">
        <v>10302</v>
      </c>
      <c r="H3024" s="4" t="s">
        <v>10303</v>
      </c>
      <c r="I3024" s="5">
        <v>39849</v>
      </c>
      <c r="J3024" s="4" t="s">
        <v>5506</v>
      </c>
      <c r="K3024" s="4" t="s">
        <v>57</v>
      </c>
      <c r="L3024" s="4"/>
      <c r="M3024" s="4"/>
    </row>
    <row r="3025" ht="16" customHeight="1" s="4" customFormat="1">
      <c r="A3025" s="4">
        <v>2552</v>
      </c>
      <c r="B3025" s="4" t="s">
        <v>5499</v>
      </c>
      <c r="C3025" s="4" t="s">
        <v>5573</v>
      </c>
      <c r="D3025" s="4" t="s">
        <v>5574</v>
      </c>
      <c r="E3025" s="4" t="s">
        <v>5575</v>
      </c>
      <c r="F3025" s="4" t="s">
        <v>10304</v>
      </c>
      <c r="G3025" s="4" t="s">
        <v>10302</v>
      </c>
      <c r="H3025" s="4" t="s">
        <v>10303</v>
      </c>
      <c r="I3025" s="5">
        <v>39849</v>
      </c>
      <c r="J3025" s="4" t="s">
        <v>5506</v>
      </c>
      <c r="K3025" s="4" t="s">
        <v>57</v>
      </c>
      <c r="L3025" s="4"/>
      <c r="M3025" s="4"/>
    </row>
    <row r="3026" ht="16" customHeight="1" s="4" customFormat="1">
      <c r="A3026" s="4">
        <v>2553</v>
      </c>
      <c r="B3026" s="4" t="s">
        <v>5499</v>
      </c>
      <c r="C3026" s="4" t="s">
        <v>5573</v>
      </c>
      <c r="D3026" s="4" t="s">
        <v>5574</v>
      </c>
      <c r="E3026" s="4" t="s">
        <v>5575</v>
      </c>
      <c r="F3026" s="4" t="s">
        <v>10305</v>
      </c>
      <c r="G3026" s="4" t="s">
        <v>5984</v>
      </c>
      <c r="H3026" s="4" t="s">
        <v>5835</v>
      </c>
      <c r="I3026" s="5">
        <v>39847</v>
      </c>
      <c r="J3026" s="4" t="s">
        <v>4798</v>
      </c>
      <c r="K3026" s="4" t="s">
        <v>57</v>
      </c>
      <c r="L3026" s="4"/>
      <c r="M3026" s="4"/>
    </row>
    <row r="3027" ht="16" customHeight="1" s="4" customFormat="1">
      <c r="A3027" s="4">
        <v>2554</v>
      </c>
      <c r="B3027" s="4" t="s">
        <v>5499</v>
      </c>
      <c r="C3027" s="4" t="s">
        <v>5519</v>
      </c>
      <c r="D3027" s="4"/>
      <c r="E3027" s="4" t="s">
        <v>5641</v>
      </c>
      <c r="F3027" s="4" t="s">
        <v>10306</v>
      </c>
      <c r="G3027" s="4" t="s">
        <v>10307</v>
      </c>
      <c r="H3027" s="4" t="s">
        <v>10308</v>
      </c>
      <c r="I3027" s="5">
        <v>39835</v>
      </c>
      <c r="J3027" s="4" t="s">
        <v>4798</v>
      </c>
      <c r="K3027" s="4" t="s">
        <v>57</v>
      </c>
      <c r="L3027" s="4"/>
      <c r="M3027" s="4"/>
    </row>
    <row r="3028" ht="16" customHeight="1" s="4" customFormat="1">
      <c r="A3028" s="4">
        <v>2555</v>
      </c>
      <c r="B3028" s="4" t="s">
        <v>5499</v>
      </c>
      <c r="C3028" s="4" t="s">
        <v>5519</v>
      </c>
      <c r="D3028" s="4"/>
      <c r="E3028" s="4" t="s">
        <v>5641</v>
      </c>
      <c r="F3028" s="4" t="s">
        <v>10309</v>
      </c>
      <c r="G3028" s="4" t="s">
        <v>10307</v>
      </c>
      <c r="H3028" s="4" t="s">
        <v>10308</v>
      </c>
      <c r="I3028" s="5">
        <v>39835</v>
      </c>
      <c r="J3028" s="4" t="s">
        <v>4798</v>
      </c>
      <c r="K3028" s="4" t="s">
        <v>57</v>
      </c>
      <c r="L3028" s="4"/>
      <c r="M3028" s="4"/>
    </row>
    <row r="3029" ht="16" customHeight="1" s="4" customFormat="1">
      <c r="A3029" s="4">
        <v>2556</v>
      </c>
      <c r="B3029" s="4" t="s">
        <v>5499</v>
      </c>
      <c r="C3029" s="4" t="s">
        <v>5519</v>
      </c>
      <c r="D3029" s="4"/>
      <c r="E3029" s="4" t="s">
        <v>5664</v>
      </c>
      <c r="F3029" s="4" t="s">
        <v>10310</v>
      </c>
      <c r="G3029" s="4" t="s">
        <v>10307</v>
      </c>
      <c r="H3029" s="4" t="s">
        <v>10308</v>
      </c>
      <c r="I3029" s="5">
        <v>39835</v>
      </c>
      <c r="J3029" s="4" t="s">
        <v>4798</v>
      </c>
      <c r="K3029" s="4" t="s">
        <v>57</v>
      </c>
      <c r="L3029" s="4"/>
      <c r="M3029" s="4"/>
    </row>
    <row r="3030" ht="16" customHeight="1" s="4" customFormat="1">
      <c r="A3030" s="4">
        <v>2557</v>
      </c>
      <c r="B3030" s="4" t="s">
        <v>5499</v>
      </c>
      <c r="C3030" s="4" t="s">
        <v>5519</v>
      </c>
      <c r="D3030" s="4"/>
      <c r="E3030" s="4" t="s">
        <v>5664</v>
      </c>
      <c r="F3030" s="4" t="s">
        <v>10311</v>
      </c>
      <c r="G3030" s="4" t="s">
        <v>10307</v>
      </c>
      <c r="H3030" s="4" t="s">
        <v>10308</v>
      </c>
      <c r="I3030" s="5">
        <v>39835</v>
      </c>
      <c r="J3030" s="4" t="s">
        <v>4798</v>
      </c>
      <c r="K3030" s="4" t="s">
        <v>57</v>
      </c>
      <c r="L3030" s="4"/>
      <c r="M3030" s="4"/>
    </row>
    <row r="3031" ht="16" customHeight="1" s="4" customFormat="1">
      <c r="A3031" s="4">
        <v>2558</v>
      </c>
      <c r="B3031" s="4" t="s">
        <v>5499</v>
      </c>
      <c r="C3031" s="4" t="s">
        <v>5573</v>
      </c>
      <c r="D3031" s="4" t="s">
        <v>5574</v>
      </c>
      <c r="E3031" s="4" t="s">
        <v>5575</v>
      </c>
      <c r="F3031" s="4" t="s">
        <v>10312</v>
      </c>
      <c r="G3031" s="4" t="s">
        <v>5577</v>
      </c>
      <c r="H3031" s="4" t="s">
        <v>10290</v>
      </c>
      <c r="I3031" s="5">
        <v>39825</v>
      </c>
      <c r="J3031" s="4" t="s">
        <v>4798</v>
      </c>
      <c r="K3031" s="4" t="s">
        <v>57</v>
      </c>
      <c r="L3031" s="4"/>
      <c r="M3031" s="4"/>
    </row>
    <row r="3032" ht="16" customHeight="1" s="4" customFormat="1">
      <c r="A3032" s="4">
        <v>2559</v>
      </c>
      <c r="B3032" s="4" t="s">
        <v>5499</v>
      </c>
      <c r="C3032" s="4" t="s">
        <v>5573</v>
      </c>
      <c r="D3032" s="4" t="s">
        <v>5574</v>
      </c>
      <c r="E3032" s="4" t="s">
        <v>5575</v>
      </c>
      <c r="F3032" s="4" t="s">
        <v>10313</v>
      </c>
      <c r="G3032" s="4" t="s">
        <v>5577</v>
      </c>
      <c r="H3032" s="4" t="s">
        <v>10290</v>
      </c>
      <c r="I3032" s="5">
        <v>39825</v>
      </c>
      <c r="J3032" s="4" t="s">
        <v>4798</v>
      </c>
      <c r="K3032" s="4" t="s">
        <v>57</v>
      </c>
      <c r="L3032" s="4"/>
      <c r="M3032" s="4"/>
    </row>
    <row r="3033" ht="16" customHeight="1" s="4" customFormat="1">
      <c r="A3033" s="4">
        <v>2560</v>
      </c>
      <c r="B3033" s="4" t="s">
        <v>5499</v>
      </c>
      <c r="C3033" s="4" t="s">
        <v>5500</v>
      </c>
      <c r="D3033" s="4" t="s">
        <v>5574</v>
      </c>
      <c r="E3033" s="4" t="s">
        <v>5575</v>
      </c>
      <c r="F3033" s="4" t="s">
        <v>10314</v>
      </c>
      <c r="G3033" s="4" t="s">
        <v>10315</v>
      </c>
      <c r="H3033" s="4" t="s">
        <v>10316</v>
      </c>
      <c r="I3033" s="5">
        <v>39793</v>
      </c>
      <c r="J3033" s="4" t="s">
        <v>4798</v>
      </c>
      <c r="K3033" s="4" t="s">
        <v>57</v>
      </c>
      <c r="L3033" s="4"/>
      <c r="M3033" s="4"/>
    </row>
    <row r="3034" ht="16" customHeight="1" s="4" customFormat="1">
      <c r="A3034" s="4">
        <v>2561</v>
      </c>
      <c r="B3034" s="4" t="s">
        <v>5499</v>
      </c>
      <c r="C3034" s="4" t="s">
        <v>5573</v>
      </c>
      <c r="D3034" s="4" t="s">
        <v>5574</v>
      </c>
      <c r="E3034" s="4" t="s">
        <v>5575</v>
      </c>
      <c r="F3034" s="4" t="s">
        <v>10317</v>
      </c>
      <c r="G3034" s="4" t="s">
        <v>10</v>
      </c>
      <c r="H3034" s="4" t="s">
        <v>5578</v>
      </c>
      <c r="I3034" s="5">
        <v>39751</v>
      </c>
      <c r="J3034" s="4" t="s">
        <v>4798</v>
      </c>
      <c r="K3034" s="4" t="s">
        <v>57</v>
      </c>
      <c r="L3034" s="4"/>
      <c r="M3034" s="4"/>
    </row>
    <row r="3035" ht="16" customHeight="1" s="4" customFormat="1">
      <c r="A3035" s="4">
        <v>2562</v>
      </c>
      <c r="B3035" s="4" t="s">
        <v>5534</v>
      </c>
      <c r="C3035" s="4" t="s">
        <v>5773</v>
      </c>
      <c r="D3035" s="4"/>
      <c r="E3035" s="4"/>
      <c r="F3035" s="4" t="s">
        <v>10318</v>
      </c>
      <c r="G3035" s="4" t="s">
        <v>10319</v>
      </c>
      <c r="H3035" s="4" t="s">
        <v>10262</v>
      </c>
      <c r="I3035" s="5">
        <v>39738</v>
      </c>
      <c r="J3035" s="4" t="s">
        <v>5506</v>
      </c>
      <c r="K3035" s="4" t="s">
        <v>57</v>
      </c>
      <c r="L3035" s="4"/>
      <c r="M3035" s="4"/>
    </row>
    <row r="3036" ht="16" customHeight="1" s="4" customFormat="1">
      <c r="A3036" s="4">
        <v>2563</v>
      </c>
      <c r="B3036" s="4" t="s">
        <v>5499</v>
      </c>
      <c r="C3036" s="4" t="s">
        <v>5519</v>
      </c>
      <c r="D3036" s="4"/>
      <c r="E3036" s="4" t="s">
        <v>10320</v>
      </c>
      <c r="F3036" s="4" t="s">
        <v>10321</v>
      </c>
      <c r="G3036" s="4" t="s">
        <v>10214</v>
      </c>
      <c r="H3036" s="4" t="s">
        <v>10214</v>
      </c>
      <c r="I3036" s="5">
        <v>39708</v>
      </c>
      <c r="J3036" s="4" t="s">
        <v>4798</v>
      </c>
      <c r="K3036" s="4" t="s">
        <v>57</v>
      </c>
      <c r="L3036" s="4"/>
      <c r="M3036" s="4"/>
    </row>
    <row r="3037" ht="16" customHeight="1" s="4" customFormat="1">
      <c r="A3037" s="4">
        <v>2564</v>
      </c>
      <c r="B3037" s="4" t="s">
        <v>5499</v>
      </c>
      <c r="C3037" s="4" t="s">
        <v>5519</v>
      </c>
      <c r="D3037" s="4"/>
      <c r="E3037" s="4" t="s">
        <v>6704</v>
      </c>
      <c r="F3037" s="4" t="s">
        <v>10322</v>
      </c>
      <c r="G3037" s="4" t="s">
        <v>5984</v>
      </c>
      <c r="H3037" s="4" t="s">
        <v>10323</v>
      </c>
      <c r="I3037" s="5">
        <v>39637</v>
      </c>
      <c r="J3037" s="4" t="s">
        <v>4798</v>
      </c>
      <c r="K3037" s="4" t="s">
        <v>57</v>
      </c>
      <c r="L3037" s="4"/>
      <c r="M3037" s="4"/>
    </row>
    <row r="3038" ht="16" customHeight="1" s="4" customFormat="1">
      <c r="A3038" s="4">
        <v>2565</v>
      </c>
      <c r="B3038" s="4" t="s">
        <v>5499</v>
      </c>
      <c r="C3038" s="4" t="s">
        <v>5519</v>
      </c>
      <c r="D3038" s="4"/>
      <c r="E3038" s="4" t="s">
        <v>10324</v>
      </c>
      <c r="F3038" s="4" t="s">
        <v>10325</v>
      </c>
      <c r="G3038" s="4" t="s">
        <v>10214</v>
      </c>
      <c r="H3038" s="4" t="s">
        <v>10214</v>
      </c>
      <c r="I3038" s="5">
        <v>39625</v>
      </c>
      <c r="J3038" s="4" t="s">
        <v>4798</v>
      </c>
      <c r="K3038" s="4" t="s">
        <v>57</v>
      </c>
      <c r="L3038" s="4"/>
      <c r="M3038" s="4"/>
    </row>
    <row r="3039" ht="16" customHeight="1" s="4" customFormat="1">
      <c r="A3039" s="4">
        <v>2566</v>
      </c>
      <c r="B3039" s="4" t="s">
        <v>5499</v>
      </c>
      <c r="C3039" s="4" t="s">
        <v>5519</v>
      </c>
      <c r="D3039" s="4"/>
      <c r="E3039" s="4" t="s">
        <v>10324</v>
      </c>
      <c r="F3039" s="4" t="s">
        <v>10326</v>
      </c>
      <c r="G3039" s="4" t="s">
        <v>10214</v>
      </c>
      <c r="H3039" s="4" t="s">
        <v>10214</v>
      </c>
      <c r="I3039" s="5">
        <v>39625</v>
      </c>
      <c r="J3039" s="4" t="s">
        <v>4798</v>
      </c>
      <c r="K3039" s="4" t="s">
        <v>57</v>
      </c>
      <c r="L3039" s="4"/>
      <c r="M3039" s="4"/>
    </row>
    <row r="3040" ht="16" customHeight="1" s="4" customFormat="1">
      <c r="A3040" s="4">
        <v>2567</v>
      </c>
      <c r="B3040" s="4" t="s">
        <v>5499</v>
      </c>
      <c r="C3040" s="4" t="s">
        <v>5573</v>
      </c>
      <c r="D3040" s="4" t="s">
        <v>5574</v>
      </c>
      <c r="E3040" s="4" t="s">
        <v>5575</v>
      </c>
      <c r="F3040" s="4" t="s">
        <v>10327</v>
      </c>
      <c r="G3040" s="4" t="s">
        <v>10328</v>
      </c>
      <c r="H3040" s="4" t="s">
        <v>5577</v>
      </c>
      <c r="I3040" s="5">
        <v>39623</v>
      </c>
      <c r="J3040" s="4" t="s">
        <v>4798</v>
      </c>
      <c r="K3040" s="4" t="s">
        <v>57</v>
      </c>
      <c r="L3040" s="4"/>
      <c r="M3040" s="4"/>
    </row>
    <row r="3041" ht="16" customHeight="1" s="4" customFormat="1">
      <c r="A3041" s="4">
        <v>2568</v>
      </c>
      <c r="B3041" s="4" t="s">
        <v>5499</v>
      </c>
      <c r="C3041" s="4" t="s">
        <v>5500</v>
      </c>
      <c r="D3041" s="4" t="s">
        <v>5501</v>
      </c>
      <c r="E3041" s="4" t="s">
        <v>5502</v>
      </c>
      <c r="F3041" s="4" t="s">
        <v>10329</v>
      </c>
      <c r="G3041" s="4" t="s">
        <v>10330</v>
      </c>
      <c r="H3041" s="4" t="s">
        <v>5634</v>
      </c>
      <c r="I3041" s="5">
        <v>39605</v>
      </c>
      <c r="J3041" s="4" t="s">
        <v>4798</v>
      </c>
      <c r="K3041" s="4" t="s">
        <v>57</v>
      </c>
      <c r="L3041" s="4"/>
      <c r="M3041" s="4"/>
    </row>
    <row r="3042" ht="16" customHeight="1" s="4" customFormat="1">
      <c r="A3042" s="4">
        <v>2569</v>
      </c>
      <c r="B3042" s="4" t="s">
        <v>5499</v>
      </c>
      <c r="C3042" s="4" t="s">
        <v>5519</v>
      </c>
      <c r="D3042" s="4"/>
      <c r="E3042" s="4" t="s">
        <v>5641</v>
      </c>
      <c r="F3042" s="4" t="s">
        <v>10331</v>
      </c>
      <c r="G3042" s="4" t="s">
        <v>5983</v>
      </c>
      <c r="H3042" s="4" t="s">
        <v>5667</v>
      </c>
      <c r="I3042" s="5">
        <v>39573</v>
      </c>
      <c r="J3042" s="4" t="s">
        <v>5506</v>
      </c>
      <c r="K3042" s="4" t="s">
        <v>57</v>
      </c>
      <c r="L3042" s="4"/>
      <c r="M3042" s="4"/>
    </row>
    <row r="3043" ht="16" customHeight="1" s="4" customFormat="1">
      <c r="A3043" s="4">
        <v>2570</v>
      </c>
      <c r="B3043" s="4" t="s">
        <v>5499</v>
      </c>
      <c r="C3043" s="4" t="s">
        <v>5519</v>
      </c>
      <c r="D3043" s="4"/>
      <c r="E3043" s="4" t="s">
        <v>5641</v>
      </c>
      <c r="F3043" s="4" t="s">
        <v>10332</v>
      </c>
      <c r="G3043" s="4" t="s">
        <v>5983</v>
      </c>
      <c r="H3043" s="4" t="s">
        <v>5667</v>
      </c>
      <c r="I3043" s="5">
        <v>39573</v>
      </c>
      <c r="J3043" s="4" t="s">
        <v>5506</v>
      </c>
      <c r="K3043" s="4" t="s">
        <v>57</v>
      </c>
      <c r="L3043" s="4"/>
      <c r="M3043" s="4"/>
    </row>
    <row r="3044" ht="16" customHeight="1" s="4" customFormat="1">
      <c r="A3044" s="4">
        <v>2571</v>
      </c>
      <c r="B3044" s="4" t="s">
        <v>5499</v>
      </c>
      <c r="C3044" s="4" t="s">
        <v>5519</v>
      </c>
      <c r="D3044" s="4"/>
      <c r="E3044" s="4" t="s">
        <v>5664</v>
      </c>
      <c r="F3044" s="4" t="s">
        <v>10333</v>
      </c>
      <c r="G3044" s="4" t="s">
        <v>5983</v>
      </c>
      <c r="H3044" s="4" t="s">
        <v>5667</v>
      </c>
      <c r="I3044" s="5">
        <v>39573</v>
      </c>
      <c r="J3044" s="4" t="s">
        <v>5506</v>
      </c>
      <c r="K3044" s="4" t="s">
        <v>57</v>
      </c>
      <c r="L3044" s="4"/>
      <c r="M3044" s="4"/>
    </row>
    <row r="3045" ht="16" customHeight="1" s="4" customFormat="1">
      <c r="A3045" s="4">
        <v>2572</v>
      </c>
      <c r="B3045" s="4" t="s">
        <v>5499</v>
      </c>
      <c r="C3045" s="4" t="s">
        <v>5519</v>
      </c>
      <c r="D3045" s="4"/>
      <c r="E3045" s="4" t="s">
        <v>5641</v>
      </c>
      <c r="F3045" s="4" t="s">
        <v>10334</v>
      </c>
      <c r="G3045" s="4" t="s">
        <v>5511</v>
      </c>
      <c r="H3045" s="4" t="s">
        <v>10335</v>
      </c>
      <c r="I3045" s="5">
        <v>39573</v>
      </c>
      <c r="J3045" s="4" t="s">
        <v>4798</v>
      </c>
      <c r="K3045" s="4" t="s">
        <v>57</v>
      </c>
      <c r="L3045" s="4"/>
      <c r="M3045" s="4"/>
    </row>
    <row r="3046" ht="16" customHeight="1" s="4" customFormat="1">
      <c r="A3046" s="4">
        <v>2573</v>
      </c>
      <c r="B3046" s="4" t="s">
        <v>5499</v>
      </c>
      <c r="C3046" s="4" t="s">
        <v>5519</v>
      </c>
      <c r="D3046" s="4"/>
      <c r="E3046" s="4" t="s">
        <v>6094</v>
      </c>
      <c r="F3046" s="4" t="s">
        <v>10336</v>
      </c>
      <c r="G3046" s="4" t="s">
        <v>5511</v>
      </c>
      <c r="H3046" s="4" t="s">
        <v>5511</v>
      </c>
      <c r="I3046" s="5">
        <v>39573</v>
      </c>
      <c r="J3046" s="4" t="s">
        <v>4798</v>
      </c>
      <c r="K3046" s="4" t="s">
        <v>57</v>
      </c>
      <c r="L3046" s="4"/>
      <c r="M3046" s="4"/>
    </row>
    <row r="3047" ht="16" customHeight="1" s="4" customFormat="1">
      <c r="A3047" s="4">
        <v>2574</v>
      </c>
      <c r="B3047" s="4" t="s">
        <v>5499</v>
      </c>
      <c r="C3047" s="4" t="s">
        <v>5519</v>
      </c>
      <c r="D3047" s="4"/>
      <c r="E3047" s="4" t="s">
        <v>5687</v>
      </c>
      <c r="F3047" s="4" t="s">
        <v>10337</v>
      </c>
      <c r="G3047" s="4" t="s">
        <v>5983</v>
      </c>
      <c r="H3047" s="4" t="s">
        <v>5667</v>
      </c>
      <c r="I3047" s="5">
        <v>39573</v>
      </c>
      <c r="J3047" s="4" t="s">
        <v>5506</v>
      </c>
      <c r="K3047" s="4" t="s">
        <v>57</v>
      </c>
      <c r="L3047" s="4"/>
      <c r="M3047" s="4"/>
    </row>
    <row r="3048" ht="16" customHeight="1" s="4" customFormat="1">
      <c r="A3048" s="4">
        <v>2575</v>
      </c>
      <c r="B3048" s="4" t="s">
        <v>5499</v>
      </c>
      <c r="C3048" s="4" t="s">
        <v>5519</v>
      </c>
      <c r="D3048" s="4"/>
      <c r="E3048" s="4" t="s">
        <v>5584</v>
      </c>
      <c r="F3048" s="4" t="s">
        <v>10338</v>
      </c>
      <c r="G3048" s="4" t="s">
        <v>10339</v>
      </c>
      <c r="H3048" s="4" t="s">
        <v>10340</v>
      </c>
      <c r="I3048" s="5">
        <v>39548</v>
      </c>
      <c r="J3048" s="4" t="s">
        <v>4798</v>
      </c>
      <c r="K3048" s="4" t="s">
        <v>57</v>
      </c>
      <c r="L3048" s="4"/>
      <c r="M3048" s="4"/>
    </row>
    <row r="3049" ht="16" customHeight="1" s="4" customFormat="1">
      <c r="A3049" s="4">
        <v>2576</v>
      </c>
      <c r="B3049" s="4" t="s">
        <v>5499</v>
      </c>
      <c r="C3049" s="4" t="s">
        <v>5519</v>
      </c>
      <c r="D3049" s="4"/>
      <c r="E3049" s="4" t="s">
        <v>5641</v>
      </c>
      <c r="F3049" s="4" t="s">
        <v>10341</v>
      </c>
      <c r="G3049" s="4" t="s">
        <v>5984</v>
      </c>
      <c r="H3049" s="4" t="s">
        <v>10323</v>
      </c>
      <c r="I3049" s="5">
        <v>39538</v>
      </c>
      <c r="J3049" s="4" t="s">
        <v>4798</v>
      </c>
      <c r="K3049" s="4" t="s">
        <v>57</v>
      </c>
      <c r="L3049" s="4"/>
      <c r="M3049" s="4"/>
    </row>
    <row r="3050" ht="16" customHeight="1" s="4" customFormat="1">
      <c r="A3050" s="4">
        <v>2577</v>
      </c>
      <c r="B3050" s="4" t="s">
        <v>5499</v>
      </c>
      <c r="C3050" s="4" t="s">
        <v>5519</v>
      </c>
      <c r="D3050" s="4"/>
      <c r="E3050" s="4" t="s">
        <v>10342</v>
      </c>
      <c r="F3050" s="4" t="s">
        <v>10343</v>
      </c>
      <c r="G3050" s="4" t="s">
        <v>5984</v>
      </c>
      <c r="H3050" s="4" t="s">
        <v>5984</v>
      </c>
      <c r="I3050" s="5">
        <v>39538</v>
      </c>
      <c r="J3050" s="4" t="s">
        <v>4798</v>
      </c>
      <c r="K3050" s="4" t="s">
        <v>57</v>
      </c>
      <c r="L3050" s="4"/>
      <c r="M3050" s="4"/>
    </row>
    <row r="3051" ht="16" customHeight="1" s="4" customFormat="1">
      <c r="A3051" s="4">
        <v>2578</v>
      </c>
      <c r="B3051" s="4" t="s">
        <v>5499</v>
      </c>
      <c r="C3051" s="4" t="s">
        <v>5519</v>
      </c>
      <c r="D3051" s="4"/>
      <c r="E3051" s="4" t="s">
        <v>5641</v>
      </c>
      <c r="F3051" s="4" t="s">
        <v>10344</v>
      </c>
      <c r="G3051" s="4" t="s">
        <v>10345</v>
      </c>
      <c r="H3051" s="4" t="s">
        <v>10346</v>
      </c>
      <c r="I3051" s="5">
        <v>39524</v>
      </c>
      <c r="J3051" s="4" t="s">
        <v>4798</v>
      </c>
      <c r="K3051" s="4" t="s">
        <v>57</v>
      </c>
      <c r="L3051" s="4"/>
      <c r="M3051" s="4"/>
    </row>
    <row r="3052" ht="16" customHeight="1" s="4" customFormat="1">
      <c r="A3052" s="4">
        <v>2579</v>
      </c>
      <c r="B3052" s="4" t="s">
        <v>5499</v>
      </c>
      <c r="C3052" s="4" t="s">
        <v>5519</v>
      </c>
      <c r="D3052" s="4"/>
      <c r="E3052" s="4" t="s">
        <v>5584</v>
      </c>
      <c r="F3052" s="4" t="s">
        <v>10347</v>
      </c>
      <c r="G3052" s="4" t="s">
        <v>10345</v>
      </c>
      <c r="H3052" s="4" t="s">
        <v>10346</v>
      </c>
      <c r="I3052" s="5">
        <v>39524</v>
      </c>
      <c r="J3052" s="4" t="s">
        <v>4798</v>
      </c>
      <c r="K3052" s="4" t="s">
        <v>57</v>
      </c>
      <c r="L3052" s="4"/>
      <c r="M3052" s="4"/>
    </row>
    <row r="3053" ht="16" customHeight="1" s="4" customFormat="1">
      <c r="A3053" s="4">
        <v>2580</v>
      </c>
      <c r="B3053" s="4" t="s">
        <v>5499</v>
      </c>
      <c r="C3053" s="4" t="s">
        <v>5500</v>
      </c>
      <c r="D3053" s="4" t="s">
        <v>6450</v>
      </c>
      <c r="E3053" s="4" t="s">
        <v>9096</v>
      </c>
      <c r="F3053" s="4" t="s">
        <v>10348</v>
      </c>
      <c r="G3053" s="4" t="s">
        <v>10349</v>
      </c>
      <c r="H3053" s="4" t="s">
        <v>10350</v>
      </c>
      <c r="I3053" s="5">
        <v>39514</v>
      </c>
      <c r="J3053" s="4" t="s">
        <v>4798</v>
      </c>
      <c r="K3053" s="4" t="s">
        <v>57</v>
      </c>
      <c r="L3053" s="4"/>
      <c r="M3053" s="4"/>
    </row>
    <row r="3054" ht="16" customHeight="1" s="4" customFormat="1">
      <c r="A3054" s="4">
        <v>2581</v>
      </c>
      <c r="B3054" s="4" t="s">
        <v>5499</v>
      </c>
      <c r="C3054" s="4" t="s">
        <v>5519</v>
      </c>
      <c r="D3054" s="4"/>
      <c r="E3054" s="4" t="s">
        <v>6079</v>
      </c>
      <c r="F3054" s="4" t="s">
        <v>10351</v>
      </c>
      <c r="G3054" s="4" t="s">
        <v>10352</v>
      </c>
      <c r="H3054" s="4" t="s">
        <v>10346</v>
      </c>
      <c r="I3054" s="5">
        <v>39505</v>
      </c>
      <c r="J3054" s="4" t="s">
        <v>4798</v>
      </c>
      <c r="K3054" s="4" t="s">
        <v>57</v>
      </c>
      <c r="L3054" s="4"/>
      <c r="M3054" s="4"/>
    </row>
    <row r="3055" ht="16" customHeight="1" s="4" customFormat="1">
      <c r="A3055" s="4">
        <v>2582</v>
      </c>
      <c r="B3055" s="4" t="s">
        <v>5499</v>
      </c>
      <c r="C3055" s="4" t="s">
        <v>5519</v>
      </c>
      <c r="D3055" s="4"/>
      <c r="E3055" s="4" t="s">
        <v>5584</v>
      </c>
      <c r="F3055" s="4" t="s">
        <v>10353</v>
      </c>
      <c r="G3055" s="4" t="s">
        <v>10354</v>
      </c>
      <c r="H3055" s="4" t="s">
        <v>10355</v>
      </c>
      <c r="I3055" s="5">
        <v>39485</v>
      </c>
      <c r="J3055" s="4" t="s">
        <v>4798</v>
      </c>
      <c r="K3055" s="4" t="s">
        <v>57</v>
      </c>
      <c r="L3055" s="4"/>
      <c r="M3055" s="4"/>
    </row>
    <row r="3056" ht="16" customHeight="1" s="4" customFormat="1">
      <c r="A3056" s="4">
        <v>2583</v>
      </c>
      <c r="B3056" s="4" t="s">
        <v>5499</v>
      </c>
      <c r="C3056" s="4" t="s">
        <v>5519</v>
      </c>
      <c r="D3056" s="4"/>
      <c r="E3056" s="4" t="s">
        <v>5584</v>
      </c>
      <c r="F3056" s="4" t="s">
        <v>10356</v>
      </c>
      <c r="G3056" s="4" t="s">
        <v>10357</v>
      </c>
      <c r="H3056" s="4" t="s">
        <v>10358</v>
      </c>
      <c r="I3056" s="5">
        <v>39478</v>
      </c>
      <c r="J3056" s="4" t="s">
        <v>4798</v>
      </c>
      <c r="K3056" s="4" t="s">
        <v>57</v>
      </c>
      <c r="L3056" s="4"/>
      <c r="M3056" s="4"/>
    </row>
    <row r="3057" ht="16" customHeight="1" s="4" customFormat="1">
      <c r="A3057" s="4">
        <v>2584</v>
      </c>
      <c r="B3057" s="4" t="s">
        <v>5499</v>
      </c>
      <c r="C3057" s="4" t="s">
        <v>5500</v>
      </c>
      <c r="D3057" s="4" t="s">
        <v>6450</v>
      </c>
      <c r="E3057" s="4" t="s">
        <v>9096</v>
      </c>
      <c r="F3057" s="4" t="s">
        <v>10359</v>
      </c>
      <c r="G3057" s="4" t="s">
        <v>6005</v>
      </c>
      <c r="H3057" s="4" t="s">
        <v>10360</v>
      </c>
      <c r="I3057" s="5">
        <v>39461</v>
      </c>
      <c r="J3057" s="4" t="s">
        <v>4798</v>
      </c>
      <c r="K3057" s="4" t="s">
        <v>57</v>
      </c>
      <c r="L3057" s="4"/>
      <c r="M3057" s="4"/>
    </row>
    <row r="3058" ht="16" customHeight="1" s="4" customFormat="1">
      <c r="A3058" s="4">
        <v>2585</v>
      </c>
      <c r="B3058" s="4" t="s">
        <v>5600</v>
      </c>
      <c r="C3058" s="4" t="s">
        <v>5600</v>
      </c>
      <c r="D3058" s="4" t="s">
        <v>5728</v>
      </c>
      <c r="E3058" s="4" t="s">
        <v>6003</v>
      </c>
      <c r="F3058" s="4" t="s">
        <v>10361</v>
      </c>
      <c r="G3058" s="4" t="s">
        <v>5984</v>
      </c>
      <c r="H3058" s="4" t="s">
        <v>5578</v>
      </c>
      <c r="I3058" s="5">
        <v>39430</v>
      </c>
      <c r="J3058" s="4" t="s">
        <v>4798</v>
      </c>
      <c r="K3058" s="4" t="s">
        <v>57</v>
      </c>
      <c r="L3058" s="4"/>
      <c r="M3058" s="4"/>
    </row>
    <row r="3059" ht="16" customHeight="1" s="4" customFormat="1">
      <c r="A3059" s="4">
        <v>2586</v>
      </c>
      <c r="B3059" s="4" t="s">
        <v>5600</v>
      </c>
      <c r="C3059" s="4" t="s">
        <v>5600</v>
      </c>
      <c r="D3059" s="4" t="s">
        <v>5728</v>
      </c>
      <c r="E3059" s="4" t="s">
        <v>6011</v>
      </c>
      <c r="F3059" s="4" t="s">
        <v>10362</v>
      </c>
      <c r="G3059" s="4" t="s">
        <v>10363</v>
      </c>
      <c r="H3059" s="4" t="s">
        <v>10141</v>
      </c>
      <c r="I3059" s="5">
        <v>39430</v>
      </c>
      <c r="J3059" s="4" t="s">
        <v>5506</v>
      </c>
      <c r="K3059" s="4" t="s">
        <v>57</v>
      </c>
      <c r="L3059" s="4"/>
      <c r="M3059" s="4"/>
    </row>
    <row r="3060" ht="16" customHeight="1" s="4" customFormat="1">
      <c r="A3060" s="4">
        <v>2587</v>
      </c>
      <c r="B3060" s="4" t="s">
        <v>5499</v>
      </c>
      <c r="C3060" s="4" t="s">
        <v>5500</v>
      </c>
      <c r="D3060" s="4" t="s">
        <v>5574</v>
      </c>
      <c r="E3060" s="4" t="s">
        <v>5761</v>
      </c>
      <c r="F3060" s="4" t="s">
        <v>10364</v>
      </c>
      <c r="G3060" s="4" t="s">
        <v>10365</v>
      </c>
      <c r="H3060" s="4" t="s">
        <v>10366</v>
      </c>
      <c r="I3060" s="5">
        <v>39416</v>
      </c>
      <c r="J3060" s="4" t="s">
        <v>5506</v>
      </c>
      <c r="K3060" s="4" t="s">
        <v>57</v>
      </c>
      <c r="L3060" s="4"/>
      <c r="M3060" s="4"/>
    </row>
    <row r="3061" ht="16" customHeight="1" s="4" customFormat="1">
      <c r="A3061" s="4">
        <v>2588</v>
      </c>
      <c r="B3061" s="4" t="s">
        <v>5499</v>
      </c>
      <c r="C3061" s="4" t="s">
        <v>5500</v>
      </c>
      <c r="D3061" s="4"/>
      <c r="E3061" s="4"/>
      <c r="F3061" s="4" t="s">
        <v>10367</v>
      </c>
      <c r="G3061" s="4" t="s">
        <v>10368</v>
      </c>
      <c r="H3061" s="4" t="s">
        <v>10369</v>
      </c>
      <c r="I3061" s="5">
        <v>39409</v>
      </c>
      <c r="J3061" s="4" t="s">
        <v>4798</v>
      </c>
      <c r="K3061" s="4" t="s">
        <v>57</v>
      </c>
      <c r="L3061" s="4"/>
      <c r="M3061" s="4"/>
    </row>
    <row r="3062" ht="16" customHeight="1" s="4" customFormat="1">
      <c r="A3062" s="4">
        <v>2589</v>
      </c>
      <c r="B3062" s="4" t="s">
        <v>5499</v>
      </c>
      <c r="C3062" s="4" t="s">
        <v>5500</v>
      </c>
      <c r="D3062" s="4"/>
      <c r="E3062" s="4"/>
      <c r="F3062" s="4" t="s">
        <v>10370</v>
      </c>
      <c r="G3062" s="4" t="s">
        <v>10368</v>
      </c>
      <c r="H3062" s="4" t="s">
        <v>10371</v>
      </c>
      <c r="I3062" s="5">
        <v>39409</v>
      </c>
      <c r="J3062" s="4" t="s">
        <v>4798</v>
      </c>
      <c r="K3062" s="4" t="s">
        <v>57</v>
      </c>
      <c r="L3062" s="4"/>
      <c r="M3062" s="4"/>
    </row>
    <row r="3063" ht="16" customHeight="1" s="4" customFormat="1">
      <c r="A3063" s="4">
        <v>2590</v>
      </c>
      <c r="B3063" s="4" t="s">
        <v>5600</v>
      </c>
      <c r="C3063" s="4" t="s">
        <v>5600</v>
      </c>
      <c r="D3063" s="4" t="s">
        <v>6450</v>
      </c>
      <c r="E3063" s="4" t="s">
        <v>6451</v>
      </c>
      <c r="F3063" s="4" t="s">
        <v>10372</v>
      </c>
      <c r="G3063" s="4" t="s">
        <v>6453</v>
      </c>
      <c r="H3063" s="4" t="s">
        <v>10373</v>
      </c>
      <c r="I3063" s="5">
        <v>39402</v>
      </c>
      <c r="J3063" s="4" t="s">
        <v>4798</v>
      </c>
      <c r="K3063" s="4" t="s">
        <v>57</v>
      </c>
      <c r="L3063" s="4"/>
      <c r="M3063" s="4"/>
    </row>
    <row r="3064" ht="16" customHeight="1" s="4" customFormat="1">
      <c r="A3064" s="4">
        <v>2591</v>
      </c>
      <c r="B3064" s="4" t="s">
        <v>5600</v>
      </c>
      <c r="C3064" s="4" t="s">
        <v>5600</v>
      </c>
      <c r="D3064" s="4" t="s">
        <v>6450</v>
      </c>
      <c r="E3064" s="4" t="s">
        <v>8336</v>
      </c>
      <c r="F3064" s="4" t="s">
        <v>10374</v>
      </c>
      <c r="G3064" s="4" t="s">
        <v>8338</v>
      </c>
      <c r="H3064" s="4" t="s">
        <v>10375</v>
      </c>
      <c r="I3064" s="5">
        <v>39402</v>
      </c>
      <c r="J3064" s="4" t="s">
        <v>5506</v>
      </c>
      <c r="K3064" s="4" t="s">
        <v>57</v>
      </c>
      <c r="L3064" s="4"/>
      <c r="M3064" s="4"/>
    </row>
    <row r="3065" ht="16" customHeight="1" s="4" customFormat="1">
      <c r="A3065" s="4">
        <v>2592</v>
      </c>
      <c r="B3065" s="4" t="s">
        <v>5499</v>
      </c>
      <c r="C3065" s="4" t="s">
        <v>5519</v>
      </c>
      <c r="D3065" s="4"/>
      <c r="E3065" s="4" t="s">
        <v>6588</v>
      </c>
      <c r="F3065" s="4" t="s">
        <v>10376</v>
      </c>
      <c r="G3065" s="4" t="s">
        <v>10377</v>
      </c>
      <c r="H3065" s="4" t="s">
        <v>10377</v>
      </c>
      <c r="I3065" s="5">
        <v>39381</v>
      </c>
      <c r="J3065" s="4" t="s">
        <v>4798</v>
      </c>
      <c r="K3065" s="4" t="s">
        <v>57</v>
      </c>
      <c r="L3065" s="4"/>
      <c r="M3065" s="4"/>
    </row>
    <row r="3066" ht="16" customHeight="1" s="4" customFormat="1">
      <c r="A3066" s="4">
        <v>2593</v>
      </c>
      <c r="B3066" s="4" t="s">
        <v>5499</v>
      </c>
      <c r="C3066" s="4" t="s">
        <v>5519</v>
      </c>
      <c r="D3066" s="4"/>
      <c r="E3066" s="4" t="s">
        <v>6588</v>
      </c>
      <c r="F3066" s="4" t="s">
        <v>10378</v>
      </c>
      <c r="G3066" s="4" t="s">
        <v>10377</v>
      </c>
      <c r="H3066" s="4" t="s">
        <v>10377</v>
      </c>
      <c r="I3066" s="5">
        <v>39381</v>
      </c>
      <c r="J3066" s="4" t="s">
        <v>4798</v>
      </c>
      <c r="K3066" s="4" t="s">
        <v>57</v>
      </c>
      <c r="L3066" s="4"/>
      <c r="M3066" s="4"/>
    </row>
    <row r="3067" ht="16" customHeight="1" s="4" customFormat="1">
      <c r="A3067" s="4">
        <v>2594</v>
      </c>
      <c r="B3067" s="4" t="s">
        <v>5499</v>
      </c>
      <c r="C3067" s="4" t="s">
        <v>5590</v>
      </c>
      <c r="D3067" s="4" t="s">
        <v>5574</v>
      </c>
      <c r="E3067" s="4" t="s">
        <v>5575</v>
      </c>
      <c r="F3067" s="4" t="s">
        <v>10379</v>
      </c>
      <c r="G3067" s="4" t="s">
        <v>5667</v>
      </c>
      <c r="H3067" s="4" t="s">
        <v>10380</v>
      </c>
      <c r="I3067" s="5">
        <v>39317</v>
      </c>
      <c r="J3067" s="4" t="s">
        <v>4798</v>
      </c>
      <c r="K3067" s="4" t="s">
        <v>57</v>
      </c>
      <c r="L3067" s="4"/>
      <c r="M3067" s="4"/>
    </row>
    <row r="3068" ht="16" customHeight="1" s="4" customFormat="1">
      <c r="A3068" s="4">
        <v>2595</v>
      </c>
      <c r="B3068" s="4" t="s">
        <v>5499</v>
      </c>
      <c r="C3068" s="4" t="s">
        <v>5590</v>
      </c>
      <c r="D3068" s="4" t="s">
        <v>5574</v>
      </c>
      <c r="E3068" s="4" t="s">
        <v>5575</v>
      </c>
      <c r="F3068" s="4" t="s">
        <v>10381</v>
      </c>
      <c r="G3068" s="4" t="s">
        <v>10382</v>
      </c>
      <c r="H3068" s="4" t="s">
        <v>10383</v>
      </c>
      <c r="I3068" s="5">
        <v>39317</v>
      </c>
      <c r="J3068" s="4" t="s">
        <v>4798</v>
      </c>
      <c r="K3068" s="4" t="s">
        <v>57</v>
      </c>
      <c r="L3068" s="4"/>
      <c r="M3068" s="4"/>
    </row>
    <row r="3069" ht="16" customHeight="1" s="4" customFormat="1">
      <c r="A3069" s="4">
        <v>2596</v>
      </c>
      <c r="B3069" s="4" t="s">
        <v>5499</v>
      </c>
      <c r="C3069" s="4" t="s">
        <v>5519</v>
      </c>
      <c r="D3069" s="4"/>
      <c r="E3069" s="4" t="s">
        <v>5613</v>
      </c>
      <c r="F3069" s="4" t="s">
        <v>10384</v>
      </c>
      <c r="G3069" s="4" t="s">
        <v>5984</v>
      </c>
      <c r="H3069" s="4" t="s">
        <v>5984</v>
      </c>
      <c r="I3069" s="5">
        <v>39288</v>
      </c>
      <c r="J3069" s="4" t="s">
        <v>4798</v>
      </c>
      <c r="K3069" s="4" t="s">
        <v>57</v>
      </c>
      <c r="L3069" s="4"/>
      <c r="M3069" s="4"/>
    </row>
    <row r="3070" ht="16" customHeight="1" s="4" customFormat="1">
      <c r="A3070" s="4">
        <v>2597</v>
      </c>
      <c r="B3070" s="4" t="s">
        <v>5499</v>
      </c>
      <c r="C3070" s="4" t="s">
        <v>5519</v>
      </c>
      <c r="D3070" s="4"/>
      <c r="E3070" s="4" t="s">
        <v>5613</v>
      </c>
      <c r="F3070" s="4" t="s">
        <v>10385</v>
      </c>
      <c r="G3070" s="4" t="s">
        <v>5984</v>
      </c>
      <c r="H3070" s="4" t="s">
        <v>5984</v>
      </c>
      <c r="I3070" s="5">
        <v>39288</v>
      </c>
      <c r="J3070" s="4" t="s">
        <v>4798</v>
      </c>
      <c r="K3070" s="4" t="s">
        <v>57</v>
      </c>
      <c r="L3070" s="4"/>
      <c r="M3070" s="4"/>
    </row>
    <row r="3071" ht="16" customHeight="1" s="4" customFormat="1">
      <c r="A3071" s="4">
        <v>2598</v>
      </c>
      <c r="B3071" s="4" t="s">
        <v>5499</v>
      </c>
      <c r="C3071" s="4" t="s">
        <v>5519</v>
      </c>
      <c r="D3071" s="4"/>
      <c r="E3071" s="4" t="s">
        <v>5613</v>
      </c>
      <c r="F3071" s="4" t="s">
        <v>10386</v>
      </c>
      <c r="G3071" s="4" t="s">
        <v>5984</v>
      </c>
      <c r="H3071" s="4" t="s">
        <v>5984</v>
      </c>
      <c r="I3071" s="5">
        <v>39288</v>
      </c>
      <c r="J3071" s="4" t="s">
        <v>4798</v>
      </c>
      <c r="K3071" s="4" t="s">
        <v>57</v>
      </c>
      <c r="L3071" s="4"/>
      <c r="M3071" s="4"/>
    </row>
    <row r="3072" ht="16" customHeight="1" s="4" customFormat="1">
      <c r="A3072" s="4">
        <v>2599</v>
      </c>
      <c r="B3072" s="4" t="s">
        <v>5499</v>
      </c>
      <c r="C3072" s="4" t="s">
        <v>5519</v>
      </c>
      <c r="D3072" s="4"/>
      <c r="E3072" s="4" t="s">
        <v>5687</v>
      </c>
      <c r="F3072" s="4" t="s">
        <v>10387</v>
      </c>
      <c r="G3072" s="4" t="s">
        <v>5984</v>
      </c>
      <c r="H3072" s="4" t="s">
        <v>5984</v>
      </c>
      <c r="I3072" s="5">
        <v>39258</v>
      </c>
      <c r="J3072" s="4" t="s">
        <v>5506</v>
      </c>
      <c r="K3072" s="4" t="s">
        <v>57</v>
      </c>
      <c r="L3072" s="4"/>
      <c r="M3072" s="4"/>
    </row>
    <row r="3073" ht="16" customHeight="1" s="4" customFormat="1">
      <c r="A3073" s="4">
        <v>2600</v>
      </c>
      <c r="B3073" s="4" t="s">
        <v>5499</v>
      </c>
      <c r="C3073" s="4" t="s">
        <v>5519</v>
      </c>
      <c r="D3073" s="4"/>
      <c r="E3073" s="4" t="s">
        <v>5687</v>
      </c>
      <c r="F3073" s="4" t="s">
        <v>10388</v>
      </c>
      <c r="G3073" s="4" t="s">
        <v>5984</v>
      </c>
      <c r="H3073" s="4" t="s">
        <v>5984</v>
      </c>
      <c r="I3073" s="5">
        <v>39258</v>
      </c>
      <c r="J3073" s="4" t="s">
        <v>5506</v>
      </c>
      <c r="K3073" s="4" t="s">
        <v>57</v>
      </c>
      <c r="L3073" s="4"/>
      <c r="M3073" s="4"/>
    </row>
    <row r="3074" ht="16" customHeight="1" s="4" customFormat="1">
      <c r="A3074" s="4">
        <v>2601</v>
      </c>
      <c r="B3074" s="4" t="s">
        <v>5499</v>
      </c>
      <c r="C3074" s="4" t="s">
        <v>5519</v>
      </c>
      <c r="D3074" s="4"/>
      <c r="E3074" s="4" t="s">
        <v>5687</v>
      </c>
      <c r="F3074" s="4" t="s">
        <v>10389</v>
      </c>
      <c r="G3074" s="4" t="s">
        <v>5984</v>
      </c>
      <c r="H3074" s="4" t="s">
        <v>5984</v>
      </c>
      <c r="I3074" s="5">
        <v>39258</v>
      </c>
      <c r="J3074" s="4" t="s">
        <v>5506</v>
      </c>
      <c r="K3074" s="4" t="s">
        <v>57</v>
      </c>
      <c r="L3074" s="4"/>
      <c r="M3074" s="4"/>
    </row>
    <row r="3075" ht="16" customHeight="1" s="4" customFormat="1">
      <c r="A3075" s="4">
        <v>2602</v>
      </c>
      <c r="B3075" s="4" t="s">
        <v>5499</v>
      </c>
      <c r="C3075" s="4" t="s">
        <v>5519</v>
      </c>
      <c r="D3075" s="4"/>
      <c r="E3075" s="4" t="s">
        <v>5687</v>
      </c>
      <c r="F3075" s="4" t="s">
        <v>10390</v>
      </c>
      <c r="G3075" s="4" t="s">
        <v>5984</v>
      </c>
      <c r="H3075" s="4" t="s">
        <v>5984</v>
      </c>
      <c r="I3075" s="5">
        <v>39258</v>
      </c>
      <c r="J3075" s="4" t="s">
        <v>5506</v>
      </c>
      <c r="K3075" s="4" t="s">
        <v>57</v>
      </c>
      <c r="L3075" s="4"/>
      <c r="M3075" s="4"/>
    </row>
    <row r="3076" ht="16" customHeight="1" s="4" customFormat="1">
      <c r="A3076" s="4">
        <v>2603</v>
      </c>
      <c r="B3076" s="4" t="s">
        <v>5499</v>
      </c>
      <c r="C3076" s="4" t="s">
        <v>5519</v>
      </c>
      <c r="D3076" s="4"/>
      <c r="E3076" s="4" t="s">
        <v>5687</v>
      </c>
      <c r="F3076" s="4" t="s">
        <v>10391</v>
      </c>
      <c r="G3076" s="4" t="s">
        <v>5984</v>
      </c>
      <c r="H3076" s="4" t="s">
        <v>5984</v>
      </c>
      <c r="I3076" s="5">
        <v>39258</v>
      </c>
      <c r="J3076" s="4" t="s">
        <v>5506</v>
      </c>
      <c r="K3076" s="4" t="s">
        <v>57</v>
      </c>
      <c r="L3076" s="4"/>
      <c r="M3076" s="4"/>
    </row>
    <row r="3077" ht="16" customHeight="1" s="4" customFormat="1">
      <c r="A3077" s="4">
        <v>2604</v>
      </c>
      <c r="B3077" s="4" t="s">
        <v>5499</v>
      </c>
      <c r="C3077" s="4" t="s">
        <v>5519</v>
      </c>
      <c r="D3077" s="4"/>
      <c r="E3077" s="4" t="s">
        <v>5687</v>
      </c>
      <c r="F3077" s="4" t="s">
        <v>10392</v>
      </c>
      <c r="G3077" s="4" t="s">
        <v>5984</v>
      </c>
      <c r="H3077" s="4" t="s">
        <v>5984</v>
      </c>
      <c r="I3077" s="5">
        <v>39258</v>
      </c>
      <c r="J3077" s="4" t="s">
        <v>5506</v>
      </c>
      <c r="K3077" s="4" t="s">
        <v>57</v>
      </c>
      <c r="L3077" s="4"/>
      <c r="M3077" s="4"/>
    </row>
    <row r="3078" ht="16" customHeight="1" s="4" customFormat="1">
      <c r="A3078" s="4">
        <v>2605</v>
      </c>
      <c r="B3078" s="4" t="s">
        <v>5499</v>
      </c>
      <c r="C3078" s="4" t="s">
        <v>5519</v>
      </c>
      <c r="D3078" s="4"/>
      <c r="E3078" s="4" t="s">
        <v>5641</v>
      </c>
      <c r="F3078" s="4" t="s">
        <v>10393</v>
      </c>
      <c r="G3078" s="4" t="s">
        <v>10394</v>
      </c>
      <c r="H3078" s="4" t="s">
        <v>10395</v>
      </c>
      <c r="I3078" s="5">
        <v>39198</v>
      </c>
      <c r="J3078" s="4" t="s">
        <v>4798</v>
      </c>
      <c r="K3078" s="4" t="s">
        <v>57</v>
      </c>
      <c r="L3078" s="4"/>
      <c r="M3078" s="4"/>
    </row>
    <row r="3079" ht="16" customHeight="1" s="4" customFormat="1">
      <c r="A3079" s="4">
        <v>2606</v>
      </c>
      <c r="B3079" s="4" t="s">
        <v>5499</v>
      </c>
      <c r="C3079" s="4" t="s">
        <v>5519</v>
      </c>
      <c r="D3079" s="4"/>
      <c r="E3079" s="4" t="s">
        <v>5584</v>
      </c>
      <c r="F3079" s="4" t="s">
        <v>10396</v>
      </c>
      <c r="G3079" s="4" t="s">
        <v>10394</v>
      </c>
      <c r="H3079" s="4" t="s">
        <v>10395</v>
      </c>
      <c r="I3079" s="5">
        <v>39198</v>
      </c>
      <c r="J3079" s="4" t="s">
        <v>4798</v>
      </c>
      <c r="K3079" s="4" t="s">
        <v>57</v>
      </c>
      <c r="L3079" s="4"/>
      <c r="M3079" s="4"/>
    </row>
    <row r="3080" ht="16" customHeight="1" s="4" customFormat="1">
      <c r="A3080" s="4">
        <v>2607</v>
      </c>
      <c r="B3080" s="4" t="s">
        <v>5499</v>
      </c>
      <c r="C3080" s="4" t="s">
        <v>5573</v>
      </c>
      <c r="D3080" s="4" t="s">
        <v>5574</v>
      </c>
      <c r="E3080" s="4" t="s">
        <v>5575</v>
      </c>
      <c r="F3080" s="4" t="s">
        <v>10397</v>
      </c>
      <c r="G3080" s="4" t="s">
        <v>10218</v>
      </c>
      <c r="H3080" s="4" t="s">
        <v>10141</v>
      </c>
      <c r="I3080" s="5">
        <v>39169</v>
      </c>
      <c r="J3080" s="4" t="s">
        <v>5506</v>
      </c>
      <c r="K3080" s="4" t="s">
        <v>57</v>
      </c>
      <c r="L3080" s="4"/>
      <c r="M3080" s="4"/>
    </row>
    <row r="3081" ht="16" customHeight="1" s="4" customFormat="1">
      <c r="A3081" s="4">
        <v>2608</v>
      </c>
      <c r="B3081" s="4" t="s">
        <v>5600</v>
      </c>
      <c r="C3081" s="4" t="s">
        <v>5600</v>
      </c>
      <c r="D3081" s="4" t="s">
        <v>5728</v>
      </c>
      <c r="E3081" s="4" t="s">
        <v>5729</v>
      </c>
      <c r="F3081" s="4" t="s">
        <v>10398</v>
      </c>
      <c r="G3081" s="4" t="s">
        <v>10399</v>
      </c>
      <c r="H3081" s="4" t="s">
        <v>6005</v>
      </c>
      <c r="I3081" s="5">
        <v>39148</v>
      </c>
      <c r="J3081" s="4" t="s">
        <v>4798</v>
      </c>
      <c r="K3081" s="4" t="s">
        <v>57</v>
      </c>
      <c r="L3081" s="4"/>
      <c r="M3081" s="4"/>
    </row>
    <row r="3082" ht="16" customHeight="1" s="4" customFormat="1">
      <c r="A3082" s="4">
        <v>2609</v>
      </c>
      <c r="B3082" s="4" t="s">
        <v>5600</v>
      </c>
      <c r="C3082" s="4" t="s">
        <v>5600</v>
      </c>
      <c r="D3082" s="4" t="s">
        <v>5728</v>
      </c>
      <c r="E3082" s="4" t="s">
        <v>5729</v>
      </c>
      <c r="F3082" s="4" t="s">
        <v>10400</v>
      </c>
      <c r="G3082" s="4" t="s">
        <v>9008</v>
      </c>
      <c r="H3082" s="4" t="s">
        <v>8996</v>
      </c>
      <c r="I3082" s="5">
        <v>39148</v>
      </c>
      <c r="J3082" s="4" t="s">
        <v>5506</v>
      </c>
      <c r="K3082" s="4" t="s">
        <v>57</v>
      </c>
      <c r="L3082" s="4"/>
      <c r="M3082" s="4"/>
    </row>
    <row r="3083" ht="16" customHeight="1" s="4" customFormat="1">
      <c r="A3083" s="4">
        <v>2610</v>
      </c>
      <c r="B3083" s="4" t="s">
        <v>5499</v>
      </c>
      <c r="C3083" s="4" t="s">
        <v>5573</v>
      </c>
      <c r="D3083" s="4" t="s">
        <v>5574</v>
      </c>
      <c r="E3083" s="4" t="s">
        <v>5575</v>
      </c>
      <c r="F3083" s="4" t="s">
        <v>10401</v>
      </c>
      <c r="G3083" s="4" t="s">
        <v>10218</v>
      </c>
      <c r="H3083" s="4" t="s">
        <v>10141</v>
      </c>
      <c r="I3083" s="5">
        <v>39139</v>
      </c>
      <c r="J3083" s="4" t="s">
        <v>5506</v>
      </c>
      <c r="K3083" s="4" t="s">
        <v>57</v>
      </c>
      <c r="L3083" s="4"/>
      <c r="M3083" s="4"/>
    </row>
    <row r="3084" ht="16" customHeight="1" s="4" customFormat="1">
      <c r="A3084" s="4">
        <v>2611</v>
      </c>
      <c r="B3084" s="4" t="s">
        <v>5499</v>
      </c>
      <c r="C3084" s="4" t="s">
        <v>5573</v>
      </c>
      <c r="D3084" s="4" t="s">
        <v>5574</v>
      </c>
      <c r="E3084" s="4" t="s">
        <v>5575</v>
      </c>
      <c r="F3084" s="4" t="s">
        <v>10402</v>
      </c>
      <c r="G3084" s="4" t="s">
        <v>5577</v>
      </c>
      <c r="H3084" s="4" t="s">
        <v>5578</v>
      </c>
      <c r="I3084" s="5">
        <v>39135</v>
      </c>
      <c r="J3084" s="4" t="s">
        <v>4798</v>
      </c>
      <c r="K3084" s="4" t="s">
        <v>57</v>
      </c>
      <c r="L3084" s="4"/>
      <c r="M3084" s="4"/>
    </row>
    <row r="3085" ht="16" customHeight="1" s="4" customFormat="1">
      <c r="A3085" s="4">
        <v>2612</v>
      </c>
      <c r="B3085" s="4" t="s">
        <v>5600</v>
      </c>
      <c r="C3085" s="4" t="s">
        <v>5600</v>
      </c>
      <c r="D3085" s="4" t="s">
        <v>5728</v>
      </c>
      <c r="E3085" s="4" t="s">
        <v>5729</v>
      </c>
      <c r="F3085" s="4" t="s">
        <v>10403</v>
      </c>
      <c r="G3085" s="4" t="s">
        <v>10404</v>
      </c>
      <c r="H3085" s="4" t="s">
        <v>6041</v>
      </c>
      <c r="I3085" s="5">
        <v>39115</v>
      </c>
      <c r="J3085" s="4" t="s">
        <v>4798</v>
      </c>
      <c r="K3085" s="4" t="s">
        <v>57</v>
      </c>
      <c r="L3085" s="4"/>
      <c r="M3085" s="4"/>
    </row>
    <row r="3086" ht="16" customHeight="1" s="4" customFormat="1">
      <c r="A3086" s="4">
        <v>2613</v>
      </c>
      <c r="B3086" s="4" t="s">
        <v>5600</v>
      </c>
      <c r="C3086" s="4" t="s">
        <v>5600</v>
      </c>
      <c r="D3086" s="4" t="s">
        <v>5728</v>
      </c>
      <c r="E3086" s="4" t="s">
        <v>5729</v>
      </c>
      <c r="F3086" s="4" t="s">
        <v>10405</v>
      </c>
      <c r="G3086" s="4" t="s">
        <v>10406</v>
      </c>
      <c r="H3086" s="4" t="s">
        <v>6005</v>
      </c>
      <c r="I3086" s="5">
        <v>39115</v>
      </c>
      <c r="J3086" s="4" t="s">
        <v>4798</v>
      </c>
      <c r="K3086" s="4" t="s">
        <v>57</v>
      </c>
      <c r="L3086" s="4"/>
      <c r="M3086" s="4"/>
    </row>
    <row r="3087" ht="16" customHeight="1" s="4" customFormat="1">
      <c r="A3087" s="4">
        <v>2614</v>
      </c>
      <c r="B3087" s="4" t="s">
        <v>5600</v>
      </c>
      <c r="C3087" s="4" t="s">
        <v>5600</v>
      </c>
      <c r="D3087" s="4" t="s">
        <v>5728</v>
      </c>
      <c r="E3087" s="4" t="s">
        <v>5729</v>
      </c>
      <c r="F3087" s="4" t="s">
        <v>10407</v>
      </c>
      <c r="G3087" s="4" t="s">
        <v>9011</v>
      </c>
      <c r="H3087" s="4" t="s">
        <v>9012</v>
      </c>
      <c r="I3087" s="5">
        <v>39115</v>
      </c>
      <c r="J3087" s="4" t="s">
        <v>5506</v>
      </c>
      <c r="K3087" s="4" t="s">
        <v>57</v>
      </c>
      <c r="L3087" s="4"/>
      <c r="M3087" s="4"/>
    </row>
    <row r="3088" ht="16" customHeight="1" s="4" customFormat="1">
      <c r="A3088" s="4">
        <v>2615</v>
      </c>
      <c r="B3088" s="4" t="s">
        <v>5600</v>
      </c>
      <c r="C3088" s="4" t="s">
        <v>5600</v>
      </c>
      <c r="D3088" s="4" t="s">
        <v>5728</v>
      </c>
      <c r="E3088" s="4" t="s">
        <v>5729</v>
      </c>
      <c r="F3088" s="4" t="s">
        <v>10408</v>
      </c>
      <c r="G3088" s="4" t="s">
        <v>8995</v>
      </c>
      <c r="H3088" s="4" t="s">
        <v>8996</v>
      </c>
      <c r="I3088" s="5">
        <v>39115</v>
      </c>
      <c r="J3088" s="4" t="s">
        <v>5506</v>
      </c>
      <c r="K3088" s="4" t="s">
        <v>57</v>
      </c>
      <c r="L3088" s="4"/>
      <c r="M3088" s="4"/>
    </row>
    <row r="3089" ht="16" customHeight="1" s="4" customFormat="1">
      <c r="A3089" s="4">
        <v>2616</v>
      </c>
      <c r="B3089" s="4" t="s">
        <v>5600</v>
      </c>
      <c r="C3089" s="4" t="s">
        <v>5600</v>
      </c>
      <c r="D3089" s="4" t="s">
        <v>5728</v>
      </c>
      <c r="E3089" s="4" t="s">
        <v>5729</v>
      </c>
      <c r="F3089" s="4" t="s">
        <v>10409</v>
      </c>
      <c r="G3089" s="4" t="s">
        <v>10410</v>
      </c>
      <c r="H3089" s="4" t="s">
        <v>8996</v>
      </c>
      <c r="I3089" s="5">
        <v>39055</v>
      </c>
      <c r="J3089" s="4" t="s">
        <v>5506</v>
      </c>
      <c r="K3089" s="4" t="s">
        <v>57</v>
      </c>
      <c r="L3089" s="4"/>
      <c r="M3089" s="4"/>
    </row>
    <row r="3090" ht="16" customHeight="1" s="4" customFormat="1">
      <c r="A3090" s="4">
        <v>2617</v>
      </c>
      <c r="B3090" s="4" t="s">
        <v>5499</v>
      </c>
      <c r="C3090" s="4" t="s">
        <v>5519</v>
      </c>
      <c r="D3090" s="4"/>
      <c r="E3090" s="4" t="s">
        <v>5641</v>
      </c>
      <c r="F3090" s="4" t="s">
        <v>10411</v>
      </c>
      <c r="G3090" s="4" t="s">
        <v>9778</v>
      </c>
      <c r="H3090" s="4" t="s">
        <v>10412</v>
      </c>
      <c r="I3090" s="5">
        <v>38993</v>
      </c>
      <c r="J3090" s="4" t="s">
        <v>4798</v>
      </c>
      <c r="K3090" s="4" t="s">
        <v>57</v>
      </c>
      <c r="L3090" s="4"/>
      <c r="M3090" s="4"/>
    </row>
    <row r="3091" ht="16" customHeight="1" s="4" customFormat="1">
      <c r="A3091" s="4">
        <v>2618</v>
      </c>
      <c r="B3091" s="4" t="s">
        <v>5499</v>
      </c>
      <c r="C3091" s="4" t="s">
        <v>5519</v>
      </c>
      <c r="D3091" s="4"/>
      <c r="E3091" s="4" t="s">
        <v>5687</v>
      </c>
      <c r="F3091" s="4" t="s">
        <v>10413</v>
      </c>
      <c r="G3091" s="4" t="s">
        <v>9778</v>
      </c>
      <c r="H3091" s="4" t="s">
        <v>9778</v>
      </c>
      <c r="I3091" s="5">
        <v>38993</v>
      </c>
      <c r="J3091" s="4" t="s">
        <v>4798</v>
      </c>
      <c r="K3091" s="4" t="s">
        <v>57</v>
      </c>
      <c r="L3091" s="4"/>
      <c r="M3091" s="4"/>
    </row>
    <row r="3092" ht="16" customHeight="1" s="4" customFormat="1">
      <c r="A3092" s="4">
        <v>2619</v>
      </c>
      <c r="B3092" s="4" t="s">
        <v>5499</v>
      </c>
      <c r="C3092" s="4" t="s">
        <v>5519</v>
      </c>
      <c r="D3092" s="4"/>
      <c r="E3092" s="4" t="s">
        <v>10414</v>
      </c>
      <c r="F3092" s="4" t="s">
        <v>10415</v>
      </c>
      <c r="G3092" s="4" t="s">
        <v>9721</v>
      </c>
      <c r="H3092" s="4" t="s">
        <v>9722</v>
      </c>
      <c r="I3092" s="5">
        <v>38987</v>
      </c>
      <c r="J3092" s="4" t="s">
        <v>4798</v>
      </c>
      <c r="K3092" s="4" t="s">
        <v>57</v>
      </c>
      <c r="L3092" s="4"/>
      <c r="M3092" s="4"/>
    </row>
    <row r="3093" ht="16" customHeight="1" s="4" customFormat="1">
      <c r="A3093" s="4">
        <v>2620</v>
      </c>
      <c r="B3093" s="4" t="s">
        <v>5499</v>
      </c>
      <c r="C3093" s="4" t="s">
        <v>5519</v>
      </c>
      <c r="D3093" s="4"/>
      <c r="E3093" s="4" t="s">
        <v>5641</v>
      </c>
      <c r="F3093" s="4" t="s">
        <v>10416</v>
      </c>
      <c r="G3093" s="4" t="s">
        <v>9721</v>
      </c>
      <c r="H3093" s="4" t="s">
        <v>9722</v>
      </c>
      <c r="I3093" s="5">
        <v>38987</v>
      </c>
      <c r="J3093" s="4" t="s">
        <v>4798</v>
      </c>
      <c r="K3093" s="4" t="s">
        <v>57</v>
      </c>
      <c r="L3093" s="4"/>
      <c r="M3093" s="4"/>
    </row>
    <row r="3094" ht="16" customHeight="1" s="4" customFormat="1">
      <c r="A3094" s="4">
        <v>278</v>
      </c>
      <c r="B3094" s="4" t="s">
        <v>5528</v>
      </c>
      <c r="C3094" s="4" t="s">
        <v>10417</v>
      </c>
      <c r="D3094" s="4" t="s">
        <v>6450</v>
      </c>
      <c r="E3094" s="4" t="s">
        <v>9638</v>
      </c>
      <c r="F3094" s="4" t="s">
        <v>10418</v>
      </c>
      <c r="G3094" s="4" t="s">
        <v>10419</v>
      </c>
      <c r="H3094" s="4" t="s">
        <v>10420</v>
      </c>
      <c r="I3094" s="5">
        <v>45405</v>
      </c>
      <c r="J3094" s="4" t="s">
        <v>4842</v>
      </c>
      <c r="K3094" s="4" t="s">
        <v>57</v>
      </c>
      <c r="L3094" s="4"/>
      <c r="M3094" s="4"/>
    </row>
    <row r="3095" ht="16" customHeight="1" s="4" customFormat="1">
      <c r="A3095" s="4">
        <v>279</v>
      </c>
      <c r="B3095" s="4" t="s">
        <v>5528</v>
      </c>
      <c r="C3095" s="4" t="s">
        <v>10417</v>
      </c>
      <c r="D3095" s="4" t="s">
        <v>6450</v>
      </c>
      <c r="E3095" s="4" t="s">
        <v>9638</v>
      </c>
      <c r="F3095" s="4" t="s">
        <v>10421</v>
      </c>
      <c r="G3095" s="4" t="s">
        <v>10419</v>
      </c>
      <c r="H3095" s="4" t="s">
        <v>10422</v>
      </c>
      <c r="I3095" s="5">
        <v>45405</v>
      </c>
      <c r="J3095" s="4" t="s">
        <v>4842</v>
      </c>
      <c r="K3095" s="4" t="s">
        <v>57</v>
      </c>
      <c r="L3095" s="4"/>
      <c r="M3095" s="4"/>
    </row>
    <row r="3096" ht="16" customHeight="1" s="4" customFormat="1">
      <c r="A3096" s="4">
        <v>280</v>
      </c>
      <c r="B3096" s="4" t="s">
        <v>5534</v>
      </c>
      <c r="C3096" s="4" t="s">
        <v>9593</v>
      </c>
      <c r="D3096" s="4"/>
      <c r="E3096" s="4"/>
      <c r="F3096" s="4" t="s">
        <v>10423</v>
      </c>
      <c r="G3096" s="4" t="s">
        <v>10424</v>
      </c>
      <c r="H3096" s="4" t="s">
        <v>10425</v>
      </c>
      <c r="I3096" s="5">
        <v>45405</v>
      </c>
      <c r="J3096" s="4" t="s">
        <v>4842</v>
      </c>
      <c r="K3096" s="4" t="s">
        <v>57</v>
      </c>
      <c r="L3096" s="4"/>
      <c r="M3096" s="4"/>
    </row>
    <row r="3097" ht="16" customHeight="1" s="4" customFormat="1">
      <c r="A3097" s="4">
        <v>281</v>
      </c>
      <c r="B3097" s="4" t="s">
        <v>5499</v>
      </c>
      <c r="C3097" s="4" t="s">
        <v>5590</v>
      </c>
      <c r="D3097" s="4" t="s">
        <v>5574</v>
      </c>
      <c r="E3097" s="4" t="s">
        <v>5575</v>
      </c>
      <c r="F3097" s="4" t="s">
        <v>10426</v>
      </c>
      <c r="G3097" s="4" t="s">
        <v>10427</v>
      </c>
      <c r="H3097" s="4" t="s">
        <v>10428</v>
      </c>
      <c r="I3097" s="5">
        <v>45404</v>
      </c>
      <c r="J3097" s="4" t="s">
        <v>4798</v>
      </c>
      <c r="K3097" s="4" t="s">
        <v>57</v>
      </c>
      <c r="L3097" s="4"/>
      <c r="M3097" s="4"/>
    </row>
    <row r="3098" ht="16" customHeight="1" s="4" customFormat="1">
      <c r="A3098" s="4">
        <v>282</v>
      </c>
      <c r="B3098" s="4" t="s">
        <v>5499</v>
      </c>
      <c r="C3098" s="4" t="s">
        <v>5590</v>
      </c>
      <c r="D3098" s="4" t="s">
        <v>5574</v>
      </c>
      <c r="E3098" s="4" t="s">
        <v>5575</v>
      </c>
      <c r="F3098" s="4" t="s">
        <v>10429</v>
      </c>
      <c r="G3098" s="4" t="s">
        <v>10427</v>
      </c>
      <c r="H3098" s="4" t="s">
        <v>10428</v>
      </c>
      <c r="I3098" s="5">
        <v>45404</v>
      </c>
      <c r="J3098" s="4" t="s">
        <v>4798</v>
      </c>
      <c r="K3098" s="4" t="s">
        <v>57</v>
      </c>
      <c r="L3098" s="4"/>
      <c r="M3098" s="4"/>
    </row>
    <row r="3099" ht="16" customHeight="1" s="4" customFormat="1">
      <c r="A3099" s="4">
        <v>283</v>
      </c>
      <c r="B3099" s="4" t="s">
        <v>5499</v>
      </c>
      <c r="C3099" s="4" t="s">
        <v>5590</v>
      </c>
      <c r="D3099" s="4" t="s">
        <v>5574</v>
      </c>
      <c r="E3099" s="4" t="s">
        <v>5575</v>
      </c>
      <c r="F3099" s="4" t="s">
        <v>10430</v>
      </c>
      <c r="G3099" s="4" t="s">
        <v>10427</v>
      </c>
      <c r="H3099" s="4"/>
      <c r="I3099" s="5">
        <v>45404</v>
      </c>
      <c r="J3099" s="4" t="s">
        <v>4798</v>
      </c>
      <c r="K3099" s="4" t="s">
        <v>57</v>
      </c>
      <c r="L3099" s="4"/>
      <c r="M3099" s="4"/>
    </row>
    <row r="3100" ht="16" customHeight="1" s="4" customFormat="1">
      <c r="A3100" s="4">
        <v>284</v>
      </c>
      <c r="B3100" s="4" t="s">
        <v>5499</v>
      </c>
      <c r="C3100" s="4" t="s">
        <v>5500</v>
      </c>
      <c r="D3100" s="4" t="s">
        <v>5574</v>
      </c>
      <c r="E3100" s="4" t="s">
        <v>5575</v>
      </c>
      <c r="F3100" s="4" t="s">
        <v>10431</v>
      </c>
      <c r="G3100" s="4" t="s">
        <v>4850</v>
      </c>
      <c r="H3100" s="4" t="s">
        <v>10432</v>
      </c>
      <c r="I3100" s="5">
        <v>45397</v>
      </c>
      <c r="J3100" s="4" t="s">
        <v>4798</v>
      </c>
      <c r="K3100" s="4" t="s">
        <v>57</v>
      </c>
      <c r="L3100" s="4"/>
      <c r="M3100" s="4"/>
    </row>
    <row r="3101" ht="16" customHeight="1" s="4" customFormat="1">
      <c r="A3101" s="4">
        <v>285</v>
      </c>
      <c r="B3101" s="4" t="s">
        <v>5499</v>
      </c>
      <c r="C3101" s="4" t="s">
        <v>5509</v>
      </c>
      <c r="D3101" s="4"/>
      <c r="E3101" s="4"/>
      <c r="F3101" s="4" t="s">
        <v>10433</v>
      </c>
      <c r="G3101" s="4" t="s">
        <v>7744</v>
      </c>
      <c r="H3101" s="4" t="s">
        <v>5837</v>
      </c>
      <c r="I3101" s="5">
        <v>45392</v>
      </c>
      <c r="J3101" s="4" t="s">
        <v>4798</v>
      </c>
      <c r="K3101" s="4" t="s">
        <v>57</v>
      </c>
      <c r="L3101" s="4"/>
      <c r="M3101" s="4"/>
    </row>
    <row r="3102" ht="16" customHeight="1" s="4" customFormat="1">
      <c r="A3102" s="4">
        <v>286</v>
      </c>
      <c r="B3102" s="4" t="s">
        <v>5499</v>
      </c>
      <c r="C3102" s="4" t="s">
        <v>5702</v>
      </c>
      <c r="D3102" s="4" t="s">
        <v>5574</v>
      </c>
      <c r="E3102" s="4" t="s">
        <v>5575</v>
      </c>
      <c r="F3102" s="4" t="s">
        <v>10434</v>
      </c>
      <c r="G3102" s="4" t="s">
        <v>10435</v>
      </c>
      <c r="H3102" s="4" t="s">
        <v>10436</v>
      </c>
      <c r="I3102" s="5">
        <v>45392</v>
      </c>
      <c r="J3102" s="4" t="s">
        <v>4798</v>
      </c>
      <c r="K3102" s="4" t="s">
        <v>57</v>
      </c>
      <c r="L3102" s="4"/>
      <c r="M3102" s="4"/>
    </row>
    <row r="3103" ht="16" customHeight="1" s="4" customFormat="1">
      <c r="A3103" s="4">
        <v>287</v>
      </c>
      <c r="B3103" s="4" t="s">
        <v>5499</v>
      </c>
      <c r="C3103" s="4" t="s">
        <v>7045</v>
      </c>
      <c r="D3103" s="4" t="s">
        <v>5574</v>
      </c>
      <c r="E3103" s="4" t="s">
        <v>7046</v>
      </c>
      <c r="F3103" s="4" t="s">
        <v>10437</v>
      </c>
      <c r="G3103" s="4" t="s">
        <v>10438</v>
      </c>
      <c r="H3103" s="4" t="s">
        <v>7072</v>
      </c>
      <c r="I3103" s="5">
        <v>45391</v>
      </c>
      <c r="J3103" s="4" t="s">
        <v>4798</v>
      </c>
      <c r="K3103" s="4" t="s">
        <v>57</v>
      </c>
      <c r="L3103" s="4"/>
      <c r="M3103" s="4"/>
    </row>
    <row r="3104" ht="16" customHeight="1" s="4" customFormat="1">
      <c r="A3104" s="4">
        <v>288</v>
      </c>
      <c r="B3104" s="4" t="s">
        <v>5499</v>
      </c>
      <c r="C3104" s="4" t="s">
        <v>7045</v>
      </c>
      <c r="D3104" s="4" t="s">
        <v>5574</v>
      </c>
      <c r="E3104" s="4" t="s">
        <v>5575</v>
      </c>
      <c r="F3104" s="4" t="s">
        <v>10439</v>
      </c>
      <c r="G3104" s="4" t="s">
        <v>10438</v>
      </c>
      <c r="H3104" s="4" t="s">
        <v>7072</v>
      </c>
      <c r="I3104" s="5">
        <v>45391</v>
      </c>
      <c r="J3104" s="4" t="s">
        <v>5506</v>
      </c>
      <c r="K3104" s="4" t="s">
        <v>57</v>
      </c>
      <c r="L3104" s="4"/>
      <c r="M3104" s="4"/>
    </row>
    <row r="3105" ht="16" customHeight="1" s="4" customFormat="1">
      <c r="A3105" s="4">
        <v>289</v>
      </c>
      <c r="B3105" s="4" t="s">
        <v>5600</v>
      </c>
      <c r="C3105" s="4" t="s">
        <v>5600</v>
      </c>
      <c r="D3105" s="4"/>
      <c r="E3105" s="4" t="s">
        <v>10440</v>
      </c>
      <c r="F3105" s="4" t="s">
        <v>10441</v>
      </c>
      <c r="G3105" s="4" t="s">
        <v>9631</v>
      </c>
      <c r="H3105" s="4" t="s">
        <v>7851</v>
      </c>
      <c r="I3105" s="5">
        <v>45386</v>
      </c>
      <c r="J3105" s="4" t="s">
        <v>4798</v>
      </c>
      <c r="K3105" s="4" t="s">
        <v>57</v>
      </c>
      <c r="L3105" s="4"/>
      <c r="M3105" s="4"/>
    </row>
    <row r="3106" ht="16" customHeight="1" s="4" customFormat="1">
      <c r="A3106" s="4">
        <v>290</v>
      </c>
      <c r="B3106" s="4" t="s">
        <v>5499</v>
      </c>
      <c r="C3106" s="4" t="s">
        <v>5590</v>
      </c>
      <c r="D3106" s="4"/>
      <c r="E3106" s="4" t="s">
        <v>5952</v>
      </c>
      <c r="F3106" s="4" t="s">
        <v>10442</v>
      </c>
      <c r="G3106" s="4" t="s">
        <v>10443</v>
      </c>
      <c r="H3106" s="4" t="s">
        <v>10444</v>
      </c>
      <c r="I3106" s="5">
        <v>45379</v>
      </c>
      <c r="J3106" s="4" t="s">
        <v>4798</v>
      </c>
      <c r="K3106" s="4" t="s">
        <v>57</v>
      </c>
      <c r="L3106" s="4"/>
      <c r="M3106" s="4"/>
    </row>
    <row r="3107" ht="16" customHeight="1" s="4" customFormat="1">
      <c r="A3107" s="4">
        <v>291</v>
      </c>
      <c r="B3107" s="4" t="s">
        <v>5499</v>
      </c>
      <c r="C3107" s="4" t="s">
        <v>5509</v>
      </c>
      <c r="D3107" s="4"/>
      <c r="E3107" s="4"/>
      <c r="F3107" s="4" t="s">
        <v>10445</v>
      </c>
      <c r="G3107" s="4" t="s">
        <v>10446</v>
      </c>
      <c r="H3107" s="4" t="s">
        <v>10447</v>
      </c>
      <c r="I3107" s="5">
        <v>45366</v>
      </c>
      <c r="J3107" s="4" t="s">
        <v>4798</v>
      </c>
      <c r="K3107" s="4" t="s">
        <v>57</v>
      </c>
      <c r="L3107" s="4"/>
      <c r="M3107" s="4"/>
    </row>
    <row r="3108" ht="16" customHeight="1" s="4" customFormat="1">
      <c r="A3108" s="4">
        <v>292</v>
      </c>
      <c r="B3108" s="4" t="s">
        <v>5528</v>
      </c>
      <c r="C3108" s="4" t="s">
        <v>5529</v>
      </c>
      <c r="D3108" s="4"/>
      <c r="E3108" s="4" t="s">
        <v>9040</v>
      </c>
      <c r="F3108" s="4" t="s">
        <v>10448</v>
      </c>
      <c r="G3108" s="4" t="s">
        <v>7631</v>
      </c>
      <c r="H3108" s="4" t="s">
        <v>10449</v>
      </c>
      <c r="I3108" s="5">
        <v>45364</v>
      </c>
      <c r="J3108" s="4" t="s">
        <v>4798</v>
      </c>
      <c r="K3108" s="4" t="s">
        <v>57</v>
      </c>
      <c r="L3108" s="4"/>
      <c r="M3108" s="4"/>
    </row>
    <row r="3109" ht="16" customHeight="1" s="4" customFormat="1">
      <c r="A3109" s="4">
        <v>293</v>
      </c>
      <c r="B3109" s="4" t="s">
        <v>5528</v>
      </c>
      <c r="C3109" s="4" t="s">
        <v>8941</v>
      </c>
      <c r="D3109" s="4"/>
      <c r="E3109" s="4" t="s">
        <v>10450</v>
      </c>
      <c r="F3109" s="4" t="s">
        <v>10451</v>
      </c>
      <c r="G3109" s="4" t="s">
        <v>10452</v>
      </c>
      <c r="H3109" s="4" t="s">
        <v>6431</v>
      </c>
      <c r="I3109" s="5">
        <v>45360</v>
      </c>
      <c r="J3109" s="4" t="s">
        <v>4798</v>
      </c>
      <c r="K3109" s="4" t="s">
        <v>57</v>
      </c>
      <c r="L3109" s="4"/>
      <c r="M3109" s="4"/>
    </row>
    <row r="3110" ht="16" customHeight="1" s="4" customFormat="1">
      <c r="A3110" s="4">
        <v>294</v>
      </c>
      <c r="B3110" s="4" t="s">
        <v>5528</v>
      </c>
      <c r="C3110" s="4" t="s">
        <v>8941</v>
      </c>
      <c r="D3110" s="4"/>
      <c r="E3110" s="4" t="s">
        <v>10450</v>
      </c>
      <c r="F3110" s="4" t="s">
        <v>10453</v>
      </c>
      <c r="G3110" s="4" t="s">
        <v>10452</v>
      </c>
      <c r="H3110" s="4" t="s">
        <v>6431</v>
      </c>
      <c r="I3110" s="5">
        <v>45360</v>
      </c>
      <c r="J3110" s="4" t="s">
        <v>4798</v>
      </c>
      <c r="K3110" s="4" t="s">
        <v>57</v>
      </c>
      <c r="L3110" s="4"/>
      <c r="M3110" s="4"/>
    </row>
    <row r="3111" ht="16" customHeight="1" s="4" customFormat="1">
      <c r="A3111" s="4">
        <v>295</v>
      </c>
      <c r="B3111" s="4" t="s">
        <v>5528</v>
      </c>
      <c r="C3111" s="4" t="s">
        <v>8941</v>
      </c>
      <c r="D3111" s="4"/>
      <c r="E3111" s="4" t="s">
        <v>10450</v>
      </c>
      <c r="F3111" s="4" t="s">
        <v>10454</v>
      </c>
      <c r="G3111" s="4" t="s">
        <v>10455</v>
      </c>
      <c r="H3111" s="4" t="s">
        <v>6431</v>
      </c>
      <c r="I3111" s="5">
        <v>45360</v>
      </c>
      <c r="J3111" s="4" t="s">
        <v>4798</v>
      </c>
      <c r="K3111" s="4" t="s">
        <v>57</v>
      </c>
      <c r="L3111" s="4"/>
      <c r="M3111" s="4"/>
    </row>
    <row r="3112" ht="16" customHeight="1" s="4" customFormat="1">
      <c r="A3112" s="4">
        <v>296</v>
      </c>
      <c r="B3112" s="4" t="s">
        <v>5528</v>
      </c>
      <c r="C3112" s="4" t="s">
        <v>8941</v>
      </c>
      <c r="D3112" s="4"/>
      <c r="E3112" s="4" t="s">
        <v>10450</v>
      </c>
      <c r="F3112" s="4" t="s">
        <v>10456</v>
      </c>
      <c r="G3112" s="4" t="s">
        <v>10455</v>
      </c>
      <c r="H3112" s="4" t="s">
        <v>6431</v>
      </c>
      <c r="I3112" s="5">
        <v>45360</v>
      </c>
      <c r="J3112" s="4" t="s">
        <v>4798</v>
      </c>
      <c r="K3112" s="4" t="s">
        <v>57</v>
      </c>
      <c r="L3112" s="4"/>
      <c r="M3112" s="4"/>
    </row>
    <row r="3113" ht="16" customHeight="1" s="4" customFormat="1">
      <c r="A3113" s="4">
        <v>297</v>
      </c>
      <c r="B3113" s="4" t="s">
        <v>5600</v>
      </c>
      <c r="C3113" s="4" t="s">
        <v>5600</v>
      </c>
      <c r="D3113" s="4"/>
      <c r="E3113" s="4" t="s">
        <v>10457</v>
      </c>
      <c r="F3113" s="4" t="s">
        <v>10458</v>
      </c>
      <c r="G3113" s="4" t="s">
        <v>10459</v>
      </c>
      <c r="H3113" s="4" t="s">
        <v>10460</v>
      </c>
      <c r="I3113" s="5">
        <v>45355</v>
      </c>
      <c r="J3113" s="4" t="s">
        <v>4798</v>
      </c>
      <c r="K3113" s="4" t="s">
        <v>57</v>
      </c>
      <c r="L3113" s="4"/>
      <c r="M3113" s="4"/>
    </row>
    <row r="3114" ht="16" customHeight="1" s="4" customFormat="1">
      <c r="A3114" s="4">
        <v>298</v>
      </c>
      <c r="B3114" s="4" t="s">
        <v>5499</v>
      </c>
      <c r="C3114" s="4" t="s">
        <v>5590</v>
      </c>
      <c r="D3114" s="4" t="s">
        <v>5574</v>
      </c>
      <c r="E3114" s="4" t="s">
        <v>5575</v>
      </c>
      <c r="F3114" s="4" t="s">
        <v>10461</v>
      </c>
      <c r="G3114" s="4" t="s">
        <v>8658</v>
      </c>
      <c r="H3114" s="4" t="s">
        <v>7886</v>
      </c>
      <c r="I3114" s="5">
        <v>45349</v>
      </c>
      <c r="J3114" s="4" t="s">
        <v>4842</v>
      </c>
      <c r="K3114" s="4" t="s">
        <v>57</v>
      </c>
      <c r="L3114" s="4"/>
      <c r="M3114" s="4"/>
    </row>
    <row r="3115" ht="16" customHeight="1" s="4" customFormat="1">
      <c r="A3115" s="4">
        <v>299</v>
      </c>
      <c r="B3115" s="4" t="s">
        <v>5528</v>
      </c>
      <c r="C3115" s="4" t="s">
        <v>6140</v>
      </c>
      <c r="D3115" s="4" t="s">
        <v>6450</v>
      </c>
      <c r="E3115" s="4" t="s">
        <v>9096</v>
      </c>
      <c r="F3115" s="4" t="s">
        <v>10462</v>
      </c>
      <c r="G3115" s="4" t="s">
        <v>10463</v>
      </c>
      <c r="H3115" s="4" t="s">
        <v>10464</v>
      </c>
      <c r="I3115" s="5">
        <v>45336</v>
      </c>
      <c r="J3115" s="4" t="s">
        <v>4798</v>
      </c>
      <c r="K3115" s="4" t="s">
        <v>57</v>
      </c>
      <c r="L3115" s="4"/>
      <c r="M3115" s="4"/>
    </row>
    <row r="3116" ht="16" customHeight="1" s="4" customFormat="1">
      <c r="A3116" s="4">
        <v>300</v>
      </c>
      <c r="B3116" s="4" t="s">
        <v>5499</v>
      </c>
      <c r="C3116" s="4" t="s">
        <v>5590</v>
      </c>
      <c r="D3116" s="4" t="s">
        <v>5574</v>
      </c>
      <c r="E3116" s="4" t="s">
        <v>5575</v>
      </c>
      <c r="F3116" s="4" t="s">
        <v>10465</v>
      </c>
      <c r="G3116" s="4" t="s">
        <v>10443</v>
      </c>
      <c r="H3116" s="4" t="s">
        <v>10466</v>
      </c>
      <c r="I3116" s="5">
        <v>45330</v>
      </c>
      <c r="J3116" s="4" t="s">
        <v>4798</v>
      </c>
      <c r="K3116" s="4" t="s">
        <v>57</v>
      </c>
      <c r="L3116" s="4"/>
      <c r="M3116" s="4"/>
    </row>
    <row r="3117" ht="16" customHeight="1" s="4" customFormat="1">
      <c r="A3117" s="4">
        <v>301</v>
      </c>
      <c r="B3117" s="4" t="s">
        <v>5499</v>
      </c>
      <c r="C3117" s="4" t="s">
        <v>5590</v>
      </c>
      <c r="D3117" s="4"/>
      <c r="E3117" s="4" t="s">
        <v>5952</v>
      </c>
      <c r="F3117" s="4" t="s">
        <v>10467</v>
      </c>
      <c r="G3117" s="4" t="s">
        <v>10443</v>
      </c>
      <c r="H3117" s="4" t="s">
        <v>10466</v>
      </c>
      <c r="I3117" s="5">
        <v>45330</v>
      </c>
      <c r="J3117" s="4" t="s">
        <v>4798</v>
      </c>
      <c r="K3117" s="4" t="s">
        <v>57</v>
      </c>
      <c r="L3117" s="4"/>
      <c r="M3117" s="4"/>
    </row>
    <row r="3118" ht="16" customHeight="1" s="4" customFormat="1">
      <c r="A3118" s="4">
        <v>302</v>
      </c>
      <c r="B3118" s="4" t="s">
        <v>5499</v>
      </c>
      <c r="C3118" s="4" t="s">
        <v>5509</v>
      </c>
      <c r="D3118" s="4"/>
      <c r="E3118" s="4"/>
      <c r="F3118" s="4" t="s">
        <v>10468</v>
      </c>
      <c r="G3118" s="4" t="s">
        <v>10</v>
      </c>
      <c r="H3118" s="4" t="s">
        <v>10469</v>
      </c>
      <c r="I3118" s="5">
        <v>45330</v>
      </c>
      <c r="J3118" s="4" t="s">
        <v>4798</v>
      </c>
      <c r="K3118" s="4" t="s">
        <v>57</v>
      </c>
      <c r="L3118" s="4"/>
      <c r="M3118" s="4"/>
    </row>
    <row r="3119" ht="16" customHeight="1" s="4" customFormat="1">
      <c r="A3119" s="4">
        <v>303</v>
      </c>
      <c r="B3119" s="4" t="s">
        <v>5600</v>
      </c>
      <c r="C3119" s="4" t="s">
        <v>5600</v>
      </c>
      <c r="D3119" s="4"/>
      <c r="E3119" s="4" t="s">
        <v>10470</v>
      </c>
      <c r="F3119" s="4" t="s">
        <v>10471</v>
      </c>
      <c r="G3119" s="4" t="s">
        <v>5771</v>
      </c>
      <c r="H3119" s="4" t="s">
        <v>10472</v>
      </c>
      <c r="I3119" s="5">
        <v>45325</v>
      </c>
      <c r="J3119" s="4" t="s">
        <v>4842</v>
      </c>
      <c r="K3119" s="4" t="s">
        <v>57</v>
      </c>
      <c r="L3119" s="4"/>
      <c r="M3119" s="4"/>
    </row>
    <row r="3120" ht="16" customHeight="1" s="4" customFormat="1">
      <c r="A3120" s="4">
        <v>304</v>
      </c>
      <c r="B3120" s="4" t="s">
        <v>5528</v>
      </c>
      <c r="C3120" s="4" t="s">
        <v>5724</v>
      </c>
      <c r="D3120" s="4"/>
      <c r="E3120" s="4" t="s">
        <v>10473</v>
      </c>
      <c r="F3120" s="4" t="s">
        <v>10474</v>
      </c>
      <c r="G3120" s="4" t="s">
        <v>10475</v>
      </c>
      <c r="H3120" s="4" t="s">
        <v>4850</v>
      </c>
      <c r="I3120" s="5">
        <v>45324</v>
      </c>
      <c r="J3120" s="4" t="s">
        <v>4798</v>
      </c>
      <c r="K3120" s="4" t="s">
        <v>57</v>
      </c>
      <c r="L3120" s="4"/>
      <c r="M3120" s="4"/>
    </row>
    <row r="3121" ht="16" customHeight="1" s="4" customFormat="1">
      <c r="A3121" s="4">
        <v>305</v>
      </c>
      <c r="B3121" s="4" t="s">
        <v>5499</v>
      </c>
      <c r="C3121" s="4" t="s">
        <v>5500</v>
      </c>
      <c r="D3121" s="4" t="s">
        <v>5574</v>
      </c>
      <c r="E3121" s="4" t="s">
        <v>5761</v>
      </c>
      <c r="F3121" s="4" t="s">
        <v>10476</v>
      </c>
      <c r="G3121" s="4" t="s">
        <v>9532</v>
      </c>
      <c r="H3121" s="4" t="s">
        <v>9533</v>
      </c>
      <c r="I3121" s="5">
        <v>45320</v>
      </c>
      <c r="J3121" s="4" t="s">
        <v>4798</v>
      </c>
      <c r="K3121" s="4" t="s">
        <v>57</v>
      </c>
      <c r="L3121" s="4"/>
      <c r="M3121" s="4"/>
    </row>
    <row r="3122" ht="16" customHeight="1" s="4" customFormat="1">
      <c r="A3122" s="4">
        <v>306</v>
      </c>
      <c r="B3122" s="4" t="s">
        <v>5499</v>
      </c>
      <c r="C3122" s="4" t="s">
        <v>5702</v>
      </c>
      <c r="D3122" s="4" t="s">
        <v>5574</v>
      </c>
      <c r="E3122" s="4" t="s">
        <v>5575</v>
      </c>
      <c r="F3122" s="4" t="s">
        <v>10477</v>
      </c>
      <c r="G3122" s="4" t="s">
        <v>10478</v>
      </c>
      <c r="H3122" s="4" t="s">
        <v>10479</v>
      </c>
      <c r="I3122" s="5">
        <v>45316</v>
      </c>
      <c r="J3122" s="4" t="s">
        <v>4798</v>
      </c>
      <c r="K3122" s="4" t="s">
        <v>57</v>
      </c>
      <c r="L3122" s="4"/>
      <c r="M3122" s="4"/>
    </row>
    <row r="3123" ht="16" customHeight="1" s="4" customFormat="1">
      <c r="A3123" s="4">
        <v>307</v>
      </c>
      <c r="B3123" s="4" t="s">
        <v>5528</v>
      </c>
      <c r="C3123" s="4" t="s">
        <v>7530</v>
      </c>
      <c r="D3123" s="4"/>
      <c r="E3123" s="4" t="s">
        <v>10480</v>
      </c>
      <c r="F3123" s="4" t="s">
        <v>10481</v>
      </c>
      <c r="G3123" s="4" t="s">
        <v>10482</v>
      </c>
      <c r="H3123" s="4" t="s">
        <v>4850</v>
      </c>
      <c r="I3123" s="5">
        <v>45276</v>
      </c>
      <c r="J3123" s="4" t="s">
        <v>4798</v>
      </c>
      <c r="K3123" s="4" t="s">
        <v>57</v>
      </c>
      <c r="L3123" s="4"/>
      <c r="M3123" s="4"/>
    </row>
    <row r="3124" ht="16" customHeight="1" s="4" customFormat="1">
      <c r="A3124" s="4">
        <v>308</v>
      </c>
      <c r="B3124" s="4" t="s">
        <v>5499</v>
      </c>
      <c r="C3124" s="4" t="s">
        <v>5702</v>
      </c>
      <c r="D3124" s="4" t="s">
        <v>5574</v>
      </c>
      <c r="E3124" s="4" t="s">
        <v>5575</v>
      </c>
      <c r="F3124" s="4" t="s">
        <v>10483</v>
      </c>
      <c r="G3124" s="4" t="s">
        <v>10484</v>
      </c>
      <c r="H3124" s="4" t="s">
        <v>7009</v>
      </c>
      <c r="I3124" s="5">
        <v>45275</v>
      </c>
      <c r="J3124" s="4" t="s">
        <v>4798</v>
      </c>
      <c r="K3124" s="4" t="s">
        <v>57</v>
      </c>
      <c r="L3124" s="4"/>
      <c r="M3124" s="4"/>
    </row>
    <row r="3125" ht="16" customHeight="1" s="4" customFormat="1">
      <c r="A3125" s="4">
        <v>309</v>
      </c>
      <c r="B3125" s="4" t="s">
        <v>5528</v>
      </c>
      <c r="C3125" s="4" t="s">
        <v>7692</v>
      </c>
      <c r="D3125" s="4"/>
      <c r="E3125" s="4" t="s">
        <v>10485</v>
      </c>
      <c r="F3125" s="4" t="s">
        <v>10486</v>
      </c>
      <c r="G3125" s="4" t="s">
        <v>10487</v>
      </c>
      <c r="H3125" s="4" t="s">
        <v>5680</v>
      </c>
      <c r="I3125" s="5">
        <v>45269</v>
      </c>
      <c r="J3125" s="4" t="s">
        <v>4798</v>
      </c>
      <c r="K3125" s="4" t="s">
        <v>57</v>
      </c>
      <c r="L3125" s="4"/>
      <c r="M3125" s="4"/>
    </row>
    <row r="3126" ht="16" customHeight="1" s="4" customFormat="1">
      <c r="A3126" s="4">
        <v>310</v>
      </c>
      <c r="B3126" s="4" t="s">
        <v>5528</v>
      </c>
      <c r="C3126" s="4" t="s">
        <v>7692</v>
      </c>
      <c r="D3126" s="4"/>
      <c r="E3126" s="4" t="s">
        <v>6301</v>
      </c>
      <c r="F3126" s="4" t="s">
        <v>10488</v>
      </c>
      <c r="G3126" s="4" t="s">
        <v>7695</v>
      </c>
      <c r="H3126" s="4" t="s">
        <v>7533</v>
      </c>
      <c r="I3126" s="5">
        <v>45261</v>
      </c>
      <c r="J3126" s="4" t="s">
        <v>4842</v>
      </c>
      <c r="K3126" s="4" t="s">
        <v>57</v>
      </c>
      <c r="L3126" s="4"/>
      <c r="M3126" s="4"/>
    </row>
    <row r="3127" ht="16" customHeight="1" s="4" customFormat="1">
      <c r="A3127" s="4">
        <v>311</v>
      </c>
      <c r="B3127" s="4" t="s">
        <v>5499</v>
      </c>
      <c r="C3127" s="4" t="s">
        <v>5702</v>
      </c>
      <c r="D3127" s="4" t="s">
        <v>5574</v>
      </c>
      <c r="E3127" s="4" t="s">
        <v>5575</v>
      </c>
      <c r="F3127" s="4" t="s">
        <v>10489</v>
      </c>
      <c r="G3127" s="4" t="s">
        <v>10490</v>
      </c>
      <c r="H3127" s="4" t="s">
        <v>10491</v>
      </c>
      <c r="I3127" s="5">
        <v>45260</v>
      </c>
      <c r="J3127" s="4" t="s">
        <v>4798</v>
      </c>
      <c r="K3127" s="4" t="s">
        <v>57</v>
      </c>
      <c r="L3127" s="4"/>
      <c r="M3127" s="4"/>
    </row>
    <row r="3128" ht="16" customHeight="1" s="4" customFormat="1">
      <c r="A3128" s="4">
        <v>312</v>
      </c>
      <c r="B3128" s="4" t="s">
        <v>5499</v>
      </c>
      <c r="C3128" s="4" t="s">
        <v>5702</v>
      </c>
      <c r="D3128" s="4" t="s">
        <v>5574</v>
      </c>
      <c r="E3128" s="4" t="s">
        <v>5575</v>
      </c>
      <c r="F3128" s="4" t="s">
        <v>10492</v>
      </c>
      <c r="G3128" s="4" t="s">
        <v>10493</v>
      </c>
      <c r="H3128" s="4" t="s">
        <v>10494</v>
      </c>
      <c r="I3128" s="5">
        <v>45253</v>
      </c>
      <c r="J3128" s="4" t="s">
        <v>4798</v>
      </c>
      <c r="K3128" s="4" t="s">
        <v>57</v>
      </c>
      <c r="L3128" s="4"/>
      <c r="M3128" s="4"/>
    </row>
    <row r="3129" ht="16" customHeight="1" s="4" customFormat="1">
      <c r="A3129" s="4">
        <v>313</v>
      </c>
      <c r="B3129" s="4" t="s">
        <v>5499</v>
      </c>
      <c r="C3129" s="4" t="s">
        <v>5702</v>
      </c>
      <c r="D3129" s="4" t="s">
        <v>5574</v>
      </c>
      <c r="E3129" s="4" t="s">
        <v>5575</v>
      </c>
      <c r="F3129" s="4" t="s">
        <v>10495</v>
      </c>
      <c r="G3129" s="4" t="s">
        <v>10496</v>
      </c>
      <c r="H3129" s="4" t="s">
        <v>10494</v>
      </c>
      <c r="I3129" s="5">
        <v>45253</v>
      </c>
      <c r="J3129" s="4" t="s">
        <v>4798</v>
      </c>
      <c r="K3129" s="4" t="s">
        <v>57</v>
      </c>
      <c r="L3129" s="4"/>
      <c r="M3129" s="4"/>
    </row>
    <row r="3130" ht="16" customHeight="1" s="4" customFormat="1">
      <c r="A3130" s="4">
        <v>314</v>
      </c>
      <c r="B3130" s="4" t="s">
        <v>5499</v>
      </c>
      <c r="C3130" s="4" t="s">
        <v>5702</v>
      </c>
      <c r="D3130" s="4" t="s">
        <v>5574</v>
      </c>
      <c r="E3130" s="4" t="s">
        <v>5575</v>
      </c>
      <c r="F3130" s="4" t="s">
        <v>10497</v>
      </c>
      <c r="G3130" s="4" t="s">
        <v>10498</v>
      </c>
      <c r="H3130" s="4" t="s">
        <v>10499</v>
      </c>
      <c r="I3130" s="5">
        <v>45253</v>
      </c>
      <c r="J3130" s="4" t="s">
        <v>4798</v>
      </c>
      <c r="K3130" s="4" t="s">
        <v>57</v>
      </c>
      <c r="L3130" s="4"/>
      <c r="M3130" s="4"/>
    </row>
    <row r="3131" ht="16" customHeight="1" s="4" customFormat="1">
      <c r="A3131" s="4">
        <v>315</v>
      </c>
      <c r="B3131" s="4" t="s">
        <v>5499</v>
      </c>
      <c r="C3131" s="4" t="s">
        <v>5702</v>
      </c>
      <c r="D3131" s="4" t="s">
        <v>5574</v>
      </c>
      <c r="E3131" s="4" t="s">
        <v>5575</v>
      </c>
      <c r="F3131" s="4" t="s">
        <v>10500</v>
      </c>
      <c r="G3131" s="4" t="s">
        <v>10501</v>
      </c>
      <c r="H3131" s="4" t="s">
        <v>10499</v>
      </c>
      <c r="I3131" s="5">
        <v>45253</v>
      </c>
      <c r="J3131" s="4" t="s">
        <v>4798</v>
      </c>
      <c r="K3131" s="4" t="s">
        <v>57</v>
      </c>
      <c r="L3131" s="4"/>
      <c r="M3131" s="4"/>
    </row>
    <row r="3132" ht="16" customHeight="1" s="4" customFormat="1">
      <c r="A3132" s="4">
        <v>316</v>
      </c>
      <c r="B3132" s="4" t="s">
        <v>5499</v>
      </c>
      <c r="C3132" s="4" t="s">
        <v>5702</v>
      </c>
      <c r="D3132" s="4" t="s">
        <v>5574</v>
      </c>
      <c r="E3132" s="4" t="s">
        <v>5575</v>
      </c>
      <c r="F3132" s="4" t="s">
        <v>10502</v>
      </c>
      <c r="G3132" s="4" t="s">
        <v>10503</v>
      </c>
      <c r="H3132" s="4" t="s">
        <v>10499</v>
      </c>
      <c r="I3132" s="5">
        <v>45253</v>
      </c>
      <c r="J3132" s="4" t="s">
        <v>4798</v>
      </c>
      <c r="K3132" s="4" t="s">
        <v>57</v>
      </c>
      <c r="L3132" s="4"/>
      <c r="M3132" s="4"/>
    </row>
    <row r="3133" ht="16" customHeight="1" s="4" customFormat="1">
      <c r="A3133" s="4">
        <v>317</v>
      </c>
      <c r="B3133" s="4" t="s">
        <v>5499</v>
      </c>
      <c r="C3133" s="4" t="s">
        <v>5702</v>
      </c>
      <c r="D3133" s="4" t="s">
        <v>5574</v>
      </c>
      <c r="E3133" s="4" t="s">
        <v>5575</v>
      </c>
      <c r="F3133" s="4" t="s">
        <v>10504</v>
      </c>
      <c r="G3133" s="4" t="s">
        <v>10505</v>
      </c>
      <c r="H3133" s="4" t="s">
        <v>10506</v>
      </c>
      <c r="I3133" s="5">
        <v>45246</v>
      </c>
      <c r="J3133" s="4" t="s">
        <v>4798</v>
      </c>
      <c r="K3133" s="4" t="s">
        <v>57</v>
      </c>
      <c r="L3133" s="4"/>
      <c r="M3133" s="4"/>
    </row>
    <row r="3134" ht="16" customHeight="1" s="4" customFormat="1">
      <c r="A3134" s="4">
        <v>318</v>
      </c>
      <c r="B3134" s="4" t="s">
        <v>5528</v>
      </c>
      <c r="C3134" s="4" t="s">
        <v>10507</v>
      </c>
      <c r="D3134" s="4" t="s">
        <v>5574</v>
      </c>
      <c r="E3134" s="4" t="s">
        <v>5706</v>
      </c>
      <c r="F3134" s="4" t="s">
        <v>10508</v>
      </c>
      <c r="G3134" s="4" t="s">
        <v>10509</v>
      </c>
      <c r="H3134" s="4" t="s">
        <v>4850</v>
      </c>
      <c r="I3134" s="5">
        <v>45238</v>
      </c>
      <c r="J3134" s="4" t="s">
        <v>4798</v>
      </c>
      <c r="K3134" s="4" t="s">
        <v>57</v>
      </c>
      <c r="L3134" s="4"/>
      <c r="M3134" s="4"/>
    </row>
    <row r="3135" ht="16" customHeight="1" s="4" customFormat="1">
      <c r="A3135" s="4">
        <v>319</v>
      </c>
      <c r="B3135" s="4" t="s">
        <v>5528</v>
      </c>
      <c r="C3135" s="4" t="s">
        <v>7692</v>
      </c>
      <c r="D3135" s="4"/>
      <c r="E3135" s="4" t="s">
        <v>10510</v>
      </c>
      <c r="F3135" s="4" t="s">
        <v>10511</v>
      </c>
      <c r="G3135" s="4" t="s">
        <v>4850</v>
      </c>
      <c r="H3135" s="4" t="s">
        <v>10512</v>
      </c>
      <c r="I3135" s="5">
        <v>45211</v>
      </c>
      <c r="J3135" s="4" t="s">
        <v>4798</v>
      </c>
      <c r="K3135" s="4" t="s">
        <v>57</v>
      </c>
      <c r="L3135" s="4"/>
      <c r="M3135" s="4"/>
    </row>
    <row r="3136" ht="16" customHeight="1" s="4" customFormat="1">
      <c r="A3136" s="4">
        <v>320</v>
      </c>
      <c r="B3136" s="4" t="s">
        <v>5528</v>
      </c>
      <c r="C3136" s="4" t="s">
        <v>5529</v>
      </c>
      <c r="D3136" s="4"/>
      <c r="E3136" s="4" t="s">
        <v>10513</v>
      </c>
      <c r="F3136" s="4" t="s">
        <v>10514</v>
      </c>
      <c r="G3136" s="4" t="s">
        <v>10515</v>
      </c>
      <c r="H3136" s="4" t="s">
        <v>4850</v>
      </c>
      <c r="I3136" s="5">
        <v>45206</v>
      </c>
      <c r="J3136" s="4" t="s">
        <v>4798</v>
      </c>
      <c r="K3136" s="4" t="s">
        <v>57</v>
      </c>
      <c r="L3136" s="4"/>
      <c r="M3136" s="4"/>
    </row>
    <row r="3137" ht="16" customHeight="1" s="4" customFormat="1">
      <c r="A3137" s="4">
        <v>321</v>
      </c>
      <c r="B3137" s="4" t="s">
        <v>5499</v>
      </c>
      <c r="C3137" s="4" t="s">
        <v>5590</v>
      </c>
      <c r="D3137" s="4" t="s">
        <v>5574</v>
      </c>
      <c r="E3137" s="4" t="s">
        <v>5575</v>
      </c>
      <c r="F3137" s="4" t="s">
        <v>10516</v>
      </c>
      <c r="G3137" s="4" t="s">
        <v>5716</v>
      </c>
      <c r="H3137" s="4" t="s">
        <v>7107</v>
      </c>
      <c r="I3137" s="5">
        <v>45204</v>
      </c>
      <c r="J3137" s="4" t="s">
        <v>5506</v>
      </c>
      <c r="K3137" s="4" t="s">
        <v>57</v>
      </c>
      <c r="L3137" s="4"/>
      <c r="M3137" s="4"/>
    </row>
    <row r="3138" ht="16" customHeight="1" s="4" customFormat="1">
      <c r="A3138" s="4">
        <v>322</v>
      </c>
      <c r="B3138" s="4" t="s">
        <v>6161</v>
      </c>
      <c r="C3138" s="4" t="s">
        <v>6618</v>
      </c>
      <c r="D3138" s="4"/>
      <c r="E3138" s="4"/>
      <c r="F3138" s="4" t="s">
        <v>10517</v>
      </c>
      <c r="G3138" s="4" t="s">
        <v>9651</v>
      </c>
      <c r="H3138" s="4" t="s">
        <v>9959</v>
      </c>
      <c r="I3138" s="5">
        <v>45194</v>
      </c>
      <c r="J3138" s="4" t="s">
        <v>5506</v>
      </c>
      <c r="K3138" s="4" t="s">
        <v>57</v>
      </c>
      <c r="L3138" s="4"/>
      <c r="M3138" s="4"/>
    </row>
    <row r="3139" ht="16" customHeight="1" s="4" customFormat="1">
      <c r="A3139" s="4">
        <v>323</v>
      </c>
      <c r="B3139" s="4" t="s">
        <v>6161</v>
      </c>
      <c r="C3139" s="4" t="s">
        <v>6618</v>
      </c>
      <c r="D3139" s="4"/>
      <c r="E3139" s="4"/>
      <c r="F3139" s="4" t="s">
        <v>10518</v>
      </c>
      <c r="G3139" s="4" t="s">
        <v>9651</v>
      </c>
      <c r="H3139" s="4" t="s">
        <v>10519</v>
      </c>
      <c r="I3139" s="5">
        <v>45194</v>
      </c>
      <c r="J3139" s="4" t="s">
        <v>5506</v>
      </c>
      <c r="K3139" s="4" t="s">
        <v>57</v>
      </c>
      <c r="L3139" s="4"/>
      <c r="M3139" s="4"/>
    </row>
    <row r="3140" ht="16" customHeight="1" s="4" customFormat="1">
      <c r="A3140" s="4">
        <v>324</v>
      </c>
      <c r="B3140" s="4" t="s">
        <v>6161</v>
      </c>
      <c r="C3140" s="4" t="s">
        <v>6618</v>
      </c>
      <c r="D3140" s="4"/>
      <c r="E3140" s="4"/>
      <c r="F3140" s="4" t="s">
        <v>10520</v>
      </c>
      <c r="G3140" s="4" t="s">
        <v>9651</v>
      </c>
      <c r="H3140" s="4" t="s">
        <v>8711</v>
      </c>
      <c r="I3140" s="5">
        <v>45194</v>
      </c>
      <c r="J3140" s="4" t="s">
        <v>5506</v>
      </c>
      <c r="K3140" s="4" t="s">
        <v>57</v>
      </c>
      <c r="L3140" s="4"/>
      <c r="M3140" s="4"/>
    </row>
    <row r="3141" ht="16" customHeight="1" s="4" customFormat="1">
      <c r="A3141" s="4">
        <v>325</v>
      </c>
      <c r="B3141" s="4" t="s">
        <v>6161</v>
      </c>
      <c r="C3141" s="4" t="s">
        <v>6618</v>
      </c>
      <c r="D3141" s="4"/>
      <c r="E3141" s="4"/>
      <c r="F3141" s="4" t="s">
        <v>10521</v>
      </c>
      <c r="G3141" s="4" t="s">
        <v>9651</v>
      </c>
      <c r="H3141" s="4" t="s">
        <v>8711</v>
      </c>
      <c r="I3141" s="5">
        <v>45194</v>
      </c>
      <c r="J3141" s="4" t="s">
        <v>5506</v>
      </c>
      <c r="K3141" s="4" t="s">
        <v>57</v>
      </c>
      <c r="L3141" s="4"/>
      <c r="M3141" s="4"/>
    </row>
    <row r="3142" ht="16" customHeight="1" s="4" customFormat="1">
      <c r="A3142" s="4">
        <v>326</v>
      </c>
      <c r="B3142" s="4" t="s">
        <v>6161</v>
      </c>
      <c r="C3142" s="4" t="s">
        <v>6618</v>
      </c>
      <c r="D3142" s="4"/>
      <c r="E3142" s="4"/>
      <c r="F3142" s="4" t="s">
        <v>10522</v>
      </c>
      <c r="G3142" s="4" t="s">
        <v>9651</v>
      </c>
      <c r="H3142" s="4" t="s">
        <v>10523</v>
      </c>
      <c r="I3142" s="5">
        <v>45194</v>
      </c>
      <c r="J3142" s="4" t="s">
        <v>5506</v>
      </c>
      <c r="K3142" s="4" t="s">
        <v>57</v>
      </c>
      <c r="L3142" s="4"/>
      <c r="M3142" s="4"/>
    </row>
    <row r="3143" ht="16" customHeight="1" s="4" customFormat="1">
      <c r="A3143" s="4">
        <v>327</v>
      </c>
      <c r="B3143" s="4" t="s">
        <v>6161</v>
      </c>
      <c r="C3143" s="4" t="s">
        <v>6618</v>
      </c>
      <c r="D3143" s="4"/>
      <c r="E3143" s="4"/>
      <c r="F3143" s="4" t="s">
        <v>10524</v>
      </c>
      <c r="G3143" s="4" t="s">
        <v>8415</v>
      </c>
      <c r="H3143" s="4" t="s">
        <v>9959</v>
      </c>
      <c r="I3143" s="5">
        <v>45194</v>
      </c>
      <c r="J3143" s="4" t="s">
        <v>5506</v>
      </c>
      <c r="K3143" s="4" t="s">
        <v>57</v>
      </c>
      <c r="L3143" s="4"/>
      <c r="M3143" s="4"/>
    </row>
    <row r="3144" ht="16" customHeight="1" s="4" customFormat="1">
      <c r="A3144" s="4">
        <v>328</v>
      </c>
      <c r="B3144" s="4" t="s">
        <v>5499</v>
      </c>
      <c r="C3144" s="4" t="s">
        <v>7546</v>
      </c>
      <c r="D3144" s="4"/>
      <c r="E3144" s="4" t="s">
        <v>7547</v>
      </c>
      <c r="F3144" s="4" t="s">
        <v>10525</v>
      </c>
      <c r="G3144" s="4" t="s">
        <v>9101</v>
      </c>
      <c r="H3144" s="4" t="s">
        <v>10526</v>
      </c>
      <c r="I3144" s="5">
        <v>45190</v>
      </c>
      <c r="J3144" s="4" t="s">
        <v>4798</v>
      </c>
      <c r="K3144" s="4" t="s">
        <v>57</v>
      </c>
      <c r="L3144" s="4"/>
      <c r="M3144" s="4"/>
    </row>
    <row r="3145" ht="16" customHeight="1" s="4" customFormat="1">
      <c r="A3145" s="4">
        <v>329</v>
      </c>
      <c r="B3145" s="4" t="s">
        <v>5499</v>
      </c>
      <c r="C3145" s="4" t="s">
        <v>5590</v>
      </c>
      <c r="D3145" s="4" t="s">
        <v>6450</v>
      </c>
      <c r="E3145" s="4" t="s">
        <v>8336</v>
      </c>
      <c r="F3145" s="4" t="s">
        <v>10527</v>
      </c>
      <c r="G3145" s="4" t="s">
        <v>10528</v>
      </c>
      <c r="H3145" s="4" t="s">
        <v>10529</v>
      </c>
      <c r="I3145" s="5">
        <v>45187</v>
      </c>
      <c r="J3145" s="4" t="s">
        <v>5506</v>
      </c>
      <c r="K3145" s="4" t="s">
        <v>57</v>
      </c>
      <c r="L3145" s="4"/>
      <c r="M3145" s="4"/>
    </row>
    <row r="3146" ht="16" customHeight="1" s="4" customFormat="1">
      <c r="A3146" s="4">
        <v>330</v>
      </c>
      <c r="B3146" s="4" t="s">
        <v>5499</v>
      </c>
      <c r="C3146" s="4" t="s">
        <v>5509</v>
      </c>
      <c r="D3146" s="4"/>
      <c r="E3146" s="4"/>
      <c r="F3146" s="4" t="s">
        <v>10530</v>
      </c>
      <c r="G3146" s="4" t="s">
        <v>7728</v>
      </c>
      <c r="H3146" s="4" t="s">
        <v>10</v>
      </c>
      <c r="I3146" s="5">
        <v>45173</v>
      </c>
      <c r="J3146" s="4" t="s">
        <v>4798</v>
      </c>
      <c r="K3146" s="4" t="s">
        <v>57</v>
      </c>
      <c r="L3146" s="4"/>
      <c r="M3146" s="4"/>
    </row>
    <row r="3147" ht="16" customHeight="1" s="4" customFormat="1">
      <c r="A3147" s="4">
        <v>331</v>
      </c>
      <c r="B3147" s="4" t="s">
        <v>5528</v>
      </c>
      <c r="C3147" s="4" t="s">
        <v>6140</v>
      </c>
      <c r="D3147" s="4" t="s">
        <v>5501</v>
      </c>
      <c r="E3147" s="4" t="s">
        <v>5502</v>
      </c>
      <c r="F3147" s="4" t="s">
        <v>10531</v>
      </c>
      <c r="G3147" s="4" t="s">
        <v>10532</v>
      </c>
      <c r="H3147" s="4" t="s">
        <v>4850</v>
      </c>
      <c r="I3147" s="5">
        <v>45168</v>
      </c>
      <c r="J3147" s="4" t="s">
        <v>4798</v>
      </c>
      <c r="K3147" s="4" t="s">
        <v>57</v>
      </c>
      <c r="L3147" s="4"/>
      <c r="M3147" s="4"/>
    </row>
    <row r="3148" ht="16" customHeight="1" s="4" customFormat="1">
      <c r="A3148" s="4">
        <v>332</v>
      </c>
      <c r="B3148" s="4" t="s">
        <v>5528</v>
      </c>
      <c r="C3148" s="4" t="s">
        <v>8941</v>
      </c>
      <c r="D3148" s="4"/>
      <c r="E3148" s="4" t="s">
        <v>10450</v>
      </c>
      <c r="F3148" s="4" t="s">
        <v>10533</v>
      </c>
      <c r="G3148" s="4" t="s">
        <v>10534</v>
      </c>
      <c r="H3148" s="4" t="s">
        <v>10535</v>
      </c>
      <c r="I3148" s="5">
        <v>45162</v>
      </c>
      <c r="J3148" s="4" t="s">
        <v>4798</v>
      </c>
      <c r="K3148" s="4" t="s">
        <v>57</v>
      </c>
      <c r="L3148" s="4"/>
      <c r="M3148" s="4"/>
    </row>
    <row r="3149" ht="16" customHeight="1" s="4" customFormat="1">
      <c r="A3149" s="4">
        <v>333</v>
      </c>
      <c r="B3149" s="4" t="s">
        <v>5499</v>
      </c>
      <c r="C3149" s="4" t="s">
        <v>5509</v>
      </c>
      <c r="D3149" s="4"/>
      <c r="E3149" s="4"/>
      <c r="F3149" s="4" t="s">
        <v>10536</v>
      </c>
      <c r="G3149" s="4" t="s">
        <v>10537</v>
      </c>
      <c r="H3149" s="4" t="s">
        <v>9377</v>
      </c>
      <c r="I3149" s="5">
        <v>45121</v>
      </c>
      <c r="J3149" s="4" t="s">
        <v>4798</v>
      </c>
      <c r="K3149" s="4" t="s">
        <v>57</v>
      </c>
      <c r="L3149" s="4"/>
      <c r="M3149" s="4"/>
    </row>
    <row r="3150" ht="16" customHeight="1" s="4" customFormat="1">
      <c r="A3150" s="4">
        <v>334</v>
      </c>
      <c r="B3150" s="4" t="s">
        <v>5600</v>
      </c>
      <c r="C3150" s="4" t="s">
        <v>5600</v>
      </c>
      <c r="D3150" s="4"/>
      <c r="E3150" s="4" t="s">
        <v>7639</v>
      </c>
      <c r="F3150" s="4" t="s">
        <v>10538</v>
      </c>
      <c r="G3150" s="4" t="s">
        <v>10539</v>
      </c>
      <c r="H3150" s="4" t="s">
        <v>10540</v>
      </c>
      <c r="I3150" s="5">
        <v>45117</v>
      </c>
      <c r="J3150" s="4" t="s">
        <v>4798</v>
      </c>
      <c r="K3150" s="4" t="s">
        <v>57</v>
      </c>
      <c r="L3150" s="4"/>
      <c r="M3150" s="4"/>
    </row>
    <row r="3151" ht="16" customHeight="1" s="4" customFormat="1">
      <c r="A3151" s="4">
        <v>335</v>
      </c>
      <c r="B3151" s="4" t="s">
        <v>5499</v>
      </c>
      <c r="C3151" s="4" t="s">
        <v>7220</v>
      </c>
      <c r="D3151" s="4" t="s">
        <v>5574</v>
      </c>
      <c r="E3151" s="4" t="s">
        <v>5575</v>
      </c>
      <c r="F3151" s="4" t="s">
        <v>10541</v>
      </c>
      <c r="G3151" s="4" t="s">
        <v>4850</v>
      </c>
      <c r="H3151" s="4" t="s">
        <v>7223</v>
      </c>
      <c r="I3151" s="5">
        <v>45114</v>
      </c>
      <c r="J3151" s="4" t="s">
        <v>4798</v>
      </c>
      <c r="K3151" s="4" t="s">
        <v>57</v>
      </c>
      <c r="L3151" s="4"/>
      <c r="M3151" s="4"/>
    </row>
    <row r="3152" ht="16" customHeight="1" s="4" customFormat="1">
      <c r="A3152" s="4">
        <v>336</v>
      </c>
      <c r="B3152" s="4" t="s">
        <v>5528</v>
      </c>
      <c r="C3152" s="4" t="s">
        <v>6140</v>
      </c>
      <c r="D3152" s="4" t="s">
        <v>5501</v>
      </c>
      <c r="E3152" s="4" t="s">
        <v>5502</v>
      </c>
      <c r="F3152" s="4" t="s">
        <v>10542</v>
      </c>
      <c r="G3152" s="4" t="s">
        <v>10543</v>
      </c>
      <c r="H3152" s="4" t="s">
        <v>4850</v>
      </c>
      <c r="I3152" s="5">
        <v>45108</v>
      </c>
      <c r="J3152" s="4" t="s">
        <v>4798</v>
      </c>
      <c r="K3152" s="4" t="s">
        <v>57</v>
      </c>
      <c r="L3152" s="4"/>
      <c r="M3152" s="4"/>
    </row>
    <row r="3153" ht="16" customHeight="1" s="4" customFormat="1">
      <c r="A3153" s="4">
        <v>337</v>
      </c>
      <c r="B3153" s="4" t="s">
        <v>5499</v>
      </c>
      <c r="C3153" s="4" t="s">
        <v>5702</v>
      </c>
      <c r="D3153" s="4" t="s">
        <v>5574</v>
      </c>
      <c r="E3153" s="4" t="s">
        <v>5575</v>
      </c>
      <c r="F3153" s="4" t="s">
        <v>10544</v>
      </c>
      <c r="G3153" s="4" t="s">
        <v>6422</v>
      </c>
      <c r="H3153" s="4" t="s">
        <v>10545</v>
      </c>
      <c r="I3153" s="5">
        <v>45104</v>
      </c>
      <c r="J3153" s="4" t="s">
        <v>4798</v>
      </c>
      <c r="K3153" s="4" t="s">
        <v>57</v>
      </c>
      <c r="L3153" s="4"/>
      <c r="M3153" s="4"/>
    </row>
    <row r="3154" ht="16" customHeight="1" s="4" customFormat="1">
      <c r="A3154" s="4">
        <v>338</v>
      </c>
      <c r="B3154" s="4" t="s">
        <v>5499</v>
      </c>
      <c r="C3154" s="4" t="s">
        <v>5590</v>
      </c>
      <c r="D3154" s="4" t="s">
        <v>5574</v>
      </c>
      <c r="E3154" s="4" t="s">
        <v>5575</v>
      </c>
      <c r="F3154" s="4" t="s">
        <v>10546</v>
      </c>
      <c r="G3154" s="4" t="s">
        <v>7014</v>
      </c>
      <c r="H3154" s="4" t="s">
        <v>9109</v>
      </c>
      <c r="I3154" s="5">
        <v>45097</v>
      </c>
      <c r="J3154" s="4" t="s">
        <v>5506</v>
      </c>
      <c r="K3154" s="4" t="s">
        <v>57</v>
      </c>
      <c r="L3154" s="4"/>
      <c r="M3154" s="4"/>
    </row>
    <row r="3155" ht="16" customHeight="1" s="4" customFormat="1">
      <c r="A3155" s="4">
        <v>339</v>
      </c>
      <c r="B3155" s="4" t="s">
        <v>5499</v>
      </c>
      <c r="C3155" s="4" t="s">
        <v>5590</v>
      </c>
      <c r="D3155" s="4" t="s">
        <v>5574</v>
      </c>
      <c r="E3155" s="4" t="s">
        <v>5575</v>
      </c>
      <c r="F3155" s="4" t="s">
        <v>10547</v>
      </c>
      <c r="G3155" s="4" t="s">
        <v>7014</v>
      </c>
      <c r="H3155" s="4" t="s">
        <v>9109</v>
      </c>
      <c r="I3155" s="5">
        <v>45097</v>
      </c>
      <c r="J3155" s="4" t="s">
        <v>5506</v>
      </c>
      <c r="K3155" s="4" t="s">
        <v>57</v>
      </c>
      <c r="L3155" s="4"/>
      <c r="M3155" s="4"/>
    </row>
    <row r="3156" ht="16" customHeight="1" s="4" customFormat="1">
      <c r="A3156" s="4">
        <v>340</v>
      </c>
      <c r="B3156" s="4" t="s">
        <v>5499</v>
      </c>
      <c r="C3156" s="4" t="s">
        <v>5590</v>
      </c>
      <c r="D3156" s="4" t="s">
        <v>5574</v>
      </c>
      <c r="E3156" s="4" t="s">
        <v>5575</v>
      </c>
      <c r="F3156" s="4" t="s">
        <v>10548</v>
      </c>
      <c r="G3156" s="4" t="s">
        <v>7014</v>
      </c>
      <c r="H3156" s="4" t="s">
        <v>9109</v>
      </c>
      <c r="I3156" s="5">
        <v>45097</v>
      </c>
      <c r="J3156" s="4" t="s">
        <v>5506</v>
      </c>
      <c r="K3156" s="4" t="s">
        <v>57</v>
      </c>
      <c r="L3156" s="4"/>
      <c r="M3156" s="4"/>
    </row>
    <row r="3157" ht="16" customHeight="1" s="4" customFormat="1">
      <c r="A3157" s="4">
        <v>341</v>
      </c>
      <c r="B3157" s="4" t="s">
        <v>5499</v>
      </c>
      <c r="C3157" s="4" t="s">
        <v>5590</v>
      </c>
      <c r="D3157" s="4" t="s">
        <v>5574</v>
      </c>
      <c r="E3157" s="4" t="s">
        <v>5575</v>
      </c>
      <c r="F3157" s="4" t="s">
        <v>10549</v>
      </c>
      <c r="G3157" s="4" t="s">
        <v>10550</v>
      </c>
      <c r="H3157" s="4" t="s">
        <v>7014</v>
      </c>
      <c r="I3157" s="5">
        <v>45097</v>
      </c>
      <c r="J3157" s="4" t="s">
        <v>5506</v>
      </c>
      <c r="K3157" s="4" t="s">
        <v>57</v>
      </c>
      <c r="L3157" s="4"/>
      <c r="M3157" s="4"/>
    </row>
    <row r="3158" ht="16" customHeight="1" s="4" customFormat="1">
      <c r="A3158" s="4">
        <v>342</v>
      </c>
      <c r="B3158" s="4" t="s">
        <v>5499</v>
      </c>
      <c r="C3158" s="4" t="s">
        <v>5590</v>
      </c>
      <c r="D3158" s="4"/>
      <c r="E3158" s="4" t="s">
        <v>9925</v>
      </c>
      <c r="F3158" s="4" t="s">
        <v>10551</v>
      </c>
      <c r="G3158" s="4" t="s">
        <v>10552</v>
      </c>
      <c r="H3158" s="4" t="s">
        <v>7014</v>
      </c>
      <c r="I3158" s="5">
        <v>45096</v>
      </c>
      <c r="J3158" s="4" t="s">
        <v>4798</v>
      </c>
      <c r="K3158" s="4" t="s">
        <v>57</v>
      </c>
      <c r="L3158" s="4"/>
      <c r="M3158" s="4"/>
    </row>
    <row r="3159" ht="16" customHeight="1" s="4" customFormat="1">
      <c r="A3159" s="4">
        <v>343</v>
      </c>
      <c r="B3159" s="4" t="s">
        <v>5528</v>
      </c>
      <c r="C3159" s="4" t="s">
        <v>6140</v>
      </c>
      <c r="D3159" s="4" t="s">
        <v>6450</v>
      </c>
      <c r="E3159" s="4" t="s">
        <v>9096</v>
      </c>
      <c r="F3159" s="4" t="s">
        <v>10553</v>
      </c>
      <c r="G3159" s="4" t="s">
        <v>10554</v>
      </c>
      <c r="H3159" s="4" t="s">
        <v>10555</v>
      </c>
      <c r="I3159" s="5">
        <v>45089</v>
      </c>
      <c r="J3159" s="4" t="s">
        <v>4798</v>
      </c>
      <c r="K3159" s="4" t="s">
        <v>57</v>
      </c>
      <c r="L3159" s="4"/>
      <c r="M3159" s="4"/>
    </row>
    <row r="3160" ht="16" customHeight="1" s="4" customFormat="1">
      <c r="A3160" s="4">
        <v>344</v>
      </c>
      <c r="B3160" s="4" t="s">
        <v>5499</v>
      </c>
      <c r="C3160" s="4" t="s">
        <v>5590</v>
      </c>
      <c r="D3160" s="4" t="s">
        <v>5574</v>
      </c>
      <c r="E3160" s="4" t="s">
        <v>5575</v>
      </c>
      <c r="F3160" s="4" t="s">
        <v>10556</v>
      </c>
      <c r="G3160" s="4" t="s">
        <v>4850</v>
      </c>
      <c r="H3160" s="4" t="s">
        <v>7113</v>
      </c>
      <c r="I3160" s="5">
        <v>45086</v>
      </c>
      <c r="J3160" s="4" t="s">
        <v>4798</v>
      </c>
      <c r="K3160" s="4" t="s">
        <v>57</v>
      </c>
      <c r="L3160" s="4"/>
      <c r="M3160" s="4"/>
    </row>
    <row r="3161" ht="16" customHeight="1" s="4" customFormat="1">
      <c r="A3161" s="4">
        <v>345</v>
      </c>
      <c r="B3161" s="4" t="s">
        <v>5499</v>
      </c>
      <c r="C3161" s="4" t="s">
        <v>5573</v>
      </c>
      <c r="D3161" s="4" t="s">
        <v>5574</v>
      </c>
      <c r="E3161" s="4" t="s">
        <v>5575</v>
      </c>
      <c r="F3161" s="4" t="s">
        <v>10557</v>
      </c>
      <c r="G3161" s="4" t="s">
        <v>10558</v>
      </c>
      <c r="H3161" s="4" t="s">
        <v>4850</v>
      </c>
      <c r="I3161" s="5">
        <v>45085</v>
      </c>
      <c r="J3161" s="4" t="s">
        <v>4798</v>
      </c>
      <c r="K3161" s="4" t="s">
        <v>57</v>
      </c>
      <c r="L3161" s="4"/>
      <c r="M3161" s="4"/>
    </row>
    <row r="3162" ht="16" customHeight="1" s="4" customFormat="1">
      <c r="A3162" s="4">
        <v>346</v>
      </c>
      <c r="B3162" s="4" t="s">
        <v>5499</v>
      </c>
      <c r="C3162" s="4" t="s">
        <v>7546</v>
      </c>
      <c r="D3162" s="4"/>
      <c r="E3162" s="4" t="s">
        <v>10559</v>
      </c>
      <c r="F3162" s="4" t="s">
        <v>10560</v>
      </c>
      <c r="G3162" s="4" t="s">
        <v>10561</v>
      </c>
      <c r="H3162" s="4" t="s">
        <v>10562</v>
      </c>
      <c r="I3162" s="5">
        <v>45055</v>
      </c>
      <c r="J3162" s="4" t="s">
        <v>4798</v>
      </c>
      <c r="K3162" s="4" t="s">
        <v>57</v>
      </c>
      <c r="L3162" s="4"/>
      <c r="M3162" s="4"/>
    </row>
    <row r="3163" ht="16" customHeight="1" s="4" customFormat="1">
      <c r="A3163" s="4">
        <v>347</v>
      </c>
      <c r="B3163" s="4" t="s">
        <v>5528</v>
      </c>
      <c r="C3163" s="4" t="s">
        <v>7603</v>
      </c>
      <c r="D3163" s="4"/>
      <c r="E3163" s="4" t="s">
        <v>10563</v>
      </c>
      <c r="F3163" s="4" t="s">
        <v>10564</v>
      </c>
      <c r="G3163" s="4" t="s">
        <v>10565</v>
      </c>
      <c r="H3163" s="4" t="s">
        <v>10566</v>
      </c>
      <c r="I3163" s="5">
        <v>45052</v>
      </c>
      <c r="J3163" s="4" t="s">
        <v>4798</v>
      </c>
      <c r="K3163" s="4" t="s">
        <v>57</v>
      </c>
      <c r="L3163" s="4"/>
      <c r="M3163" s="4"/>
    </row>
    <row r="3164" ht="16" customHeight="1" s="4" customFormat="1">
      <c r="A3164" s="4">
        <v>348</v>
      </c>
      <c r="B3164" s="4" t="s">
        <v>5600</v>
      </c>
      <c r="C3164" s="4" t="s">
        <v>5600</v>
      </c>
      <c r="D3164" s="4"/>
      <c r="E3164" s="4" t="s">
        <v>10567</v>
      </c>
      <c r="F3164" s="4" t="s">
        <v>10568</v>
      </c>
      <c r="G3164" s="4" t="s">
        <v>10569</v>
      </c>
      <c r="H3164" s="4" t="s">
        <v>10570</v>
      </c>
      <c r="I3164" s="5">
        <v>45050</v>
      </c>
      <c r="J3164" s="4" t="s">
        <v>4798</v>
      </c>
      <c r="K3164" s="4" t="s">
        <v>57</v>
      </c>
      <c r="L3164" s="4"/>
      <c r="M3164" s="4"/>
    </row>
    <row r="3165" ht="16" customHeight="1" s="4" customFormat="1">
      <c r="A3165" s="4">
        <v>349</v>
      </c>
      <c r="B3165" s="4" t="s">
        <v>5499</v>
      </c>
      <c r="C3165" s="4" t="s">
        <v>5702</v>
      </c>
      <c r="D3165" s="4" t="s">
        <v>5574</v>
      </c>
      <c r="E3165" s="4" t="s">
        <v>5575</v>
      </c>
      <c r="F3165" s="4" t="s">
        <v>10571</v>
      </c>
      <c r="G3165" s="4" t="s">
        <v>10572</v>
      </c>
      <c r="H3165" s="4" t="s">
        <v>5843</v>
      </c>
      <c r="I3165" s="5">
        <v>45050</v>
      </c>
      <c r="J3165" s="4" t="s">
        <v>4798</v>
      </c>
      <c r="K3165" s="4" t="s">
        <v>57</v>
      </c>
      <c r="L3165" s="4"/>
      <c r="M3165" s="4"/>
    </row>
    <row r="3166" ht="16" customHeight="1" s="4" customFormat="1">
      <c r="A3166" s="4">
        <v>350</v>
      </c>
      <c r="B3166" s="4" t="s">
        <v>5499</v>
      </c>
      <c r="C3166" s="4" t="s">
        <v>5702</v>
      </c>
      <c r="D3166" s="4" t="s">
        <v>5574</v>
      </c>
      <c r="E3166" s="4" t="s">
        <v>7696</v>
      </c>
      <c r="F3166" s="4" t="s">
        <v>10573</v>
      </c>
      <c r="G3166" s="4" t="s">
        <v>6422</v>
      </c>
      <c r="H3166" s="4" t="s">
        <v>10574</v>
      </c>
      <c r="I3166" s="5">
        <v>45048</v>
      </c>
      <c r="J3166" s="4" t="s">
        <v>4798</v>
      </c>
      <c r="K3166" s="4" t="s">
        <v>57</v>
      </c>
      <c r="L3166" s="4"/>
      <c r="M3166" s="4"/>
    </row>
    <row r="3167" ht="16" customHeight="1" s="4" customFormat="1">
      <c r="A3167" s="4">
        <v>351</v>
      </c>
      <c r="B3167" s="4" t="s">
        <v>5528</v>
      </c>
      <c r="C3167" s="4" t="s">
        <v>7692</v>
      </c>
      <c r="D3167" s="4"/>
      <c r="E3167" s="4" t="s">
        <v>10485</v>
      </c>
      <c r="F3167" s="4" t="s">
        <v>10575</v>
      </c>
      <c r="G3167" s="4" t="s">
        <v>10576</v>
      </c>
      <c r="H3167" s="4" t="s">
        <v>4850</v>
      </c>
      <c r="I3167" s="5">
        <v>45042</v>
      </c>
      <c r="J3167" s="4" t="s">
        <v>4798</v>
      </c>
      <c r="K3167" s="4" t="s">
        <v>57</v>
      </c>
      <c r="L3167" s="4"/>
      <c r="M3167" s="4"/>
    </row>
    <row r="3168" ht="16" customHeight="1" s="4" customFormat="1">
      <c r="A3168" s="4">
        <v>352</v>
      </c>
      <c r="B3168" s="4" t="s">
        <v>5499</v>
      </c>
      <c r="C3168" s="4" t="s">
        <v>5590</v>
      </c>
      <c r="D3168" s="4" t="s">
        <v>5574</v>
      </c>
      <c r="E3168" s="4" t="s">
        <v>5575</v>
      </c>
      <c r="F3168" s="4" t="s">
        <v>10577</v>
      </c>
      <c r="G3168" s="4" t="s">
        <v>5716</v>
      </c>
      <c r="H3168" s="4" t="s">
        <v>7107</v>
      </c>
      <c r="I3168" s="5">
        <v>45042</v>
      </c>
      <c r="J3168" s="4" t="s">
        <v>5506</v>
      </c>
      <c r="K3168" s="4" t="s">
        <v>57</v>
      </c>
      <c r="L3168" s="4"/>
      <c r="M3168" s="4"/>
    </row>
    <row r="3169" ht="16" customHeight="1" s="4" customFormat="1">
      <c r="A3169" s="4">
        <v>353</v>
      </c>
      <c r="B3169" s="4" t="s">
        <v>5499</v>
      </c>
      <c r="C3169" s="4" t="s">
        <v>5702</v>
      </c>
      <c r="D3169" s="4" t="s">
        <v>5574</v>
      </c>
      <c r="E3169" s="4" t="s">
        <v>5575</v>
      </c>
      <c r="F3169" s="4" t="s">
        <v>10578</v>
      </c>
      <c r="G3169" s="4" t="s">
        <v>5704</v>
      </c>
      <c r="H3169" s="4" t="s">
        <v>7241</v>
      </c>
      <c r="I3169" s="5">
        <v>45036</v>
      </c>
      <c r="J3169" s="4" t="s">
        <v>4798</v>
      </c>
      <c r="K3169" s="4" t="s">
        <v>57</v>
      </c>
      <c r="L3169" s="4"/>
      <c r="M3169" s="4"/>
    </row>
    <row r="3170" ht="16" customHeight="1">
      <c r="A3170" s="3">
        <v>354</v>
      </c>
      <c r="B3170" s="3" t="s">
        <v>5499</v>
      </c>
      <c r="C3170" s="3" t="s">
        <v>5702</v>
      </c>
      <c r="D3170" s="3" t="s">
        <v>5574</v>
      </c>
      <c r="E3170" s="3" t="s">
        <v>5575</v>
      </c>
      <c r="F3170" s="3" t="s">
        <v>10579</v>
      </c>
      <c r="G3170" s="3" t="s">
        <v>5704</v>
      </c>
      <c r="H3170" s="3" t="s">
        <v>6196</v>
      </c>
      <c r="I3170" s="6">
        <v>45033</v>
      </c>
      <c r="J3170" s="3" t="s">
        <v>4798</v>
      </c>
      <c r="K3170" s="3" t="s">
        <v>57</v>
      </c>
    </row>
    <row r="3171" ht="16" customHeight="1">
      <c r="A3171" s="3">
        <v>355</v>
      </c>
      <c r="B3171" s="3" t="s">
        <v>5600</v>
      </c>
      <c r="C3171" s="3" t="s">
        <v>5600</v>
      </c>
      <c r="D3171" s="3"/>
      <c r="E3171" s="3" t="s">
        <v>9333</v>
      </c>
      <c r="F3171" s="3" t="s">
        <v>10580</v>
      </c>
      <c r="G3171" s="3" t="s">
        <v>10581</v>
      </c>
      <c r="H3171" s="3" t="s">
        <v>10582</v>
      </c>
      <c r="I3171" s="6">
        <v>45028</v>
      </c>
      <c r="J3171" s="3" t="s">
        <v>4842</v>
      </c>
      <c r="K3171" s="3" t="s">
        <v>57</v>
      </c>
    </row>
  </sheetData>
  <headerFooter/>
</worksheet>
</file>

<file path=xl/worksheets/sheet43.xml><?xml version="1.0" encoding="utf-8"?>
<worksheet xmlns:r="http://schemas.openxmlformats.org/officeDocument/2006/relationships" xmlns="http://schemas.openxmlformats.org/spreadsheetml/2006/main">
  <dimension ref="A1:A2"/>
  <sheetViews>
    <sheetView workbookViewId="0"/>
  </sheetViews>
  <sheetFormatPr defaultRowHeight="15"/>
  <cols>
    <col min="1" max="16384" width="16.3811664581299" customWidth="1" style="3"/>
    <col min="2" max="16384" width="9.140625" customWidth="1" style="3"/>
    <col min="3" max="16384" width="9.140625" customWidth="1" style="3"/>
  </cols>
  <sheetData>
    <row r="1" ht="16" customHeight="1" s="1" customFormat="1">
      <c r="A1" s="2" t="s">
        <v>10583</v>
      </c>
    </row>
    <row r="2" ht="16" customHeight="1">
      <c r="A2" s="3" t="s">
        <v>10584</v>
      </c>
    </row>
  </sheetData>
  <headerFooter/>
</worksheet>
</file>
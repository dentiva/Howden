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Content" sheetId="1" r:id="rId1"/>
    <sheet name="Overview" sheetId="2" r:id="rId2"/>
    <sheet name="Current Directors" sheetId="3" r:id="rId4"/>
    <sheet name="Cross Directorship Holding" sheetId="4" r:id="rId5"/>
    <sheet name="New Company" sheetId="5" r:id="rId6"/>
    <sheet name="Past Directors" sheetId="6" r:id="rId7"/>
    <sheet name="Past Directorship Holding" sheetId="7" r:id="rId8"/>
    <sheet name="Defaults" sheetId="8" r:id="rId9"/>
    <sheet name="Consolidated Summary" sheetId="9" r:id="rId10"/>
    <sheet name="Standalone Summary" sheetId="10" r:id="rId11"/>
    <sheet name="Related Entity Statistics" sheetId="11" r:id="rId12"/>
    <sheet name="Linkages" sheetId="12" r:id="rId13"/>
    <sheet name="Index Of Charges" sheetId="13" r:id="rId14"/>
    <sheet name="Peers" sheetId="14" r:id="rId15"/>
    <sheet name="Peers Ranking" sheetId="15" r:id="rId16"/>
    <sheet name="Media" sheetId="16" r:id="rId17"/>
    <sheet name="Similar Companies" sheetId="17" r:id="rId18"/>
    <sheet name="Employees" sheetId="18" r:id="rId19"/>
    <sheet name="Received in India" sheetId="19" r:id="rId20"/>
    <sheet name="Triggers" sheetId="20" r:id="rId21"/>
    <sheet name="Legal Overview" sheetId="21" r:id="rId22"/>
    <sheet name="Legal Cases" sheetId="22" r:id="rId23"/>
  </sheets>
  <calcPr fullCalcOnLoad="1"/>
</workbook>
</file>

<file path=xl/sharedStrings.xml><?xml version="1.0" encoding="utf-8"?>
<sst xmlns="http://schemas.openxmlformats.org/spreadsheetml/2006/main" count="980" uniqueCount="980">
  <si>
    <t>SUEZ INDIA PRIVATE LIMITED</t>
  </si>
  <si>
    <t>Sheets</t>
  </si>
  <si>
    <t>Particulars</t>
  </si>
  <si>
    <t>Description</t>
  </si>
  <si>
    <t>Lei Expiry</t>
  </si>
  <si>
    <t>Old Name</t>
  </si>
  <si>
    <t xml:space="preserve"> Degremont Limited, Degremont Private Limited, Ondeo Degremont Limited</t>
  </si>
  <si>
    <t>Pan</t>
  </si>
  <si>
    <t>Aaacd0136d</t>
  </si>
  <si>
    <t>Company Name</t>
  </si>
  <si>
    <t>Suez India Private Limited</t>
  </si>
  <si>
    <t>Date Of Incorporation</t>
  </si>
  <si>
    <t>Email Id</t>
  </si>
  <si>
    <t>Prarabdha.jaipuriar@suez.com</t>
  </si>
  <si>
    <t>Company Category</t>
  </si>
  <si>
    <t>Company Limited By Shares</t>
  </si>
  <si>
    <t>Company Sub-category</t>
  </si>
  <si>
    <t>Non-government Company</t>
  </si>
  <si>
    <t>Industry</t>
  </si>
  <si>
    <t>Infrastructure</t>
  </si>
  <si>
    <t>Sector</t>
  </si>
  <si>
    <t>Water Treatment/supply</t>
  </si>
  <si>
    <t>Authorised Capital(in Rs. Lacs)</t>
  </si>
  <si>
    <t>Paid-up Capital(in Rs. Lacs)</t>
  </si>
  <si>
    <t>Date Of Balance Sheet</t>
  </si>
  <si>
    <t>Date Of Last Agm</t>
  </si>
  <si>
    <t>Company Status (for Efiling)</t>
  </si>
  <si>
    <t>Active</t>
  </si>
  <si>
    <t>Whether Listed Or Not</t>
  </si>
  <si>
    <t>Unlisted</t>
  </si>
  <si>
    <t>Roc Code</t>
  </si>
  <si>
    <t>Roc Delhi I</t>
  </si>
  <si>
    <t>Number Of Members</t>
  </si>
  <si>
    <t>Address</t>
  </si>
  <si>
    <t xml:space="preserve">Lgf A-1/132, Safdarjung Enclave,   New Delhi,,new Delhi,delhi,110029,india,</t>
  </si>
  <si>
    <t>State</t>
  </si>
  <si>
    <t>Delhi</t>
  </si>
  <si>
    <t>Active Compliance</t>
  </si>
  <si>
    <t>Active Compliant</t>
  </si>
  <si>
    <t>Lei Number</t>
  </si>
  <si>
    <t>335800m6e9t87343xa13</t>
  </si>
  <si>
    <t>Auditors</t>
  </si>
  <si>
    <t>S.r. Batliboi &amp; Co. Llp</t>
  </si>
  <si>
    <t>S.no.</t>
  </si>
  <si>
    <t>Name</t>
  </si>
  <si>
    <t>Designation</t>
  </si>
  <si>
    <t xml:space="preserve">Stake(%) </t>
  </si>
  <si>
    <t>Date of appointment</t>
  </si>
  <si>
    <t>No Of Directorships</t>
  </si>
  <si>
    <t>Whether Dsc Registered</t>
  </si>
  <si>
    <t>Expiry date of dsc</t>
  </si>
  <si>
    <t>Disqualified U/s-164 (pdf)</t>
  </si>
  <si>
    <t>Disqualified U/s-164 (din)</t>
  </si>
  <si>
    <t>Gregory Raphael Jordan Tesse</t>
  </si>
  <si>
    <t>Director (professional)</t>
  </si>
  <si>
    <t>No</t>
  </si>
  <si>
    <t>Silvina Somasco Mozziconacci</t>
  </si>
  <si>
    <t>Rasmi Ranjan Ray</t>
  </si>
  <si>
    <t>Sunita Yadav</t>
  </si>
  <si>
    <t>Company Secretary</t>
  </si>
  <si>
    <t>Sr. No.</t>
  </si>
  <si>
    <t>Company</t>
  </si>
  <si>
    <t>% Common Directors</t>
  </si>
  <si>
    <t>Date Of Incop.</t>
  </si>
  <si>
    <t>Paid Up Cap (rs Lacs)</t>
  </si>
  <si>
    <t>Open Charges (rs Cr.)</t>
  </si>
  <si>
    <t>Aug 1986</t>
  </si>
  <si>
    <t xml:space="preserve"> D</t>
  </si>
  <si>
    <t>Suez Projects Private Limited</t>
  </si>
  <si>
    <t>Sep 2000</t>
  </si>
  <si>
    <t>Salem City Water Services Private Limited</t>
  </si>
  <si>
    <t>Apr 2026</t>
  </si>
  <si>
    <t>Haryana</t>
  </si>
  <si>
    <t>Paid Up Capital(in Lacs)</t>
  </si>
  <si>
    <t xml:space="preserve">Rasmi Ranjan Ray (07983720) </t>
  </si>
  <si>
    <t>Unitech Business Park Tower A Ii Floor Gurgaon Sadar Bazar Gurgaon Haryana 122001 India</t>
  </si>
  <si>
    <t>Date Of Cessation</t>
  </si>
  <si>
    <t>No Of Past Directorships</t>
  </si>
  <si>
    <t>Aditya Narayan</t>
  </si>
  <si>
    <t>Director</t>
  </si>
  <si>
    <t>Director Appointed In Casual Vacancy</t>
  </si>
  <si>
    <t>Meher Pheroz Pudumjee</t>
  </si>
  <si>
    <t>Deepak Chopra</t>
  </si>
  <si>
    <t>Kuldip Anand Chand</t>
  </si>
  <si>
    <t>Alternate Director</t>
  </si>
  <si>
    <t>Krishnamurthy Naga Subramaniam</t>
  </si>
  <si>
    <t>Vidyavathsal Annapragada</t>
  </si>
  <si>
    <t>Manager</t>
  </si>
  <si>
    <t>Deep Chand Anand</t>
  </si>
  <si>
    <t>Marc Philippe</t>
  </si>
  <si>
    <t>Remi Lantier</t>
  </si>
  <si>
    <t>Pramod Bapna</t>
  </si>
  <si>
    <t>Additional Director</t>
  </si>
  <si>
    <t>Managing Director</t>
  </si>
  <si>
    <t>Jaisal Singh</t>
  </si>
  <si>
    <t>Francois Marie Fevrier</t>
  </si>
  <si>
    <t>Shyam Jee Bhan</t>
  </si>
  <si>
    <t>Vijayesh Gupta</t>
  </si>
  <si>
    <t>Mathieu Jean Marie Bernard Le Bourhis</t>
  </si>
  <si>
    <t>Pierre Yves Marie Pouliquen</t>
  </si>
  <si>
    <t>Paul Charles Chetham Bourdillon</t>
  </si>
  <si>
    <t xml:space="preserve">Saibal  Ghosh</t>
  </si>
  <si>
    <t>Lyonel Michel Bernard Rouve</t>
  </si>
  <si>
    <t>Joerg Walter Linsenmaier</t>
  </si>
  <si>
    <t>Rajesh Satyanarayan Adhyam</t>
  </si>
  <si>
    <t>Dolly Singh</t>
  </si>
  <si>
    <t xml:space="preserve">Aditya Narayan </t>
  </si>
  <si>
    <t xml:space="preserve">Deep Chand Anand </t>
  </si>
  <si>
    <t xml:space="preserve">Deepak Chopra </t>
  </si>
  <si>
    <t xml:space="preserve">Francois Marie Fevrier </t>
  </si>
  <si>
    <t xml:space="preserve">Jaisal Singh </t>
  </si>
  <si>
    <t xml:space="preserve">Joerg Walter Linsenmaier </t>
  </si>
  <si>
    <t xml:space="preserve">Krishnamurthy Naga Subramaniam </t>
  </si>
  <si>
    <t xml:space="preserve">Kuldip Anand Chand </t>
  </si>
  <si>
    <t xml:space="preserve">Lyonel Michel Bernard Rouve </t>
  </si>
  <si>
    <t xml:space="preserve">Marc Philippe </t>
  </si>
  <si>
    <t xml:space="preserve">Mathieu Jean Marie Bernard Le Bourhis </t>
  </si>
  <si>
    <t xml:space="preserve">Meher Pheroz Pudumjee </t>
  </si>
  <si>
    <t xml:space="preserve">Paul Charles Chetham  Bourdillon </t>
  </si>
  <si>
    <t xml:space="preserve">Pierre Yves Marie Pouliquen </t>
  </si>
  <si>
    <t xml:space="preserve">Pramod Bapna </t>
  </si>
  <si>
    <t xml:space="preserve">Rajesh Satyanarayan Adhyam </t>
  </si>
  <si>
    <t xml:space="preserve">Remi Lantier </t>
  </si>
  <si>
    <t xml:space="preserve">Saibal  Ghosh </t>
  </si>
  <si>
    <t xml:space="preserve">Shyam Jee Bhan </t>
  </si>
  <si>
    <t xml:space="preserve">Vidyavathsal Annapragada </t>
  </si>
  <si>
    <t xml:space="preserve">Vijayesh Gupta </t>
  </si>
  <si>
    <t xml:space="preserve"> D, Dacv</t>
  </si>
  <si>
    <t xml:space="preserve"> Dacv</t>
  </si>
  <si>
    <t xml:space="preserve"> Ad, D</t>
  </si>
  <si>
    <t xml:space="preserve"> Alt-d</t>
  </si>
  <si>
    <t xml:space="preserve"> Ad, M, Md</t>
  </si>
  <si>
    <t xml:space="preserve"> Ad, Md</t>
  </si>
  <si>
    <t xml:space="preserve"> M</t>
  </si>
  <si>
    <t>Norstar Ventures Private Limited</t>
  </si>
  <si>
    <t>Mar 2025</t>
  </si>
  <si>
    <t>Socomp Solutions Private Limited</t>
  </si>
  <si>
    <t>Nov 2023</t>
  </si>
  <si>
    <t>Maharashtra</t>
  </si>
  <si>
    <t>Sujan Enterprises Private Limited</t>
  </si>
  <si>
    <t>Apr 2012</t>
  </si>
  <si>
    <t>Masada Lake Enterprises Llp</t>
  </si>
  <si>
    <t>Apr 2024</t>
  </si>
  <si>
    <t xml:space="preserve"> Dp</t>
  </si>
  <si>
    <t>Tahal Consulting Engineers Limited</t>
  </si>
  <si>
    <t xml:space="preserve"> Authorised Representative</t>
  </si>
  <si>
    <t>Aug 2019</t>
  </si>
  <si>
    <t>Kra Holdings Private Limited</t>
  </si>
  <si>
    <t>Mar 2013</t>
  </si>
  <si>
    <t>Thermax Co-gen Limited</t>
  </si>
  <si>
    <t>Apr 1997</t>
  </si>
  <si>
    <t>Anchemco Anand Llp</t>
  </si>
  <si>
    <t>Jan 2016</t>
  </si>
  <si>
    <t>Himachal Pradesh</t>
  </si>
  <si>
    <t>Thermax Electronics Limited</t>
  </si>
  <si>
    <t>Jan 1994</t>
  </si>
  <si>
    <t>Ansysco Limited</t>
  </si>
  <si>
    <t>Jan 1980</t>
  </si>
  <si>
    <t>Thermax Energy Performance Services Limited</t>
  </si>
  <si>
    <t>May 1996</t>
  </si>
  <si>
    <t>Rda Holdings Private Limited</t>
  </si>
  <si>
    <t>Feb 1982</t>
  </si>
  <si>
    <t>Kra Holding And Trading Pvt Ltd</t>
  </si>
  <si>
    <t>Ara Trading And Investments Pvt Ltd</t>
  </si>
  <si>
    <t>Echlin India Limited</t>
  </si>
  <si>
    <t>Feb 1996</t>
  </si>
  <si>
    <t>Ara Trusteeship Company Private Limited</t>
  </si>
  <si>
    <t>Feb 2014</t>
  </si>
  <si>
    <t>Anand And Anand Pvt. Ltd.</t>
  </si>
  <si>
    <t>Sep 1983</t>
  </si>
  <si>
    <t>Sujan Luxury Hospitality Private Limited</t>
  </si>
  <si>
    <t>Nov 2007</t>
  </si>
  <si>
    <t>Asia Investments Private Limited</t>
  </si>
  <si>
    <t>Jan 1966</t>
  </si>
  <si>
    <t>Mephezalea Asset Services Llp</t>
  </si>
  <si>
    <t>Sep 2014</t>
  </si>
  <si>
    <t>Bmrv Engineering Consultants Llp</t>
  </si>
  <si>
    <t>Jan 2019</t>
  </si>
  <si>
    <t>Winman Gas Limited</t>
  </si>
  <si>
    <t>Dec 1990</t>
  </si>
  <si>
    <t>Sujan Tigers Polo Foundation</t>
  </si>
  <si>
    <t>Sep 2019</t>
  </si>
  <si>
    <t xml:space="preserve"> D, Individual Promoter</t>
  </si>
  <si>
    <t>Deep C.anand Holdings Private Limited</t>
  </si>
  <si>
    <t>Apr 1991</t>
  </si>
  <si>
    <t>Afm India Limited</t>
  </si>
  <si>
    <t>Nov 1994</t>
  </si>
  <si>
    <t>Libra Waste Management Private Limited</t>
  </si>
  <si>
    <t>May 2011</t>
  </si>
  <si>
    <t>Tamil Nadu</t>
  </si>
  <si>
    <t>Ecotech Waste Management Private Limited</t>
  </si>
  <si>
    <t>Bhp Marketing Services India Private Limited</t>
  </si>
  <si>
    <t>Mar 2004</t>
  </si>
  <si>
    <t>Smarthead Digital Private Limited</t>
  </si>
  <si>
    <t>May 2017</t>
  </si>
  <si>
    <t>Nfw Productions Private Limited</t>
  </si>
  <si>
    <t>May 2008</t>
  </si>
  <si>
    <t>Fontus Desalia Water Private Limited</t>
  </si>
  <si>
    <t>Apr 2017</t>
  </si>
  <si>
    <t>Barrackpore Enterprises Private Limited</t>
  </si>
  <si>
    <t>Nov 2008</t>
  </si>
  <si>
    <t>West Bengal</t>
  </si>
  <si>
    <t xml:space="preserve"> Md</t>
  </si>
  <si>
    <t>Mahle Filter Systems (india) Private Limited</t>
  </si>
  <si>
    <t>Feb 1997</t>
  </si>
  <si>
    <t>Ansysco Anand Llp</t>
  </si>
  <si>
    <t>Feb 2016</t>
  </si>
  <si>
    <t>Inflexion Technologies Private Limited</t>
  </si>
  <si>
    <t>Jul 2016</t>
  </si>
  <si>
    <t>K C A Holdings Private Limited</t>
  </si>
  <si>
    <t>Mar 1995</t>
  </si>
  <si>
    <t>Smart Head Strategy Solutions Private Limited</t>
  </si>
  <si>
    <t>Aug 2011</t>
  </si>
  <si>
    <t>Hydroair Infrastructure Management (west) Private Limited</t>
  </si>
  <si>
    <t>Feb 2011</t>
  </si>
  <si>
    <t>Hydroair Infrastructure Management (south) Private Limited</t>
  </si>
  <si>
    <t>Hydroair Infrastructure Management (north) Private Limited</t>
  </si>
  <si>
    <t>Dytek India Limited</t>
  </si>
  <si>
    <t>Dec 1981</t>
  </si>
  <si>
    <t>Anevolve Private Limited</t>
  </si>
  <si>
    <t>Jan 2022</t>
  </si>
  <si>
    <t>Mando India Limited</t>
  </si>
  <si>
    <t>Sep 1997</t>
  </si>
  <si>
    <t>Camfil India Private Limited</t>
  </si>
  <si>
    <t>Mar 2008</t>
  </si>
  <si>
    <t xml:space="preserve"> Ad</t>
  </si>
  <si>
    <t>Victor Gaskets India Limited</t>
  </si>
  <si>
    <t>Jul 2001</t>
  </si>
  <si>
    <t xml:space="preserve"> Ad, Wtd</t>
  </si>
  <si>
    <t>Aventura Components Private Limited</t>
  </si>
  <si>
    <t>Ea Water Private Limited</t>
  </si>
  <si>
    <t>Mar 2016</t>
  </si>
  <si>
    <t>Hydroair Tectonics (pcd) Limited</t>
  </si>
  <si>
    <t>Aug 2001</t>
  </si>
  <si>
    <t>Vce Environment India Private Limited</t>
  </si>
  <si>
    <t>Aug 2017</t>
  </si>
  <si>
    <t>Mitrelli Innovations India Private Limited</t>
  </si>
  <si>
    <t>Desert Friendly Camps Private Limited</t>
  </si>
  <si>
    <t>Aug 2007</t>
  </si>
  <si>
    <t>Cy Myutec Anand Private Limited</t>
  </si>
  <si>
    <t>Feb 2008</t>
  </si>
  <si>
    <t>V2c Bazaar Private Limited</t>
  </si>
  <si>
    <t>Earth Water Limited</t>
  </si>
  <si>
    <t>Jun 2001</t>
  </si>
  <si>
    <t xml:space="preserve"> Cfo(kmp)</t>
  </si>
  <si>
    <t>Forest Friendly Camps Private Limited.</t>
  </si>
  <si>
    <t>Jul 2000</t>
  </si>
  <si>
    <t>Farrukhabad Stp Project Private Limited</t>
  </si>
  <si>
    <t>Dec 2018</t>
  </si>
  <si>
    <t>Malviya Nagar Water Services Private Limited</t>
  </si>
  <si>
    <t>Sep 2012</t>
  </si>
  <si>
    <t>Anfilco Limited</t>
  </si>
  <si>
    <t>Mar 1975</t>
  </si>
  <si>
    <t>Anand I-power Limited</t>
  </si>
  <si>
    <t>Apr 1962</t>
  </si>
  <si>
    <t>G.e.t. Water Solutions Private Limited</t>
  </si>
  <si>
    <t>Thermax Foundation</t>
  </si>
  <si>
    <t>Mar 2007</t>
  </si>
  <si>
    <t>Chimera Industrial And Development Private Limited</t>
  </si>
  <si>
    <t>Jul 2012</t>
  </si>
  <si>
    <t>Dana Anand India Private Limited</t>
  </si>
  <si>
    <t>Jul 1993</t>
  </si>
  <si>
    <t xml:space="preserve"> Alt-d, D, Dacv, Md</t>
  </si>
  <si>
    <t>Jodiya Water Desalination Limited</t>
  </si>
  <si>
    <t>Nov 2015</t>
  </si>
  <si>
    <t>Geist Research Private Limited</t>
  </si>
  <si>
    <t>Oct 2005</t>
  </si>
  <si>
    <t>Healthpoint Services India Private Limited</t>
  </si>
  <si>
    <t>Jun 2009</t>
  </si>
  <si>
    <t>Itron India Private Limited</t>
  </si>
  <si>
    <t>Oct 1990</t>
  </si>
  <si>
    <t>Karnataka</t>
  </si>
  <si>
    <t>Shakti Sustainable Energy Foundation</t>
  </si>
  <si>
    <t>Oct 2009</t>
  </si>
  <si>
    <t>International Copper Association India</t>
  </si>
  <si>
    <t>Apr 2001</t>
  </si>
  <si>
    <t>Virescent Infrastructure Investment Manager Private Limited</t>
  </si>
  <si>
    <t>Aug 2020</t>
  </si>
  <si>
    <t>Tahal Consulting Engineers India Private Limited</t>
  </si>
  <si>
    <t>Itron Metering Solutions India Private Limited</t>
  </si>
  <si>
    <t>Jan 1993</t>
  </si>
  <si>
    <t>Gabriel India Limited</t>
  </si>
  <si>
    <t>Feb 1961</t>
  </si>
  <si>
    <t>Sterna India Oil &amp; Gas Private Limited</t>
  </si>
  <si>
    <t>Dec 2012</t>
  </si>
  <si>
    <t>Valeo Service India Auto Parts Private Limited</t>
  </si>
  <si>
    <t>Jan 2012</t>
  </si>
  <si>
    <t>Aurangabad Jal Constructions Private Limited</t>
  </si>
  <si>
    <t>May 2012</t>
  </si>
  <si>
    <t>Thermax Instrumentation Limited</t>
  </si>
  <si>
    <t>Apr 1996</t>
  </si>
  <si>
    <t>Birla Gtm Entrepose Private Limited</t>
  </si>
  <si>
    <t>Jan 1990</t>
  </si>
  <si>
    <t>Varanasi Stp Project Private Limited</t>
  </si>
  <si>
    <t>Sep 2017</t>
  </si>
  <si>
    <t>Mahle Anand Thermal Systems Private Limited</t>
  </si>
  <si>
    <t>Driplex Water Engineering International Private Limited</t>
  </si>
  <si>
    <t>Jul 2007</t>
  </si>
  <si>
    <t>Uttarakhand</t>
  </si>
  <si>
    <t>Federal-mogul Bearings India Limited</t>
  </si>
  <si>
    <t>Jul 2006</t>
  </si>
  <si>
    <t xml:space="preserve"> Alt-d, D</t>
  </si>
  <si>
    <t>Thermax Sustainable Energy Solutions Limited</t>
  </si>
  <si>
    <t>Dec 1987</t>
  </si>
  <si>
    <t>Mahle Anand Filter Systems Private Limited</t>
  </si>
  <si>
    <t>Apr 1966</t>
  </si>
  <si>
    <t>Driplex Water Engineering Private Limited</t>
  </si>
  <si>
    <t>Aug 1974</t>
  </si>
  <si>
    <t>Badbahal Solar Private Limited</t>
  </si>
  <si>
    <t>Dec 2017</t>
  </si>
  <si>
    <t>Orissa</t>
  </si>
  <si>
    <t>Haldex India Private Limited</t>
  </si>
  <si>
    <t>Oct 1998</t>
  </si>
  <si>
    <t>Ranchi Msw Private Limited</t>
  </si>
  <si>
    <t>Oct 2015</t>
  </si>
  <si>
    <t>Jharkhand</t>
  </si>
  <si>
    <t>Aireff Detox Private Limited</t>
  </si>
  <si>
    <t>Thermax Engineering Construction Company Limited</t>
  </si>
  <si>
    <t>Aug 1991</t>
  </si>
  <si>
    <t>Valeo Friction Materials India Private Limited</t>
  </si>
  <si>
    <t>Jun 1997</t>
  </si>
  <si>
    <t>Faurecia Emissions Control Technologies India Private Limited</t>
  </si>
  <si>
    <t xml:space="preserve"> Alt-d, D, Dacv, Nd</t>
  </si>
  <si>
    <t>Bharat Minex Private Limited</t>
  </si>
  <si>
    <t>Chambal Fertilisers And Chemicals Limited</t>
  </si>
  <si>
    <t>May 1985</t>
  </si>
  <si>
    <t>Rajasthan</t>
  </si>
  <si>
    <t>Impensus Vidyut Vitaran (sagar) Private Limited</t>
  </si>
  <si>
    <t>Tonk Water Supply Limited</t>
  </si>
  <si>
    <t>Wilson Holdings Private Limited</t>
  </si>
  <si>
    <t>Dec 2014</t>
  </si>
  <si>
    <t>Hl Mando Anand India Private Limited</t>
  </si>
  <si>
    <t>Nov 2006</t>
  </si>
  <si>
    <t>Anand Cy Myutec Automotive Private Limited</t>
  </si>
  <si>
    <t>Aug 1992</t>
  </si>
  <si>
    <t>Himachal Pradesh Tourism Development Corp Ltd</t>
  </si>
  <si>
    <t>Sep 1972</t>
  </si>
  <si>
    <t>First Energy Private Limited</t>
  </si>
  <si>
    <t>Federal-mogul Tpr (india) Limited</t>
  </si>
  <si>
    <t>May 1997</t>
  </si>
  <si>
    <t>Thermax Limited.</t>
  </si>
  <si>
    <t>Jun 1980</t>
  </si>
  <si>
    <t>Linde India Limited</t>
  </si>
  <si>
    <t>Jan 1935</t>
  </si>
  <si>
    <t>Joyson Anand Abhishek Safety Systems Private Limited</t>
  </si>
  <si>
    <t>Jun 2007</t>
  </si>
  <si>
    <t xml:space="preserve"> Nd</t>
  </si>
  <si>
    <t>Thermax Babcock &amp; Wilcox Energy Solutions Limited</t>
  </si>
  <si>
    <t>Jun 2010</t>
  </si>
  <si>
    <t>Lighthouse Communities Foundation</t>
  </si>
  <si>
    <t>Jun 2011</t>
  </si>
  <si>
    <t>Gkn Driveline (india) Limited</t>
  </si>
  <si>
    <t>Jul 1985</t>
  </si>
  <si>
    <t>Pallavapuram Tambaram Msw Private Limited</t>
  </si>
  <si>
    <t>Imperial College India Foundation</t>
  </si>
  <si>
    <t>Feb 2007</t>
  </si>
  <si>
    <t>Ecogreen Enviro Tech Private Limited</t>
  </si>
  <si>
    <t>Jun 2008</t>
  </si>
  <si>
    <t>Nagpur Solid Waste Processing And Management Private Limited</t>
  </si>
  <si>
    <t>Feb 2015</t>
  </si>
  <si>
    <t>Essel Msw Energia Limited</t>
  </si>
  <si>
    <t>Care India Solutions For Sustainable Development</t>
  </si>
  <si>
    <t>Lic Mutual Fund Asset Management Limited</t>
  </si>
  <si>
    <t>Apr 1994</t>
  </si>
  <si>
    <t>Henkel Anand India Private Limited</t>
  </si>
  <si>
    <t>Oct 1996</t>
  </si>
  <si>
    <t>Federal-mogul Goetze (india) Limited</t>
  </si>
  <si>
    <t>Nov 1954</t>
  </si>
  <si>
    <t>Cg Power And Industrial Solutions Limited</t>
  </si>
  <si>
    <t>Apr 1937</t>
  </si>
  <si>
    <t>Sanofi India Limited</t>
  </si>
  <si>
    <t>May 1956</t>
  </si>
  <si>
    <t>Jsw Dulux Limited</t>
  </si>
  <si>
    <t>Mar 1954</t>
  </si>
  <si>
    <t>Hindustan Unilever Limited</t>
  </si>
  <si>
    <t>Oct 1933</t>
  </si>
  <si>
    <t>Pidilite Industries Limited</t>
  </si>
  <si>
    <t>Jul 1969</t>
  </si>
  <si>
    <t>Chelmsford Club Ltd</t>
  </si>
  <si>
    <t>Nov 1956</t>
  </si>
  <si>
    <t>Automotive Component Manufacturers Association Of India</t>
  </si>
  <si>
    <t>Oct 1959</t>
  </si>
  <si>
    <t>Source</t>
  </si>
  <si>
    <t>Category</t>
  </si>
  <si>
    <t>Remarks</t>
  </si>
  <si>
    <t>Type</t>
  </si>
  <si>
    <t>Likely/not Sure</t>
  </si>
  <si>
    <t>Central Depository Services (india) Limited</t>
  </si>
  <si>
    <t>Other Companies With Pending Demat Requests</t>
  </si>
  <si>
    <t>Suez India Private Limited Was Listed Others Companies With Pending Demat Requests By Cdsl With 0% Demat Request Pending For More Than 30 Days As On 15-mar-2026</t>
  </si>
  <si>
    <t>Routine</t>
  </si>
  <si>
    <t>Likely</t>
  </si>
  <si>
    <t>Summary</t>
  </si>
  <si>
    <t>FY25</t>
  </si>
  <si>
    <t>FY24</t>
  </si>
  <si>
    <t>FY23</t>
  </si>
  <si>
    <t>FY22</t>
  </si>
  <si>
    <t>FY21</t>
  </si>
  <si>
    <t>FY20</t>
  </si>
  <si>
    <t>FY19</t>
  </si>
  <si>
    <t>FY18</t>
  </si>
  <si>
    <t>FY17</t>
  </si>
  <si>
    <t>Rupees In</t>
  </si>
  <si>
    <t>Revenue</t>
  </si>
  <si>
    <t>Rs. Crores</t>
  </si>
  <si>
    <t>Ebitda</t>
  </si>
  <si>
    <t>%ebitda Margin</t>
  </si>
  <si>
    <t>Profit After Tax</t>
  </si>
  <si>
    <t>%pat Margin</t>
  </si>
  <si>
    <t>Total Assets</t>
  </si>
  <si>
    <t>FY16</t>
  </si>
  <si>
    <t>Linkages</t>
  </si>
  <si>
    <t>Credit Rating</t>
  </si>
  <si>
    <t>Agency</t>
  </si>
  <si>
    <t>Open Charges</t>
  </si>
  <si>
    <t>FY</t>
  </si>
  <si>
    <t>Revenue(rs.cr.)</t>
  </si>
  <si>
    <t>Gross Debt(rs.cr.)</t>
  </si>
  <si>
    <t>Net Debt/ebidta(rs.cr.)</t>
  </si>
  <si>
    <t>Flags</t>
  </si>
  <si>
    <t>Suez Ultrafor Private Limited</t>
  </si>
  <si>
    <t xml:space="preserve"> Email, Major Investor, Subsidiary</t>
  </si>
  <si>
    <t>Fy25</t>
  </si>
  <si>
    <t>Veolia Water Technologies And Solutions (india) Private Limited</t>
  </si>
  <si>
    <t xml:space="preserve"> Major Investor</t>
  </si>
  <si>
    <t>Degremont S.a.</t>
  </si>
  <si>
    <t xml:space="preserve"> Shareholder</t>
  </si>
  <si>
    <t xml:space="preserve"> By Directors</t>
  </si>
  <si>
    <t xml:space="preserve"> By Directors, Email</t>
  </si>
  <si>
    <t xml:space="preserve"> Email</t>
  </si>
  <si>
    <t>Key Shareholders</t>
  </si>
  <si>
    <t>Major Investments In</t>
  </si>
  <si>
    <t>Subsidiaries</t>
  </si>
  <si>
    <t>Key Investments By</t>
  </si>
  <si>
    <t>% Stake</t>
  </si>
  <si>
    <t>Detail</t>
  </si>
  <si>
    <t>Relation</t>
  </si>
  <si>
    <t>Veolia Water Technologies And Solutions (india)</t>
  </si>
  <si>
    <t>Suez Ultrafor</t>
  </si>
  <si>
    <t>Sppl-sipl-drs Infra Jv</t>
  </si>
  <si>
    <t>Associate Companies</t>
  </si>
  <si>
    <t>Alstom Rail Transportation India</t>
  </si>
  <si>
    <t>By Directors</t>
  </si>
  <si>
    <t>Suez International (formerly Known As Degremont)</t>
  </si>
  <si>
    <t>Malviya Nagar Water Services</t>
  </si>
  <si>
    <t>By Email</t>
  </si>
  <si>
    <t>Poornima Gupta</t>
  </si>
  <si>
    <t>Salem City Water Services</t>
  </si>
  <si>
    <t>Anis Benmoussa</t>
  </si>
  <si>
    <t>Suez India Private</t>
  </si>
  <si>
    <t>Joint Venture</t>
  </si>
  <si>
    <t>Aquaserve</t>
  </si>
  <si>
    <t>Suez Projects</t>
  </si>
  <si>
    <t>Aquatex</t>
  </si>
  <si>
    <t>Degemont France</t>
  </si>
  <si>
    <t>Francois Fevrier</t>
  </si>
  <si>
    <t>Charge Holder</t>
  </si>
  <si>
    <t>Charge Amount</t>
  </si>
  <si>
    <t>Date Of Creation</t>
  </si>
  <si>
    <t>Date Of Modification</t>
  </si>
  <si>
    <t>Date Of Satisfaction</t>
  </si>
  <si>
    <t>Status</t>
  </si>
  <si>
    <t>Assets Under Charge</t>
  </si>
  <si>
    <t>Charge Id</t>
  </si>
  <si>
    <t>Bnp Paribas</t>
  </si>
  <si>
    <t>Closed</t>
  </si>
  <si>
    <t>Sood Towers, 8th Floor25, Barakhamba Road New Delhi 110001 India</t>
  </si>
  <si>
    <t>The Royal Bank Of Scotland N.v.</t>
  </si>
  <si>
    <t>4, North Avenue, Level 3, Maker Maxitybandra Kurla Complex, Bandra East Mumbai 400051 India</t>
  </si>
  <si>
    <t>Societe Generale Global Solution Centre Private Limited</t>
  </si>
  <si>
    <t>6th Floor, Mohandev13, Tolstoy Marg New Delhi 110001 India</t>
  </si>
  <si>
    <t>Bank Of Ceylon</t>
  </si>
  <si>
    <t>6th Floor, Birla Tower,25 Barakhamba Road, New Delhi 110001 India</t>
  </si>
  <si>
    <t>1st Floor, East Tower (sood Tower),25, Barakhamba Road, New Delhi 110001 India</t>
  </si>
  <si>
    <t>Company Name (rs.cr)</t>
  </si>
  <si>
    <t>City</t>
  </si>
  <si>
    <t>Year</t>
  </si>
  <si>
    <t>Age</t>
  </si>
  <si>
    <t>Total Debt</t>
  </si>
  <si>
    <t>Rating</t>
  </si>
  <si>
    <t>New Delhi</t>
  </si>
  <si>
    <t>Xylem Water Solutions India Private Limited</t>
  </si>
  <si>
    <t>Savli</t>
  </si>
  <si>
    <t>Aquatech Systems (asia) Private Limited</t>
  </si>
  <si>
    <t>Pune</t>
  </si>
  <si>
    <t>Bbb+</t>
  </si>
  <si>
    <t>Enviro Infra Engineers Limited</t>
  </si>
  <si>
    <t>A</t>
  </si>
  <si>
    <t>Concord Enviro Systems Limited</t>
  </si>
  <si>
    <t>Mumbai</t>
  </si>
  <si>
    <t>Shree Hari Infraprojects Private Limited</t>
  </si>
  <si>
    <t>Jaipur</t>
  </si>
  <si>
    <t>Bb/a4</t>
  </si>
  <si>
    <t>Toshiba Water Solutions Private Limited</t>
  </si>
  <si>
    <t>Gurgaon</t>
  </si>
  <si>
    <t>Withdrawn</t>
  </si>
  <si>
    <t>Watco</t>
  </si>
  <si>
    <t>Bhubaneswar</t>
  </si>
  <si>
    <t>Kent R O Systems Limited</t>
  </si>
  <si>
    <t>Sigma Metal And Power Private Limited</t>
  </si>
  <si>
    <t>Kanpur</t>
  </si>
  <si>
    <t>Bb</t>
  </si>
  <si>
    <t>Debt/ebitda</t>
  </si>
  <si>
    <t>Pat Margin</t>
  </si>
  <si>
    <t>Current Ratio</t>
  </si>
  <si>
    <t>Leverage</t>
  </si>
  <si>
    <t xml:space="preserve"> Rank </t>
  </si>
  <si>
    <t>News Title</t>
  </si>
  <si>
    <t>Date</t>
  </si>
  <si>
    <t>Url</t>
  </si>
  <si>
    <t>Jwil Infra Ropes In Sunita Thakur Kohli For Chro - Hr Katha</t>
  </si>
  <si>
    <t xml:space="preserve"> Katha</t>
  </si>
  <si>
    <t>Https://news.google.com/rss/articles/cbmikwfbvv95cuxommtiuehxq2m5bluwtmrvb0ztmzbxrwlttw5jwlviytdvuwwyumzyverxzgk5yvfjctztnjzsbjfxvun2nfhxmm5urxztcjjyowfjotd0c2zhy1mync10emrqdv8zwvfqb2l3efbxt2dtndatrv9drkpnsxfzwmy2ajzjrek0ztvxc2hkyuzwvm1cy3m?oc=5</t>
  </si>
  <si>
    <t>State Pollution Control Board Has No Power To Impose Environmental Compensation On Person Or Industry:... - Verdictum</t>
  </si>
  <si>
    <t>Rdictum</t>
  </si>
  <si>
    <t>Https://news.google.com/rss/articles/cbmimgjbvv95cuxpyuvgr2n4belicwrywetrn0hnwv9munjwref2bnhidlcyaetwyna0dk5gx21irje5m200ywqxujzcc1zkwflqefd3tjjwewxzy1nlsdbezg96zkruugi1otf3v3rqsg51zdbovvrsduuxclfcmg1qddjazmz0r1bjrk9ybfetmwlots1kbgk2t2j6wehvzgfzq3dkewezczzqunvntl9xyu9mmezxbjvhqllrugnushhmbzzmefnxu2rhate0muxpb3b3dwq2rkvwvxi5u1nrzjnolxfrbxvdbhjbqxrtb1lxwnzuektbshlivueysgvtumf0vkj1sug3u3rhr091bnhczvq5vfrdcmthzgrtdjhsruhsaz8cqvvfexfmt1bnrddumwfowxn3bmzrafm1bk9ft09qttjlm0xovkw1sk1fn1o5rhe1nm9wn3btq2w4sxywsw85wdlyr0lzxzbbnznyselyttbcsuj5aghht1ztquvmqzj2t3hsyxhmnlboqmptrujsrwzic0roqzbhrjjdcwjdugrecfhblwjtowdrmudyv1l4oxnia1k4y1c3nvzlvld3zffhqtzmunhqlv9bwfhmvvbmogpetlvbel9js3czt1llx05wd2v5vfjtrm56rgk0cy0zqlzjouhbrxpyogz4uvhanetmz2fcz0ziyzayb183tnlcm0jhzdztrgfra3hcdvjmd2nbwkn4zgdnmgfsx21vovrfrw03zxhwz0kzduk?oc=5</t>
  </si>
  <si>
    <t>Digital Monitoring For Water Supply And Control; Initial Project In Kochi - Kerala Kaumudi</t>
  </si>
  <si>
    <t>Rala Kaumudi</t>
  </si>
  <si>
    <t>Https://news.google.com/rss/articles/cbmi0afbvv95cuxnz0g5oxjluuhozuvvujvqwtbjrzhlagf0r0rrntutbw1pa1rxegfmyjdmsvzaz0jdtvjzodvsmlc5bfl3yxrpcvhoufvta2o2n3ltcur6bvdseknxmfgxqmi2zdrwuxdlegnrug1hcgy5whdyn0jdduxdowjfmvpqqurosnbnywtccux2dvkxzufnvutqoutju0uxtgrxq0nqa2dfc2fgmxpsltjnzmfgcmnqrtc5uhllve80ck9zatrkzeutognnogpvqknwwg9q0ghwaufvx3lxte03ltvxakdknkjlohnqakndujnsagrjm0tfmnlem3lzank2bnfuohbevfvjb2yxm2fydfmyt3rwu3bxbe8wcf9rymhzzlhiswxscddvak1wqkteazd2wmr4vzzmr2t3revsx3vcoefwofczajrkykzxvkfov2flmktezy11negwctzec2lomxvhmnfznuxrmlc5y1puqmdzbnjysktlvti3vgh2ulpovxiwwwyyohdmn1fby0w5nfnbdhg4wg9hclk4aldidzgtedf3odv3eke?oc=5</t>
  </si>
  <si>
    <t>Upset Over Job Loss, Outsourced Jalkal Dept Employee Consumes Acid; Critical - The Times Of India</t>
  </si>
  <si>
    <t>E Times Of India</t>
  </si>
  <si>
    <t>Https://news.google.com/rss/articles/cbmi4wfbvv95cuxqegm2ek9fsknea251rlctwufxbjdslu9see53zvhozdjhqvbzbwtqufpmltzja3y5ymnta29ysklwm2tcewu4v3vjn1dpwg4wnmjyu2drs0lxrnrqvkjaluthbjlum0nuckj1tljhcdjvqzf4a0p0uwltetdjdgvcrwkwumr2zhdzukzmakjkyjdhb0dqb3diruxnnu5fywzfszlxbghxrtrwlxbpzw5xath2qnbtlxotsfg4ves0uzbudmz6mg10wfrtrux2bnbmaupjsjqybvlvr21octbfnmprc9ib6afbvv95cuxpzhdwtllybglvaxpfx2ppatdpruqycl9ic1hjreg5ywuwme5uajb6tdfyyudznw5arwzxeenmqxfuq3fgee9iv3nqauzoovrjwty3zxd1skxlx0drzthxzevqclnur2lzq1rhs0k2nkfyu21rr20ttgrteurtlw1ivg9osmjrdwtralfncgjvwdr1yuhtswjwcnllmzv2se1dqm9rdmzsyxpruy1pq0j3sen2ee5fzknxtvvzu0durmjmzlncwtr1nmj4tjdsqjfedkt2snv5lvdrtfu5u0pkbki0uhnplwjl?oc=5</t>
  </si>
  <si>
    <t>Uttar Pradesh News: Sanitation Worker Attempts Suicide After Job Termination In Lucknow; Family Blames Suvej - Free Press Journal</t>
  </si>
  <si>
    <t>Ee Press Journal</t>
  </si>
  <si>
    <t>Https://news.google.com/rss/articles/cbminwjbvv95cuxolumwy1fyt2fovu9tcwg1tdddd1f1dxpkak50wmfet25gludqrnvnd1fmmwdhsljlv2dvnu1tbelxcgrfm05ja0j2m1bbcf9xyv8zc09cnnz4r3vzedjioxlyyxj1vi13ru96awk2rgl4vvzqbdvqx2xdmzvddmrivg1wtmnkvdzoexv1nwrsngzire1jm3rnsehfwdn3zum3a215eew4szflres4ttburjvvoer6dw9trlnidxnaq2vqb0lfcjnnyvuzvgpunu1mvtd5tkm4r0pztf9nltj5nm1ud2v3r2ixzdzfz2q3qw9wnepscg45aetqodhanvlzcwfsaf82mutds0cxtdhsdertq0npt0ryt255n0v6sdibpajbvv95cuxovg5ncwffvk5iau5lbkt4egdvqve2r3brru4ywtbpc3hlnkp4a2tqx2lkvveysjv2ne9frlryse5myxnaalhfrdlyddhwefntyjy4venpb0dlaurhchbabjzlr1dybjjqajldqti1qvvldxboyukynwnhn01vnvfklwdrlu5bcjyyemhgs2lzqvf2qjh0nxcwadu1r3f1u1dfbnjrounybkxptjhpegi5b3rsn2dhmevmavdmdjfysly5otrdekz4axu0ym12mxj2m0zqtkdfcfr5adznuktbogdrbklhb2n1bmitlu82bzznbjjpblnzvulrodltuhjlswtkr3lux3pxuw9odte0lwvimefnb3i4mtgwqlbznvpxency?oc=5</t>
  </si>
  <si>
    <t>Body Of Man Who Fell Into Open Drain After Stepping On Broken Slab Found - The Times Of India</t>
  </si>
  <si>
    <t>Https://news.google.com/rss/articles/cbmi4afbvv95cuxnwm9pbuzndv9qank3zhz4v0pxsl9vmlzjznvdzglgvefpauhncdhgbguwtlbsuwr3yjrzeuxjdjrnodl6uw1unna3uhnorhbtsnbzwnl6uhhack9vvud3unbnwewtzgxaukn4nmo4zwx0z2hkvtjns01soe50b0zncjzia0dbztbeskxltgl2atbirjrxrjrsymvnykppovjovjdcmmlbbfetcmnenjh6cmjoodbuvnztdljtnfzbr2zkuevynmjlcxlvtwdsx1loqu1mblj0n0g5ym14mly0wnib5gfbvv95cuxprdlechg0yjd1zwrzbjbalvblyvj1tzg0t2dkatzzavgwmwroav9bcnlqelrit0nmytg0mfreskrvtmdyn3y2ytbzwhhgymlnsghinwprq1r0rzfpbzmxowmxqvjsznjqzgvbeklvdjngakzregvwze11yvbxngrzmgjlqjvivvdzotbttfvyr3gtegnsdjrhenzrohrlvwluwdk2z3jznwvtewlvy254eec5wfg2wvdarkhaoezinetganc1bvrntktlm3nlandjoxviwwnhutj3thoyv0jlwhbwug1luq?oc=5</t>
  </si>
  <si>
    <t>4 Crew Killed, 4 Missing As Oil-drilling Ship Capsised In Gulf Of Suez - India Today</t>
  </si>
  <si>
    <t>Dia Today</t>
  </si>
  <si>
    <t>Https://news.google.com/rss/articles/cbmizgfbvv95cuxqrgp2c2h3qlvkzujladbqrnbyntbaufrhb2m2ovdjbddtnkvsmezstlnlavjyn24ywxptughirmturwnxtwz4ytrwshz0rlr6zzbavgvddxbhelnkdxnhtljsylhncnpjqwjxnfffqnyxudd4s2zvbhlxx1fireflrekwm1jpmlrzyljmngr0eer3bwduovlrvu9kvxnqqlzimmvvtm05m3hnwuveykwysnzxbw9srw41tnpkzljdowjnvwcycwnvbg9knzfnd9ib0wfbvv95cuxode1przjmog1ybulfzehhcy0xr0i2yzd6s05rlwxzsfk1n2dxandatedhvg1omhdgcvhyt1nhyndoq2rxqwstzuxzced5c01qyjktcg1hx1vuce1tekhxcwpia01hm0g2bxjvqxdtwfztbv92u1azeetfnhe2t1bdqm5vouezszkxzs01njzhz25psgxxs1juqkcxwtvdluznt1dhsk5ortrdcxzyqlrmwkfpu2vdsgfimwrtdfpzbej5qvlvskfdtmxnquvzawvzzhbz?oc=5</t>
  </si>
  <si>
    <t>Rasmi Ranjan Ray: Ceo, Suez India - Indian Infrastructure Magazine</t>
  </si>
  <si>
    <t>Dian Infrastructure Magazine</t>
  </si>
  <si>
    <t>Https://news.google.com/rss/articles/cbmiggfbvv95cuxod0lwc1jezu9xzvjvnkv1vvh5afdmykprzhiwsfjsdujjmnlynuhxcwrzzf9tz0m3qtf5v0jybkrknkzqz0psmfp5ltjjtw5zaljormtotuhvrxzkekdbx05qwwngag9ystl2wmlzevrrzfjqs0ltt1rlr09vn2jstghr?oc=5</t>
  </si>
  <si>
    <t>Suez Implements Gis Tech. In City’s Drinking Water Supply Project - The Covai Mail</t>
  </si>
  <si>
    <t>E Covai Mail</t>
  </si>
  <si>
    <t>Https://news.google.com/rss/articles/cbmijwfbvv95cuxnmgtewdvmd3vkdgjhodvxbmfoec11rllpn2htytq5r2f5auftm05clvd6mzg3unn1cvzzx0jwr0thbexgte9ysxzidlvfq1froe80vuxqmgtwmmo5tfa0b1jzmwhmsvnnnzg1d0w1a0hva2viczhkdzzxrzfirgv1sljjejrrofo5rhvvedzzsq?oc=5</t>
  </si>
  <si>
    <t>Coimbatore Corporation Proposes Revised Estimate For 24x7 Water Supply Project - The Hindu</t>
  </si>
  <si>
    <t>E Hindu</t>
  </si>
  <si>
    <t>Https://news.google.com/rss/articles/cbmi3wfbvv95cuxpegd3s2jjdhg5vm53bgs5ythfcknblunxttjhwhvfnxbkn19nsc1zwdj4btf2ver5unhrmedoodlvmvnqoefrrwvsn3kwoxrunc03yu40dtdorfhyq1bmvmlqmfzkwezqltb0yuxwwmtscld5mkz5rhlvukjwz2s5ndj3u21ru0pju2dyymc1wnluvdfqa2xqmfrettzpdnetuy1cwmteync2ve9xqw9nlv9nvxo5qjzmtdfiumxmc19mbfrvuupcy0domvjybm9maxlqzvrutc15eljuu2dv0ghmaufvx3lxtfb6z2w4cxhyddfkvzd2b25kzxjxrnq1sjm0mmloy1nzcfzvnv8yvjatddhutg01dmizs0y0ylleywvvchruzvhhelzodujqrknjr0jowunyq0l4qun1og1wmlffne5jzu44zzhqlwjfvfitt2oxwwvnn25qn3f2ahzza3lmq1o4rk1etho0qukxulnjrnneuwfhu0szu2zyrwnpnc1mcwtssg9sdelwzlrhug9oovzbbm42u1m0vmxkmjltwjzeqxfibwhjtnbyzwtlduw1rmvmt0vrm1uzexhwn3lhdev3?oc=5</t>
  </si>
  <si>
    <t>World Biodiversity Day : Suez Is Committed To Preserving And Regenerating Biodiversity In India, At Its... - The Hans India</t>
  </si>
  <si>
    <t>E Hans India</t>
  </si>
  <si>
    <t>Https://news.google.com/rss/articles/cbmihwjbvv95cuxqynhsq0pebmkyvhj3qnu5x0n0zjnhtgxsdmhusja5enrpagnivuphnhezvkhwd2e1sk5iz1y0r3jjbvetagezb1jhwnfiul9tudjlukwxazhowmxitnlitujsrgl1y3jrb2eyz0ttbna4outtwvp2wtrsdlzhuvrlmdmydwnhltnvqwffee9xrxi0dzhqc3y3rhvhoeu3nevisfm1ruzqvvzgy3v6x00zdldtdwnolurfcljpetzsbwjwykw3edb6rdhwdmnxsuhintbtcvjsb1y2r19oceswewuxcklyntlxsdrsrue3ovlyt3fsdjy1unmwzjz3rhnov0lyzhlqc9ibjajbvv95cuxpx00xz1bnz0jzwe9wm05jznvccvrpukrsywvqtfrhddjnc0llvgzmb3fzymw2mufdadzrdm9xng5ysvpta2pir1rgwej1wxjstkkybfczdvlgcucydl9tqlplaxdss2q4m2ftsk9pwkpcrnfvcmltdnzpdmc3tvjfvffjyulsawrpmw8xotg1efdjswpudutxb28yeeztrepuqi1fri1dq0lzqtleckw4rnpubejnohzlog5fbnnurwlwnghsqnrtuxhbmfnmuvv0mzv2uunprdnlu0tealbkd3o3sxrtu0r5n2lztxner2nqyk9ini1vuwdqd0vcc0fkouthrdytse56owlf?oc=5</t>
  </si>
  <si>
    <t>Coimbatore To Finish 24x7 Water Project By August 2 - Construction World</t>
  </si>
  <si>
    <t>Nstruction World</t>
  </si>
  <si>
    <t>Https://news.google.com/rss/articles/cbmi2wfbvv95cuxpt0zlnk5swxjkdzg2wel6qwj3b09dvdq3yznivxjirljwoe9wvu1dmm80wexecxhvtk5ix016cldidxjowjmwwnbodjzqddhyeutoul93y2rqbjjtuzutv2dzb0zny3zcv2vfow43vwg5bkjsvtbmc09xbg1wvvpoewvcuu14wmroulkxuxr5vhfoqkvtrewzofb2snvct2ctt2f5owrrnjjmqldvuwfttl9rbm5cqzbzudywcdfot0dxtkoxdhfnyi1ebklpdxhrzlliahvvn2nrnmm?oc=5</t>
  </si>
  <si>
    <t>Ccmc Aims To Wrap Up Work On 24x7 Water Supply Project By August 2 - The New Indian Express</t>
  </si>
  <si>
    <t>E New Indian Express</t>
  </si>
  <si>
    <t>Https://news.google.com/rss/articles/cbmiyafbvv95cuxqnjbwbxvodnpzn1vnsdrynuryb0wtdw1wceniwvlhrhdfvg1kwddzzg5xmteyexnxqutoqwdazut0vmrlvhlsdfa1wglpyxvzs3ribevjrllsohzjofloaefbdwdqrupty21fy1aytnf4suxbcujyxzdqtvfzctblx25kvfi4dgfssxaxcnr6d3joejh1ejrzujhfam85lvfqodnqcgjwzvzxvc1ud1h6uhplzljabkytd0t5uvh3ztjrteljrdlvadib1gfbvv95cuxqtmrfuhbmmv9vzepqa3o5t3jpben2dmn3vetyrvzqbfhxzlnwmgrkeuwtberquli3svzmvmjxm2fuadi0m0nudwxxa3fmy01uwehyqml1zu5qa3hpzlrqy2hmeulddu90wkhlnvjxumdrmmx5s25jr0c4vwjla2dcckttmlhyeti4n2z4zuzavkxvlwzuqvrpttnnd0w3bs1qnk0xudnqnhvrredymmxnr0juz0pycgn3aje5djj0s3hzbuvswxfkr0sxm0nevjfhujrpzgf3?oc=5</t>
  </si>
  <si>
    <t>Public Consultation Drive Launched On 24×7 Drinking Water Project In Shimla - Theprint</t>
  </si>
  <si>
    <t>Eprint</t>
  </si>
  <si>
    <t>Https://news.google.com/rss/articles/cbmirwfbvv95cuxowkg1lwfseve1ufvhu05frzntrxfey21xvxldbtfzaxq4x0t3cdhzwmfsvuzjmhhymtn3bxj0rxbqduewwfnpc3mzchjvmne0wm03rg03oevootvjsenarfdtr3bvazyxahnueeg2lthhdwxrc2w0ewtvwepfzfjsajljdndosjnqwi1gawvashvfbunmelbovfrpmes3unbialh3ynbpsev3rhk4nutv0gg0aufvx3lxtfbuselkbfhuzdz1mdhobefpwnzqqmn4azdltfpxyxhux1h4alctzzjfbxfsenu4sllgztfgoulhyutqum9bbxbnr2i4rjhlrjqyvmjtexcwwupjsuthowxkd0duouc0d1u0ag1sqmt1vmlgmdljze92wkvaakp5cll3luznrktlzwdduvhfdkrhynyxd203r1byvl9qsu1cs1hpqxfxekrszddrn01ab0otdgnjwa?oc=5</t>
  </si>
  <si>
    <t>Coimbatore Civic Officials Inspect Overhead Tank Construction Works - The New Indian Express</t>
  </si>
  <si>
    <t>Https://news.google.com/rss/articles/cbmiygfbvv95cuxolw45rkwzyw96agp3qmkwmghpugnkaurhy3rdvm5xd0n3nnfndkzlluryytr4tli5sgnpqujeswh6y3b3nzqwz3r0tzhsshd4bzjsoffosy1tdgtmt2xnzzczdzhbdhvrskp1u2lst0e2x1bfm3qwunznthdum05natzfotlbblc4lunbz2tqqljvqjzjenmxbuhemhjjwkgzuu0zu0hpqkgym0hvotliegttrehvnvy5murex0xvykw3qwoxenbeq3vb0ghxaufvx3lxte96vvd0dvjynexsqnjttldzmmpcmly2zzbtugzfylryouluuvixt0v3nnpxv18zb1lemw9mu1dyajh2snhrzxy4vtjktw5pm3gwluruajvxtlbxtk9szgxaewkxywn5cehkquxoewjpznrxtlvxbevydulgmglmzvjhzkfttk1vufrylunovi1wlwpzutlucwlvyvk2sez0uji5devubv9uzkt6nlh1curlbu4zu19qak9fdxfaug5vogp0ek81m2dituxwz0f2bwhdnzzbmlzz?oc=5</t>
  </si>
  <si>
    <t>Celebrating World Water Day: Our Commitment To Sustainable Water Practices - Suez Group</t>
  </si>
  <si>
    <t>Ez Group</t>
  </si>
  <si>
    <t>Https://news.google.com/rss/articles/cbmiowfbvv95cuxnunr5r21pwmxvzlpzdmlwuwljsnrfqwj0dtbozjbwvvdfz0vtejfhmxbuuvfjtk9itnfnekqzzmxfm3dfqwr5uvdnzna4nu8tswnpstr6nxpdu0pnu2gwetdore5zunbwqnhlu3ngqxjecupudf9lretnmtfwzmjwcw9ts1dvczbnq0o4u3jhvhfhzdhkumx5becxv3fsrkc3zlzr?oc=5</t>
  </si>
  <si>
    <t>‘tree’bute To Womankind - Times Of India</t>
  </si>
  <si>
    <t>Mes Of India</t>
  </si>
  <si>
    <t>Https://news.google.com/rss/articles/cbminafbvv95cuxoyvfqaevdv2jat3nzuddhsxdit3hkvur0wefpqmdlblhfcks3ng5xz3jhteryddjrqju3q3zfaknvzlvkmuxvak9mquvdtwq2x0lkmnziwwm4tkfza2x0ywt0wnl2c1fsazfwdwh6tdjxte9hc0kxbzrztthwowrzuf9fenvlofhpnvjbeudidwlidgjnrwdbcghwulnsaaibqvvfexfmt1qzvdluee1fvkx5zjl5vgits3f4zkxlzufgeu9pqzvfywk3zli1z0qyt3dumdm4cxrfsehrywp6yxvumeflev9tcgxplurbzxrnvc0ttu1ta2fxnv9mvxpaqnhdt2tnvzfyclp2tlbvx1j3n2ntwuhqegtzq2fgadnbredzds13me1rcllct3jlq0h5z2h6t0h5z2t2cvfjsw9r?oc=5</t>
  </si>
  <si>
    <t>Kgmu Nursing Gains Exposure To Water Mgmt - Times Of India</t>
  </si>
  <si>
    <t>Https://news.google.com/rss/articles/cbmitwfbvv95cuxqeglsr0nqzuwtn05pmlo2cxh6dvv5cllxtdhsvlniewlgme5xd2dgvgxwuuhhnu4ynwzxeek0yzvymerizjn6n00xnnj2c1jjumiwnut3zti3zgfkvnv0x1llvffsmee0zdq4x1hpv3i2rmlcd0hlaxhzne9ftuv6zkxlv2jouwtutndxsudjb29zmdromuxudljzmjrfyut5rglcuxlsynb2avdlrf92dfdvwfo3tuhsabwbqvvfexfmtwxfehyxvtrfynvxwhbsckq0luy5bgqxds1wnfnbvvpaq19onw9mahfeowdenwf3dw4zx2rzulboq2xnyks4egxja3rfuxviv2nxtuhdsk1fbxy2sk5dynlftfowthdcsfvscdhhtk12tgy5czhuzm5lb3nnlwnwlw5rcnloty1hy0u1afbequewq2juwjk1bfzjbtk2elkxdhnydw01vndwd3fvslnfem5hs2l1enjgc0dcn0g?oc=5</t>
  </si>
  <si>
    <t>The Looming Water Crisis: A Call For Urgent Action - Daily Pioneer</t>
  </si>
  <si>
    <t>Ily Pioneer</t>
  </si>
  <si>
    <t>Https://news.google.com/rss/articles/cbmiogfbvv95cuxqndbadkfjuulbrmi1eunsznityjvqcf9hbkvcvke3bufvs1awalzvakvgu2l3cznpqjnelthmy0jwtxjlnlvxbe0zaxrucmoyujbymerltg44cfpka3a5bjj0slbflvfnnmzpdnzzrxhfwwu0d1etdxnfaevqdvdvqlfzbzq4d3vettdxam8wy3lgevbrb1awy1r4dkh4etm4uee?oc=5</t>
  </si>
  <si>
    <t>Suez India Showcases Tech For Shimla Water Project - The Tribune</t>
  </si>
  <si>
    <t>E Tribune</t>
  </si>
  <si>
    <t>Https://news.google.com/rss/articles/cbmimgfbvv95cuxqngvoefq3ohzxukvov0fwywjwtmfknjhfvuzpevzeshb1cnhienzwuw0tq1p0uvzjzgtiwnnqbnbiawvnmvzastzbdlbxr0gxymhrbwrsdmpyy0utt25ivu80ql91ay1semhqune5nhnjoul1zwt5tzhsvwzqtjlda1dbc0zmc0rtchjqug5rwktuajv0wtetvmpr0ggeaufvx3lxte53mdzfbvd4a19lbni1alllqjfxdf9famvxnmhlcmktzezwztcyr21vqvznunhfz3fwwujvr1nychzjrms0s0dmsw05lxrgakpjdfpeb0x3m0djbu1ar2tlckfoymz0vmllc2lzwdjprjvdcwnynk9xwxj2znfnlwruadzqdhfrb1dwdgjyuzdjqkdibnzrcwwzvmj0bjjr?oc=5</t>
  </si>
  <si>
    <t>Budget To Foster Public-private Cooperation In Infra Sector; Attract Investments - Upstox</t>
  </si>
  <si>
    <t>Stox</t>
  </si>
  <si>
    <t>Https://news.google.com/rss/articles/cbmi4gfbvv95cuxnuu9itkhlak1fthnks1v0x3jnnvfuuekytgy4mgluegp0x1jaq2eyynmyu09axzbfn2hqdmnqtufktxnyqliwoxdeovzwquhzevlyofdddezgdldpajzocexyzvfxbmxhc1b4yjrpdeveul9rt2sycxlybm9jy3kzsupndfdhufd5ae0wykjjquytn29yuumyatlpy0hirnozlxb1v0iwdenrs1z5s3rbbflkq1e2vc1otedonvlxnjvlzzluylb4celgeestbfrnn2d4lvhmmnbmovdceei4b1hb?oc=5</t>
  </si>
  <si>
    <t>Budget Boosts Infrastructure: Public-private Partnerships &amp; Investment - Rediff Moneywiz</t>
  </si>
  <si>
    <t>Diff Moneywiz</t>
  </si>
  <si>
    <t>Https://news.google.com/rss/articles/cbmiuwfbvv95cuxomv9ozgdvymvmcv82d3a0sfjlv085rzjpefdpeepzx0p5odbws1y4x0x5tk1ja3zyahjytupha05huc1ksjbrvwdnvzvdmgnjrgtpqzfzdew1dnbpuw5iz1nor3pbzwj0r0q3x29lys1lewlkoxhqnwdocmrvdxbyatzhwgnuzm51vtforfhtrkjsefjusjhbbkvinvi5yk1ecuvzsndslwd4wwzfx3putgfkwhv4mxr5d2zn0ghaaufvx3lxte9jmml0vmddqkvrcui5sunxcm5ta3dyswiwci0tzmm4ww9vovj0emv1tvldbhb3v3rqze5daw9isjnbtutpnu1cbu85b2xiy0xgtjdiy1rtewp6r3ewuu1mrxndr2tzoxdzvhzcugdtue5yq0v3zvvknwvrmvq4y0vbatztd0nysg9mnm5gewrsrc1bs0vwyxbyekroy1boa1fymla0a0dxdllsskw2exldnelzb3jayzhkdfdywuphva?oc=5</t>
  </si>
  <si>
    <t>Budget 2025 Aims To Foster Public-private Cooperation In Infra Sector - Business Standard</t>
  </si>
  <si>
    <t>Siness Standard</t>
  </si>
  <si>
    <t>Https://news.google.com/rss/articles/cbmi0afbvv95cuxqwe4yatnsbxhiry1syjhytwj1ym1qb2pfohh0d0gzbnjra1q2v0hgevnfuwt1qujxtedztgzssutizejfothhvzhzalz6mxputke4vwpksmtbdlprcjzzvxdmv25rrmdeeg1rnzzoc1fcm09ez1lmutexthlft2dmcxpks1a1thbbc1jswhotnw1omg9qmzflv0zrv0z1eet2qxp5aja1etniuldhrnfdbfntew9uv0vxuw1fymttv3u5rw5iv0xlqljinvptwkhf0ghwaufvx3lxte1tb1zudghns194ahhatjnbttvwtvvwnkjowtjuqmnqs2xlves3se0tcnkwq0czr2rymustcuzdz1vrug9idmdpudruueh6bza4mm5yauxnqnn1oho1s1c5cnlns3fjy3rkx1ntowm4ueq0lujaykctnxfkrep2bgjtrnrjdu1iutdibxhqcuy0bdn5r3j2swz0n2zezwt2q2vvzf9lcm9kv2lvagpowxbtruvztf9nrlg4u040y2vldw9vbnjnuug4shhrwuvwtk15s0nuq3c?oc=5</t>
  </si>
  <si>
    <t>Suez 24/7 Water Supply Project Faces Setbacks In Coimbatore, Residents Demand Swift Action - The Hindu</t>
  </si>
  <si>
    <t>Https://news.google.com/rss/articles/cbmi7afbvv95cuxqvmtizxj5tw5hts1mn2z3eg1ibvk4bxrcejflzdlrwnvteulhtf82yvpoa1jgn1vbq3dzmvb1mfdyzwewswh4cgzqbmvrwgvncggtu0s2albsdvo1cs1vdgdksdvkdgg5uulud0puykp6txl2yuzftkphee0zuzjqv0y3tzq4vdbzsu44a3kywkp4sgjpy2c2cjrrn0yxyxnxehr5v1nnoe5azxvlawxobdc4wdfrvte3rxlws2jbcejdrljkym92m2twr1rvvjq3bld4mjiwnnbrexdymux6egpmbkk3z0o3rze5mnib8wfbvv95cuxon0fpexhvltjttdffx0nxbljjvxjntzbqoetrtxd6m1htqjrhzno2ade1tke1zhbbywljtmdocujecvjfdwrzvuhnvnc4r0dklwhicmxjqxvywkrxmepzq29oruxmovzmnwfbnk5qqmg3tzhjm2i3mhl3re1ynxzhzxzibmjrdvfbzmxxnkjlnupysmnxn1rpwfgwu1jzrkthnvbfmel0uul1cv9mnupoodvgzflkzhfite9ncw9xexbunfpomnblamhirknsmerhsm5trzjdcmformpetupncelzs0toaggyaet3qtetunixvgs?oc=5</t>
  </si>
  <si>
    <t>Mangaluru: Mayor, Mcc Members Irate Over Delayed Jalasiri Project Works - Daijiworld</t>
  </si>
  <si>
    <t>Ijiworld</t>
  </si>
  <si>
    <t>Https://news.google.com/rss/articles/cbmid0fvx3lxte1ar09yszr0tjzoa1hkckjfy09lalbzmzzss1nazenom1c1au1mbluwzefttk9vu3p3b0tpd014egdmzwlsx1flt1pzajvpv1realbtuljoumxbyvffmkxwb040x2lmnedycmv0ck5cngfqahjvbtdr?oc=5</t>
  </si>
  <si>
    <t>Drone Seen Near Lop’s Residence Deployed For Gis Mapping Of Houses, Not Spying: Sjvnl - The Indian Express</t>
  </si>
  <si>
    <t>E Indian Express</t>
  </si>
  <si>
    <t>Https://news.google.com/rss/articles/cbmitwfbvv95cuxoowfesnfmrmrtrjhvn05vveheag8tnxdkdmxiwjrivtjhogn4dvdtq3d5smnmbl9wn1ppoec5dmc4suzat3bfdxvunedkuthsywpwrevwdc04dhhnmg1om2thuvrvazn1dgntbtdjrehwqknisk1rznvys0nllvbtofrvzg0tumdiy291s2l1tum4y0wxdkdjvgfnvuvtajhlnjy0zeg4au5ls2pncdbvthzysk9ibfxsab4bqvvfexfmtjn5dxdhmtfjr1b1btczzxlnenfzbdvyzexxckpccnnzbu5ldvp1mhnkyk9wvkprek9ybtdywvhvblrwsgrnefjrs3zfvkv2vjzuenvtqzdhlveyqmn3wkhheji1mjexwjrjmupjvgzoanhtvnfuqmvtv0zomnrkbffqxzb1mvbyyth6znqxc0r3uelssmw4slpycxbzbvnru2jymjfnwdhcy1lywgf5nljcm2lsnv9vdjbyagdwdw?oc=5</t>
  </si>
  <si>
    <t>Suez India Leading The Way In Sustainability - Suez Group</t>
  </si>
  <si>
    <t>Https://news.google.com/rss/articles/cbmihgfbvv95cuxpyjbpv2foyloycmtqt0vyswp3zmvfddi3a3j5mnjqmjaxelzatvc5z285dlv4ym9wtddnbejzqtjjyzjmwxzumnhtu1v6etnvumvdthzvz1v5bgtovzdnufuywfpurl9oev9rre9pwwfobe9wm1nurjnvamfrqmv4ulj4tgnuqq?oc=5</t>
  </si>
  <si>
    <t>Kerala: French Mnc Officials Return As Left Unions Stage Protest - The New Indian Express</t>
  </si>
  <si>
    <t>Https://news.google.com/rss/articles/cbmivwfbvv95cuxomgrczuuwuvb4afg1q2xhyuzsampmagvoaujjmuznmmrstxawwe10zuxfv0jid2xlbutyoxrirwphmwrveu9dam9rttz4nkczd3lvm29bytdxrgjfufvpzwo3nhvlemtzaelrvxfzzgi0qkxurnlmtmncb2lnwms2zujnof9tqwj3njbsqkvmzmdtm21kb2h6dln3nenozdlsdunsyvv0u2ryejuxaghsvgs5dw1hcenyzex1zlo1y9ibzafbvv95cuxpclbuyknste5uaepjmuhyx3ctls14vldjx2pymkrqx1vzsfy1v2dpd3vicvrhadjvdunfuvk3txbkrvjyvuppbmhmntf3ak5temjjvjvhvfv0nk9icdh1mu5rd3nlzepdd3frmejfa1k2xze0uxpix1bvctztdtntq251rw5bsgxotfhlslnytdq3ylywmkfjbs1gck45se5osmlnnudisks0mtr1s1ddwve1atffyvdxcjy5t3jdtvawr05utevkugtuv0i?oc=5</t>
  </si>
  <si>
    <t>Cug Numbers For Water Complaints - Times Of India</t>
  </si>
  <si>
    <t>Https://news.google.com/rss/articles/cbmiqwfbvv95cuxpbeywmvfpzerhdgu5tlr2mi05oefzz0t0yzvtegpzqi1uvlblnm1nc1dumwfxrnlstmpbuvzkvunoanbvseo3nkxpb1rjvdmyoxr4mexvyljonfrovdq2terfu2hwc2mxtvpwovrtrjbqrg9zntjjbwswvy16a0tpbew5ejhpwnrire56ajdsbhn5x3y5tjv5qnpzahbmohr2rhvnevbwchvjtfhsababqvvfexfmtvnwckdtwnppakfdv3c2emvbsmvcme1tluvjy0vquev4t2ljujvddmx0sddwdwrza05pbhp2uufsczvltkvux18wsvp6v0vduk50qznxdgvnv3lrchpbsmr1a0xnbjkxaug1zzhnul9lq244uuh3wehultn2v09tofzqsmjcbg9csujxdkrbwvljns1fcmfvrkxhcwh4ouk0zefqngzkdzc3eexyavvum2g?oc=5</t>
  </si>
  <si>
    <t>Suez E&amp;c Success In Mangaluru City With Aquadaff - Suez Group</t>
  </si>
  <si>
    <t>Https://news.google.com/rss/articles/cbmijwfbvv95cuxqmvj6svhhogrtbc1ms1dzs3rbtudkc05ycjdjawm1u0fctuwwai1qqnq5tkswvta5cgo5eviwdf9gwvc2r0g2yznunljyt2y5cu9kdutwlwpxr1drteq1eu84rvnszdyybfmysk5mbzrur3phegjss3rbtknxdfzrrzrmq2rmandssgd0eejsna?oc=5</t>
  </si>
  <si>
    <t>Sewage Trunk Line Leakage Led To Road Cave-in: Initial Probe - The Times Of India</t>
  </si>
  <si>
    <t>Https://news.google.com/rss/articles/cbmizwfbvv95cuxnthnetmmzvg9mvzm1ajbjy1nszlq4bgnba3bryndevgf1dgxlngw3mnbyrldnajbur1eydjnvwnq2tfv3m0nsu3pondl6tghhdhayyvj4mti4r2jdy3m3buxpzwthbkforlo0vdviexnxohf1bs14culyr2nzvv9cswxeag5mov9lyvlpvznynknkrjzrrw05qkjnwxvjexbiynhgrvv4sxzxz2x4azzitwnxzgfrzhzsafhlmkxnmfzrtjaznvhtvvdqemlveknsadqbqvvfexfmtwsyazlregddrjlkr3u5ulpzutdeyvnsu1dqwepvm1nrnujleniwrmnasgtfqmeyd1hda2hwnxy4vu4tm09ltuddeetmqlh4ec1la2drufa3qwfbt2dzcezttmmwcdfwrffirervmfj2tv9ja0zcdlm5svhfswvnswcwmkvxalz0dv85q1r5bhbhzdfybmd5c2lzczbpbkfiawmxamu2a3rmb0y4befwbuhtvkvxwnzmdlptz2pzlwd3ylvkd1c0am9jslzsz19nujbiwtc?oc=5</t>
  </si>
  <si>
    <t>Worker Employed By Suez India In Coimbatore, To Test Water Supply Connection, Dies Of Asphyxiation - The Hindu</t>
  </si>
  <si>
    <t>Https://news.google.com/rss/articles/cbmi9wfbvv95cuxny2vkaknnzuy0ddhzzmdizdvortnndlvfduxub3lxdlq4dglgotdbsg96eu9luvpuz2xpwmnjblqyrgd0m3ring83m3ztovlvrkztc2f4bxrsb0k5lwrvlxzib3lbz2rtauliuurir3bazk5fx0qym0l0c2nfmlfaaehuyvvishjet0uty3hiylrwzmtmdhpmuxpxtxltuwettevgnm5wrlm4qnr5t1n6ogv4tmdtytnpmxiwvzm2ugl2zgdprux1mwy5ddzilun4ewrfberlrhf1nxfxz3dzsg43nxbbredcc2g5xzzkqvvmowhsulrr0gh-aufvx3lxte5futbsmlvqoxr2bzlowhrdt3j1uhzndgxfceyttl91z2tuwkzunhlhbmteudhfa1dlsnhzn3zzmkoybel3wmxseu5llus3y3dobmfxae5metnumtlit2ttm180ald4wtnwuk5iztvhb1nsqmltt0f6mnprtkz4s1q0nep3xzllmumzzlzrwvbhsk93ytf3vdh3m216ntdpsdexugr5y3iteeqxuujic1dxu29uaepvzny0yzlkc0j6nnpslxyzn1hjtlgzttq1aezxr3zdamxlvnfpr3pcvlvoqzbqrfjwzgh5cv9qcnbszwrmskhtnfpyofjanjfn?oc=5</t>
  </si>
  <si>
    <t>Coimbatore Corporation Fines Suez ?3 Lakh For Delay In Construction Of Water Storage Tank - The Hindu</t>
  </si>
  <si>
    <t>Https://news.google.com/rss/articles/cbmi7afbvv95cuxnc2fmohvzqzb5z054njhergddtud6a0i1dexwnhdouu9zn3fpdkfrclhzzw1ievvdm3lsee0zmgxnqkz2uenfde44cfnmynb6ntduadu5dxruvuxlmnbyd3i5wkxnbtb0dzfets1sczfms1fiu3lmcjnxnhduvl8wb2fna19cz2c1vvjcnmh0r1q2bvfidef0qny2u29bt2s4efgtbtlvt1diodu5telobdlbx0jvbeq4nkxcsjvqqjz0blbim1c0uglzduvplvb1cxjwsu5wvehynlbmylhsugowrwx4d0jlwkxaztib8wfbvv95cuxnbkdpdfvrytrnzvfzvi1mvwlbavrpout0zfnmvgjnvk5da0lhskppz2lumew3sujsqzg5cmjdsy1swjnpzvztsgm0mlpxvkhvnefraudvstddovzkadgwujztqvzjm0t3vgzwamjndglyufkzlurmemfltk5rsgrrsunbuwxdmejhctu5enlzwwvfd1k4bxi4rkxulwxqa3q4zv84yxdmv2i4n1bezhhxsc1qz3b2n3a0zg16dxriruwxswt4akzmc1gzd2yxrjy4q1boejnpb1k4tgnvag9wovnrd0mtv1frelhtylvubfezlxm?oc=5</t>
  </si>
  <si>
    <t>Many Carriers Still Sending Ships Via Suez - India Shipping News</t>
  </si>
  <si>
    <t>Dia Shipping News</t>
  </si>
  <si>
    <t>Https://news.google.com/rss/articles/cbmifkfvx3lxte51qs12nmdhxzlfsfjodexuzwfyamh5dtznxzyzaxfknmnfbuh5slixthbvbvvlwvhichitse1udglpd0tcb1vpa2itwuxhdtk2cy0yevfjbvhuc1e0a0p5uw1mb3j2slvzrkpannr5njngu2nos1vjvldqwfkxuq?oc=5</t>
  </si>
  <si>
    <t>Tk Halli Water Treatment Plant To Be Fully Ready By 2024: French Contractor - Deccan Herald</t>
  </si>
  <si>
    <t>Ccan Herald</t>
  </si>
  <si>
    <t>Https://news.google.com/rss/articles/cbmi0wfbvv95cuxpn3o5nf9inlhhbwhfnnjvahhycglyd0s1whe0q09ar1oxwe8ycuvdsgiwrk9eskniaw5iulbkne10ehjgr1lfwuc1bmzrnwdgrny4yxhqrhuxtunksthpwewzbjh4ug8wugpknktjmljcylm0rm5swvpmywlxwjl4bdf6avnty1vudlpktgdkqkzsdwd5m0pvedrvvmcxzkh0ctjncvj2zmeyb01mwevoyxuwek5zrkhtcm9vc1vxczg5ng80adv0rwddvte4mkhvnfd3?oc=5</t>
  </si>
  <si>
    <t>In India, A Rally Combining Clean Streets And Soft Mobility - Suez Group</t>
  </si>
  <si>
    <t>Https://news.google.com/rss/articles/cbmikafbvv95cuxowfo0bmpvejzwmevtwfblznpavnlzem13uhvodlhvmfdscf9fsfphsjy1zxfoa2nndthjbnnlwhatovdaedhezhu3rexln1vlyuu2z2etu2dqul9fakz0wmz6eu1urvz3lw56euo1bg0ycwpjzxbfam45ofhhadlhzldhtxc1rgfxml9ivkexrmc?oc=5</t>
  </si>
  <si>
    <t>Leading Environmental Services Companies In India - Housing</t>
  </si>
  <si>
    <t>Using</t>
  </si>
  <si>
    <t>Https://news.google.com/rss/articles/cbmigafbvv95cuxnqutnwtfda2npcdbwrmtrbujqrvdlb3zsm25vb1pzx2noqvj0nmotnkoyntdozncyukhiltdyn3drsvfzufhmwm8xt19wqkvyt1dsei14bhpgz2rqzghpm0himtnqoe5zmhnowxd6ani3wtfpqujjv0l6ce9yn20zytibhgfbvv95cuxpcjyxotnyyti1zw1numvzehfynfnuwtngskr5nlvszhlhvknnuthrbjjqmlbuumnbq0zwu21nmhjimnnztgq2efbzzmz2zks0nlz6y21mufu3cwz5rxmzqxfylwlhswx3rkncugz5lvhxz0tqegxpcjhic2lxbfz3ymnwsdu2uq?oc=5</t>
  </si>
  <si>
    <t>Sewer-cleaning: Suez India Launches Safety Drive In Lucknow For Monsoon - Hindustan Times</t>
  </si>
  <si>
    <t>Ndustan Times</t>
  </si>
  <si>
    <t>Https://news.google.com/rss/articles/cbmiiajbvv95cuxpbhaymvhuvkdyeuryotbksnrusm1xmdngqs0wvlziaemynnutzvhatgjrr3ljs3f1v2djvxq4nlnhcjdtbehsb1hxtwpad3dhvdv4cgnbzc10seu1bgd6nkqxue0zr25bmxhsazjpvtqwnkfdwhi3vmrqwnyzunfjajq2u2rlze1bynjvsjjsukdpx3fys215q3r1blfvcw84a1lfwndvrhlqr3ndbtvlt0fhb2rcavbqnlyysnotlwlvsvlytjvmzjhzlw9oedrttjg4vmtquec3bmzhodjhymttwlrtouzmv0n0ylfkwjj2dhfbyjc1zmpbmerruxfrtnd6eufgrvg?oc=5</t>
  </si>
  <si>
    <t>Sewer-cleaning: Suez India Launches Safety Drive In Lucknow For Monsoon | Hindustan Times - Hindustan Times</t>
  </si>
  <si>
    <t>Https://news.google.com/rss/articles/cbmiiajbvv95cuxpbhaymvhuvkdyeuryotbksnrusm1xmdngqs0wvlziaemynnutzvhatgjrr3ljs3f1v2djvxq4nlnhcjdtbehsb1hxtwpad3dhvdv4cgnbzc10seu1bgd6nkqxue0zr25bmxhsazjpvtqwnkfdwhi3vmrqwnyzunfjajq2u2rlze1bynjvsjjsukdpx3fys215q3r1blfvcw84a1lfwndvrhlqr3ndbtvlt0fhb2rcavbqnlyysnotlwlvsvlytjvmzjhzlw9oedrttjg4vmtquec3bmzhodjhymttwlrtouzmv0n0ylfkwjj2dhfbyjc1zmpbmerruxfrtnd6eufgrvjsay4cqvvfexfmtnjjt0jibxndb2jvwdq0rmx6exdfedq2ulp1sexvtjvsluvwsxlkvei4cfjlu1k4x1nizvhfr3fqn1honi1nwk84rhn5vfj6qvbpmnjrnu9vrwlssi10bi1ab2tzytjvtfjxtxdfzlz0t2heafztlujhm3jks1pqvuhnnepfagnhnzdjclznulzlvdytcfdiy3r6umlxmmduy2rrv1rhoxzlluxtcza5r0s4vvbmx25svlo0ejbwellism9feeprelbuzzbfcmq1mwizzlhevla2dthqnli4dde0qkd1s2ppegdraxzfeezjz1pmmmflqm1dnerecmjmelp4sup5q0jlmefhetlb?oc=5</t>
  </si>
  <si>
    <t>Suez India Rejoices In The Spirit Of Cultural Diversity - Suez Group</t>
  </si>
  <si>
    <t>Https://news.google.com/rss/articles/cbmilafbvv95cuxqzfjdsvj1bfrdous0n2pxx01cvxzlalu4vdbbqjbsx2tyuxjwsu44n2fot3y4m0zmvnfim0ftbg9qelnkrnvvm1jlt0o0yxvoelryvvrjb3rvr3rytefwbgferezicdjrdjnqu0fbntn3c1fboflyq2zothqyy1qttnrnzk1xuxrxq1p1vdrfelc5wupf?oc=5</t>
  </si>
  <si>
    <t>Akash Yogesh Chaware - Senior Engineer (sales And Business Development) - Suez - Linkedin</t>
  </si>
  <si>
    <t>Nkedin</t>
  </si>
  <si>
    <t>Https://news.google.com/rss/articles/cbmiowh0dhbzoi8vaw4ubglua2vkaw4uy29tl2lul2fryxnolxlvz2vzac1jagf3yxjlltaymzg3nte0ytibaa?oc=5</t>
  </si>
  <si>
    <t>Kumar Balit - Sr. Engineer - Suez India Pvt. Ltd. - Linkedin</t>
  </si>
  <si>
    <t>Https://news.google.com/rss/articles/cbmimgh0dhbzoi8vaw4ubglua2vkaw4uy29tl2lul2t1bwfylwjhbgl0ltg1ode4mze3m9ibaa?oc=5</t>
  </si>
  <si>
    <t>Murali Krishna - Sr Operator - Suez - Water Technologies &amp; Solutions - Linkedin</t>
  </si>
  <si>
    <t>Https://news.google.com/rss/articles/cbmim2h0dhbzoi8vaw4ubglua2vkaw4uy29tl2lul211cmfsas1rcmlzag5hltq0njfiote3ydibaa?oc=5</t>
  </si>
  <si>
    <t>Sakshi Goel - Company Secretary And Legal Counsel - Moove - Linkedin</t>
  </si>
  <si>
    <t>Https://news.google.com/rss/articles/cbmil2h0dhbzoi8vaw4ubglua2vkaw4uy29tl2lul3nha3noas1nb2vslti5yjc1nzew0gea?oc=5</t>
  </si>
  <si>
    <t>Suez India - Suez Foundation In India Installed Water Purifiers In An Anganwadi Centre In Mangalore To Ensure ... - Facebook</t>
  </si>
  <si>
    <t>Cebook</t>
  </si>
  <si>
    <t>Https://news.google.com/rss/articles/cbmivgh0dhbzoi8vbs5mywnlym9vay5jb20vu1vfwi5jbmrpys9wag90b3mvys4xodqxmjqyntc2mtk4ndqylzm0mtc2nty4nde4otazmzmvp3r5cgu9m9ibaa?oc=5</t>
  </si>
  <si>
    <t>Tips On Road Safety Given To Commuters - Indiatimes.com</t>
  </si>
  <si>
    <t>Diatimes.com</t>
  </si>
  <si>
    <t>Https://news.google.com/rss/articles/cbmiz2h0dhbzoi8vbs50aw1lc29maw5kaweuy29tl2npdhkvbhvja25vdy90axbzlw9ulxjvywqtc2fmzxr5lwdpdmvulxrvlwnvbw11dgvycy9hcnrpy2xlc2hvdy85otgwmju1mc5jbxpsawtodhrwczovl20udgltzxnvzmluzglhlmnvbs9jaxr5l2x1y2tub3cvdglwcy1vbi1yb2fklxnhzmv0es1naxzlbi10by1jb21tdxrlcnmvyw1wx2fydgljbgvzag93lzk5odayntuwlmntcw?oc=5</t>
  </si>
  <si>
    <t>Suez India - The 181 Mld Sewage Treatment Plant At Rithala... - Facebook</t>
  </si>
  <si>
    <t>Https://news.google.com/rss/articles/cbmimqfodhrwczovl3d3dy5mywnlym9vay5jb20vu1vfwi5jbmrpys9wb3n0cy90agutmtgxlw1szc1zzxdhz2utdhjlyxrtzw50lxbsyw50lwf0lxjpdghhbgetaw4tzgvsagktzgvzawduzwqtynvpbhqtyw5klwjlaw5nls8yntm0mdgwmde2ote0njkxlz9sb2nhbgu9a29fs1lsaqa?oc=5</t>
  </si>
  <si>
    <t>Neha Chopra - Assistant Vice President, Treasury - Genpact - Linkedin</t>
  </si>
  <si>
    <t>Https://news.google.com/rss/articles/cbmijgh0dhbzoi8vaw4ubglua2vkaw4uy29tl2lul25jag9wcme4n9ibaa?oc=5</t>
  </si>
  <si>
    <t>Over 45 Smart Meters For Water Supply Under Suez Stolen In Ward 41 In Coimbatore, Allege Locals - The Hindu</t>
  </si>
  <si>
    <t>Https://news.google.com/rss/articles/cbmi9afbvv95cuxosmplnxvnmgjkoepvvlblakzorwjeyzrruthjtje4odjzwdvtnmntdxrjqnctx0zgtxhyqtvvntrnzet3mmx2nf82bldtzklhmkgzuxb2tgy5wgfheu9fyvlos2ruttdmrejpbjfcanr3wenzv3bnbzjqs2t0nunaejfynuvtcglztgfjvv8wn0o4u1kyml8tlu0zvhpqandovuxsmeh3dlfjnwutsdzitwuwemdzszbfcfh2zhpxwwkxu0xisdnzaw4zvhhbltf5m1vmvwvkm05szhc1m2vyqthtykjva0duajh0tdh1cmnzdle10gh7aufvx3lxte9uswtowvqymwtxa0tfm0jlvkw4zhzfr2fmvehucv96yxzjouwxbvjsculzc0jvtfdndncxa3k3n0syrnzyr2mzwelhqxrarhlptzlkym05awxvd3frukjqv0u3cffbsty2ujh3alu3xzrqluqyxznoqm9czmhxmfh2em40mf9fulmysjv0cvb1slhnagj1zjlxlvz3uwriuf9lzjhoagk4vlr5cmu3zknrt2nxctgyaurjsllumvhxd0xzamo5dun1wwzocvjvzfnxx1jzm0rprllltfzvbzh2t3r2vc1hlvzxsvfbq1a2zldcqvpkxznrbwnr?oc=5</t>
  </si>
  <si>
    <t>Https://news.google.com/rss/articles/cbmiogfodhrwczovl3d3dy50agvoaw5kds5jb20vbmv3cy9jaxrpzxmvq29pbwjhdg9yzs9vdmvyltq1lxntyxj0lw1ldgvycy1mb3itd2f0zxitc3vwcgx5lxvuzgvylxn1zxotc3rvbgvulwlulxdhcmqtndetaw4ty29pbwjhdg9yzs1hbgxlz2utbg9jywxzl2fydgljbgu2njcyntm2ns5ly2xsaacbahr0chm6ly93d3cudghlagluzhuuy29tl25ld3mvy2l0awvzl0nvaw1iyxrvcmuvb3zlci00ns1zbwfydc1tzxrlcnmtzm9ylxdhdgvylxn1chbses11bmrlci1zdwv6lxn0b2xlbi1pbi13yxjkltqxlwlulwnvaw1iyxrvcmutywxszwdllwxvy2fscy9hcnrpy2xlnjy3mjuznjuuzwnll2ftcc8?oc=5</t>
  </si>
  <si>
    <t>Cin</t>
  </si>
  <si>
    <t>Company Status</t>
  </si>
  <si>
    <t>Degremont Limited</t>
  </si>
  <si>
    <t>U29197dl1986plc025120</t>
  </si>
  <si>
    <t>Invalid Cin</t>
  </si>
  <si>
    <t>Location Number</t>
  </si>
  <si>
    <t>Location</t>
  </si>
  <si>
    <t>Data Type</t>
  </si>
  <si>
    <t>Feb 2026</t>
  </si>
  <si>
    <t>Jan 2026</t>
  </si>
  <si>
    <t>Dec 2025</t>
  </si>
  <si>
    <t>Nov 2025</t>
  </si>
  <si>
    <t>Oct 2025</t>
  </si>
  <si>
    <t>Sep 2025</t>
  </si>
  <si>
    <t>Aug 2025</t>
  </si>
  <si>
    <t>Jul 2025</t>
  </si>
  <si>
    <t>Jun 2025</t>
  </si>
  <si>
    <t>May 2025</t>
  </si>
  <si>
    <t>Apr 2025</t>
  </si>
  <si>
    <t>Total Contribution</t>
  </si>
  <si>
    <t>Total Employees</t>
  </si>
  <si>
    <t>Location 1</t>
  </si>
  <si>
    <t>D-43 South Extn. Part-iinew Delhi</t>
  </si>
  <si>
    <t>Amount (inr)</t>
  </si>
  <si>
    <t>No. Of Employees</t>
  </si>
  <si>
    <t>Foreign Collaborator</t>
  </si>
  <si>
    <t>Country</t>
  </si>
  <si>
    <t>Route</t>
  </si>
  <si>
    <t>Item Of Manufacture</t>
  </si>
  <si>
    <t>Fdi Inflows (us$ Mn)</t>
  </si>
  <si>
    <t>Investment Type</t>
  </si>
  <si>
    <t xml:space="preserve">Dec 31 2021 </t>
  </si>
  <si>
    <t>Suez International (previously Known As Degremont)</t>
  </si>
  <si>
    <t>France</t>
  </si>
  <si>
    <t>Automatic Route</t>
  </si>
  <si>
    <t>Water Collection, Treatment And Supply</t>
  </si>
  <si>
    <t>Received In The Company</t>
  </si>
  <si>
    <t xml:space="preserve">Jun 30 2020 </t>
  </si>
  <si>
    <t xml:space="preserve">Jul 31 2013 </t>
  </si>
  <si>
    <t>Acquisition Of Existing Shares Route</t>
  </si>
  <si>
    <t xml:space="preserve">Construction &amp;
maintenance Of Waterway</t>
  </si>
  <si>
    <t xml:space="preserve">Apr 30 2013 </t>
  </si>
  <si>
    <t>Construction Of Waterways</t>
  </si>
  <si>
    <t xml:space="preserve">Feb 28 2013 </t>
  </si>
  <si>
    <t>Degremont S A</t>
  </si>
  <si>
    <t xml:space="preserve">Construction Of Waterways &amp;
water Reservoirs</t>
  </si>
  <si>
    <t xml:space="preserve">Construction Of Dams Canals
etc</t>
  </si>
  <si>
    <t xml:space="preserve">Apr 30 2012 </t>
  </si>
  <si>
    <t xml:space="preserve">Construction &amp;
maintenance Of Waterways &amp; Water
reservoirs</t>
  </si>
  <si>
    <t xml:space="preserve">Mar 31 2012 </t>
  </si>
  <si>
    <t>Degremont S.a</t>
  </si>
  <si>
    <t xml:space="preserve">Construction &amp; Maintenance Of
waterways &amp; Water Reservoirs</t>
  </si>
  <si>
    <t xml:space="preserve">Jan 31 2012 </t>
  </si>
  <si>
    <t>Degemont Sa France</t>
  </si>
  <si>
    <t xml:space="preserve">Construction Of
waterways</t>
  </si>
  <si>
    <t xml:space="preserve">Nov 30 2011 </t>
  </si>
  <si>
    <t xml:space="preserve">Maintainance Of Water, Estate Water &amp;
effluent Treatment Plants</t>
  </si>
  <si>
    <t xml:space="preserve">Sep 30 2011 </t>
  </si>
  <si>
    <t>Degremont Sa</t>
  </si>
  <si>
    <t xml:space="preserve">Design, Build, Operation &amp;
maintenance Of Water,
waste Water &amp; Effluent
treatment Plants</t>
  </si>
  <si>
    <t xml:space="preserve">Jul 31 2002 </t>
  </si>
  <si>
    <t>Sweden</t>
  </si>
  <si>
    <t>Fipb Route</t>
  </si>
  <si>
    <t xml:space="preserve">Machinery  For   Filtering
/   Purifying Liquids</t>
  </si>
  <si>
    <t xml:space="preserve">Dec 31 2000 </t>
  </si>
  <si>
    <t xml:space="preserve">To  Establish  A Wos Which
will Be Engaged   In
providing, Engineering,
technical  And Consultancy
services In The Areas Such
as  Designing, Building,
operation, Supply,
servicing  And Maintenance
of  Water Treatment Plants
and Execute Projects Etc.,</t>
  </si>
  <si>
    <t>Comment</t>
  </si>
  <si>
    <t>Source Url</t>
  </si>
  <si>
    <t>Commentary</t>
  </si>
  <si>
    <t>Net Green Foundation Hosts Sustainability Dialogue &amp; Earth Awards 2026</t>
  </si>
  <si>
    <t>Https://www.tribuneindia.com/news/business/net-green-foundation-hosts-sustainability-dialogue-earth-awards-2026/</t>
  </si>
  <si>
    <t>Agm</t>
  </si>
  <si>
    <t>Last Agm Held On 30-sep-2025</t>
  </si>
  <si>
    <t>Risk</t>
  </si>
  <si>
    <t>Fine</t>
  </si>
  <si>
    <t>Ccmc Slaps Rs 5 Lakh Fine On Firm Executing Water Supply Project Over Poor Road Restoration Work</t>
  </si>
  <si>
    <t>Https://www.newindianexpress.com/states/tamil-nadu/2025/sep/09/ccmc-slaps-rs-5-lakh-fine-on-firm-executing-water-supply-project-over-poor-road-restoration-work</t>
  </si>
  <si>
    <t>Signatory Appointed</t>
  </si>
  <si>
    <t>Gregory Raphael Jordan Tesse Is Appointed As Additional Director On 29-jul-2025</t>
  </si>
  <si>
    <t>Mangaluru: Mayor, Mcc Members Irate Over Delayed Jalashree Project Works</t>
  </si>
  <si>
    <t>Https://www.daijiworld.com/news/newsdisplay?newsid=1251877</t>
  </si>
  <si>
    <t>Signatory Left</t>
  </si>
  <si>
    <t xml:space="preserve">Lyonel Michel Bernard Rouve (08932722) Has Left The Post Of Director From Company </t>
  </si>
  <si>
    <t xml:space="preserve">Rajesh Satyanarayan Adhyam (09667763) Has Left The Post Of Director From Company </t>
  </si>
  <si>
    <t>Lmc’s Revised Budget Of Rs2091 Cr Passed</t>
  </si>
  <si>
    <t>Https://www.hindustantimes.com/cities/lucknow-news/lmcs-revised-budget-of-rs-2091-cr-passed-101697829359325.html</t>
  </si>
  <si>
    <t>Opportunity</t>
  </si>
  <si>
    <t>Chennai Water Board Adopts Smart Solutions To Identify Blocks And Leaks In Pipelines</t>
  </si>
  <si>
    <t>Https://www.thehindu.com/news/cities/chennai/chennai-water-board-adopts-smart-solutions-to-identify-blocks-and-leaks-in-pipelines/article67168757.ece</t>
  </si>
  <si>
    <t>Expansion</t>
  </si>
  <si>
    <t>Roto Pumps Secures New Order Worth Rs1.84 Crore From Suez India; Stock Adds ~1%</t>
  </si>
  <si>
    <t>Http://www.indiainfoline.com//article/news-top-story/roto-pumps-secures-new-order-worth-rs1-84-crore-from-suez-india-stock-adds-1-122112300125_1.html</t>
  </si>
  <si>
    <t>Infrastructure Finance Secretariat (ifs), Dea Organises Workshop On Interventions Required For Strengthening The Ppp Ecosystem (partners In Progress)</t>
  </si>
  <si>
    <t>Https://pib.gov.in/pressrelesedetail.aspx?prid=1859649</t>
  </si>
  <si>
    <t>Capital Raised</t>
  </si>
  <si>
    <t>Suez India Private Limited Received International Investments Worth Us$ 9.6mn Between October To December 2021</t>
  </si>
  <si>
    <t>Https://dpiit.gov.in/sia-newsletter/fdi-newsletter-vol-xxx-no-3-january-2022</t>
  </si>
  <si>
    <t>Bidding</t>
  </si>
  <si>
    <t>Sewage Treatment Plant Project: Bmc Finalises Contractors</t>
  </si>
  <si>
    <t>Https://indianexpress.com/article/cities/mumbai/sewage-treatment-plant-project-bmc-finalises-contractors-7898517/</t>
  </si>
  <si>
    <t>Study Under Way To Ensure Equitable Water Distribution Across 100 Wards</t>
  </si>
  <si>
    <t>Https://www.thehindu.com/todays-paper/tp-national/tp-tamilnadu/study-under-way-to-ensure-equitable-water-distribution-across-100-wards/article38295172.ece</t>
  </si>
  <si>
    <t>Suez Exhibits Coimbatores Water Supply Project In New Delhi</t>
  </si>
  <si>
    <t>Https://www.thehindu.com/news/cities/coimbatore/suez-exhibits-coimbatores-water-supply-project-in-new-delhi/article38021663.ece</t>
  </si>
  <si>
    <t>Dpr For Solving Waterlogging In Progress: Minister</t>
  </si>
  <si>
    <t>Https://www.thehindu.com/news/cities/coimbatore/dpr-for-solving-waterlogging-in-progress-minister/article37859376.ece</t>
  </si>
  <si>
    <t>Recruitment Drive For Differently Abled</t>
  </si>
  <si>
    <t>Https://www.thehindu.com/news/cities/coimbatore/recruitment-drive-for-differently-abled/article37833276.ece</t>
  </si>
  <si>
    <t>Corpn. Completes 24x7 Water Supply Scheme In Jayaram Nagar</t>
  </si>
  <si>
    <t>Https://www.thehindu.com/todays-paper/tp-national/tp-tamilnadu/corpn-completes-24x7-water-supply-scheme-in-jayaram-nagar/article36870583.ece</t>
  </si>
  <si>
    <t>Suez India Opens Customer Service Centre In Coimbatore</t>
  </si>
  <si>
    <t>Https://www.thehindu.com/news/cities/coimbatore/suez-india-opens-customer-service-centre-in-coimbatore/article36784963.ece</t>
  </si>
  <si>
    <t>Corporation Drops Plan To Install Automatic Water Meters</t>
  </si>
  <si>
    <t>Https://www.thehindu.com/news/cities/coimbatore/corporation-drops-plan-to-install-automatic-water-meters/article35388332.ece</t>
  </si>
  <si>
    <t>Testing Of Drinking Water Supply Project Underway In City</t>
  </si>
  <si>
    <t>Https://www.thehindu.com/news/cities/coimbatore/testing-of-drinking-water-supply-project-underway-in-city/article35331311.ece</t>
  </si>
  <si>
    <t>Water Supply Improvement Work To Resume</t>
  </si>
  <si>
    <t>Https://www.thehindu.com/todays-paper/tp-national/tp-tamilnadu/water-supply-improvement-work-to-resume/article35009689.ece</t>
  </si>
  <si>
    <t>Sign Mou</t>
  </si>
  <si>
    <t>Gandhipuram-ukkadam Elevated Corridor, Tidel Park Ii Find Place In Dmk Manifesto</t>
  </si>
  <si>
    <t>Https://www.thehindu.com/news/cities/coimbatore/gandhipuram-ukkadam-elevated-corridor-tidel-park-ii-find-place-in-dmk-manifesto/article34063695.ece</t>
  </si>
  <si>
    <t>Corpn. Delays Payment To Water Supply Operation And Maintenance Contractor</t>
  </si>
  <si>
    <t>Https://www.thehindu.com/todays-paper/tp-national/tp-tamilnadu/corpn-delays-payment-to-water-supply-operation-and-maintenance-contractor/article33398841.ece</t>
  </si>
  <si>
    <t>Coimbatore Corpn. Delays Payment To Water Supply Operation And Maintenance Contractor</t>
  </si>
  <si>
    <t>Https://www.thehindu.com/news/cities/coimbatore/coimbatore-corpn-delays-payment-to-water-supply-operation-and-maintenance-contractor/article33397485.ece</t>
  </si>
  <si>
    <t>24x7 Drinking Water Supply Project Makes Little Progress</t>
  </si>
  <si>
    <t>Https://www.thehindu.com/todays-paper/tp-national/tp-tamilnadu/24x7-drinking-water-supply-project-makes-little-progress/article33332753.ece</t>
  </si>
  <si>
    <t>Degremont Limited Received International Investments Worth Us$ 4.16 Mn Between April To June 2020</t>
  </si>
  <si>
    <t>Https://dipp.gov.in/sia-newsletter/fdi-newsletter-vol-xxix-no-1-july-2020</t>
  </si>
  <si>
    <t>Partnership</t>
  </si>
  <si>
    <t>Toshiba Infra, French Firm Jointly Win Water Treatment Project In Bengaluru</t>
  </si>
  <si>
    <t>Http://www.business-standard.com/article/companies/toshiba-infra-french-firm-jointly-win-water-treatment-project-in-bengaluru-120110501737_1.html</t>
  </si>
  <si>
    <t>Default</t>
  </si>
  <si>
    <t>Coimbatore Corporation Defaults On Payment To Water Supply Maintenance Contractor</t>
  </si>
  <si>
    <t>Https://www.thehindu.com/news/cities/coimbatore/coimbatore-corporation-defaults-on-payment-to-water-supply-maintenance-contractor/article32359261.ece</t>
  </si>
  <si>
    <t>Dashboard To Monitor Water Supply Getting Ready At Coimbatore Corporation</t>
  </si>
  <si>
    <t>Https://www.thehindu.com/news/cities/coimbatore/dashboard-to-monitor-water-supply-getting-ready-at-coimbatore-corporation/article32329300.ece</t>
  </si>
  <si>
    <t>Collectors Urged To Move Skilled Workers</t>
  </si>
  <si>
    <t>Https://www.thehindu.com/todays-paper/tp-national/tp-tamilnadu/collectors-urged-to-move-skilled-workers/article31522594.ece</t>
  </si>
  <si>
    <t>Coimbatore Corporation Writes To District Collectors To Move Skilled Workers</t>
  </si>
  <si>
    <t>Https://www.thehindu.com/news/cities/coimbatore/coimbatore-corporation-writes-to-district-collectors-to-move-skilled-workers/article31518446.ece</t>
  </si>
  <si>
    <t>Regulator Seeking Clarification</t>
  </si>
  <si>
    <t>Pvt Company Told To Finish Water Project By March</t>
  </si>
  <si>
    <t>Http://timesofindia.indiatimes.com/city/coimbatore/pvt-company-told-to-finish-water-project-by-march/articleshow/74199339.cms</t>
  </si>
  <si>
    <t>M'luru: Suez India To Hold Survey For 24x7 Water</t>
  </si>
  <si>
    <t>Http://timesofindia.indiatimes.com/city/mangaluru/karnataka-suez-india-to-conduct-survey-for-24x7-water-project-in-mangaluru/articleshow/73584496.cms</t>
  </si>
  <si>
    <t>Water Supply Project Progressing At A Slow Pace In The City</t>
  </si>
  <si>
    <t>Https://www.thehindu.com/news/cities/coimbatore/water-supply-project-progressing-at-a-slow-pace-in-the-city/article30610117.ece</t>
  </si>
  <si>
    <t>Clean Tap Water Reaches Residents Of Azad Nagar After Three Months</t>
  </si>
  <si>
    <t>Http://timesofindia.indiatimes.com/city/coimbatore/clean-tap-water-reaches-residents-of-azad-nagar-after-three-months/articleshow/73235668.cms</t>
  </si>
  <si>
    <t>French Firm Suez Working On Two Water Projects In India</t>
  </si>
  <si>
    <t>Http://timesofindia.indiatimes.com/business/india-business/french-firm-suez-working-on-two-water-projects-in-india/articleshow/72664383.cms</t>
  </si>
  <si>
    <t>Company Implementing Water Scheme Tries To Build Its Brand</t>
  </si>
  <si>
    <t>Http://timesofindia.indiatimes.com/city/coimbatore/company-implementing-water-scheme-tries-to-build-its-brand/articleshow/72214635.cms</t>
  </si>
  <si>
    <t>Dmk To Again Protest Privatization Of Water Supply, Tax Hike</t>
  </si>
  <si>
    <t>Http://timesofindia.indiatimes.com/city/coimbatore/dmk-to-again-protest-privatization-of-water-supply-tax-hike/articleshow/71962131.cms</t>
  </si>
  <si>
    <t>Water Supply Situation Reviewed</t>
  </si>
  <si>
    <t>Https://www.thehindu.com/news/cities/coimbatore/water-supply-situation-reviewed/article29661027.ece</t>
  </si>
  <si>
    <t>Suez Committed To Improving Water Distribution In City</t>
  </si>
  <si>
    <t>Https://www.thehindu.com/news/cities/coimbatore/suez-committed-to-improving-water-distribution-in-city/article29435033.ece</t>
  </si>
  <si>
    <t>Pvt Firm Starts Laying Pipeline For 24/7 Water Supply Project</t>
  </si>
  <si>
    <t>Http://timesofindia.indiatimes.com/city/coimbatore/pvt-firm-starts-laying-pipeline-for-24/7-water-supply-project/articleshow/67695630.cms</t>
  </si>
  <si>
    <t>Appellant</t>
  </si>
  <si>
    <t>Respondent</t>
  </si>
  <si>
    <t>Total</t>
  </si>
  <si>
    <t>High Risk</t>
  </si>
  <si>
    <t>Taxation &amp; Ordinary Matters</t>
  </si>
  <si>
    <t>Others</t>
  </si>
  <si>
    <t>Total Cases</t>
  </si>
  <si>
    <t>S No</t>
  </si>
  <si>
    <t>Court Type</t>
  </si>
  <si>
    <t>Court</t>
  </si>
  <si>
    <t>Case Subject</t>
  </si>
  <si>
    <t>Case Type</t>
  </si>
  <si>
    <t>Case Number</t>
  </si>
  <si>
    <t>Next Hearing / Disposed Date</t>
  </si>
  <si>
    <t>Case Status</t>
  </si>
  <si>
    <t>Highrisk</t>
  </si>
  <si>
    <t>High Court</t>
  </si>
  <si>
    <t>Bombay Hc</t>
  </si>
  <si>
    <t>Arbitration Matters</t>
  </si>
  <si>
    <t>Civil -arbitration Appeal Cases</t>
  </si>
  <si>
    <t>Carbp/642/2025</t>
  </si>
  <si>
    <t xml:space="preserve"> Municipal Corporation Of Greater Mumbai</t>
  </si>
  <si>
    <t xml:space="preserve"> Suez India Pvt Ltd</t>
  </si>
  <si>
    <t>Other</t>
  </si>
  <si>
    <t>District Court</t>
  </si>
  <si>
    <t>Delhi District Court</t>
  </si>
  <si>
    <t>L I R</t>
  </si>
  <si>
    <t>L I R/285/2025</t>
  </si>
  <si>
    <t xml:space="preserve"> Fouran Singh|</t>
  </si>
  <si>
    <t xml:space="preserve"> M/s Suez India Pvt Ltd.</t>
  </si>
  <si>
    <t>Pending</t>
  </si>
  <si>
    <t>Uttar Pradesh District Court</t>
  </si>
  <si>
    <t>Warrant Or Summons Criminal Case</t>
  </si>
  <si>
    <t>Warrant Or Summons Criminal Case/530596/2022</t>
  </si>
  <si>
    <t xml:space="preserve"> State Government</t>
  </si>
  <si>
    <t>Ia</t>
  </si>
  <si>
    <t>Ia/4869/2025</t>
  </si>
  <si>
    <t xml:space="preserve"> Suez India Private Limited, Suez India Private Limited</t>
  </si>
  <si>
    <t>Up Lucknow Hc</t>
  </si>
  <si>
    <t>Review ( 303100 )</t>
  </si>
  <si>
    <t>Cmra-96-2025</t>
  </si>
  <si>
    <t>District Magistrate Lucknow |prin.secy. Urban Development Deptt. Lucknow |state Mission For Clean Ganga U.p. Now Directorate Urban Local Bodies Thru Director Lko |tehsildar Sadar Lucknow |u.p. Jal Nigam (urban) Thru Its Chairman/ M.d. Lucknow Nagar N</t>
  </si>
  <si>
    <t>Suez India Private Limited, Advocate -</t>
  </si>
  <si>
    <t>Fresh List</t>
  </si>
  <si>
    <t>Wric-1521-2025</t>
  </si>
  <si>
    <t>Suez India Pvt. Ltd Lucknow Thru. Authorised Signatory</t>
  </si>
  <si>
    <t xml:space="preserve">Deptt. Of Urban Development, Thru. Its Prin. Secy. Lko. |lko. Nagar Nigam Thru. Its Municipal Commissioner, Lko |state Mission For Clean Ganga Now Directorate Urban Local Bodies Thru. Its Project Director, Lko |u.p. Jal Nigam Thru. Chairman/managing </t>
  </si>
  <si>
    <t>Disposed</t>
  </si>
  <si>
    <t>Karnataka District Court</t>
  </si>
  <si>
    <t>Motor Vehicle Matters</t>
  </si>
  <si>
    <t>Civil -motor Vehicle Act Cases</t>
  </si>
  <si>
    <t>M.v.c./2682/2020</t>
  </si>
  <si>
    <t xml:space="preserve"> Usha G.</t>
  </si>
  <si>
    <t xml:space="preserve"> Jivan Kishor, Oriental Insurance Co Ltd</t>
  </si>
  <si>
    <t>Cs Scj</t>
  </si>
  <si>
    <t>Cs Scj/120/2023</t>
  </si>
  <si>
    <t xml:space="preserve"> Smt. Nasra Azam</t>
  </si>
  <si>
    <t xml:space="preserve"> The State, Suez India Private Limited</t>
  </si>
  <si>
    <t>Succ. Court</t>
  </si>
  <si>
    <t>Succ. Court/60/2023</t>
  </si>
  <si>
    <t>Com.a.p.</t>
  </si>
  <si>
    <t>Com.a.p./77/2020</t>
  </si>
  <si>
    <t xml:space="preserve"> Bangalore Water Supply And Sewerage Board</t>
  </si>
  <si>
    <t xml:space="preserve"> M/s Suez India Private Ltd</t>
  </si>
  <si>
    <t>Warrant Or Summons Criminal Case/2013/2021</t>
  </si>
  <si>
    <t xml:space="preserve"> State</t>
  </si>
  <si>
    <t xml:space="preserve"> Suez India Private Limited</t>
  </si>
  <si>
    <t>Maharashtra District Court</t>
  </si>
  <si>
    <t>Macp</t>
  </si>
  <si>
    <t>Macp/140410/2015</t>
  </si>
  <si>
    <t xml:space="preserve"> Shri. Saradindu Prasad Chanda And Ors. 1</t>
  </si>
  <si>
    <t xml:space="preserve"> M.s. Degremont Limited And Bajaj Allianz Gen. Ins. Co. Ltd.</t>
  </si>
  <si>
    <t>Carbp/391/2022</t>
  </si>
  <si>
    <t xml:space="preserve"> Suez India Pvt Ltd.</t>
  </si>
  <si>
    <t>Income Tax Appellate Tribunal</t>
  </si>
  <si>
    <t>Itat</t>
  </si>
  <si>
    <t>Ita1871/del/2022</t>
  </si>
  <si>
    <t>Suez India P.ltd</t>
  </si>
  <si>
    <t>Dcit, Central Circle-31</t>
  </si>
  <si>
    <t>Karnataka Hc</t>
  </si>
  <si>
    <t>Civil Matters</t>
  </si>
  <si>
    <t>Civil -fundamental / Legal Rights Violation Cases</t>
  </si>
  <si>
    <t>Wp/7668/2022</t>
  </si>
  <si>
    <t xml:space="preserve"> Va Tech  Wabag Limited</t>
  </si>
  <si>
    <t xml:space="preserve"> Chairman| Chief Engineer (wwm)| Enviro Control Private Limited| Suez India Private Limited</t>
  </si>
  <si>
    <t>Carbp/173/2022</t>
  </si>
  <si>
    <t xml:space="preserve"> Suez India Pvt. Ltd.</t>
  </si>
  <si>
    <t xml:space="preserve"> Mott Macdonals Pvt. Ltd. And Anr</t>
  </si>
  <si>
    <t>Haryana District Court</t>
  </si>
  <si>
    <t>N / A</t>
  </si>
  <si>
    <t>Other -others</t>
  </si>
  <si>
    <t>Coma/325/2019</t>
  </si>
  <si>
    <t xml:space="preserve"> State Of Haryana</t>
  </si>
  <si>
    <t xml:space="preserve"> M/s Suez India P Ltd.</t>
  </si>
  <si>
    <t>Com.a.a.</t>
  </si>
  <si>
    <t>Com.a.a./155/2019</t>
  </si>
  <si>
    <t>Cmp/406/2019</t>
  </si>
  <si>
    <t xml:space="preserve"> M/s Suez India Pvt Ltd</t>
  </si>
  <si>
    <t xml:space="preserve"> Bangalore Water Supply And</t>
  </si>
  <si>
    <t>Punjab District Court</t>
  </si>
  <si>
    <t>Coma/4237/2019</t>
  </si>
  <si>
    <t xml:space="preserve"> State Of Punjab Through Labour Enforcement Officer</t>
  </si>
  <si>
    <t>Carap</t>
  </si>
  <si>
    <t>Carap/380/2019</t>
  </si>
  <si>
    <t xml:space="preserve"> Mumbai Corporation Of Greater Mumbai</t>
  </si>
  <si>
    <t>Delhi Hc</t>
  </si>
  <si>
    <t>O.m.p.|600|2012</t>
  </si>
  <si>
    <t>M/s Suez India Private Limited</t>
  </si>
  <si>
    <t>M/s Gayatri Projects Ltd</t>
  </si>
  <si>
    <t>Tribunals</t>
  </si>
  <si>
    <t>Cestat Tribunal</t>
  </si>
  <si>
    <t>Service Tax/52891/2014-delhi</t>
  </si>
  <si>
    <t>Service Tax - Delhi</t>
  </si>
  <si>
    <t>Macp/140722/2015</t>
  </si>
  <si>
    <t xml:space="preserve"> Mr. Anil Namdeo Pawar</t>
  </si>
  <si>
    <t xml:space="preserve"> M.s. Degremont Ltd. And Bajaj Allianz Gen. Ins. Co. Ltd.</t>
  </si>
  <si>
    <t>O.m.p.(i)-590-2015</t>
  </si>
  <si>
    <t>Degremont Pvt Ltd &amp; Anr.</t>
  </si>
  <si>
    <t xml:space="preserve">Delhi Jal Board </t>
  </si>
  <si>
    <t>O.m.p.-20-2014</t>
  </si>
  <si>
    <t>M/s Siemens Limited</t>
  </si>
  <si>
    <t>M/s Degremont Limited &amp; Anr</t>
  </si>
  <si>
    <t>O.m.p.-1092-2013</t>
  </si>
  <si>
    <t>Civil -cpc Cases</t>
  </si>
  <si>
    <t>Cs_276_2012</t>
  </si>
  <si>
    <t xml:space="preserve">Degremont Limited
</t>
  </si>
  <si>
    <t xml:space="preserve"> Kolkatta Municipal Corporation</t>
  </si>
  <si>
    <t>Cs(os)-276-2012</t>
  </si>
  <si>
    <t>Kolkatta Municipal Corporation</t>
  </si>
  <si>
    <t>Gujarat District Court</t>
  </si>
  <si>
    <t>Contempt Of Court Matters</t>
  </si>
  <si>
    <t>Civil -contempt Cases</t>
  </si>
  <si>
    <t>Cs Ccc/333/2011</t>
  </si>
  <si>
    <t xml:space="preserve"> Doshion Limited</t>
  </si>
  <si>
    <t xml:space="preserve"> Degremont Limited</t>
  </si>
  <si>
    <t>Fao(os)-109-2012</t>
  </si>
  <si>
    <t>Yamuna Gases &amp; Chemicals Ltd</t>
  </si>
  <si>
    <t>Ondeo Degremont Ltd</t>
  </si>
  <si>
    <t>O.m.p.-91-2005</t>
  </si>
  <si>
    <t>Yamuna Gases And Chemicals Ltd. And Ors.</t>
  </si>
  <si>
    <t>Original Matters</t>
  </si>
  <si>
    <t>Civil/criminal -original Matters - Misc.</t>
  </si>
  <si>
    <t>O.m.p.228/2005</t>
  </si>
  <si>
    <t>Yamuna Gases And Chemicals Ltd.</t>
  </si>
  <si>
    <t>Ondeo Degremont Ltd. E+</t>
  </si>
  <si>
    <t>Delhi Itat</t>
  </si>
  <si>
    <t>Taxation Matters</t>
  </si>
  <si>
    <t>Civil -income Tax Cases</t>
  </si>
  <si>
    <t>It 256/del-2010</t>
  </si>
  <si>
    <t>Acit</t>
  </si>
  <si>
    <t>Degremont Ltd.</t>
  </si>
  <si>
    <t>Ita256/del/2010</t>
  </si>
  <si>
    <t>M/s. Degremont Ltd.</t>
  </si>
  <si>
    <t>It 2324/del-2006</t>
  </si>
  <si>
    <t>Dcit</t>
  </si>
  <si>
    <t>Ita2324/del/2006</t>
  </si>
  <si>
    <t>Dcit, Circle-10(1),</t>
  </si>
  <si>
    <t>Criminal Matters</t>
  </si>
  <si>
    <t>Criminal -act Against Community / State</t>
  </si>
  <si>
    <t xml:space="preserve">Criminal Case  56/1 Of 2013</t>
  </si>
  <si>
    <t>V.p. Naik</t>
  </si>
  <si>
    <t>Civil -original Suits</t>
  </si>
  <si>
    <t>O.s./728/2002</t>
  </si>
  <si>
    <t xml:space="preserve"> The Mysore Paper Mills Ltd</t>
  </si>
  <si>
    <t xml:space="preserve"> Ondeo Degremont Ltd</t>
  </si>
  <si>
    <t>Arb.p.-49-2011</t>
  </si>
  <si>
    <t>M/s J.v Gokal &amp; Co</t>
  </si>
  <si>
    <t>M/s Degremont Ltd</t>
  </si>
  <si>
    <t>Comex</t>
  </si>
  <si>
    <t>Comex/40/2023</t>
  </si>
  <si>
    <t>Ia/3593/2023</t>
  </si>
  <si>
    <t>Calcutta High Court</t>
  </si>
  <si>
    <t>Wpo</t>
  </si>
  <si>
    <t>Wpo/726/2025</t>
  </si>
  <si>
    <t xml:space="preserve"> M/s. Suez India Private Limited</t>
  </si>
  <si>
    <t xml:space="preserve"> Kolkata Municipal Corporation</t>
  </si>
  <si>
    <t>Up Allahabad Hc</t>
  </si>
  <si>
    <t>Cmra</t>
  </si>
  <si>
    <t>Cmra/96/2025</t>
  </si>
  <si>
    <t xml:space="preserve"> Uttar Pradesh Pollution Control Board Lucknow Thru Chairman And Ors.</t>
  </si>
</sst>
</file>

<file path=xl/styles.xml><?xml version="1.0" encoding="utf-8"?>
<styleSheet xmlns="http://schemas.openxmlformats.org/spreadsheetml/2006/main">
  <numFmts count="0"/>
  <fonts count="7">
    <font>
      <sz val="11"/>
      <name val="Calibri"/>
    </font>
    <font>
      <b/>
      <sz val="9"/>
      <color rgb="FFFFFFFF" tint="0"/>
      <name val="Arial"/>
    </font>
    <font>
      <sz val="9"/>
      <name val="Arial"/>
    </font>
    <font>
      <b/>
      <sz val="9"/>
      <name val="Arial"/>
    </font>
    <font>
      <sz val="9"/>
      <color rgb="FFFFFFFF" tint="0"/>
      <name val="Arial"/>
    </font>
    <font>
      <sz val="20"/>
      <name val="Calibri"/>
    </font>
    <font>
      <sz val="11"/>
      <color rgb="FF0000FF" tint="0"/>
      <name val="Calibri"/>
    </font>
  </fonts>
  <fills count="4">
    <fill>
      <patternFill patternType="none"/>
    </fill>
    <fill>
      <patternFill patternType="gray125"/>
    </fill>
    <fill>
      <patternFill patternType="solid">
        <fgColor rgb="FF2885F4" tint="0"/>
      </patternFill>
    </fill>
    <fill>
      <patternFill patternType="solid">
        <fgColor rgb="FFE8E8E8" tint="0"/>
      </patternFill>
    </fill>
  </fills>
  <borders count="1">
    <border>
      <left/>
      <right/>
      <top/>
      <bottom/>
      <diagonal/>
    </border>
  </borders>
  <cellStyleXfs count="1">
    <xf numFmtId="0" fontId="0"/>
  </cellStyleXfs>
  <cellXfs count="16">
    <xf numFmtId="0" applyNumberFormat="1" fontId="0" applyFont="1" xfId="0"/>
    <xf numFmtId="0" applyNumberFormat="1" fontId="1" applyFont="1" xfId="0">
      <alignment vertical="distributed"/>
    </xf>
    <xf numFmtId="0" applyNumberFormat="1" fontId="1" applyFont="1" fillId="2" applyFill="1" xfId="0">
      <alignment vertical="distributed"/>
    </xf>
    <xf numFmtId="0" applyNumberFormat="1" fontId="2" applyFont="1" xfId="0"/>
    <xf numFmtId="0" applyNumberFormat="1" fontId="2" applyFont="1" xfId="0">
      <alignment vertical="distributed"/>
    </xf>
    <xf numFmtId="14" applyNumberFormat="1" fontId="2" applyFont="1" xfId="0">
      <alignment vertical="distributed"/>
    </xf>
    <xf numFmtId="14" applyNumberFormat="1" fontId="2" applyFont="1" xfId="0"/>
    <xf numFmtId="0" applyNumberFormat="1" fontId="2" applyFont="1" fillId="3" applyFill="1" xfId="0">
      <alignment vertical="distributed"/>
    </xf>
    <xf numFmtId="0" applyNumberFormat="1" fontId="2" applyFont="1" fillId="3" applyFill="1" xfId="0"/>
    <xf numFmtId="0" applyNumberFormat="1" fontId="1" applyFont="1" fillId="2" applyFill="1" xfId="0">
      <alignment horizontal="center" vertical="distributed"/>
    </xf>
    <xf numFmtId="0" applyNumberFormat="1" fontId="3" applyFont="1" xfId="0">
      <alignment vertical="distributed"/>
    </xf>
    <xf numFmtId="0" applyNumberFormat="1" fontId="3" applyFont="1" xfId="0"/>
    <xf numFmtId="0" applyNumberFormat="1" fontId="4" applyFont="1" xfId="0"/>
    <xf numFmtId="0" applyNumberFormat="1" fontId="4" applyFont="1" fillId="2" applyFill="1" xfId="0">
      <alignment horizontal="center"/>
    </xf>
    <xf numFmtId="0" applyNumberFormat="1" fontId="5" applyFont="1" xfId="0"/>
    <xf numFmtId="0" applyNumberFormat="1" fontId="6"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25"/>
  <sheetViews>
    <sheetView workbookViewId="0"/>
  </sheetViews>
  <sheetFormatPr defaultRowHeight="15"/>
  <cols>
    <col min="1" max="1" width="48.6079978942871" customWidth="1"/>
  </cols>
  <sheetData>
    <row r="1" ht="25" customHeight="1" s="14" customFormat="1">
      <c r="A1" s="14" t="s">
        <v>0</v>
      </c>
    </row>
    <row r="3" ht="20" customHeight="1" s="1" customFormat="1">
      <c r="A3" s="2" t="s">
        <v>1</v>
      </c>
    </row>
    <row r="4">
      <c r="A4" s="15">
        <f>HYPERLINK("#'Overview'!A1","Overview")</f>
      </c>
    </row>
    <row r="5">
      <c r="A5" s="15">
        <f>HYPERLINK("#'Current Directors'!A1","Current Directors")</f>
      </c>
    </row>
    <row r="6">
      <c r="A6" s="15">
        <f>HYPERLINK("#'Cross Directorship Holding'!A1","Cross Directorship Holding")</f>
      </c>
    </row>
    <row r="7">
      <c r="A7" s="15">
        <f>HYPERLINK("#'New Company'!A1","New Company")</f>
      </c>
    </row>
    <row r="8">
      <c r="A8" s="15">
        <f>HYPERLINK("#'Past Directors'!A1","Past Directors")</f>
      </c>
    </row>
    <row r="9">
      <c r="A9" s="15">
        <f>HYPERLINK("#'Past Directorship Holding'!A1","Past Directorship Holding")</f>
      </c>
    </row>
    <row r="10">
      <c r="A10" s="15">
        <f>HYPERLINK("#'Defaults'!A1","Defaults")</f>
      </c>
    </row>
    <row r="11">
      <c r="A11" s="15">
        <f>HYPERLINK("#'Consolidated Summary'!A1","Consolidated Summary")</f>
      </c>
    </row>
    <row r="12">
      <c r="A12" s="15">
        <f>HYPERLINK("#'Standalone Summary'!A1","Standalone Summary")</f>
      </c>
    </row>
    <row r="13">
      <c r="A13" s="15">
        <f>HYPERLINK("#'Related Entity Statistics'!A1","Related Entity Statistics")</f>
      </c>
    </row>
    <row r="14">
      <c r="A14" s="15">
        <f>HYPERLINK("#'Linkages'!A1","Linkages")</f>
      </c>
    </row>
    <row r="15">
      <c r="A15" s="15">
        <f>HYPERLINK("#'Index Of Charges'!A1","Index Of Charges")</f>
      </c>
    </row>
    <row r="16">
      <c r="A16" s="15">
        <f>HYPERLINK("#'Peers'!A1","Peers")</f>
      </c>
    </row>
    <row r="17">
      <c r="A17" s="15">
        <f>HYPERLINK("#'Peers Ranking'!A1","Peers Ranking")</f>
      </c>
    </row>
    <row r="18">
      <c r="A18" s="15">
        <f>HYPERLINK("#'Media'!A1","Media")</f>
      </c>
    </row>
    <row r="19">
      <c r="A19" s="15">
        <f>HYPERLINK("#'Similar Companies'!A1","Similar Companies")</f>
      </c>
    </row>
    <row r="20">
      <c r="A20" s="15">
        <f>HYPERLINK("#'Employees'!A1","Employees")</f>
      </c>
    </row>
    <row r="21">
      <c r="A21" s="15">
        <f>HYPERLINK("#'Received in India'!A1","Received in India")</f>
      </c>
    </row>
    <row r="22">
      <c r="A22" s="15">
        <f>HYPERLINK("#'Triggers'!A1","Triggers")</f>
      </c>
    </row>
    <row r="23">
      <c r="A23" s="15">
        <f>HYPERLINK("#'Legal Overview'!A1","Legal Overview")</f>
      </c>
    </row>
    <row r="24">
      <c r="A24" s="15">
        <f>HYPERLINK("#'Legal Cases'!A1","Legal Cases")</f>
      </c>
    </row>
    <row r="25">
      <c r="A25" s="15"/>
    </row>
  </sheetData>
  <headerFooter/>
</worksheet>
</file>

<file path=xl/worksheets/sheet2.xml><?xml version="1.0" encoding="utf-8"?>
<worksheet xmlns:r="http://schemas.openxmlformats.org/officeDocument/2006/relationships" xmlns="http://schemas.openxmlformats.org/spreadsheetml/2006/main">
  <dimension ref="A1:D24"/>
  <sheetViews>
    <sheetView workbookViewId="0"/>
  </sheetViews>
  <sheetFormatPr defaultRowHeight="15"/>
  <cols>
    <col min="1" max="1" width="27.8139209747314" customWidth="1" style="3"/>
    <col min="2" max="16384" width="77.3200454711914" customWidth="1" style="3"/>
    <col min="3" max="16384" width="9.140625" customWidth="1" style="3"/>
    <col min="4" max="16384" width="9.140625" customWidth="1" style="3"/>
  </cols>
  <sheetData>
    <row r="1" ht="20" customHeight="1" s="1" customFormat="1">
      <c r="A1" s="2" t="s">
        <v>2</v>
      </c>
      <c r="B1" s="2" t="s">
        <v>3</v>
      </c>
    </row>
    <row r="2" ht="16" customHeight="1" s="4" customFormat="1">
      <c r="A2" s="4" t="s">
        <v>4</v>
      </c>
      <c r="B2" s="5">
        <v>46348</v>
      </c>
      <c r="C2" s="4"/>
      <c r="D2" s="4"/>
    </row>
    <row r="3" ht="16" customHeight="1" s="4" customFormat="1">
      <c r="A3" s="4" t="s">
        <v>5</v>
      </c>
      <c r="B3" s="4" t="s">
        <v>6</v>
      </c>
      <c r="C3" s="4"/>
      <c r="D3" s="4"/>
    </row>
    <row r="4" ht="16" customHeight="1" s="4" customFormat="1">
      <c r="A4" s="4" t="s">
        <v>7</v>
      </c>
      <c r="B4" s="4" t="s">
        <v>8</v>
      </c>
      <c r="C4" s="4"/>
      <c r="D4" s="4"/>
    </row>
    <row r="5" ht="16" customHeight="1" s="4" customFormat="1">
      <c r="A5" s="4" t="s">
        <v>9</v>
      </c>
      <c r="B5" s="4" t="s">
        <v>10</v>
      </c>
      <c r="C5" s="4"/>
      <c r="D5" s="4"/>
    </row>
    <row r="6" ht="16" customHeight="1" s="4" customFormat="1">
      <c r="A6" s="4" t="s">
        <v>11</v>
      </c>
      <c r="B6" s="5">
        <v>31638</v>
      </c>
      <c r="C6" s="4"/>
      <c r="D6" s="4"/>
    </row>
    <row r="7" ht="16" customHeight="1" s="4" customFormat="1">
      <c r="A7" s="4" t="s">
        <v>12</v>
      </c>
      <c r="B7" s="4" t="s">
        <v>13</v>
      </c>
      <c r="C7" s="4"/>
      <c r="D7" s="4"/>
    </row>
    <row r="8" ht="16" customHeight="1" s="4" customFormat="1">
      <c r="A8" s="4" t="s">
        <v>14</v>
      </c>
      <c r="B8" s="4" t="s">
        <v>15</v>
      </c>
      <c r="C8" s="4"/>
      <c r="D8" s="4"/>
    </row>
    <row r="9" ht="16" customHeight="1" s="4" customFormat="1">
      <c r="A9" s="4" t="s">
        <v>16</v>
      </c>
      <c r="B9" s="4" t="s">
        <v>17</v>
      </c>
      <c r="C9" s="4"/>
      <c r="D9" s="4"/>
    </row>
    <row r="10" ht="16" customHeight="1" s="4" customFormat="1">
      <c r="A10" s="4" t="s">
        <v>18</v>
      </c>
      <c r="B10" s="4" t="s">
        <v>19</v>
      </c>
      <c r="C10" s="4"/>
      <c r="D10" s="4"/>
    </row>
    <row r="11" ht="16" customHeight="1" s="4" customFormat="1">
      <c r="A11" s="4" t="s">
        <v>20</v>
      </c>
      <c r="B11" s="4" t="s">
        <v>21</v>
      </c>
      <c r="C11" s="4"/>
      <c r="D11" s="4"/>
    </row>
    <row r="12" ht="16" customHeight="1" s="4" customFormat="1">
      <c r="A12" s="4" t="s">
        <v>22</v>
      </c>
      <c r="B12" s="4">
        <v>8000</v>
      </c>
      <c r="C12" s="4"/>
      <c r="D12" s="4"/>
    </row>
    <row r="13" ht="16" customHeight="1" s="4" customFormat="1">
      <c r="A13" s="4" t="s">
        <v>23</v>
      </c>
      <c r="B13" s="4">
        <v>6885.22</v>
      </c>
      <c r="C13" s="4"/>
      <c r="D13" s="4"/>
    </row>
    <row r="14" ht="16" customHeight="1" s="4" customFormat="1">
      <c r="A14" s="4" t="s">
        <v>24</v>
      </c>
      <c r="B14" s="5">
        <v>45747</v>
      </c>
      <c r="C14" s="4"/>
      <c r="D14" s="4"/>
    </row>
    <row r="15" ht="16" customHeight="1" s="4" customFormat="1">
      <c r="A15" s="4" t="s">
        <v>25</v>
      </c>
      <c r="B15" s="5">
        <v>45930</v>
      </c>
      <c r="C15" s="4"/>
      <c r="D15" s="4"/>
    </row>
    <row r="16" ht="16" customHeight="1" s="4" customFormat="1">
      <c r="A16" s="4" t="s">
        <v>26</v>
      </c>
      <c r="B16" s="4" t="s">
        <v>27</v>
      </c>
      <c r="C16" s="4"/>
      <c r="D16" s="4"/>
    </row>
    <row r="17" ht="16" customHeight="1" s="4" customFormat="1">
      <c r="A17" s="4" t="s">
        <v>28</v>
      </c>
      <c r="B17" s="4" t="s">
        <v>29</v>
      </c>
      <c r="C17" s="4"/>
      <c r="D17" s="4"/>
    </row>
    <row r="18" ht="16" customHeight="1" s="4" customFormat="1">
      <c r="A18" s="4" t="s">
        <v>30</v>
      </c>
      <c r="B18" s="4" t="s">
        <v>31</v>
      </c>
      <c r="C18" s="4"/>
      <c r="D18" s="4"/>
    </row>
    <row r="19" ht="16" customHeight="1" s="4" customFormat="1">
      <c r="A19" s="4" t="s">
        <v>32</v>
      </c>
      <c r="B19" s="4"/>
      <c r="C19" s="4"/>
      <c r="D19" s="4"/>
    </row>
    <row r="20" ht="16" customHeight="1" s="4" customFormat="1">
      <c r="A20" s="4" t="s">
        <v>33</v>
      </c>
      <c r="B20" s="4" t="s">
        <v>34</v>
      </c>
      <c r="C20" s="4"/>
      <c r="D20" s="4"/>
    </row>
    <row r="21" ht="16" customHeight="1" s="4" customFormat="1">
      <c r="A21" s="4" t="s">
        <v>35</v>
      </c>
      <c r="B21" s="4" t="s">
        <v>36</v>
      </c>
      <c r="C21" s="4"/>
      <c r="D21" s="4"/>
    </row>
    <row r="22" ht="16" customHeight="1" s="4" customFormat="1">
      <c r="A22" s="4" t="s">
        <v>37</v>
      </c>
      <c r="B22" s="4" t="s">
        <v>38</v>
      </c>
      <c r="C22" s="4"/>
      <c r="D22" s="4"/>
    </row>
    <row r="23" ht="16" customHeight="1" s="4" customFormat="1">
      <c r="A23" s="4" t="s">
        <v>39</v>
      </c>
      <c r="B23" s="4" t="s">
        <v>40</v>
      </c>
      <c r="C23" s="4"/>
      <c r="D23" s="4"/>
    </row>
    <row r="24" ht="16" customHeight="1">
      <c r="A24" s="3" t="s">
        <v>41</v>
      </c>
      <c r="B24" s="3" t="s">
        <v>42</v>
      </c>
    </row>
  </sheetData>
  <headerFooter/>
</worksheet>
</file>

<file path=xl/worksheets/sheet3.xml><?xml version="1.0" encoding="utf-8"?>
<worksheet xmlns:r="http://schemas.openxmlformats.org/officeDocument/2006/relationships" xmlns="http://schemas.openxmlformats.org/spreadsheetml/2006/main">
  <dimension ref="A1:L5"/>
  <sheetViews>
    <sheetView workbookViewId="0"/>
  </sheetViews>
  <sheetFormatPr defaultRowHeight="15"/>
  <cols>
    <col min="1" max="1" width="9.140625" customWidth="1" style="3"/>
    <col min="2" max="2" width="32.2356109619141" customWidth="1" style="3"/>
    <col min="3" max="3" width="21.1056823730469" customWidth="1" style="3"/>
    <col min="4" max="4" width="9.140625" customWidth="1" style="3"/>
    <col min="5" max="5" width="18.6470375061035" customWidth="1" style="3"/>
    <col min="6" max="6" width="17.6693592071533" customWidth="1" style="3"/>
    <col min="7" max="7" width="23.1654510498047" customWidth="1" style="3"/>
    <col min="8" max="8" width="17.3755531311035" customWidth="1" style="3"/>
    <col min="9" max="9" width="22.7695255279541" customWidth="1" style="3"/>
    <col min="10" max="16384" width="22.9653949737549" customWidth="1" style="3"/>
    <col min="11" max="16384" width="9.140625" customWidth="1" style="3"/>
    <col min="12" max="16384" width="9.140625" customWidth="1" style="3"/>
  </cols>
  <sheetData>
    <row r="1" ht="20" customHeight="1" s="1" customFormat="1">
      <c r="A1" s="2" t="s">
        <v>43</v>
      </c>
      <c r="B1" s="2" t="s">
        <v>44</v>
      </c>
      <c r="C1" s="2" t="s">
        <v>45</v>
      </c>
      <c r="D1" s="2" t="s">
        <v>46</v>
      </c>
      <c r="E1" s="2" t="s">
        <v>47</v>
      </c>
      <c r="F1" s="2" t="s">
        <v>48</v>
      </c>
      <c r="G1" s="2" t="s">
        <v>49</v>
      </c>
      <c r="H1" s="2" t="s">
        <v>50</v>
      </c>
      <c r="I1" s="2" t="s">
        <v>51</v>
      </c>
      <c r="J1" s="2" t="s">
        <v>52</v>
      </c>
    </row>
    <row r="2" ht="16" customHeight="1" s="4" customFormat="1">
      <c r="A2" s="4">
        <v>1</v>
      </c>
      <c r="B2" s="4" t="s">
        <v>53</v>
      </c>
      <c r="C2" s="4" t="s">
        <v>54</v>
      </c>
      <c r="D2" s="4"/>
      <c r="E2" s="5">
        <v>45867</v>
      </c>
      <c r="F2" s="4">
        <v>2</v>
      </c>
      <c r="G2" s="4"/>
      <c r="H2" s="4"/>
      <c r="I2" s="4" t="s">
        <v>55</v>
      </c>
      <c r="J2" s="4" t="s">
        <v>55</v>
      </c>
      <c r="K2" s="4"/>
      <c r="L2" s="4"/>
    </row>
    <row r="3" ht="16" customHeight="1" s="4" customFormat="1">
      <c r="A3" s="4">
        <v>2</v>
      </c>
      <c r="B3" s="4" t="s">
        <v>56</v>
      </c>
      <c r="C3" s="4" t="s">
        <v>54</v>
      </c>
      <c r="D3" s="4"/>
      <c r="E3" s="5">
        <v>43859</v>
      </c>
      <c r="F3" s="4">
        <v>2</v>
      </c>
      <c r="G3" s="4"/>
      <c r="H3" s="4"/>
      <c r="I3" s="4" t="s">
        <v>55</v>
      </c>
      <c r="J3" s="4" t="s">
        <v>55</v>
      </c>
      <c r="K3" s="4"/>
      <c r="L3" s="4"/>
    </row>
    <row r="4" ht="16" customHeight="1">
      <c r="A4" s="3">
        <v>3</v>
      </c>
      <c r="B4" s="3" t="s">
        <v>57</v>
      </c>
      <c r="C4" s="3" t="s">
        <v>54</v>
      </c>
      <c r="D4" s="3"/>
      <c r="E4" s="6">
        <v>45504</v>
      </c>
      <c r="F4" s="3">
        <v>3</v>
      </c>
      <c r="G4" s="3"/>
      <c r="H4" s="3"/>
      <c r="I4" s="3" t="s">
        <v>55</v>
      </c>
      <c r="J4" s="3" t="s">
        <v>55</v>
      </c>
    </row>
    <row r="5" ht="16" customHeight="1">
      <c r="A5" s="3">
        <v>4</v>
      </c>
      <c r="B5" s="3" t="s">
        <v>58</v>
      </c>
      <c r="C5" s="3" t="s">
        <v>59</v>
      </c>
      <c r="D5" s="3"/>
      <c r="E5" s="6">
        <v>45559</v>
      </c>
      <c r="F5" s="3"/>
      <c r="G5" s="3"/>
      <c r="H5" s="3"/>
      <c r="I5" s="3" t="s">
        <v>55</v>
      </c>
      <c r="J5" s="3" t="s">
        <v>55</v>
      </c>
    </row>
  </sheetData>
  <headerFooter/>
</worksheet>
</file>

<file path=xl/worksheets/sheet4.xml><?xml version="1.0" encoding="utf-8"?>
<worksheet xmlns:r="http://schemas.openxmlformats.org/officeDocument/2006/relationships" xmlns="http://schemas.openxmlformats.org/spreadsheetml/2006/main">
  <dimension ref="A1:L4"/>
  <sheetViews>
    <sheetView workbookViewId="0"/>
  </sheetViews>
  <sheetFormatPr defaultRowHeight="15"/>
  <cols>
    <col min="1" max="1" width="9.140625" customWidth="1" style="3"/>
    <col min="2" max="2" width="43.0064353942871" customWidth="1" style="3"/>
    <col min="3" max="3" width="19.2413463592529" customWidth="1" style="3"/>
    <col min="4" max="4" width="13.9419612884521" customWidth="1" style="3"/>
    <col min="5" max="5" width="9.140625" customWidth="1" style="3"/>
    <col min="6" max="6" width="22.0881633758545" customWidth="1" style="3"/>
    <col min="7" max="7" width="21.6947479248047" customWidth="1" style="3"/>
    <col min="8" max="8" width="25.5251045227051" customWidth="1" style="3"/>
    <col min="9" max="9" width="14.9288473129272" customWidth="1" style="3"/>
    <col min="10" max="16384" width="26.9003849029541" customWidth="1" style="3"/>
    <col min="11" max="16384" width="9.140625" customWidth="1" style="3"/>
    <col min="12" max="16384" width="9.140625" customWidth="1" style="3"/>
  </cols>
  <sheetData>
    <row r="1" ht="20" customHeight="1" s="1" customFormat="1">
      <c r="A1" s="2" t="s">
        <v>60</v>
      </c>
      <c r="B1" s="2" t="s">
        <v>61</v>
      </c>
      <c r="C1" s="2" t="s">
        <v>62</v>
      </c>
      <c r="D1" s="2" t="s">
        <v>63</v>
      </c>
      <c r="E1" s="2" t="s">
        <v>35</v>
      </c>
      <c r="F1" s="2" t="s">
        <v>64</v>
      </c>
      <c r="G1" s="2" t="s">
        <v>65</v>
      </c>
      <c r="H1" s="2" t="s">
        <v>53</v>
      </c>
      <c r="I1" s="2" t="s">
        <v>57</v>
      </c>
      <c r="J1" s="2" t="s">
        <v>56</v>
      </c>
    </row>
    <row r="2" ht="16" customHeight="1" s="4" customFormat="1">
      <c r="A2" s="4">
        <v>1</v>
      </c>
      <c r="B2" s="4" t="s">
        <v>10</v>
      </c>
      <c r="C2" s="4">
        <v>100</v>
      </c>
      <c r="D2" s="4" t="s">
        <v>66</v>
      </c>
      <c r="E2" s="4" t="s">
        <v>36</v>
      </c>
      <c r="F2" s="4">
        <v>6885.22</v>
      </c>
      <c r="G2" s="4"/>
      <c r="H2" s="4" t="s">
        <v>67</v>
      </c>
      <c r="I2" s="4" t="s">
        <v>67</v>
      </c>
      <c r="J2" s="4" t="s">
        <v>67</v>
      </c>
      <c r="K2" s="4"/>
      <c r="L2" s="4"/>
    </row>
    <row r="3" ht="16" customHeight="1" s="4" customFormat="1">
      <c r="A3" s="4">
        <v>2</v>
      </c>
      <c r="B3" s="4" t="s">
        <v>68</v>
      </c>
      <c r="C3" s="4">
        <v>75</v>
      </c>
      <c r="D3" s="4" t="s">
        <v>69</v>
      </c>
      <c r="E3" s="4" t="s">
        <v>36</v>
      </c>
      <c r="F3" s="4">
        <v>26541.92</v>
      </c>
      <c r="G3" s="4"/>
      <c r="H3" s="4" t="s">
        <v>67</v>
      </c>
      <c r="I3" s="4" t="s">
        <v>67</v>
      </c>
      <c r="J3" s="4" t="s">
        <v>67</v>
      </c>
      <c r="K3" s="4"/>
      <c r="L3" s="4"/>
    </row>
    <row r="4" ht="16" customHeight="1">
      <c r="A4" s="3">
        <v>3</v>
      </c>
      <c r="B4" s="3" t="s">
        <v>70</v>
      </c>
      <c r="C4" s="3">
        <v>50</v>
      </c>
      <c r="D4" s="3" t="s">
        <v>71</v>
      </c>
      <c r="E4" s="3" t="s">
        <v>72</v>
      </c>
      <c r="F4" s="3">
        <v>1</v>
      </c>
      <c r="G4" s="3"/>
      <c r="H4" s="3"/>
      <c r="I4" s="3" t="s">
        <v>67</v>
      </c>
      <c r="J4" s="3"/>
    </row>
  </sheetData>
  <headerFooter/>
</worksheet>
</file>

<file path=xl/worksheets/sheet5.xml><?xml version="1.0" encoding="utf-8"?>
<worksheet xmlns:r="http://schemas.openxmlformats.org/officeDocument/2006/relationships" xmlns="http://schemas.openxmlformats.org/spreadsheetml/2006/main">
  <dimension ref="A1:F2"/>
  <sheetViews>
    <sheetView workbookViewId="0"/>
  </sheetViews>
  <sheetFormatPr defaultRowHeight="15"/>
  <cols>
    <col min="1" max="1" width="192.096694946289" customWidth="1" style="3"/>
    <col min="2" max="2" width="178.899154663086" customWidth="1" style="3"/>
    <col min="3" max="3" width="20.1227607727051" customWidth="1" style="3"/>
    <col min="4" max="4" width="22.4807415008545" customWidth="1" style="3"/>
    <col min="5" max="5" width="9.140625" customWidth="1" style="3"/>
    <col min="6" max="16384" width="86.8785400390625" customWidth="1" style="3"/>
    <col min="7" max="16384" width="9.140625" customWidth="1" style="3"/>
    <col min="8" max="16384" width="9.140625" customWidth="1" style="3"/>
  </cols>
  <sheetData>
    <row r="1" ht="16" customHeight="1" s="1" customFormat="1">
      <c r="A1" s="2" t="s">
        <v>44</v>
      </c>
      <c r="B1" s="2" t="s">
        <v>61</v>
      </c>
      <c r="C1" s="2" t="s">
        <v>11</v>
      </c>
      <c r="D1" s="2" t="s">
        <v>73</v>
      </c>
      <c r="E1" s="2" t="s">
        <v>35</v>
      </c>
      <c r="F1" s="2" t="s">
        <v>33</v>
      </c>
    </row>
    <row r="2" ht="16" customHeight="1">
      <c r="A2" s="3" t="s">
        <v>74</v>
      </c>
      <c r="B2" s="3" t="s">
        <v>70</v>
      </c>
      <c r="C2" s="6">
        <v>46114</v>
      </c>
      <c r="D2" s="3">
        <v>1</v>
      </c>
      <c r="E2" s="3" t="s">
        <v>72</v>
      </c>
      <c r="F2" s="3" t="s">
        <v>75</v>
      </c>
    </row>
  </sheetData>
  <headerFooter/>
</worksheet>
</file>

<file path=xl/worksheets/sheet6.xml><?xml version="1.0" encoding="utf-8"?>
<worksheet xmlns:r="http://schemas.openxmlformats.org/officeDocument/2006/relationships" xmlns="http://schemas.openxmlformats.org/spreadsheetml/2006/main">
  <dimension ref="A1:J30"/>
  <sheetViews>
    <sheetView workbookViewId="0"/>
  </sheetViews>
  <sheetFormatPr defaultRowHeight="15"/>
  <cols>
    <col min="1" max="1" width="9.140625" customWidth="1" style="3"/>
    <col min="2" max="2" width="41.1117210388184" customWidth="1" style="3"/>
    <col min="3" max="3" width="33.5952644348145" customWidth="1" style="3"/>
    <col min="4" max="4" width="18.6470375061035" customWidth="1" style="3"/>
    <col min="5" max="5" width="15.9048509597778" customWidth="1" style="3"/>
    <col min="6" max="6" width="23.6576385498047" customWidth="1" style="3"/>
    <col min="7" max="7" width="22.7695255279541" customWidth="1" style="3"/>
    <col min="8" max="16384" width="22.9653949737549" customWidth="1" style="3"/>
    <col min="9" max="16384" width="9.140625" customWidth="1" style="3"/>
    <col min="10" max="16384" width="9.140625" customWidth="1" style="3"/>
  </cols>
  <sheetData>
    <row r="1" ht="20" customHeight="1" s="1" customFormat="1">
      <c r="A1" s="2" t="s">
        <v>43</v>
      </c>
      <c r="B1" s="2" t="s">
        <v>44</v>
      </c>
      <c r="C1" s="2" t="s">
        <v>45</v>
      </c>
      <c r="D1" s="2" t="s">
        <v>47</v>
      </c>
      <c r="E1" s="2" t="s">
        <v>76</v>
      </c>
      <c r="F1" s="2" t="s">
        <v>77</v>
      </c>
      <c r="G1" s="2" t="s">
        <v>51</v>
      </c>
      <c r="H1" s="2" t="s">
        <v>52</v>
      </c>
    </row>
    <row r="2" ht="16" customHeight="1" s="4" customFormat="1">
      <c r="A2" s="4">
        <v>1</v>
      </c>
      <c r="B2" s="4" t="s">
        <v>78</v>
      </c>
      <c r="C2" s="4" t="s">
        <v>79</v>
      </c>
      <c r="D2" s="5">
        <v>39993</v>
      </c>
      <c r="E2" s="5">
        <v>40519</v>
      </c>
      <c r="F2" s="4">
        <v>17</v>
      </c>
      <c r="G2" s="4" t="s">
        <v>55</v>
      </c>
      <c r="H2" s="4" t="s">
        <v>55</v>
      </c>
      <c r="I2" s="4"/>
      <c r="J2" s="4"/>
    </row>
    <row r="3" ht="16" customHeight="1" s="4" customFormat="1">
      <c r="A3" s="4">
        <v>2</v>
      </c>
      <c r="B3" s="4" t="s">
        <v>78</v>
      </c>
      <c r="C3" s="4" t="s">
        <v>80</v>
      </c>
      <c r="D3" s="5">
        <v>39972</v>
      </c>
      <c r="E3" s="5">
        <v>39993</v>
      </c>
      <c r="F3" s="4">
        <v>17</v>
      </c>
      <c r="G3" s="4" t="s">
        <v>55</v>
      </c>
      <c r="H3" s="4" t="s">
        <v>55</v>
      </c>
      <c r="I3" s="4"/>
      <c r="J3" s="4"/>
    </row>
    <row r="4" ht="16" customHeight="1" s="4" customFormat="1">
      <c r="A4" s="4">
        <v>3</v>
      </c>
      <c r="B4" s="4" t="s">
        <v>81</v>
      </c>
      <c r="C4" s="4" t="s">
        <v>79</v>
      </c>
      <c r="D4" s="5">
        <v>38960</v>
      </c>
      <c r="E4" s="5">
        <v>40081</v>
      </c>
      <c r="F4" s="4">
        <v>15</v>
      </c>
      <c r="G4" s="4" t="s">
        <v>55</v>
      </c>
      <c r="H4" s="4" t="s">
        <v>55</v>
      </c>
      <c r="I4" s="4"/>
      <c r="J4" s="4"/>
    </row>
    <row r="5" ht="16" customHeight="1" s="4" customFormat="1">
      <c r="A5" s="4">
        <v>4</v>
      </c>
      <c r="B5" s="4" t="s">
        <v>82</v>
      </c>
      <c r="C5" s="4" t="s">
        <v>79</v>
      </c>
      <c r="D5" s="5">
        <v>38873</v>
      </c>
      <c r="E5" s="5">
        <v>40912</v>
      </c>
      <c r="F5" s="4">
        <v>38</v>
      </c>
      <c r="G5" s="4" t="s">
        <v>55</v>
      </c>
      <c r="H5" s="4" t="s">
        <v>55</v>
      </c>
      <c r="I5" s="4"/>
      <c r="J5" s="4"/>
    </row>
    <row r="6" ht="16" customHeight="1" s="4" customFormat="1">
      <c r="A6" s="4">
        <v>5</v>
      </c>
      <c r="B6" s="4" t="s">
        <v>83</v>
      </c>
      <c r="C6" s="4" t="s">
        <v>84</v>
      </c>
      <c r="D6" s="5">
        <v>39423</v>
      </c>
      <c r="E6" s="5">
        <v>39710</v>
      </c>
      <c r="F6" s="4">
        <v>2</v>
      </c>
      <c r="G6" s="4" t="s">
        <v>55</v>
      </c>
      <c r="H6" s="4" t="s">
        <v>55</v>
      </c>
      <c r="I6" s="4"/>
      <c r="J6" s="4"/>
    </row>
    <row r="7" ht="16" customHeight="1" s="4" customFormat="1">
      <c r="A7" s="4">
        <v>6</v>
      </c>
      <c r="B7" s="4" t="s">
        <v>85</v>
      </c>
      <c r="C7" s="4" t="s">
        <v>79</v>
      </c>
      <c r="D7" s="5">
        <v>35977</v>
      </c>
      <c r="E7" s="5">
        <v>39972</v>
      </c>
      <c r="F7" s="4">
        <v>18</v>
      </c>
      <c r="G7" s="4" t="s">
        <v>55</v>
      </c>
      <c r="H7" s="4" t="s">
        <v>55</v>
      </c>
      <c r="I7" s="4"/>
      <c r="J7" s="4"/>
    </row>
    <row r="8" ht="16" customHeight="1" s="4" customFormat="1">
      <c r="A8" s="4">
        <v>7</v>
      </c>
      <c r="B8" s="4" t="s">
        <v>86</v>
      </c>
      <c r="C8" s="4" t="s">
        <v>87</v>
      </c>
      <c r="D8" s="5">
        <v>38503</v>
      </c>
      <c r="E8" s="5">
        <v>39813</v>
      </c>
      <c r="F8" s="4">
        <v>35</v>
      </c>
      <c r="G8" s="4" t="s">
        <v>55</v>
      </c>
      <c r="H8" s="4" t="s">
        <v>55</v>
      </c>
      <c r="I8" s="4"/>
      <c r="J8" s="4"/>
    </row>
    <row r="9" ht="16" customHeight="1" s="4" customFormat="1">
      <c r="A9" s="4">
        <v>8</v>
      </c>
      <c r="B9" s="4" t="s">
        <v>88</v>
      </c>
      <c r="C9" s="4" t="s">
        <v>79</v>
      </c>
      <c r="D9" s="5">
        <v>32704</v>
      </c>
      <c r="E9" s="5">
        <v>40519</v>
      </c>
      <c r="F9" s="4">
        <v>18</v>
      </c>
      <c r="G9" s="4" t="s">
        <v>55</v>
      </c>
      <c r="H9" s="4" t="s">
        <v>55</v>
      </c>
      <c r="I9" s="4"/>
      <c r="J9" s="4"/>
    </row>
    <row r="10" ht="16" customHeight="1" s="4" customFormat="1">
      <c r="A10" s="4">
        <v>9</v>
      </c>
      <c r="B10" s="4" t="s">
        <v>89</v>
      </c>
      <c r="C10" s="4" t="s">
        <v>79</v>
      </c>
      <c r="D10" s="5">
        <v>33508</v>
      </c>
      <c r="E10" s="5">
        <v>40158</v>
      </c>
      <c r="F10" s="4">
        <v>2</v>
      </c>
      <c r="G10" s="4" t="s">
        <v>55</v>
      </c>
      <c r="H10" s="4" t="s">
        <v>55</v>
      </c>
      <c r="I10" s="4"/>
      <c r="J10" s="4"/>
    </row>
    <row r="11" ht="16" customHeight="1" s="4" customFormat="1">
      <c r="A11" s="4">
        <v>10</v>
      </c>
      <c r="B11" s="4" t="s">
        <v>90</v>
      </c>
      <c r="C11" s="4" t="s">
        <v>79</v>
      </c>
      <c r="D11" s="5">
        <v>36539</v>
      </c>
      <c r="E11" s="5">
        <v>42240</v>
      </c>
      <c r="F11" s="4">
        <v>1</v>
      </c>
      <c r="G11" s="4" t="s">
        <v>55</v>
      </c>
      <c r="H11" s="4" t="s">
        <v>55</v>
      </c>
      <c r="I11" s="4"/>
      <c r="J11" s="4"/>
    </row>
    <row r="12" ht="16" customHeight="1" s="4" customFormat="1">
      <c r="A12" s="4">
        <v>11</v>
      </c>
      <c r="B12" s="4" t="s">
        <v>91</v>
      </c>
      <c r="C12" s="4" t="s">
        <v>92</v>
      </c>
      <c r="D12" s="5">
        <v>40435</v>
      </c>
      <c r="E12" s="5">
        <v>40435</v>
      </c>
      <c r="F12" s="4">
        <v>8</v>
      </c>
      <c r="G12" s="4" t="s">
        <v>55</v>
      </c>
      <c r="H12" s="4" t="s">
        <v>55</v>
      </c>
      <c r="I12" s="4"/>
      <c r="J12" s="4"/>
    </row>
    <row r="13" ht="16" customHeight="1" s="4" customFormat="1">
      <c r="A13" s="4">
        <v>12</v>
      </c>
      <c r="B13" s="4" t="s">
        <v>91</v>
      </c>
      <c r="C13" s="4" t="s">
        <v>87</v>
      </c>
      <c r="D13" s="5">
        <v>39972</v>
      </c>
      <c r="E13" s="5">
        <v>40435</v>
      </c>
      <c r="F13" s="4">
        <v>8</v>
      </c>
      <c r="G13" s="4" t="s">
        <v>55</v>
      </c>
      <c r="H13" s="4" t="s">
        <v>55</v>
      </c>
      <c r="I13" s="4"/>
      <c r="J13" s="4"/>
    </row>
    <row r="14" ht="16" customHeight="1" s="4" customFormat="1">
      <c r="A14" s="4">
        <v>13</v>
      </c>
      <c r="B14" s="4" t="s">
        <v>91</v>
      </c>
      <c r="C14" s="4" t="s">
        <v>93</v>
      </c>
      <c r="D14" s="5">
        <v>40435</v>
      </c>
      <c r="E14" s="5">
        <v>40730</v>
      </c>
      <c r="F14" s="4">
        <v>8</v>
      </c>
      <c r="G14" s="4" t="s">
        <v>55</v>
      </c>
      <c r="H14" s="4" t="s">
        <v>55</v>
      </c>
      <c r="I14" s="4"/>
      <c r="J14" s="4"/>
    </row>
    <row r="15" ht="16" customHeight="1" s="4" customFormat="1">
      <c r="A15" s="4">
        <v>14</v>
      </c>
      <c r="B15" s="4" t="s">
        <v>94</v>
      </c>
      <c r="C15" s="4" t="s">
        <v>80</v>
      </c>
      <c r="D15" s="5">
        <v>40519</v>
      </c>
      <c r="E15" s="5">
        <v>40912</v>
      </c>
      <c r="F15" s="4">
        <v>7</v>
      </c>
      <c r="G15" s="4" t="s">
        <v>55</v>
      </c>
      <c r="H15" s="4" t="s">
        <v>55</v>
      </c>
      <c r="I15" s="4"/>
      <c r="J15" s="4"/>
    </row>
    <row r="16" ht="16" customHeight="1" s="4" customFormat="1">
      <c r="A16" s="4">
        <v>15</v>
      </c>
      <c r="B16" s="4" t="s">
        <v>95</v>
      </c>
      <c r="C16" s="4" t="s">
        <v>79</v>
      </c>
      <c r="D16" s="5">
        <v>39721</v>
      </c>
      <c r="E16" s="5">
        <v>42086</v>
      </c>
      <c r="F16" s="4">
        <v>2</v>
      </c>
      <c r="G16" s="4" t="s">
        <v>55</v>
      </c>
      <c r="H16" s="4" t="s">
        <v>55</v>
      </c>
      <c r="I16" s="4"/>
      <c r="J16" s="4"/>
    </row>
    <row r="17" ht="16" customHeight="1" s="4" customFormat="1">
      <c r="A17" s="4">
        <v>16</v>
      </c>
      <c r="B17" s="4" t="s">
        <v>95</v>
      </c>
      <c r="C17" s="4" t="s">
        <v>80</v>
      </c>
      <c r="D17" s="5">
        <v>39605</v>
      </c>
      <c r="E17" s="5">
        <v>39721</v>
      </c>
      <c r="F17" s="4">
        <v>2</v>
      </c>
      <c r="G17" s="4" t="s">
        <v>55</v>
      </c>
      <c r="H17" s="4" t="s">
        <v>55</v>
      </c>
      <c r="I17" s="4"/>
      <c r="J17" s="4"/>
    </row>
    <row r="18" ht="16" customHeight="1" s="4" customFormat="1">
      <c r="A18" s="4">
        <v>17</v>
      </c>
      <c r="B18" s="4" t="s">
        <v>96</v>
      </c>
      <c r="C18" s="4" t="s">
        <v>92</v>
      </c>
      <c r="D18" s="5">
        <v>40730</v>
      </c>
      <c r="E18" s="5">
        <v>40730</v>
      </c>
      <c r="F18" s="4">
        <v>9</v>
      </c>
      <c r="G18" s="4" t="s">
        <v>55</v>
      </c>
      <c r="H18" s="4" t="s">
        <v>55</v>
      </c>
      <c r="I18" s="4"/>
      <c r="J18" s="4"/>
    </row>
    <row r="19" ht="16" customHeight="1" s="4" customFormat="1">
      <c r="A19" s="4">
        <v>18</v>
      </c>
      <c r="B19" s="4" t="s">
        <v>96</v>
      </c>
      <c r="C19" s="4" t="s">
        <v>93</v>
      </c>
      <c r="D19" s="5">
        <v>40730</v>
      </c>
      <c r="E19" s="5">
        <v>45657</v>
      </c>
      <c r="F19" s="4">
        <v>9</v>
      </c>
      <c r="G19" s="4" t="s">
        <v>55</v>
      </c>
      <c r="H19" s="4" t="s">
        <v>55</v>
      </c>
      <c r="I19" s="4"/>
      <c r="J19" s="4"/>
    </row>
    <row r="20" ht="16" customHeight="1" s="4" customFormat="1">
      <c r="A20" s="4">
        <v>19</v>
      </c>
      <c r="B20" s="4" t="s">
        <v>97</v>
      </c>
      <c r="C20" s="4" t="s">
        <v>84</v>
      </c>
      <c r="D20" s="5">
        <v>40912</v>
      </c>
      <c r="E20" s="5">
        <v>40912</v>
      </c>
      <c r="F20" s="4">
        <v>23</v>
      </c>
      <c r="G20" s="4" t="s">
        <v>55</v>
      </c>
      <c r="H20" s="4" t="s">
        <v>55</v>
      </c>
      <c r="I20" s="4"/>
      <c r="J20" s="4"/>
    </row>
    <row r="21" ht="16" customHeight="1" s="4" customFormat="1">
      <c r="A21" s="4">
        <v>20</v>
      </c>
      <c r="B21" s="4" t="s">
        <v>98</v>
      </c>
      <c r="C21" s="4" t="s">
        <v>79</v>
      </c>
      <c r="D21" s="5">
        <v>41814</v>
      </c>
      <c r="E21" s="5">
        <v>42086</v>
      </c>
      <c r="F21" s="4">
        <v>2</v>
      </c>
      <c r="G21" s="4" t="s">
        <v>55</v>
      </c>
      <c r="H21" s="4" t="s">
        <v>55</v>
      </c>
      <c r="I21" s="4"/>
      <c r="J21" s="4"/>
    </row>
    <row r="22" ht="16" customHeight="1" s="4" customFormat="1">
      <c r="A22" s="4">
        <v>21</v>
      </c>
      <c r="B22" s="4" t="s">
        <v>98</v>
      </c>
      <c r="C22" s="4" t="s">
        <v>80</v>
      </c>
      <c r="D22" s="5">
        <v>41541</v>
      </c>
      <c r="E22" s="5">
        <v>41814</v>
      </c>
      <c r="F22" s="4">
        <v>2</v>
      </c>
      <c r="G22" s="4" t="s">
        <v>55</v>
      </c>
      <c r="H22" s="4" t="s">
        <v>55</v>
      </c>
      <c r="I22" s="4"/>
      <c r="J22" s="4"/>
    </row>
    <row r="23" ht="16" customHeight="1" s="4" customFormat="1">
      <c r="A23" s="4">
        <v>22</v>
      </c>
      <c r="B23" s="4" t="s">
        <v>99</v>
      </c>
      <c r="C23" s="4" t="s">
        <v>79</v>
      </c>
      <c r="D23" s="5">
        <v>42086</v>
      </c>
      <c r="E23" s="5">
        <v>44099</v>
      </c>
      <c r="F23" s="4">
        <v>2</v>
      </c>
      <c r="G23" s="4" t="s">
        <v>55</v>
      </c>
      <c r="H23" s="4" t="s">
        <v>55</v>
      </c>
      <c r="I23" s="4"/>
      <c r="J23" s="4"/>
    </row>
    <row r="24" ht="16" customHeight="1" s="4" customFormat="1">
      <c r="A24" s="4">
        <v>23</v>
      </c>
      <c r="B24" s="4" t="s">
        <v>100</v>
      </c>
      <c r="C24" s="4" t="s">
        <v>79</v>
      </c>
      <c r="D24" s="5">
        <v>42124</v>
      </c>
      <c r="E24" s="5">
        <v>43839</v>
      </c>
      <c r="F24" s="4">
        <v>2</v>
      </c>
      <c r="G24" s="4" t="s">
        <v>55</v>
      </c>
      <c r="H24" s="4" t="s">
        <v>55</v>
      </c>
      <c r="I24" s="4"/>
      <c r="J24" s="4"/>
    </row>
    <row r="25" ht="16" customHeight="1" s="4" customFormat="1">
      <c r="A25" s="4">
        <v>24</v>
      </c>
      <c r="B25" s="4" t="s">
        <v>101</v>
      </c>
      <c r="C25" s="4" t="s">
        <v>79</v>
      </c>
      <c r="D25" s="5">
        <v>43678</v>
      </c>
      <c r="E25" s="5">
        <v>44614</v>
      </c>
      <c r="F25" s="4">
        <v>1</v>
      </c>
      <c r="G25" s="4" t="s">
        <v>55</v>
      </c>
      <c r="H25" s="4" t="s">
        <v>55</v>
      </c>
      <c r="I25" s="4"/>
      <c r="J25" s="4"/>
    </row>
    <row r="26" ht="16" customHeight="1" s="4" customFormat="1">
      <c r="A26" s="4">
        <v>25</v>
      </c>
      <c r="B26" s="4" t="s">
        <v>102</v>
      </c>
      <c r="C26" s="4" t="s">
        <v>79</v>
      </c>
      <c r="D26" s="5">
        <v>44174</v>
      </c>
      <c r="E26" s="5">
        <v>45499</v>
      </c>
      <c r="F26" s="4">
        <v>2</v>
      </c>
      <c r="G26" s="4" t="s">
        <v>55</v>
      </c>
      <c r="H26" s="4" t="s">
        <v>55</v>
      </c>
      <c r="I26" s="4"/>
      <c r="J26" s="4"/>
    </row>
    <row r="27" ht="16" customHeight="1" s="4" customFormat="1">
      <c r="A27" s="4">
        <v>26</v>
      </c>
      <c r="B27" s="4" t="s">
        <v>103</v>
      </c>
      <c r="C27" s="4" t="s">
        <v>92</v>
      </c>
      <c r="D27" s="5">
        <v>45559</v>
      </c>
      <c r="E27" s="5">
        <v>45564</v>
      </c>
      <c r="F27" s="4">
        <v>4</v>
      </c>
      <c r="G27" s="4" t="s">
        <v>55</v>
      </c>
      <c r="H27" s="4" t="s">
        <v>55</v>
      </c>
      <c r="I27" s="4"/>
      <c r="J27" s="4"/>
    </row>
    <row r="28" ht="16" customHeight="1" s="4" customFormat="1">
      <c r="A28" s="4">
        <v>27</v>
      </c>
      <c r="B28" s="4" t="s">
        <v>103</v>
      </c>
      <c r="C28" s="4" t="s">
        <v>79</v>
      </c>
      <c r="D28" s="5">
        <v>45565</v>
      </c>
      <c r="E28" s="5">
        <v>45820</v>
      </c>
      <c r="F28" s="4">
        <v>4</v>
      </c>
      <c r="G28" s="4" t="s">
        <v>55</v>
      </c>
      <c r="H28" s="4" t="s">
        <v>55</v>
      </c>
      <c r="I28" s="4"/>
      <c r="J28" s="4"/>
    </row>
    <row r="29" ht="16" customHeight="1" s="4" customFormat="1">
      <c r="A29" s="4">
        <v>28</v>
      </c>
      <c r="B29" s="4" t="s">
        <v>104</v>
      </c>
      <c r="C29" s="4" t="s">
        <v>79</v>
      </c>
      <c r="D29" s="5">
        <v>44750</v>
      </c>
      <c r="E29" s="5">
        <v>45504</v>
      </c>
      <c r="F29" s="4">
        <v>1</v>
      </c>
      <c r="G29" s="4" t="s">
        <v>55</v>
      </c>
      <c r="H29" s="4" t="s">
        <v>55</v>
      </c>
      <c r="I29" s="4"/>
      <c r="J29" s="4"/>
    </row>
    <row r="30" ht="16" customHeight="1">
      <c r="A30" s="3">
        <v>29</v>
      </c>
      <c r="B30" s="3" t="s">
        <v>105</v>
      </c>
      <c r="C30" s="3" t="s">
        <v>59</v>
      </c>
      <c r="D30" s="6">
        <v>42853</v>
      </c>
      <c r="E30" s="3"/>
      <c r="F30" s="3">
        <v>1</v>
      </c>
      <c r="G30" s="3" t="s">
        <v>55</v>
      </c>
      <c r="H30" s="3" t="s">
        <v>55</v>
      </c>
    </row>
  </sheetData>
  <headerFooter/>
</worksheet>
</file>

<file path=xl/worksheets/sheet7.xml><?xml version="1.0" encoding="utf-8"?>
<worksheet xmlns:r="http://schemas.openxmlformats.org/officeDocument/2006/relationships" xmlns="http://schemas.openxmlformats.org/spreadsheetml/2006/main">
  <dimension ref="A1:AD128"/>
  <sheetViews>
    <sheetView workbookViewId="0"/>
  </sheetViews>
  <sheetFormatPr defaultRowHeight="15"/>
  <cols>
    <col min="1" max="1" width="9.140625" customWidth="1" style="3"/>
    <col min="2" max="2" width="67.3206100463867" customWidth="1" style="3"/>
    <col min="3" max="3" width="19.2413463592529" customWidth="1" style="3"/>
    <col min="4" max="4" width="13.9419612884521" customWidth="1" style="3"/>
    <col min="5" max="5" width="17.1576728820801" customWidth="1" style="3"/>
    <col min="6" max="6" width="22.0881633758545" customWidth="1" style="3"/>
    <col min="7" max="7" width="21.6947479248047" customWidth="1" style="3"/>
    <col min="8" max="8" width="13.6515035629272" customWidth="1" style="3"/>
    <col min="9" max="9" width="16.7896156311035" customWidth="1" style="3"/>
    <col min="10" max="10" width="18.8897228240967" customWidth="1" style="3"/>
    <col min="11" max="11" width="19.2455310821533" customWidth="1" style="3"/>
    <col min="12" max="12" width="21.7297515869141" customWidth="1" style="3"/>
    <col min="13" max="13" width="28.1634979248047" customWidth="1" style="3"/>
    <col min="14" max="14" width="30.1372680664063" customWidth="1" style="3"/>
    <col min="15" max="15" width="17.8677406311035" customWidth="1" style="3"/>
    <col min="16" max="16" width="31.7921237945557" customWidth="1" style="3"/>
    <col min="17" max="17" width="12.7667379379272" customWidth="1" style="3"/>
    <col min="18" max="18" width="33.2762184143066" customWidth="1" style="3"/>
    <col min="19" max="19" width="21.7297515869141" customWidth="1" style="3"/>
    <col min="20" max="20" width="37.1844215393066" customWidth="1" style="3"/>
    <col min="21" max="21" width="30.2268333435059" customWidth="1" style="3"/>
    <col min="22" max="22" width="13.4531221389771" customWidth="1" style="3"/>
    <col min="23" max="23" width="31.9871559143066" customWidth="1" style="3"/>
    <col min="24" max="24" width="10.8046846389771" customWidth="1" style="3"/>
    <col min="25" max="25" width="15.3130540847778" customWidth="1" style="3"/>
    <col min="26" max="26" width="14.5345935821533" customWidth="1" style="3"/>
    <col min="27" max="27" width="23.3671817779541" customWidth="1" style="3"/>
    <col min="28" max="16384" width="25.3462867736816" customWidth="1" style="3"/>
    <col min="29" max="16384" width="9.140625" customWidth="1" style="3"/>
    <col min="30" max="16384" width="9.140625" customWidth="1" style="3"/>
  </cols>
  <sheetData>
    <row r="1" ht="20" customHeight="1" s="1" customFormat="1">
      <c r="A1" s="2" t="s">
        <v>60</v>
      </c>
      <c r="B1" s="2" t="s">
        <v>61</v>
      </c>
      <c r="C1" s="2" t="s">
        <v>62</v>
      </c>
      <c r="D1" s="2" t="s">
        <v>63</v>
      </c>
      <c r="E1" s="2" t="s">
        <v>35</v>
      </c>
      <c r="F1" s="2" t="s">
        <v>64</v>
      </c>
      <c r="G1" s="2" t="s">
        <v>65</v>
      </c>
      <c r="H1" s="2" t="s">
        <v>106</v>
      </c>
      <c r="I1" s="2" t="s">
        <v>107</v>
      </c>
      <c r="J1" s="2" t="s">
        <v>108</v>
      </c>
      <c r="K1" s="2" t="s">
        <v>109</v>
      </c>
      <c r="L1" s="2" t="s">
        <v>110</v>
      </c>
      <c r="M1" s="2" t="s">
        <v>111</v>
      </c>
      <c r="N1" s="2" t="s">
        <v>112</v>
      </c>
      <c r="O1" s="2" t="s">
        <v>113</v>
      </c>
      <c r="P1" s="2" t="s">
        <v>114</v>
      </c>
      <c r="Q1" s="2" t="s">
        <v>115</v>
      </c>
      <c r="R1" s="2" t="s">
        <v>116</v>
      </c>
      <c r="S1" s="2" t="s">
        <v>117</v>
      </c>
      <c r="T1" s="2" t="s">
        <v>118</v>
      </c>
      <c r="U1" s="2" t="s">
        <v>119</v>
      </c>
      <c r="V1" s="2" t="s">
        <v>120</v>
      </c>
      <c r="W1" s="2" t="s">
        <v>121</v>
      </c>
      <c r="X1" s="2" t="s">
        <v>122</v>
      </c>
      <c r="Y1" s="2" t="s">
        <v>123</v>
      </c>
      <c r="Z1" s="2" t="s">
        <v>124</v>
      </c>
      <c r="AA1" s="2" t="s">
        <v>125</v>
      </c>
      <c r="AB1" s="2" t="s">
        <v>126</v>
      </c>
    </row>
    <row r="2" ht="16" customHeight="1" s="4" customFormat="1">
      <c r="A2" s="4">
        <v>1</v>
      </c>
      <c r="B2" s="4" t="s">
        <v>10</v>
      </c>
      <c r="C2" s="4"/>
      <c r="D2" s="4" t="s">
        <v>66</v>
      </c>
      <c r="E2" s="4" t="s">
        <v>36</v>
      </c>
      <c r="F2" s="4">
        <v>6885.22</v>
      </c>
      <c r="G2" s="4"/>
      <c r="H2" s="4" t="s">
        <v>127</v>
      </c>
      <c r="I2" s="4" t="s">
        <v>67</v>
      </c>
      <c r="J2" s="4" t="s">
        <v>67</v>
      </c>
      <c r="K2" s="4" t="s">
        <v>127</v>
      </c>
      <c r="L2" s="4" t="s">
        <v>128</v>
      </c>
      <c r="M2" s="4" t="s">
        <v>129</v>
      </c>
      <c r="N2" s="4" t="s">
        <v>67</v>
      </c>
      <c r="O2" s="4" t="s">
        <v>130</v>
      </c>
      <c r="P2" s="4" t="s">
        <v>67</v>
      </c>
      <c r="Q2" s="4" t="s">
        <v>67</v>
      </c>
      <c r="R2" s="4" t="s">
        <v>127</v>
      </c>
      <c r="S2" s="4" t="s">
        <v>67</v>
      </c>
      <c r="T2" s="4" t="s">
        <v>67</v>
      </c>
      <c r="U2" s="4" t="s">
        <v>67</v>
      </c>
      <c r="V2" s="4" t="s">
        <v>131</v>
      </c>
      <c r="W2" s="4" t="s">
        <v>67</v>
      </c>
      <c r="X2" s="4" t="s">
        <v>67</v>
      </c>
      <c r="Y2" s="4" t="s">
        <v>67</v>
      </c>
      <c r="Z2" s="4" t="s">
        <v>132</v>
      </c>
      <c r="AA2" s="4" t="s">
        <v>133</v>
      </c>
      <c r="AB2" s="4" t="s">
        <v>130</v>
      </c>
      <c r="AC2" s="4"/>
      <c r="AD2" s="4"/>
    </row>
    <row r="3" ht="16" customHeight="1" s="4" customFormat="1">
      <c r="A3" s="4">
        <v>2</v>
      </c>
      <c r="B3" s="4" t="s">
        <v>134</v>
      </c>
      <c r="C3" s="4">
        <v>100</v>
      </c>
      <c r="D3" s="4" t="s">
        <v>135</v>
      </c>
      <c r="E3" s="4" t="s">
        <v>36</v>
      </c>
      <c r="F3" s="4">
        <v>1</v>
      </c>
      <c r="G3" s="4"/>
      <c r="H3" s="4"/>
      <c r="I3" s="4"/>
      <c r="J3" s="4"/>
      <c r="K3" s="4"/>
      <c r="L3" s="4"/>
      <c r="M3" s="4"/>
      <c r="N3" s="4"/>
      <c r="O3" s="4"/>
      <c r="P3" s="4"/>
      <c r="Q3" s="4"/>
      <c r="R3" s="4"/>
      <c r="S3" s="4"/>
      <c r="T3" s="4"/>
      <c r="U3" s="4"/>
      <c r="V3" s="4"/>
      <c r="W3" s="4"/>
      <c r="X3" s="4"/>
      <c r="Y3" s="4"/>
      <c r="Z3" s="4" t="s">
        <v>67</v>
      </c>
      <c r="AA3" s="4"/>
      <c r="AB3" s="4"/>
      <c r="AC3" s="4"/>
      <c r="AD3" s="4"/>
    </row>
    <row r="4" ht="16" customHeight="1" s="4" customFormat="1">
      <c r="A4" s="4">
        <v>3</v>
      </c>
      <c r="B4" s="4" t="s">
        <v>136</v>
      </c>
      <c r="C4" s="4">
        <v>50</v>
      </c>
      <c r="D4" s="4" t="s">
        <v>137</v>
      </c>
      <c r="E4" s="4" t="s">
        <v>138</v>
      </c>
      <c r="F4" s="4">
        <v>254</v>
      </c>
      <c r="G4" s="4"/>
      <c r="H4" s="4"/>
      <c r="I4" s="4"/>
      <c r="J4" s="4"/>
      <c r="K4" s="4"/>
      <c r="L4" s="4"/>
      <c r="M4" s="4"/>
      <c r="N4" s="4"/>
      <c r="O4" s="4"/>
      <c r="P4" s="4"/>
      <c r="Q4" s="4"/>
      <c r="R4" s="4"/>
      <c r="S4" s="4" t="s">
        <v>67</v>
      </c>
      <c r="T4" s="4"/>
      <c r="U4" s="4"/>
      <c r="V4" s="4"/>
      <c r="W4" s="4"/>
      <c r="X4" s="4"/>
      <c r="Y4" s="4"/>
      <c r="Z4" s="4"/>
      <c r="AA4" s="4"/>
      <c r="AB4" s="4"/>
      <c r="AC4" s="4"/>
      <c r="AD4" s="4"/>
    </row>
    <row r="5" ht="16" customHeight="1" s="4" customFormat="1">
      <c r="A5" s="4">
        <v>4</v>
      </c>
      <c r="B5" s="4" t="s">
        <v>139</v>
      </c>
      <c r="C5" s="4">
        <v>50</v>
      </c>
      <c r="D5" s="4" t="s">
        <v>140</v>
      </c>
      <c r="E5" s="4" t="s">
        <v>36</v>
      </c>
      <c r="F5" s="4">
        <v>1</v>
      </c>
      <c r="G5" s="4"/>
      <c r="H5" s="4"/>
      <c r="I5" s="4"/>
      <c r="J5" s="4"/>
      <c r="K5" s="4"/>
      <c r="L5" s="4" t="s">
        <v>67</v>
      </c>
      <c r="M5" s="4"/>
      <c r="N5" s="4"/>
      <c r="O5" s="4"/>
      <c r="P5" s="4"/>
      <c r="Q5" s="4"/>
      <c r="R5" s="4"/>
      <c r="S5" s="4"/>
      <c r="T5" s="4"/>
      <c r="U5" s="4"/>
      <c r="V5" s="4"/>
      <c r="W5" s="4"/>
      <c r="X5" s="4"/>
      <c r="Y5" s="4"/>
      <c r="Z5" s="4"/>
      <c r="AA5" s="4"/>
      <c r="AB5" s="4"/>
      <c r="AC5" s="4"/>
      <c r="AD5" s="4"/>
    </row>
    <row r="6" ht="16" customHeight="1" s="4" customFormat="1">
      <c r="A6" s="4">
        <v>5</v>
      </c>
      <c r="B6" s="4" t="s">
        <v>141</v>
      </c>
      <c r="C6" s="4">
        <v>50</v>
      </c>
      <c r="D6" s="4" t="s">
        <v>142</v>
      </c>
      <c r="E6" s="4" t="s">
        <v>72</v>
      </c>
      <c r="F6" s="4"/>
      <c r="G6" s="4">
        <v>4</v>
      </c>
      <c r="H6" s="4"/>
      <c r="I6" s="4"/>
      <c r="J6" s="4" t="s">
        <v>143</v>
      </c>
      <c r="K6" s="4"/>
      <c r="L6" s="4"/>
      <c r="M6" s="4"/>
      <c r="N6" s="4"/>
      <c r="O6" s="4"/>
      <c r="P6" s="4"/>
      <c r="Q6" s="4"/>
      <c r="R6" s="4"/>
      <c r="S6" s="4"/>
      <c r="T6" s="4"/>
      <c r="U6" s="4"/>
      <c r="V6" s="4"/>
      <c r="W6" s="4"/>
      <c r="X6" s="4"/>
      <c r="Y6" s="4"/>
      <c r="Z6" s="4"/>
      <c r="AA6" s="4"/>
      <c r="AB6" s="4"/>
      <c r="AC6" s="4"/>
      <c r="AD6" s="4"/>
    </row>
    <row r="7" ht="16" customHeight="1" s="4" customFormat="1">
      <c r="A7" s="4">
        <v>6</v>
      </c>
      <c r="B7" s="4" t="s">
        <v>144</v>
      </c>
      <c r="C7" s="4">
        <v>50</v>
      </c>
      <c r="D7" s="4"/>
      <c r="E7" s="4" t="s">
        <v>72</v>
      </c>
      <c r="F7" s="4">
        <v>0</v>
      </c>
      <c r="G7" s="4"/>
      <c r="H7" s="4"/>
      <c r="I7" s="4"/>
      <c r="J7" s="4"/>
      <c r="K7" s="4"/>
      <c r="L7" s="4"/>
      <c r="M7" s="4"/>
      <c r="N7" s="4"/>
      <c r="O7" s="4"/>
      <c r="P7" s="4"/>
      <c r="Q7" s="4"/>
      <c r="R7" s="4"/>
      <c r="S7" s="4"/>
      <c r="T7" s="4"/>
      <c r="U7" s="4"/>
      <c r="V7" s="4"/>
      <c r="W7" s="4"/>
      <c r="X7" s="4"/>
      <c r="Y7" s="4"/>
      <c r="Z7" s="4"/>
      <c r="AA7" s="4"/>
      <c r="AB7" s="4" t="s">
        <v>145</v>
      </c>
      <c r="AC7" s="4"/>
      <c r="AD7" s="4"/>
    </row>
    <row r="8" ht="16" customHeight="1" s="4" customFormat="1">
      <c r="A8" s="4">
        <v>7</v>
      </c>
      <c r="B8" s="4" t="s">
        <v>144</v>
      </c>
      <c r="C8" s="4">
        <v>50</v>
      </c>
      <c r="D8" s="4" t="s">
        <v>146</v>
      </c>
      <c r="E8" s="4" t="s">
        <v>72</v>
      </c>
      <c r="F8" s="4"/>
      <c r="G8" s="4"/>
      <c r="H8" s="4"/>
      <c r="I8" s="4"/>
      <c r="J8" s="4"/>
      <c r="K8" s="4"/>
      <c r="L8" s="4"/>
      <c r="M8" s="4"/>
      <c r="N8" s="4"/>
      <c r="O8" s="4"/>
      <c r="P8" s="4"/>
      <c r="Q8" s="4"/>
      <c r="R8" s="4"/>
      <c r="S8" s="4"/>
      <c r="T8" s="4"/>
      <c r="U8" s="4"/>
      <c r="V8" s="4"/>
      <c r="W8" s="4"/>
      <c r="X8" s="4"/>
      <c r="Y8" s="4"/>
      <c r="Z8" s="4"/>
      <c r="AA8" s="4"/>
      <c r="AB8" s="4" t="s">
        <v>145</v>
      </c>
      <c r="AC8" s="4"/>
      <c r="AD8" s="4"/>
    </row>
    <row r="9" ht="16" customHeight="1" s="4" customFormat="1">
      <c r="A9" s="4">
        <v>8</v>
      </c>
      <c r="B9" s="4" t="s">
        <v>147</v>
      </c>
      <c r="C9" s="4">
        <v>50</v>
      </c>
      <c r="D9" s="4" t="s">
        <v>148</v>
      </c>
      <c r="E9" s="4" t="s">
        <v>138</v>
      </c>
      <c r="F9" s="4">
        <v>1</v>
      </c>
      <c r="G9" s="4"/>
      <c r="H9" s="4"/>
      <c r="I9" s="4"/>
      <c r="J9" s="4"/>
      <c r="K9" s="4"/>
      <c r="L9" s="4"/>
      <c r="M9" s="4"/>
      <c r="N9" s="4"/>
      <c r="O9" s="4"/>
      <c r="P9" s="4"/>
      <c r="Q9" s="4"/>
      <c r="R9" s="4"/>
      <c r="S9" s="4" t="s">
        <v>67</v>
      </c>
      <c r="T9" s="4"/>
      <c r="U9" s="4"/>
      <c r="V9" s="4"/>
      <c r="W9" s="4"/>
      <c r="X9" s="4"/>
      <c r="Y9" s="4"/>
      <c r="Z9" s="4"/>
      <c r="AA9" s="4"/>
      <c r="AB9" s="4"/>
      <c r="AC9" s="4"/>
      <c r="AD9" s="4"/>
    </row>
    <row r="10" ht="16" customHeight="1" s="4" customFormat="1">
      <c r="A10" s="4">
        <v>9</v>
      </c>
      <c r="B10" s="4" t="s">
        <v>68</v>
      </c>
      <c r="C10" s="4">
        <v>43</v>
      </c>
      <c r="D10" s="4" t="s">
        <v>69</v>
      </c>
      <c r="E10" s="4" t="s">
        <v>36</v>
      </c>
      <c r="F10" s="4">
        <v>26541.92</v>
      </c>
      <c r="G10" s="4"/>
      <c r="H10" s="4"/>
      <c r="I10" s="4"/>
      <c r="J10" s="4"/>
      <c r="K10" s="4"/>
      <c r="L10" s="4"/>
      <c r="M10" s="4" t="s">
        <v>129</v>
      </c>
      <c r="N10" s="4"/>
      <c r="O10" s="4"/>
      <c r="P10" s="4" t="s">
        <v>67</v>
      </c>
      <c r="Q10" s="4"/>
      <c r="R10" s="4"/>
      <c r="S10" s="4"/>
      <c r="T10" s="4" t="s">
        <v>67</v>
      </c>
      <c r="U10" s="4" t="s">
        <v>67</v>
      </c>
      <c r="V10" s="4"/>
      <c r="W10" s="4"/>
      <c r="X10" s="4"/>
      <c r="Y10" s="4"/>
      <c r="Z10" s="4" t="s">
        <v>132</v>
      </c>
      <c r="AA10" s="4" t="s">
        <v>129</v>
      </c>
      <c r="AB10" s="4"/>
      <c r="AC10" s="4"/>
      <c r="AD10" s="4"/>
    </row>
    <row r="11" ht="16" customHeight="1" s="4" customFormat="1">
      <c r="A11" s="4">
        <v>10</v>
      </c>
      <c r="B11" s="4" t="s">
        <v>149</v>
      </c>
      <c r="C11" s="4">
        <v>33</v>
      </c>
      <c r="D11" s="4" t="s">
        <v>150</v>
      </c>
      <c r="E11" s="4" t="s">
        <v>138</v>
      </c>
      <c r="F11" s="4">
        <v>0.05</v>
      </c>
      <c r="G11" s="4"/>
      <c r="H11" s="4"/>
      <c r="I11" s="4"/>
      <c r="J11" s="4"/>
      <c r="K11" s="4"/>
      <c r="L11" s="4"/>
      <c r="M11" s="4"/>
      <c r="N11" s="4"/>
      <c r="O11" s="4"/>
      <c r="P11" s="4"/>
      <c r="Q11" s="4"/>
      <c r="R11" s="4"/>
      <c r="S11" s="4" t="s">
        <v>67</v>
      </c>
      <c r="T11" s="4"/>
      <c r="U11" s="4"/>
      <c r="V11" s="4"/>
      <c r="W11" s="4"/>
      <c r="X11" s="4"/>
      <c r="Y11" s="4"/>
      <c r="Z11" s="4"/>
      <c r="AA11" s="4"/>
      <c r="AB11" s="4"/>
      <c r="AC11" s="4"/>
      <c r="AD11" s="4"/>
    </row>
    <row r="12" ht="16" customHeight="1" s="4" customFormat="1">
      <c r="A12" s="4">
        <v>11</v>
      </c>
      <c r="B12" s="4" t="s">
        <v>151</v>
      </c>
      <c r="C12" s="4">
        <v>33</v>
      </c>
      <c r="D12" s="4" t="s">
        <v>152</v>
      </c>
      <c r="E12" s="4" t="s">
        <v>153</v>
      </c>
      <c r="F12" s="4"/>
      <c r="G12" s="4">
        <v>15.5</v>
      </c>
      <c r="H12" s="4"/>
      <c r="I12" s="4"/>
      <c r="J12" s="4"/>
      <c r="K12" s="4"/>
      <c r="L12" s="4" t="s">
        <v>143</v>
      </c>
      <c r="M12" s="4"/>
      <c r="N12" s="4"/>
      <c r="O12" s="4"/>
      <c r="P12" s="4"/>
      <c r="Q12" s="4"/>
      <c r="R12" s="4"/>
      <c r="S12" s="4"/>
      <c r="T12" s="4"/>
      <c r="U12" s="4"/>
      <c r="V12" s="4"/>
      <c r="W12" s="4"/>
      <c r="X12" s="4"/>
      <c r="Y12" s="4"/>
      <c r="Z12" s="4"/>
      <c r="AA12" s="4"/>
      <c r="AB12" s="4"/>
      <c r="AC12" s="4"/>
      <c r="AD12" s="4"/>
    </row>
    <row r="13" ht="16" customHeight="1" s="4" customFormat="1">
      <c r="A13" s="4">
        <v>12</v>
      </c>
      <c r="B13" s="4" t="s">
        <v>154</v>
      </c>
      <c r="C13" s="4">
        <v>33</v>
      </c>
      <c r="D13" s="4" t="s">
        <v>155</v>
      </c>
      <c r="E13" s="4" t="s">
        <v>138</v>
      </c>
      <c r="F13" s="4">
        <v>0.1</v>
      </c>
      <c r="G13" s="4"/>
      <c r="H13" s="4"/>
      <c r="I13" s="4"/>
      <c r="J13" s="4"/>
      <c r="K13" s="4"/>
      <c r="L13" s="4"/>
      <c r="M13" s="4"/>
      <c r="N13" s="4"/>
      <c r="O13" s="4"/>
      <c r="P13" s="4"/>
      <c r="Q13" s="4"/>
      <c r="R13" s="4"/>
      <c r="S13" s="4" t="s">
        <v>67</v>
      </c>
      <c r="T13" s="4"/>
      <c r="U13" s="4"/>
      <c r="V13" s="4"/>
      <c r="W13" s="4"/>
      <c r="X13" s="4"/>
      <c r="Y13" s="4"/>
      <c r="Z13" s="4"/>
      <c r="AA13" s="4"/>
      <c r="AB13" s="4"/>
      <c r="AC13" s="4"/>
      <c r="AD13" s="4"/>
    </row>
    <row r="14" ht="16" customHeight="1" s="4" customFormat="1">
      <c r="A14" s="4">
        <v>13</v>
      </c>
      <c r="B14" s="4" t="s">
        <v>156</v>
      </c>
      <c r="C14" s="4">
        <v>33</v>
      </c>
      <c r="D14" s="4" t="s">
        <v>157</v>
      </c>
      <c r="E14" s="4" t="s">
        <v>36</v>
      </c>
      <c r="F14" s="4">
        <v>2462.11</v>
      </c>
      <c r="G14" s="4"/>
      <c r="H14" s="4"/>
      <c r="I14" s="4"/>
      <c r="J14" s="4" t="s">
        <v>67</v>
      </c>
      <c r="K14" s="4"/>
      <c r="L14" s="4"/>
      <c r="M14" s="4"/>
      <c r="N14" s="4"/>
      <c r="O14" s="4"/>
      <c r="P14" s="4"/>
      <c r="Q14" s="4"/>
      <c r="R14" s="4"/>
      <c r="S14" s="4"/>
      <c r="T14" s="4"/>
      <c r="U14" s="4"/>
      <c r="V14" s="4"/>
      <c r="W14" s="4"/>
      <c r="X14" s="4"/>
      <c r="Y14" s="4"/>
      <c r="Z14" s="4"/>
      <c r="AA14" s="4"/>
      <c r="AB14" s="4"/>
      <c r="AC14" s="4"/>
      <c r="AD14" s="4"/>
    </row>
    <row r="15" ht="16" customHeight="1" s="4" customFormat="1">
      <c r="A15" s="4">
        <v>14</v>
      </c>
      <c r="B15" s="4" t="s">
        <v>158</v>
      </c>
      <c r="C15" s="4">
        <v>33</v>
      </c>
      <c r="D15" s="4" t="s">
        <v>159</v>
      </c>
      <c r="E15" s="4" t="s">
        <v>138</v>
      </c>
      <c r="F15" s="4">
        <v>193.88</v>
      </c>
      <c r="G15" s="4"/>
      <c r="H15" s="4"/>
      <c r="I15" s="4"/>
      <c r="J15" s="4"/>
      <c r="K15" s="4"/>
      <c r="L15" s="4"/>
      <c r="M15" s="4"/>
      <c r="N15" s="4"/>
      <c r="O15" s="4"/>
      <c r="P15" s="4"/>
      <c r="Q15" s="4"/>
      <c r="R15" s="4"/>
      <c r="S15" s="4" t="s">
        <v>67</v>
      </c>
      <c r="T15" s="4"/>
      <c r="U15" s="4"/>
      <c r="V15" s="4"/>
      <c r="W15" s="4"/>
      <c r="X15" s="4"/>
      <c r="Y15" s="4"/>
      <c r="Z15" s="4"/>
      <c r="AA15" s="4"/>
      <c r="AB15" s="4"/>
      <c r="AC15" s="4"/>
      <c r="AD15" s="4"/>
    </row>
    <row r="16" ht="16" customHeight="1" s="4" customFormat="1">
      <c r="A16" s="4">
        <v>15</v>
      </c>
      <c r="B16" s="4" t="s">
        <v>160</v>
      </c>
      <c r="C16" s="4">
        <v>33</v>
      </c>
      <c r="D16" s="4" t="s">
        <v>161</v>
      </c>
      <c r="E16" s="4" t="s">
        <v>138</v>
      </c>
      <c r="F16" s="4">
        <v>176.89</v>
      </c>
      <c r="G16" s="4"/>
      <c r="H16" s="4"/>
      <c r="I16" s="4"/>
      <c r="J16" s="4"/>
      <c r="K16" s="4"/>
      <c r="L16" s="4"/>
      <c r="M16" s="4"/>
      <c r="N16" s="4"/>
      <c r="O16" s="4"/>
      <c r="P16" s="4"/>
      <c r="Q16" s="4"/>
      <c r="R16" s="4"/>
      <c r="S16" s="4" t="s">
        <v>67</v>
      </c>
      <c r="T16" s="4"/>
      <c r="U16" s="4"/>
      <c r="V16" s="4"/>
      <c r="W16" s="4"/>
      <c r="X16" s="4"/>
      <c r="Y16" s="4"/>
      <c r="Z16" s="4"/>
      <c r="AA16" s="4"/>
      <c r="AB16" s="4"/>
      <c r="AC16" s="4"/>
      <c r="AD16" s="4"/>
    </row>
    <row r="17" ht="16" customHeight="1" s="4" customFormat="1">
      <c r="A17" s="4">
        <v>16</v>
      </c>
      <c r="B17" s="4" t="s">
        <v>162</v>
      </c>
      <c r="C17" s="4">
        <v>33</v>
      </c>
      <c r="D17" s="4" t="s">
        <v>161</v>
      </c>
      <c r="E17" s="4" t="s">
        <v>138</v>
      </c>
      <c r="F17" s="4">
        <v>53.51</v>
      </c>
      <c r="G17" s="4"/>
      <c r="H17" s="4"/>
      <c r="I17" s="4"/>
      <c r="J17" s="4"/>
      <c r="K17" s="4"/>
      <c r="L17" s="4"/>
      <c r="M17" s="4"/>
      <c r="N17" s="4"/>
      <c r="O17" s="4"/>
      <c r="P17" s="4"/>
      <c r="Q17" s="4"/>
      <c r="R17" s="4"/>
      <c r="S17" s="4" t="s">
        <v>67</v>
      </c>
      <c r="T17" s="4"/>
      <c r="U17" s="4"/>
      <c r="V17" s="4"/>
      <c r="W17" s="4"/>
      <c r="X17" s="4"/>
      <c r="Y17" s="4"/>
      <c r="Z17" s="4"/>
      <c r="AA17" s="4"/>
      <c r="AB17" s="4"/>
      <c r="AC17" s="4"/>
      <c r="AD17" s="4"/>
    </row>
    <row r="18" ht="16" customHeight="1" s="4" customFormat="1">
      <c r="A18" s="4">
        <v>17</v>
      </c>
      <c r="B18" s="4" t="s">
        <v>163</v>
      </c>
      <c r="C18" s="4">
        <v>33</v>
      </c>
      <c r="D18" s="4" t="s">
        <v>161</v>
      </c>
      <c r="E18" s="4" t="s">
        <v>138</v>
      </c>
      <c r="F18" s="4">
        <v>73.62</v>
      </c>
      <c r="G18" s="4"/>
      <c r="H18" s="4"/>
      <c r="I18" s="4"/>
      <c r="J18" s="4"/>
      <c r="K18" s="4"/>
      <c r="L18" s="4"/>
      <c r="M18" s="4"/>
      <c r="N18" s="4"/>
      <c r="O18" s="4"/>
      <c r="P18" s="4"/>
      <c r="Q18" s="4"/>
      <c r="R18" s="4"/>
      <c r="S18" s="4" t="s">
        <v>67</v>
      </c>
      <c r="T18" s="4"/>
      <c r="U18" s="4"/>
      <c r="V18" s="4"/>
      <c r="W18" s="4"/>
      <c r="X18" s="4"/>
      <c r="Y18" s="4"/>
      <c r="Z18" s="4"/>
      <c r="AA18" s="4"/>
      <c r="AB18" s="4"/>
      <c r="AC18" s="4"/>
      <c r="AD18" s="4"/>
    </row>
    <row r="19" ht="16" customHeight="1" s="4" customFormat="1">
      <c r="A19" s="4">
        <v>18</v>
      </c>
      <c r="B19" s="4" t="s">
        <v>164</v>
      </c>
      <c r="C19" s="4">
        <v>33</v>
      </c>
      <c r="D19" s="4" t="s">
        <v>165</v>
      </c>
      <c r="E19" s="4" t="s">
        <v>36</v>
      </c>
      <c r="F19" s="4">
        <v>1724.4</v>
      </c>
      <c r="G19" s="4"/>
      <c r="H19" s="4"/>
      <c r="I19" s="4"/>
      <c r="J19" s="4" t="s">
        <v>67</v>
      </c>
      <c r="K19" s="4"/>
      <c r="L19" s="4"/>
      <c r="M19" s="4"/>
      <c r="N19" s="4"/>
      <c r="O19" s="4"/>
      <c r="P19" s="4"/>
      <c r="Q19" s="4"/>
      <c r="R19" s="4"/>
      <c r="S19" s="4"/>
      <c r="T19" s="4"/>
      <c r="U19" s="4"/>
      <c r="V19" s="4"/>
      <c r="W19" s="4"/>
      <c r="X19" s="4"/>
      <c r="Y19" s="4"/>
      <c r="Z19" s="4"/>
      <c r="AA19" s="4"/>
      <c r="AB19" s="4"/>
      <c r="AC19" s="4"/>
      <c r="AD19" s="4"/>
    </row>
    <row r="20" ht="16" customHeight="1" s="4" customFormat="1">
      <c r="A20" s="4">
        <v>19</v>
      </c>
      <c r="B20" s="4" t="s">
        <v>166</v>
      </c>
      <c r="C20" s="4">
        <v>33</v>
      </c>
      <c r="D20" s="4" t="s">
        <v>167</v>
      </c>
      <c r="E20" s="4" t="s">
        <v>138</v>
      </c>
      <c r="F20" s="4">
        <v>1</v>
      </c>
      <c r="G20" s="4"/>
      <c r="H20" s="4"/>
      <c r="I20" s="4"/>
      <c r="J20" s="4"/>
      <c r="K20" s="4"/>
      <c r="L20" s="4"/>
      <c r="M20" s="4"/>
      <c r="N20" s="4"/>
      <c r="O20" s="4"/>
      <c r="P20" s="4"/>
      <c r="Q20" s="4"/>
      <c r="R20" s="4"/>
      <c r="S20" s="4" t="s">
        <v>67</v>
      </c>
      <c r="T20" s="4"/>
      <c r="U20" s="4"/>
      <c r="V20" s="4"/>
      <c r="W20" s="4"/>
      <c r="X20" s="4"/>
      <c r="Y20" s="4"/>
      <c r="Z20" s="4"/>
      <c r="AA20" s="4"/>
      <c r="AB20" s="4"/>
      <c r="AC20" s="4"/>
      <c r="AD20" s="4"/>
    </row>
    <row r="21" ht="16" customHeight="1" s="4" customFormat="1">
      <c r="A21" s="4">
        <v>20</v>
      </c>
      <c r="B21" s="4" t="s">
        <v>168</v>
      </c>
      <c r="C21" s="4">
        <v>33</v>
      </c>
      <c r="D21" s="4" t="s">
        <v>169</v>
      </c>
      <c r="E21" s="4" t="s">
        <v>36</v>
      </c>
      <c r="F21" s="4">
        <v>105</v>
      </c>
      <c r="G21" s="4"/>
      <c r="H21" s="4"/>
      <c r="I21" s="4" t="s">
        <v>67</v>
      </c>
      <c r="J21" s="4"/>
      <c r="K21" s="4"/>
      <c r="L21" s="4"/>
      <c r="M21" s="4"/>
      <c r="N21" s="4"/>
      <c r="O21" s="4"/>
      <c r="P21" s="4"/>
      <c r="Q21" s="4"/>
      <c r="R21" s="4"/>
      <c r="S21" s="4"/>
      <c r="T21" s="4"/>
      <c r="U21" s="4"/>
      <c r="V21" s="4"/>
      <c r="W21" s="4"/>
      <c r="X21" s="4"/>
      <c r="Y21" s="4"/>
      <c r="Z21" s="4"/>
      <c r="AA21" s="4"/>
      <c r="AB21" s="4"/>
      <c r="AC21" s="4"/>
      <c r="AD21" s="4"/>
    </row>
    <row r="22" ht="16" customHeight="1" s="4" customFormat="1">
      <c r="A22" s="4">
        <v>21</v>
      </c>
      <c r="B22" s="4" t="s">
        <v>170</v>
      </c>
      <c r="C22" s="4">
        <v>29</v>
      </c>
      <c r="D22" s="4" t="s">
        <v>171</v>
      </c>
      <c r="E22" s="4" t="s">
        <v>36</v>
      </c>
      <c r="F22" s="4">
        <v>106.1</v>
      </c>
      <c r="G22" s="4">
        <v>1</v>
      </c>
      <c r="H22" s="4"/>
      <c r="I22" s="4"/>
      <c r="J22" s="4" t="s">
        <v>67</v>
      </c>
      <c r="K22" s="4"/>
      <c r="L22" s="4" t="s">
        <v>67</v>
      </c>
      <c r="M22" s="4"/>
      <c r="N22" s="4"/>
      <c r="O22" s="4"/>
      <c r="P22" s="4"/>
      <c r="Q22" s="4"/>
      <c r="R22" s="4"/>
      <c r="S22" s="4"/>
      <c r="T22" s="4"/>
      <c r="U22" s="4"/>
      <c r="V22" s="4"/>
      <c r="W22" s="4"/>
      <c r="X22" s="4"/>
      <c r="Y22" s="4"/>
      <c r="Z22" s="4"/>
      <c r="AA22" s="4"/>
      <c r="AB22" s="4"/>
      <c r="AC22" s="4"/>
      <c r="AD22" s="4"/>
    </row>
    <row r="23" ht="16" customHeight="1" s="4" customFormat="1">
      <c r="A23" s="4">
        <v>22</v>
      </c>
      <c r="B23" s="4" t="s">
        <v>172</v>
      </c>
      <c r="C23" s="4">
        <v>25</v>
      </c>
      <c r="D23" s="4" t="s">
        <v>173</v>
      </c>
      <c r="E23" s="4" t="s">
        <v>138</v>
      </c>
      <c r="F23" s="4">
        <v>2900.35</v>
      </c>
      <c r="G23" s="4"/>
      <c r="H23" s="4"/>
      <c r="I23" s="4"/>
      <c r="J23" s="4" t="s">
        <v>67</v>
      </c>
      <c r="K23" s="4"/>
      <c r="L23" s="4"/>
      <c r="M23" s="4"/>
      <c r="N23" s="4"/>
      <c r="O23" s="4"/>
      <c r="P23" s="4"/>
      <c r="Q23" s="4"/>
      <c r="R23" s="4"/>
      <c r="S23" s="4"/>
      <c r="T23" s="4"/>
      <c r="U23" s="4"/>
      <c r="V23" s="4"/>
      <c r="W23" s="4"/>
      <c r="X23" s="4"/>
      <c r="Y23" s="4"/>
      <c r="Z23" s="4"/>
      <c r="AA23" s="4"/>
      <c r="AB23" s="4"/>
      <c r="AC23" s="4"/>
      <c r="AD23" s="4"/>
    </row>
    <row r="24" ht="16" customHeight="1" s="4" customFormat="1">
      <c r="A24" s="4">
        <v>23</v>
      </c>
      <c r="B24" s="4" t="s">
        <v>174</v>
      </c>
      <c r="C24" s="4">
        <v>25</v>
      </c>
      <c r="D24" s="4" t="s">
        <v>175</v>
      </c>
      <c r="E24" s="4" t="s">
        <v>138</v>
      </c>
      <c r="F24" s="4"/>
      <c r="G24" s="4"/>
      <c r="H24" s="4"/>
      <c r="I24" s="4"/>
      <c r="J24" s="4"/>
      <c r="K24" s="4"/>
      <c r="L24" s="4"/>
      <c r="M24" s="4"/>
      <c r="N24" s="4"/>
      <c r="O24" s="4"/>
      <c r="P24" s="4"/>
      <c r="Q24" s="4"/>
      <c r="R24" s="4"/>
      <c r="S24" s="4" t="s">
        <v>143</v>
      </c>
      <c r="T24" s="4"/>
      <c r="U24" s="4"/>
      <c r="V24" s="4"/>
      <c r="W24" s="4"/>
      <c r="X24" s="4"/>
      <c r="Y24" s="4"/>
      <c r="Z24" s="4"/>
      <c r="AA24" s="4"/>
      <c r="AB24" s="4"/>
      <c r="AC24" s="4"/>
      <c r="AD24" s="4"/>
    </row>
    <row r="25" ht="16" customHeight="1" s="4" customFormat="1">
      <c r="A25" s="4">
        <v>24</v>
      </c>
      <c r="B25" s="4" t="s">
        <v>176</v>
      </c>
      <c r="C25" s="4">
        <v>25</v>
      </c>
      <c r="D25" s="4" t="s">
        <v>177</v>
      </c>
      <c r="E25" s="4" t="s">
        <v>72</v>
      </c>
      <c r="F25" s="4"/>
      <c r="G25" s="4">
        <v>1.5</v>
      </c>
      <c r="H25" s="4"/>
      <c r="I25" s="4"/>
      <c r="J25" s="4"/>
      <c r="K25" s="4"/>
      <c r="L25" s="4"/>
      <c r="M25" s="4"/>
      <c r="N25" s="4"/>
      <c r="O25" s="4"/>
      <c r="P25" s="4"/>
      <c r="Q25" s="4"/>
      <c r="R25" s="4"/>
      <c r="S25" s="4"/>
      <c r="T25" s="4"/>
      <c r="U25" s="4"/>
      <c r="V25" s="4"/>
      <c r="W25" s="4"/>
      <c r="X25" s="4"/>
      <c r="Y25" s="4"/>
      <c r="Z25" s="4"/>
      <c r="AA25" s="4" t="s">
        <v>143</v>
      </c>
      <c r="AB25" s="4"/>
      <c r="AC25" s="4"/>
      <c r="AD25" s="4"/>
    </row>
    <row r="26" ht="16" customHeight="1" s="4" customFormat="1">
      <c r="A26" s="4">
        <v>25</v>
      </c>
      <c r="B26" s="4" t="s">
        <v>178</v>
      </c>
      <c r="C26" s="4">
        <v>25</v>
      </c>
      <c r="D26" s="4" t="s">
        <v>179</v>
      </c>
      <c r="E26" s="4" t="s">
        <v>138</v>
      </c>
      <c r="F26" s="4">
        <v>0.01</v>
      </c>
      <c r="G26" s="4"/>
      <c r="H26" s="4"/>
      <c r="I26" s="4"/>
      <c r="J26" s="4"/>
      <c r="K26" s="4"/>
      <c r="L26" s="4"/>
      <c r="M26" s="4"/>
      <c r="N26" s="4"/>
      <c r="O26" s="4"/>
      <c r="P26" s="4"/>
      <c r="Q26" s="4"/>
      <c r="R26" s="4"/>
      <c r="S26" s="4" t="s">
        <v>67</v>
      </c>
      <c r="T26" s="4"/>
      <c r="U26" s="4"/>
      <c r="V26" s="4"/>
      <c r="W26" s="4"/>
      <c r="X26" s="4"/>
      <c r="Y26" s="4"/>
      <c r="Z26" s="4"/>
      <c r="AA26" s="4"/>
      <c r="AB26" s="4"/>
      <c r="AC26" s="4"/>
      <c r="AD26" s="4"/>
    </row>
    <row r="27" ht="16" customHeight="1" s="4" customFormat="1">
      <c r="A27" s="4">
        <v>26</v>
      </c>
      <c r="B27" s="4" t="s">
        <v>180</v>
      </c>
      <c r="C27" s="4">
        <v>25</v>
      </c>
      <c r="D27" s="4" t="s">
        <v>181</v>
      </c>
      <c r="E27" s="4" t="s">
        <v>36</v>
      </c>
      <c r="F27" s="4">
        <v>2083.77</v>
      </c>
      <c r="G27" s="4"/>
      <c r="H27" s="4"/>
      <c r="I27" s="4"/>
      <c r="J27" s="4"/>
      <c r="K27" s="4"/>
      <c r="L27" s="4" t="s">
        <v>182</v>
      </c>
      <c r="M27" s="4"/>
      <c r="N27" s="4"/>
      <c r="O27" s="4"/>
      <c r="P27" s="4"/>
      <c r="Q27" s="4"/>
      <c r="R27" s="4"/>
      <c r="S27" s="4"/>
      <c r="T27" s="4"/>
      <c r="U27" s="4"/>
      <c r="V27" s="4"/>
      <c r="W27" s="4"/>
      <c r="X27" s="4"/>
      <c r="Y27" s="4"/>
      <c r="Z27" s="4"/>
      <c r="AA27" s="4"/>
      <c r="AB27" s="4"/>
      <c r="AC27" s="4"/>
      <c r="AD27" s="4"/>
    </row>
    <row r="28" ht="16" customHeight="1" s="4" customFormat="1">
      <c r="A28" s="4">
        <v>27</v>
      </c>
      <c r="B28" s="4" t="s">
        <v>183</v>
      </c>
      <c r="C28" s="4">
        <v>25</v>
      </c>
      <c r="D28" s="4" t="s">
        <v>184</v>
      </c>
      <c r="E28" s="4" t="s">
        <v>36</v>
      </c>
      <c r="F28" s="4">
        <v>1.25</v>
      </c>
      <c r="G28" s="4"/>
      <c r="H28" s="4"/>
      <c r="I28" s="4" t="s">
        <v>67</v>
      </c>
      <c r="J28" s="4"/>
      <c r="K28" s="4"/>
      <c r="L28" s="4"/>
      <c r="M28" s="4"/>
      <c r="N28" s="4"/>
      <c r="O28" s="4"/>
      <c r="P28" s="4"/>
      <c r="Q28" s="4"/>
      <c r="R28" s="4"/>
      <c r="S28" s="4"/>
      <c r="T28" s="4"/>
      <c r="U28" s="4"/>
      <c r="V28" s="4"/>
      <c r="W28" s="4"/>
      <c r="X28" s="4"/>
      <c r="Y28" s="4"/>
      <c r="Z28" s="4"/>
      <c r="AA28" s="4"/>
      <c r="AB28" s="4"/>
      <c r="AC28" s="4"/>
      <c r="AD28" s="4"/>
    </row>
    <row r="29" ht="16" customHeight="1" s="4" customFormat="1">
      <c r="A29" s="4">
        <v>28</v>
      </c>
      <c r="B29" s="4" t="s">
        <v>185</v>
      </c>
      <c r="C29" s="4">
        <v>25</v>
      </c>
      <c r="D29" s="4" t="s">
        <v>186</v>
      </c>
      <c r="E29" s="4" t="s">
        <v>138</v>
      </c>
      <c r="F29" s="4">
        <v>150</v>
      </c>
      <c r="G29" s="4"/>
      <c r="H29" s="4"/>
      <c r="I29" s="4"/>
      <c r="J29" s="4" t="s">
        <v>67</v>
      </c>
      <c r="K29" s="4"/>
      <c r="L29" s="4"/>
      <c r="M29" s="4"/>
      <c r="N29" s="4"/>
      <c r="O29" s="4"/>
      <c r="P29" s="4"/>
      <c r="Q29" s="4"/>
      <c r="R29" s="4"/>
      <c r="S29" s="4"/>
      <c r="T29" s="4"/>
      <c r="U29" s="4"/>
      <c r="V29" s="4"/>
      <c r="W29" s="4"/>
      <c r="X29" s="4"/>
      <c r="Y29" s="4"/>
      <c r="Z29" s="4"/>
      <c r="AA29" s="4"/>
      <c r="AB29" s="4"/>
      <c r="AC29" s="4"/>
      <c r="AD29" s="4"/>
    </row>
    <row r="30" ht="16" customHeight="1" s="4" customFormat="1">
      <c r="A30" s="4">
        <v>29</v>
      </c>
      <c r="B30" s="4" t="s">
        <v>187</v>
      </c>
      <c r="C30" s="4">
        <v>20</v>
      </c>
      <c r="D30" s="4" t="s">
        <v>188</v>
      </c>
      <c r="E30" s="4" t="s">
        <v>189</v>
      </c>
      <c r="F30" s="4">
        <v>1</v>
      </c>
      <c r="G30" s="4"/>
      <c r="H30" s="4"/>
      <c r="I30" s="4"/>
      <c r="J30" s="4"/>
      <c r="K30" s="4"/>
      <c r="L30" s="4"/>
      <c r="M30" s="4"/>
      <c r="N30" s="4"/>
      <c r="O30" s="4"/>
      <c r="P30" s="4"/>
      <c r="Q30" s="4"/>
      <c r="R30" s="4"/>
      <c r="S30" s="4"/>
      <c r="T30" s="4"/>
      <c r="U30" s="4"/>
      <c r="V30" s="4"/>
      <c r="W30" s="4"/>
      <c r="X30" s="4"/>
      <c r="Y30" s="4"/>
      <c r="Z30" s="4"/>
      <c r="AA30" s="4" t="s">
        <v>67</v>
      </c>
      <c r="AB30" s="4"/>
      <c r="AC30" s="4"/>
      <c r="AD30" s="4"/>
    </row>
    <row r="31" ht="16" customHeight="1" s="4" customFormat="1">
      <c r="A31" s="4">
        <v>30</v>
      </c>
      <c r="B31" s="4" t="s">
        <v>190</v>
      </c>
      <c r="C31" s="4">
        <v>20</v>
      </c>
      <c r="D31" s="4" t="s">
        <v>188</v>
      </c>
      <c r="E31" s="4" t="s">
        <v>189</v>
      </c>
      <c r="F31" s="4">
        <v>1</v>
      </c>
      <c r="G31" s="4"/>
      <c r="H31" s="4"/>
      <c r="I31" s="4"/>
      <c r="J31" s="4"/>
      <c r="K31" s="4"/>
      <c r="L31" s="4"/>
      <c r="M31" s="4"/>
      <c r="N31" s="4"/>
      <c r="O31" s="4"/>
      <c r="P31" s="4"/>
      <c r="Q31" s="4"/>
      <c r="R31" s="4"/>
      <c r="S31" s="4"/>
      <c r="T31" s="4"/>
      <c r="U31" s="4"/>
      <c r="V31" s="4"/>
      <c r="W31" s="4"/>
      <c r="X31" s="4"/>
      <c r="Y31" s="4"/>
      <c r="Z31" s="4"/>
      <c r="AA31" s="4" t="s">
        <v>67</v>
      </c>
      <c r="AB31" s="4"/>
      <c r="AC31" s="4"/>
      <c r="AD31" s="4"/>
    </row>
    <row r="32" ht="16" customHeight="1" s="4" customFormat="1">
      <c r="A32" s="4">
        <v>31</v>
      </c>
      <c r="B32" s="4" t="s">
        <v>191</v>
      </c>
      <c r="C32" s="4">
        <v>20</v>
      </c>
      <c r="D32" s="4" t="s">
        <v>192</v>
      </c>
      <c r="E32" s="4" t="s">
        <v>72</v>
      </c>
      <c r="F32" s="4">
        <v>811.51</v>
      </c>
      <c r="G32" s="4"/>
      <c r="H32" s="4" t="s">
        <v>67</v>
      </c>
      <c r="I32" s="4"/>
      <c r="J32" s="4"/>
      <c r="K32" s="4"/>
      <c r="L32" s="4"/>
      <c r="M32" s="4"/>
      <c r="N32" s="4"/>
      <c r="O32" s="4"/>
      <c r="P32" s="4"/>
      <c r="Q32" s="4"/>
      <c r="R32" s="4"/>
      <c r="S32" s="4"/>
      <c r="T32" s="4"/>
      <c r="U32" s="4"/>
      <c r="V32" s="4"/>
      <c r="W32" s="4"/>
      <c r="X32" s="4"/>
      <c r="Y32" s="4"/>
      <c r="Z32" s="4"/>
      <c r="AA32" s="4"/>
      <c r="AB32" s="4"/>
      <c r="AC32" s="4"/>
      <c r="AD32" s="4"/>
    </row>
    <row r="33" ht="16" customHeight="1" s="4" customFormat="1">
      <c r="A33" s="4">
        <v>32</v>
      </c>
      <c r="B33" s="4" t="s">
        <v>193</v>
      </c>
      <c r="C33" s="4">
        <v>20</v>
      </c>
      <c r="D33" s="4" t="s">
        <v>194</v>
      </c>
      <c r="E33" s="4" t="s">
        <v>36</v>
      </c>
      <c r="F33" s="4">
        <v>5</v>
      </c>
      <c r="G33" s="4"/>
      <c r="H33" s="4"/>
      <c r="I33" s="4"/>
      <c r="J33" s="4"/>
      <c r="K33" s="4"/>
      <c r="L33" s="4"/>
      <c r="M33" s="4"/>
      <c r="N33" s="4"/>
      <c r="O33" s="4"/>
      <c r="P33" s="4"/>
      <c r="Q33" s="4"/>
      <c r="R33" s="4"/>
      <c r="S33" s="4"/>
      <c r="T33" s="4"/>
      <c r="U33" s="4"/>
      <c r="V33" s="4" t="s">
        <v>67</v>
      </c>
      <c r="W33" s="4"/>
      <c r="X33" s="4"/>
      <c r="Y33" s="4"/>
      <c r="Z33" s="4"/>
      <c r="AA33" s="4"/>
      <c r="AB33" s="4"/>
      <c r="AC33" s="4"/>
      <c r="AD33" s="4"/>
    </row>
    <row r="34" ht="16" customHeight="1" s="4" customFormat="1">
      <c r="A34" s="4">
        <v>33</v>
      </c>
      <c r="B34" s="4" t="s">
        <v>195</v>
      </c>
      <c r="C34" s="4">
        <v>20</v>
      </c>
      <c r="D34" s="4" t="s">
        <v>196</v>
      </c>
      <c r="E34" s="4" t="s">
        <v>36</v>
      </c>
      <c r="F34" s="4">
        <v>356</v>
      </c>
      <c r="G34" s="4"/>
      <c r="H34" s="4"/>
      <c r="I34" s="4"/>
      <c r="J34" s="4"/>
      <c r="K34" s="4"/>
      <c r="L34" s="4" t="s">
        <v>67</v>
      </c>
      <c r="M34" s="4"/>
      <c r="N34" s="4"/>
      <c r="O34" s="4"/>
      <c r="P34" s="4"/>
      <c r="Q34" s="4"/>
      <c r="R34" s="4"/>
      <c r="S34" s="4"/>
      <c r="T34" s="4"/>
      <c r="U34" s="4"/>
      <c r="V34" s="4"/>
      <c r="W34" s="4"/>
      <c r="X34" s="4"/>
      <c r="Y34" s="4"/>
      <c r="Z34" s="4"/>
      <c r="AA34" s="4"/>
      <c r="AB34" s="4"/>
      <c r="AC34" s="4"/>
      <c r="AD34" s="4"/>
    </row>
    <row r="35" ht="16" customHeight="1" s="4" customFormat="1">
      <c r="A35" s="4">
        <v>34</v>
      </c>
      <c r="B35" s="4" t="s">
        <v>197</v>
      </c>
      <c r="C35" s="4">
        <v>20</v>
      </c>
      <c r="D35" s="4" t="s">
        <v>198</v>
      </c>
      <c r="E35" s="4" t="s">
        <v>36</v>
      </c>
      <c r="F35" s="4">
        <v>1</v>
      </c>
      <c r="G35" s="4"/>
      <c r="H35" s="4"/>
      <c r="I35" s="4"/>
      <c r="J35" s="4"/>
      <c r="K35" s="4"/>
      <c r="L35" s="4"/>
      <c r="M35" s="4"/>
      <c r="N35" s="4"/>
      <c r="O35" s="4"/>
      <c r="P35" s="4"/>
      <c r="Q35" s="4"/>
      <c r="R35" s="4"/>
      <c r="S35" s="4"/>
      <c r="T35" s="4"/>
      <c r="U35" s="4"/>
      <c r="V35" s="4"/>
      <c r="W35" s="4"/>
      <c r="X35" s="4"/>
      <c r="Y35" s="4"/>
      <c r="Z35" s="4"/>
      <c r="AA35" s="4" t="s">
        <v>67</v>
      </c>
      <c r="AB35" s="4"/>
      <c r="AC35" s="4"/>
      <c r="AD35" s="4"/>
    </row>
    <row r="36" ht="16" customHeight="1" s="4" customFormat="1">
      <c r="A36" s="4">
        <v>35</v>
      </c>
      <c r="B36" s="4" t="s">
        <v>199</v>
      </c>
      <c r="C36" s="4">
        <v>17</v>
      </c>
      <c r="D36" s="4" t="s">
        <v>200</v>
      </c>
      <c r="E36" s="4" t="s">
        <v>201</v>
      </c>
      <c r="F36" s="4">
        <v>240.78</v>
      </c>
      <c r="G36" s="4"/>
      <c r="H36" s="4"/>
      <c r="I36" s="4"/>
      <c r="J36" s="4"/>
      <c r="K36" s="4"/>
      <c r="L36" s="4"/>
      <c r="M36" s="4"/>
      <c r="N36" s="4"/>
      <c r="O36" s="4"/>
      <c r="P36" s="4"/>
      <c r="Q36" s="4"/>
      <c r="R36" s="4"/>
      <c r="S36" s="4"/>
      <c r="T36" s="4"/>
      <c r="U36" s="4"/>
      <c r="V36" s="4"/>
      <c r="W36" s="4"/>
      <c r="X36" s="4"/>
      <c r="Y36" s="4"/>
      <c r="Z36" s="4"/>
      <c r="AA36" s="4" t="s">
        <v>202</v>
      </c>
      <c r="AB36" s="4"/>
      <c r="AC36" s="4"/>
      <c r="AD36" s="4"/>
    </row>
    <row r="37" ht="16" customHeight="1" s="4" customFormat="1">
      <c r="A37" s="4">
        <v>36</v>
      </c>
      <c r="B37" s="4" t="s">
        <v>203</v>
      </c>
      <c r="C37" s="4">
        <v>17</v>
      </c>
      <c r="D37" s="4" t="s">
        <v>204</v>
      </c>
      <c r="E37" s="4" t="s">
        <v>36</v>
      </c>
      <c r="F37" s="4">
        <v>403.65</v>
      </c>
      <c r="G37" s="4"/>
      <c r="H37" s="4"/>
      <c r="I37" s="4"/>
      <c r="J37" s="4" t="s">
        <v>67</v>
      </c>
      <c r="K37" s="4"/>
      <c r="L37" s="4"/>
      <c r="M37" s="4"/>
      <c r="N37" s="4"/>
      <c r="O37" s="4"/>
      <c r="P37" s="4"/>
      <c r="Q37" s="4"/>
      <c r="R37" s="4"/>
      <c r="S37" s="4"/>
      <c r="T37" s="4"/>
      <c r="U37" s="4"/>
      <c r="V37" s="4"/>
      <c r="W37" s="4"/>
      <c r="X37" s="4"/>
      <c r="Y37" s="4"/>
      <c r="Z37" s="4"/>
      <c r="AA37" s="4"/>
      <c r="AB37" s="4"/>
      <c r="AC37" s="4"/>
      <c r="AD37" s="4"/>
    </row>
    <row r="38" ht="16" customHeight="1" s="4" customFormat="1">
      <c r="A38" s="4">
        <v>37</v>
      </c>
      <c r="B38" s="4" t="s">
        <v>205</v>
      </c>
      <c r="C38" s="4">
        <v>17</v>
      </c>
      <c r="D38" s="4" t="s">
        <v>206</v>
      </c>
      <c r="E38" s="4" t="s">
        <v>153</v>
      </c>
      <c r="F38" s="4"/>
      <c r="G38" s="4">
        <v>15.5</v>
      </c>
      <c r="H38" s="4"/>
      <c r="I38" s="4" t="s">
        <v>143</v>
      </c>
      <c r="J38" s="4"/>
      <c r="K38" s="4"/>
      <c r="L38" s="4"/>
      <c r="M38" s="4"/>
      <c r="N38" s="4"/>
      <c r="O38" s="4"/>
      <c r="P38" s="4"/>
      <c r="Q38" s="4"/>
      <c r="R38" s="4"/>
      <c r="S38" s="4"/>
      <c r="T38" s="4"/>
      <c r="U38" s="4"/>
      <c r="V38" s="4"/>
      <c r="W38" s="4"/>
      <c r="X38" s="4"/>
      <c r="Y38" s="4"/>
      <c r="Z38" s="4"/>
      <c r="AA38" s="4"/>
      <c r="AB38" s="4"/>
      <c r="AC38" s="4"/>
      <c r="AD38" s="4"/>
    </row>
    <row r="39" ht="16" customHeight="1" s="4" customFormat="1">
      <c r="A39" s="4">
        <v>38</v>
      </c>
      <c r="B39" s="4" t="s">
        <v>207</v>
      </c>
      <c r="C39" s="4">
        <v>17</v>
      </c>
      <c r="D39" s="4" t="s">
        <v>208</v>
      </c>
      <c r="E39" s="4" t="s">
        <v>138</v>
      </c>
      <c r="F39" s="4">
        <v>1</v>
      </c>
      <c r="G39" s="4"/>
      <c r="H39" s="4"/>
      <c r="I39" s="4"/>
      <c r="J39" s="4"/>
      <c r="K39" s="4"/>
      <c r="L39" s="4"/>
      <c r="M39" s="4"/>
      <c r="N39" s="4"/>
      <c r="O39" s="4"/>
      <c r="P39" s="4"/>
      <c r="Q39" s="4"/>
      <c r="R39" s="4"/>
      <c r="S39" s="4" t="s">
        <v>182</v>
      </c>
      <c r="T39" s="4"/>
      <c r="U39" s="4"/>
      <c r="V39" s="4"/>
      <c r="W39" s="4"/>
      <c r="X39" s="4"/>
      <c r="Y39" s="4"/>
      <c r="Z39" s="4"/>
      <c r="AA39" s="4"/>
      <c r="AB39" s="4"/>
      <c r="AC39" s="4"/>
      <c r="AD39" s="4"/>
    </row>
    <row r="40" ht="16" customHeight="1" s="4" customFormat="1">
      <c r="A40" s="4">
        <v>39</v>
      </c>
      <c r="B40" s="4" t="s">
        <v>209</v>
      </c>
      <c r="C40" s="4">
        <v>17</v>
      </c>
      <c r="D40" s="4" t="s">
        <v>210</v>
      </c>
      <c r="E40" s="4" t="s">
        <v>36</v>
      </c>
      <c r="F40" s="4">
        <v>1</v>
      </c>
      <c r="G40" s="4"/>
      <c r="H40" s="4"/>
      <c r="I40" s="4"/>
      <c r="J40" s="4"/>
      <c r="K40" s="4"/>
      <c r="L40" s="4"/>
      <c r="M40" s="4"/>
      <c r="N40" s="4"/>
      <c r="O40" s="4" t="s">
        <v>67</v>
      </c>
      <c r="P40" s="4"/>
      <c r="Q40" s="4"/>
      <c r="R40" s="4"/>
      <c r="S40" s="4"/>
      <c r="T40" s="4"/>
      <c r="U40" s="4"/>
      <c r="V40" s="4"/>
      <c r="W40" s="4"/>
      <c r="X40" s="4"/>
      <c r="Y40" s="4"/>
      <c r="Z40" s="4"/>
      <c r="AA40" s="4"/>
      <c r="AB40" s="4"/>
      <c r="AC40" s="4"/>
      <c r="AD40" s="4"/>
    </row>
    <row r="41" ht="16" customHeight="1" s="4" customFormat="1">
      <c r="A41" s="4">
        <v>40</v>
      </c>
      <c r="B41" s="4" t="s">
        <v>211</v>
      </c>
      <c r="C41" s="4">
        <v>17</v>
      </c>
      <c r="D41" s="4" t="s">
        <v>212</v>
      </c>
      <c r="E41" s="4" t="s">
        <v>36</v>
      </c>
      <c r="F41" s="4">
        <v>2.4</v>
      </c>
      <c r="G41" s="4"/>
      <c r="H41" s="4"/>
      <c r="I41" s="4"/>
      <c r="J41" s="4"/>
      <c r="K41" s="4"/>
      <c r="L41" s="4"/>
      <c r="M41" s="4"/>
      <c r="N41" s="4"/>
      <c r="O41" s="4"/>
      <c r="P41" s="4"/>
      <c r="Q41" s="4"/>
      <c r="R41" s="4"/>
      <c r="S41" s="4"/>
      <c r="T41" s="4"/>
      <c r="U41" s="4"/>
      <c r="V41" s="4" t="s">
        <v>67</v>
      </c>
      <c r="W41" s="4"/>
      <c r="X41" s="4"/>
      <c r="Y41" s="4"/>
      <c r="Z41" s="4"/>
      <c r="AA41" s="4"/>
      <c r="AB41" s="4"/>
      <c r="AC41" s="4"/>
      <c r="AD41" s="4"/>
    </row>
    <row r="42" ht="16" customHeight="1" s="4" customFormat="1">
      <c r="A42" s="4">
        <v>41</v>
      </c>
      <c r="B42" s="4" t="s">
        <v>213</v>
      </c>
      <c r="C42" s="4">
        <v>17</v>
      </c>
      <c r="D42" s="4" t="s">
        <v>214</v>
      </c>
      <c r="E42" s="4" t="s">
        <v>138</v>
      </c>
      <c r="F42" s="4">
        <v>2.2</v>
      </c>
      <c r="G42" s="4"/>
      <c r="H42" s="4"/>
      <c r="I42" s="4"/>
      <c r="J42" s="4"/>
      <c r="K42" s="4"/>
      <c r="L42" s="4"/>
      <c r="M42" s="4"/>
      <c r="N42" s="4"/>
      <c r="O42" s="4"/>
      <c r="P42" s="4"/>
      <c r="Q42" s="4"/>
      <c r="R42" s="4"/>
      <c r="S42" s="4"/>
      <c r="T42" s="4"/>
      <c r="U42" s="4"/>
      <c r="V42" s="4"/>
      <c r="W42" s="4"/>
      <c r="X42" s="4"/>
      <c r="Y42" s="4"/>
      <c r="Z42" s="4"/>
      <c r="AA42" s="4" t="s">
        <v>67</v>
      </c>
      <c r="AB42" s="4"/>
      <c r="AC42" s="4"/>
      <c r="AD42" s="4"/>
    </row>
    <row r="43" ht="16" customHeight="1" s="4" customFormat="1">
      <c r="A43" s="4">
        <v>42</v>
      </c>
      <c r="B43" s="4" t="s">
        <v>215</v>
      </c>
      <c r="C43" s="4">
        <v>17</v>
      </c>
      <c r="D43" s="4" t="s">
        <v>214</v>
      </c>
      <c r="E43" s="4" t="s">
        <v>138</v>
      </c>
      <c r="F43" s="4">
        <v>5</v>
      </c>
      <c r="G43" s="4"/>
      <c r="H43" s="4"/>
      <c r="I43" s="4"/>
      <c r="J43" s="4"/>
      <c r="K43" s="4"/>
      <c r="L43" s="4"/>
      <c r="M43" s="4"/>
      <c r="N43" s="4"/>
      <c r="O43" s="4"/>
      <c r="P43" s="4"/>
      <c r="Q43" s="4"/>
      <c r="R43" s="4"/>
      <c r="S43" s="4"/>
      <c r="T43" s="4"/>
      <c r="U43" s="4"/>
      <c r="V43" s="4"/>
      <c r="W43" s="4"/>
      <c r="X43" s="4"/>
      <c r="Y43" s="4"/>
      <c r="Z43" s="4"/>
      <c r="AA43" s="4" t="s">
        <v>67</v>
      </c>
      <c r="AB43" s="4"/>
      <c r="AC43" s="4"/>
      <c r="AD43" s="4"/>
    </row>
    <row r="44" ht="16" customHeight="1" s="4" customFormat="1">
      <c r="A44" s="4">
        <v>43</v>
      </c>
      <c r="B44" s="4" t="s">
        <v>216</v>
      </c>
      <c r="C44" s="4">
        <v>17</v>
      </c>
      <c r="D44" s="4" t="s">
        <v>214</v>
      </c>
      <c r="E44" s="4" t="s">
        <v>138</v>
      </c>
      <c r="F44" s="4">
        <v>2.2</v>
      </c>
      <c r="G44" s="4"/>
      <c r="H44" s="4"/>
      <c r="I44" s="4"/>
      <c r="J44" s="4"/>
      <c r="K44" s="4"/>
      <c r="L44" s="4"/>
      <c r="M44" s="4"/>
      <c r="N44" s="4"/>
      <c r="O44" s="4"/>
      <c r="P44" s="4"/>
      <c r="Q44" s="4"/>
      <c r="R44" s="4"/>
      <c r="S44" s="4"/>
      <c r="T44" s="4"/>
      <c r="U44" s="4"/>
      <c r="V44" s="4"/>
      <c r="W44" s="4"/>
      <c r="X44" s="4"/>
      <c r="Y44" s="4"/>
      <c r="Z44" s="4"/>
      <c r="AA44" s="4" t="s">
        <v>67</v>
      </c>
      <c r="AB44" s="4"/>
      <c r="AC44" s="4"/>
      <c r="AD44" s="4"/>
    </row>
    <row r="45" ht="16" customHeight="1" s="4" customFormat="1">
      <c r="A45" s="4">
        <v>44</v>
      </c>
      <c r="B45" s="4" t="s">
        <v>217</v>
      </c>
      <c r="C45" s="4">
        <v>14</v>
      </c>
      <c r="D45" s="4" t="s">
        <v>218</v>
      </c>
      <c r="E45" s="4" t="s">
        <v>36</v>
      </c>
      <c r="F45" s="4">
        <v>96.44</v>
      </c>
      <c r="G45" s="4"/>
      <c r="H45" s="4"/>
      <c r="I45" s="4"/>
      <c r="J45" s="4" t="s">
        <v>67</v>
      </c>
      <c r="K45" s="4"/>
      <c r="L45" s="4"/>
      <c r="M45" s="4"/>
      <c r="N45" s="4"/>
      <c r="O45" s="4"/>
      <c r="P45" s="4"/>
      <c r="Q45" s="4"/>
      <c r="R45" s="4"/>
      <c r="S45" s="4"/>
      <c r="T45" s="4"/>
      <c r="U45" s="4"/>
      <c r="V45" s="4"/>
      <c r="W45" s="4"/>
      <c r="X45" s="4"/>
      <c r="Y45" s="4"/>
      <c r="Z45" s="4"/>
      <c r="AA45" s="4"/>
      <c r="AB45" s="4"/>
      <c r="AC45" s="4"/>
      <c r="AD45" s="4"/>
    </row>
    <row r="46" ht="16" customHeight="1" s="4" customFormat="1">
      <c r="A46" s="4">
        <v>45</v>
      </c>
      <c r="B46" s="4" t="s">
        <v>219</v>
      </c>
      <c r="C46" s="4">
        <v>14</v>
      </c>
      <c r="D46" s="4" t="s">
        <v>220</v>
      </c>
      <c r="E46" s="4" t="s">
        <v>36</v>
      </c>
      <c r="F46" s="4">
        <v>4581</v>
      </c>
      <c r="G46" s="4">
        <v>20.3</v>
      </c>
      <c r="H46" s="4"/>
      <c r="I46" s="4"/>
      <c r="J46" s="4"/>
      <c r="K46" s="4"/>
      <c r="L46" s="4" t="s">
        <v>67</v>
      </c>
      <c r="M46" s="4"/>
      <c r="N46" s="4"/>
      <c r="O46" s="4"/>
      <c r="P46" s="4"/>
      <c r="Q46" s="4"/>
      <c r="R46" s="4"/>
      <c r="S46" s="4"/>
      <c r="T46" s="4"/>
      <c r="U46" s="4"/>
      <c r="V46" s="4"/>
      <c r="W46" s="4"/>
      <c r="X46" s="4"/>
      <c r="Y46" s="4"/>
      <c r="Z46" s="4"/>
      <c r="AA46" s="4"/>
      <c r="AB46" s="4"/>
      <c r="AC46" s="4"/>
      <c r="AD46" s="4"/>
    </row>
    <row r="47" ht="16" customHeight="1" s="4" customFormat="1">
      <c r="A47" s="4">
        <v>46</v>
      </c>
      <c r="B47" s="4" t="s">
        <v>221</v>
      </c>
      <c r="C47" s="4">
        <v>13</v>
      </c>
      <c r="D47" s="4" t="s">
        <v>222</v>
      </c>
      <c r="E47" s="4" t="s">
        <v>189</v>
      </c>
      <c r="F47" s="4">
        <v>2378.79</v>
      </c>
      <c r="G47" s="4"/>
      <c r="H47" s="4"/>
      <c r="I47" s="4" t="s">
        <v>67</v>
      </c>
      <c r="J47" s="4" t="s">
        <v>67</v>
      </c>
      <c r="K47" s="4"/>
      <c r="L47" s="4"/>
      <c r="M47" s="4"/>
      <c r="N47" s="4"/>
      <c r="O47" s="4"/>
      <c r="P47" s="4"/>
      <c r="Q47" s="4"/>
      <c r="R47" s="4"/>
      <c r="S47" s="4"/>
      <c r="T47" s="4"/>
      <c r="U47" s="4"/>
      <c r="V47" s="4"/>
      <c r="W47" s="4"/>
      <c r="X47" s="4"/>
      <c r="Y47" s="4"/>
      <c r="Z47" s="4"/>
      <c r="AA47" s="4"/>
      <c r="AB47" s="4"/>
      <c r="AC47" s="4"/>
      <c r="AD47" s="4"/>
    </row>
    <row r="48" ht="16" customHeight="1" s="4" customFormat="1">
      <c r="A48" s="4">
        <v>47</v>
      </c>
      <c r="B48" s="4" t="s">
        <v>223</v>
      </c>
      <c r="C48" s="4">
        <v>13</v>
      </c>
      <c r="D48" s="4" t="s">
        <v>224</v>
      </c>
      <c r="E48" s="4" t="s">
        <v>72</v>
      </c>
      <c r="F48" s="4">
        <v>0</v>
      </c>
      <c r="G48" s="4"/>
      <c r="H48" s="4"/>
      <c r="I48" s="4"/>
      <c r="J48" s="4" t="s">
        <v>67</v>
      </c>
      <c r="K48" s="4"/>
      <c r="L48" s="4" t="s">
        <v>130</v>
      </c>
      <c r="M48" s="4"/>
      <c r="N48" s="4"/>
      <c r="O48" s="4"/>
      <c r="P48" s="4"/>
      <c r="Q48" s="4"/>
      <c r="R48" s="4"/>
      <c r="S48" s="4"/>
      <c r="T48" s="4"/>
      <c r="U48" s="4"/>
      <c r="V48" s="4"/>
      <c r="W48" s="4"/>
      <c r="X48" s="4"/>
      <c r="Y48" s="4"/>
      <c r="Z48" s="4"/>
      <c r="AA48" s="4" t="s">
        <v>225</v>
      </c>
      <c r="AB48" s="4"/>
      <c r="AC48" s="4"/>
      <c r="AD48" s="4"/>
    </row>
    <row r="49" ht="16" customHeight="1" s="4" customFormat="1">
      <c r="A49" s="4">
        <v>48</v>
      </c>
      <c r="B49" s="4" t="s">
        <v>226</v>
      </c>
      <c r="C49" s="4">
        <v>13</v>
      </c>
      <c r="D49" s="4" t="s">
        <v>227</v>
      </c>
      <c r="E49" s="4" t="s">
        <v>138</v>
      </c>
      <c r="F49" s="4">
        <v>305.5</v>
      </c>
      <c r="G49" s="4"/>
      <c r="H49" s="4"/>
      <c r="I49" s="4"/>
      <c r="J49" s="4" t="s">
        <v>67</v>
      </c>
      <c r="K49" s="4"/>
      <c r="L49" s="4"/>
      <c r="M49" s="4"/>
      <c r="N49" s="4" t="s">
        <v>228</v>
      </c>
      <c r="O49" s="4"/>
      <c r="P49" s="4"/>
      <c r="Q49" s="4"/>
      <c r="R49" s="4"/>
      <c r="S49" s="4"/>
      <c r="T49" s="4"/>
      <c r="U49" s="4"/>
      <c r="V49" s="4"/>
      <c r="W49" s="4"/>
      <c r="X49" s="4"/>
      <c r="Y49" s="4"/>
      <c r="Z49" s="4"/>
      <c r="AA49" s="4"/>
      <c r="AB49" s="4"/>
      <c r="AC49" s="4"/>
      <c r="AD49" s="4"/>
    </row>
    <row r="50" ht="16" customHeight="1" s="4" customFormat="1">
      <c r="A50" s="4">
        <v>49</v>
      </c>
      <c r="B50" s="4" t="s">
        <v>229</v>
      </c>
      <c r="C50" s="4">
        <v>11</v>
      </c>
      <c r="D50" s="4" t="s">
        <v>222</v>
      </c>
      <c r="E50" s="4" t="s">
        <v>36</v>
      </c>
      <c r="F50" s="4">
        <v>94.62</v>
      </c>
      <c r="G50" s="4">
        <v>241.1</v>
      </c>
      <c r="H50" s="4"/>
      <c r="I50" s="4"/>
      <c r="J50" s="4"/>
      <c r="K50" s="4"/>
      <c r="L50" s="4"/>
      <c r="M50" s="4"/>
      <c r="N50" s="4"/>
      <c r="O50" s="4"/>
      <c r="P50" s="4"/>
      <c r="Q50" s="4"/>
      <c r="R50" s="4"/>
      <c r="S50" s="4"/>
      <c r="T50" s="4"/>
      <c r="U50" s="4"/>
      <c r="V50" s="4"/>
      <c r="W50" s="4"/>
      <c r="X50" s="4"/>
      <c r="Y50" s="4"/>
      <c r="Z50" s="4"/>
      <c r="AA50" s="4" t="s">
        <v>129</v>
      </c>
      <c r="AB50" s="4"/>
      <c r="AC50" s="4"/>
      <c r="AD50" s="4"/>
    </row>
    <row r="51" ht="16" customHeight="1" s="4" customFormat="1">
      <c r="A51" s="4">
        <v>50</v>
      </c>
      <c r="B51" s="4" t="s">
        <v>230</v>
      </c>
      <c r="C51" s="4">
        <v>11</v>
      </c>
      <c r="D51" s="4" t="s">
        <v>231</v>
      </c>
      <c r="E51" s="4" t="s">
        <v>138</v>
      </c>
      <c r="F51" s="4">
        <v>160</v>
      </c>
      <c r="G51" s="4"/>
      <c r="H51" s="4"/>
      <c r="I51" s="4"/>
      <c r="J51" s="4"/>
      <c r="K51" s="4"/>
      <c r="L51" s="4"/>
      <c r="M51" s="4"/>
      <c r="N51" s="4"/>
      <c r="O51" s="4"/>
      <c r="P51" s="4"/>
      <c r="Q51" s="4"/>
      <c r="R51" s="4"/>
      <c r="S51" s="4"/>
      <c r="T51" s="4"/>
      <c r="U51" s="4"/>
      <c r="V51" s="4" t="s">
        <v>67</v>
      </c>
      <c r="W51" s="4"/>
      <c r="X51" s="4"/>
      <c r="Y51" s="4"/>
      <c r="Z51" s="4"/>
      <c r="AA51" s="4"/>
      <c r="AB51" s="4"/>
      <c r="AC51" s="4"/>
      <c r="AD51" s="4"/>
    </row>
    <row r="52" ht="16" customHeight="1" s="4" customFormat="1">
      <c r="A52" s="4">
        <v>51</v>
      </c>
      <c r="B52" s="4" t="s">
        <v>232</v>
      </c>
      <c r="C52" s="4">
        <v>11</v>
      </c>
      <c r="D52" s="4" t="s">
        <v>233</v>
      </c>
      <c r="E52" s="4" t="s">
        <v>138</v>
      </c>
      <c r="F52" s="4">
        <v>3365.54</v>
      </c>
      <c r="G52" s="4">
        <v>676.9</v>
      </c>
      <c r="H52" s="4"/>
      <c r="I52" s="4"/>
      <c r="J52" s="4"/>
      <c r="K52" s="4"/>
      <c r="L52" s="4"/>
      <c r="M52" s="4"/>
      <c r="N52" s="4"/>
      <c r="O52" s="4"/>
      <c r="P52" s="4"/>
      <c r="Q52" s="4"/>
      <c r="R52" s="4"/>
      <c r="S52" s="4"/>
      <c r="T52" s="4"/>
      <c r="U52" s="4"/>
      <c r="V52" s="4"/>
      <c r="W52" s="4"/>
      <c r="X52" s="4"/>
      <c r="Y52" s="4"/>
      <c r="Z52" s="4"/>
      <c r="AA52" s="4" t="s">
        <v>67</v>
      </c>
      <c r="AB52" s="4"/>
      <c r="AC52" s="4"/>
      <c r="AD52" s="4"/>
    </row>
    <row r="53" ht="16" customHeight="1" s="4" customFormat="1">
      <c r="A53" s="4">
        <v>52</v>
      </c>
      <c r="B53" s="4" t="s">
        <v>234</v>
      </c>
      <c r="C53" s="4">
        <v>10</v>
      </c>
      <c r="D53" s="4" t="s">
        <v>235</v>
      </c>
      <c r="E53" s="4" t="s">
        <v>72</v>
      </c>
      <c r="F53" s="4">
        <v>744.8</v>
      </c>
      <c r="G53" s="4">
        <v>242.5</v>
      </c>
      <c r="H53" s="4"/>
      <c r="I53" s="4"/>
      <c r="J53" s="4"/>
      <c r="K53" s="4"/>
      <c r="L53" s="4"/>
      <c r="M53" s="4"/>
      <c r="N53" s="4"/>
      <c r="O53" s="4"/>
      <c r="P53" s="4"/>
      <c r="Q53" s="4"/>
      <c r="R53" s="4"/>
      <c r="S53" s="4"/>
      <c r="T53" s="4"/>
      <c r="U53" s="4"/>
      <c r="V53" s="4"/>
      <c r="W53" s="4"/>
      <c r="X53" s="4"/>
      <c r="Y53" s="4"/>
      <c r="Z53" s="4"/>
      <c r="AA53" s="4" t="s">
        <v>67</v>
      </c>
      <c r="AB53" s="4"/>
      <c r="AC53" s="4"/>
      <c r="AD53" s="4"/>
    </row>
    <row r="54" ht="16" customHeight="1" s="4" customFormat="1">
      <c r="A54" s="4">
        <v>53</v>
      </c>
      <c r="B54" s="4" t="s">
        <v>236</v>
      </c>
      <c r="C54" s="4">
        <v>10</v>
      </c>
      <c r="D54" s="4" t="s">
        <v>177</v>
      </c>
      <c r="E54" s="4" t="s">
        <v>72</v>
      </c>
      <c r="F54" s="4">
        <v>1</v>
      </c>
      <c r="G54" s="4"/>
      <c r="H54" s="4"/>
      <c r="I54" s="4"/>
      <c r="J54" s="4"/>
      <c r="K54" s="4"/>
      <c r="L54" s="4"/>
      <c r="M54" s="4"/>
      <c r="N54" s="4"/>
      <c r="O54" s="4"/>
      <c r="P54" s="4"/>
      <c r="Q54" s="4"/>
      <c r="R54" s="4"/>
      <c r="S54" s="4"/>
      <c r="T54" s="4"/>
      <c r="U54" s="4"/>
      <c r="V54" s="4"/>
      <c r="W54" s="4"/>
      <c r="X54" s="4"/>
      <c r="Y54" s="4"/>
      <c r="Z54" s="4"/>
      <c r="AA54" s="4" t="s">
        <v>129</v>
      </c>
      <c r="AB54" s="4"/>
      <c r="AC54" s="4"/>
      <c r="AD54" s="4"/>
    </row>
    <row r="55" ht="16" customHeight="1" s="4" customFormat="1">
      <c r="A55" s="4">
        <v>54</v>
      </c>
      <c r="B55" s="4" t="s">
        <v>237</v>
      </c>
      <c r="C55" s="4">
        <v>10</v>
      </c>
      <c r="D55" s="4" t="s">
        <v>238</v>
      </c>
      <c r="E55" s="4" t="s">
        <v>36</v>
      </c>
      <c r="F55" s="4">
        <v>22.25</v>
      </c>
      <c r="G55" s="4">
        <v>14.5</v>
      </c>
      <c r="H55" s="4"/>
      <c r="I55" s="4"/>
      <c r="J55" s="4"/>
      <c r="K55" s="4"/>
      <c r="L55" s="4" t="s">
        <v>67</v>
      </c>
      <c r="M55" s="4"/>
      <c r="N55" s="4"/>
      <c r="O55" s="4"/>
      <c r="P55" s="4"/>
      <c r="Q55" s="4"/>
      <c r="R55" s="4"/>
      <c r="S55" s="4"/>
      <c r="T55" s="4"/>
      <c r="U55" s="4"/>
      <c r="V55" s="4"/>
      <c r="W55" s="4"/>
      <c r="X55" s="4"/>
      <c r="Y55" s="4"/>
      <c r="Z55" s="4"/>
      <c r="AA55" s="4"/>
      <c r="AB55" s="4"/>
      <c r="AC55" s="4"/>
      <c r="AD55" s="4"/>
    </row>
    <row r="56" ht="16" customHeight="1" s="4" customFormat="1">
      <c r="A56" s="4">
        <v>55</v>
      </c>
      <c r="B56" s="4" t="s">
        <v>239</v>
      </c>
      <c r="C56" s="4">
        <v>10</v>
      </c>
      <c r="D56" s="4" t="s">
        <v>240</v>
      </c>
      <c r="E56" s="4" t="s">
        <v>189</v>
      </c>
      <c r="F56" s="4">
        <v>967.85</v>
      </c>
      <c r="G56" s="4"/>
      <c r="H56" s="4"/>
      <c r="I56" s="4"/>
      <c r="J56" s="4" t="s">
        <v>67</v>
      </c>
      <c r="K56" s="4"/>
      <c r="L56" s="4"/>
      <c r="M56" s="4"/>
      <c r="N56" s="4"/>
      <c r="O56" s="4"/>
      <c r="P56" s="4"/>
      <c r="Q56" s="4"/>
      <c r="R56" s="4"/>
      <c r="S56" s="4"/>
      <c r="T56" s="4"/>
      <c r="U56" s="4"/>
      <c r="V56" s="4"/>
      <c r="W56" s="4"/>
      <c r="X56" s="4"/>
      <c r="Y56" s="4"/>
      <c r="Z56" s="4"/>
      <c r="AA56" s="4"/>
      <c r="AB56" s="4"/>
      <c r="AC56" s="4"/>
      <c r="AD56" s="4"/>
    </row>
    <row r="57" ht="16" customHeight="1" s="4" customFormat="1">
      <c r="A57" s="4">
        <v>56</v>
      </c>
      <c r="B57" s="4" t="s">
        <v>241</v>
      </c>
      <c r="C57" s="4">
        <v>9</v>
      </c>
      <c r="D57" s="4" t="s">
        <v>177</v>
      </c>
      <c r="E57" s="4" t="s">
        <v>72</v>
      </c>
      <c r="F57" s="4">
        <v>2.06</v>
      </c>
      <c r="G57" s="4"/>
      <c r="H57" s="4"/>
      <c r="I57" s="4"/>
      <c r="J57" s="4"/>
      <c r="K57" s="4"/>
      <c r="L57" s="4"/>
      <c r="M57" s="4"/>
      <c r="N57" s="4"/>
      <c r="O57" s="4"/>
      <c r="P57" s="4"/>
      <c r="Q57" s="4"/>
      <c r="R57" s="4"/>
      <c r="S57" s="4"/>
      <c r="T57" s="4"/>
      <c r="U57" s="4"/>
      <c r="V57" s="4"/>
      <c r="W57" s="4"/>
      <c r="X57" s="4"/>
      <c r="Y57" s="4"/>
      <c r="Z57" s="4"/>
      <c r="AA57" s="4" t="s">
        <v>129</v>
      </c>
      <c r="AB57" s="4"/>
      <c r="AC57" s="4"/>
      <c r="AD57" s="4"/>
    </row>
    <row r="58" ht="16" customHeight="1" s="4" customFormat="1">
      <c r="A58" s="4">
        <v>57</v>
      </c>
      <c r="B58" s="4" t="s">
        <v>242</v>
      </c>
      <c r="C58" s="4">
        <v>9</v>
      </c>
      <c r="D58" s="4" t="s">
        <v>243</v>
      </c>
      <c r="E58" s="4" t="s">
        <v>36</v>
      </c>
      <c r="F58" s="4">
        <v>100</v>
      </c>
      <c r="G58" s="4">
        <v>429</v>
      </c>
      <c r="H58" s="4"/>
      <c r="I58" s="4"/>
      <c r="J58" s="4"/>
      <c r="K58" s="4"/>
      <c r="L58" s="4"/>
      <c r="M58" s="4"/>
      <c r="N58" s="4"/>
      <c r="O58" s="4"/>
      <c r="P58" s="4"/>
      <c r="Q58" s="4"/>
      <c r="R58" s="4"/>
      <c r="S58" s="4"/>
      <c r="T58" s="4"/>
      <c r="U58" s="4"/>
      <c r="V58" s="4" t="s">
        <v>129</v>
      </c>
      <c r="W58" s="4"/>
      <c r="X58" s="4"/>
      <c r="Y58" s="4"/>
      <c r="Z58" s="4"/>
      <c r="AA58" s="4" t="s">
        <v>129</v>
      </c>
      <c r="AB58" s="4" t="s">
        <v>244</v>
      </c>
      <c r="AC58" s="4"/>
      <c r="AD58" s="4"/>
    </row>
    <row r="59" ht="16" customHeight="1" s="4" customFormat="1">
      <c r="A59" s="4">
        <v>58</v>
      </c>
      <c r="B59" s="4" t="s">
        <v>245</v>
      </c>
      <c r="C59" s="4">
        <v>9</v>
      </c>
      <c r="D59" s="4" t="s">
        <v>246</v>
      </c>
      <c r="E59" s="4" t="s">
        <v>36</v>
      </c>
      <c r="F59" s="4">
        <v>76.44</v>
      </c>
      <c r="G59" s="4">
        <v>18.8</v>
      </c>
      <c r="H59" s="4"/>
      <c r="I59" s="4"/>
      <c r="J59" s="4"/>
      <c r="K59" s="4"/>
      <c r="L59" s="4" t="s">
        <v>67</v>
      </c>
      <c r="M59" s="4"/>
      <c r="N59" s="4"/>
      <c r="O59" s="4"/>
      <c r="P59" s="4"/>
      <c r="Q59" s="4"/>
      <c r="R59" s="4"/>
      <c r="S59" s="4"/>
      <c r="T59" s="4"/>
      <c r="U59" s="4"/>
      <c r="V59" s="4"/>
      <c r="W59" s="4"/>
      <c r="X59" s="4"/>
      <c r="Y59" s="4"/>
      <c r="Z59" s="4"/>
      <c r="AA59" s="4"/>
      <c r="AB59" s="4"/>
      <c r="AC59" s="4"/>
      <c r="AD59" s="4"/>
    </row>
    <row r="60" ht="16" customHeight="1" s="4" customFormat="1">
      <c r="A60" s="4">
        <v>59</v>
      </c>
      <c r="B60" s="4" t="s">
        <v>247</v>
      </c>
      <c r="C60" s="4">
        <v>9</v>
      </c>
      <c r="D60" s="4" t="s">
        <v>248</v>
      </c>
      <c r="E60" s="4" t="s">
        <v>36</v>
      </c>
      <c r="F60" s="4">
        <v>1</v>
      </c>
      <c r="G60" s="4"/>
      <c r="H60" s="4"/>
      <c r="I60" s="4"/>
      <c r="J60" s="4"/>
      <c r="K60" s="4"/>
      <c r="L60" s="4"/>
      <c r="M60" s="4"/>
      <c r="N60" s="4"/>
      <c r="O60" s="4"/>
      <c r="P60" s="4"/>
      <c r="Q60" s="4"/>
      <c r="R60" s="4"/>
      <c r="S60" s="4"/>
      <c r="T60" s="4"/>
      <c r="U60" s="4"/>
      <c r="V60" s="4"/>
      <c r="W60" s="4"/>
      <c r="X60" s="4"/>
      <c r="Y60" s="4"/>
      <c r="Z60" s="4"/>
      <c r="AA60" s="4"/>
      <c r="AB60" s="4" t="s">
        <v>67</v>
      </c>
      <c r="AC60" s="4"/>
      <c r="AD60" s="4"/>
    </row>
    <row r="61" ht="16" customHeight="1" s="4" customFormat="1">
      <c r="A61" s="4">
        <v>60</v>
      </c>
      <c r="B61" s="4" t="s">
        <v>249</v>
      </c>
      <c r="C61" s="4">
        <v>9</v>
      </c>
      <c r="D61" s="4" t="s">
        <v>250</v>
      </c>
      <c r="E61" s="4" t="s">
        <v>36</v>
      </c>
      <c r="F61" s="4">
        <v>848.1</v>
      </c>
      <c r="G61" s="4"/>
      <c r="H61" s="4"/>
      <c r="I61" s="4"/>
      <c r="J61" s="4"/>
      <c r="K61" s="4"/>
      <c r="L61" s="4"/>
      <c r="M61" s="4"/>
      <c r="N61" s="4"/>
      <c r="O61" s="4"/>
      <c r="P61" s="4"/>
      <c r="Q61" s="4"/>
      <c r="R61" s="4"/>
      <c r="S61" s="4"/>
      <c r="T61" s="4"/>
      <c r="U61" s="4"/>
      <c r="V61" s="4"/>
      <c r="W61" s="4"/>
      <c r="X61" s="4"/>
      <c r="Y61" s="4"/>
      <c r="Z61" s="4" t="s">
        <v>225</v>
      </c>
      <c r="AA61" s="4"/>
      <c r="AB61" s="4"/>
      <c r="AC61" s="4"/>
      <c r="AD61" s="4"/>
    </row>
    <row r="62" ht="16" customHeight="1" s="4" customFormat="1">
      <c r="A62" s="4">
        <v>61</v>
      </c>
      <c r="B62" s="4" t="s">
        <v>251</v>
      </c>
      <c r="C62" s="4">
        <v>9</v>
      </c>
      <c r="D62" s="4" t="s">
        <v>252</v>
      </c>
      <c r="E62" s="4" t="s">
        <v>36</v>
      </c>
      <c r="F62" s="4">
        <v>34.27</v>
      </c>
      <c r="G62" s="4">
        <v>87</v>
      </c>
      <c r="H62" s="4"/>
      <c r="I62" s="4"/>
      <c r="J62" s="4"/>
      <c r="K62" s="4"/>
      <c r="L62" s="4"/>
      <c r="M62" s="4"/>
      <c r="N62" s="4"/>
      <c r="O62" s="4"/>
      <c r="P62" s="4"/>
      <c r="Q62" s="4"/>
      <c r="R62" s="4"/>
      <c r="S62" s="4"/>
      <c r="T62" s="4"/>
      <c r="U62" s="4"/>
      <c r="V62" s="4"/>
      <c r="W62" s="4"/>
      <c r="X62" s="4"/>
      <c r="Y62" s="4"/>
      <c r="Z62" s="4"/>
      <c r="AA62" s="4" t="s">
        <v>67</v>
      </c>
      <c r="AB62" s="4"/>
      <c r="AC62" s="4"/>
      <c r="AD62" s="4"/>
    </row>
    <row r="63" ht="16" customHeight="1" s="4" customFormat="1">
      <c r="A63" s="4">
        <v>62</v>
      </c>
      <c r="B63" s="4" t="s">
        <v>253</v>
      </c>
      <c r="C63" s="4">
        <v>8</v>
      </c>
      <c r="D63" s="4" t="s">
        <v>254</v>
      </c>
      <c r="E63" s="4" t="s">
        <v>138</v>
      </c>
      <c r="F63" s="4">
        <v>1333.37</v>
      </c>
      <c r="G63" s="4">
        <v>64.3</v>
      </c>
      <c r="H63" s="4"/>
      <c r="I63" s="4" t="s">
        <v>67</v>
      </c>
      <c r="J63" s="4"/>
      <c r="K63" s="4"/>
      <c r="L63" s="4"/>
      <c r="M63" s="4"/>
      <c r="N63" s="4" t="s">
        <v>128</v>
      </c>
      <c r="O63" s="4"/>
      <c r="P63" s="4"/>
      <c r="Q63" s="4"/>
      <c r="R63" s="4"/>
      <c r="S63" s="4"/>
      <c r="T63" s="4"/>
      <c r="U63" s="4"/>
      <c r="V63" s="4"/>
      <c r="W63" s="4"/>
      <c r="X63" s="4"/>
      <c r="Y63" s="4"/>
      <c r="Z63" s="4"/>
      <c r="AA63" s="4"/>
      <c r="AB63" s="4"/>
      <c r="AC63" s="4"/>
      <c r="AD63" s="4"/>
    </row>
    <row r="64" ht="16" customHeight="1" s="4" customFormat="1">
      <c r="A64" s="4">
        <v>63</v>
      </c>
      <c r="B64" s="4" t="s">
        <v>255</v>
      </c>
      <c r="C64" s="4">
        <v>8</v>
      </c>
      <c r="D64" s="4" t="s">
        <v>246</v>
      </c>
      <c r="E64" s="4" t="s">
        <v>189</v>
      </c>
      <c r="F64" s="4">
        <v>895</v>
      </c>
      <c r="G64" s="4">
        <v>0.5</v>
      </c>
      <c r="H64" s="4"/>
      <c r="I64" s="4"/>
      <c r="J64" s="4"/>
      <c r="K64" s="4"/>
      <c r="L64" s="4"/>
      <c r="M64" s="4"/>
      <c r="N64" s="4"/>
      <c r="O64" s="4"/>
      <c r="P64" s="4"/>
      <c r="Q64" s="4"/>
      <c r="R64" s="4"/>
      <c r="S64" s="4"/>
      <c r="T64" s="4"/>
      <c r="U64" s="4"/>
      <c r="V64" s="4"/>
      <c r="W64" s="4"/>
      <c r="X64" s="4"/>
      <c r="Y64" s="4"/>
      <c r="Z64" s="4"/>
      <c r="AA64" s="4" t="s">
        <v>67</v>
      </c>
      <c r="AB64" s="4"/>
      <c r="AC64" s="4"/>
      <c r="AD64" s="4"/>
    </row>
    <row r="65" ht="16" customHeight="1" s="4" customFormat="1">
      <c r="A65" s="4">
        <v>64</v>
      </c>
      <c r="B65" s="4" t="s">
        <v>256</v>
      </c>
      <c r="C65" s="4">
        <v>8</v>
      </c>
      <c r="D65" s="4" t="s">
        <v>257</v>
      </c>
      <c r="E65" s="4" t="s">
        <v>138</v>
      </c>
      <c r="F65" s="4">
        <v>0</v>
      </c>
      <c r="G65" s="4"/>
      <c r="H65" s="4"/>
      <c r="I65" s="4"/>
      <c r="J65" s="4"/>
      <c r="K65" s="4"/>
      <c r="L65" s="4"/>
      <c r="M65" s="4"/>
      <c r="N65" s="4"/>
      <c r="O65" s="4"/>
      <c r="P65" s="4"/>
      <c r="Q65" s="4"/>
      <c r="R65" s="4"/>
      <c r="S65" s="4" t="s">
        <v>67</v>
      </c>
      <c r="T65" s="4"/>
      <c r="U65" s="4"/>
      <c r="V65" s="4"/>
      <c r="W65" s="4"/>
      <c r="X65" s="4"/>
      <c r="Y65" s="4"/>
      <c r="Z65" s="4"/>
      <c r="AA65" s="4"/>
      <c r="AB65" s="4"/>
      <c r="AC65" s="4"/>
      <c r="AD65" s="4"/>
    </row>
    <row r="66" ht="16" customHeight="1" s="4" customFormat="1">
      <c r="A66" s="4">
        <v>65</v>
      </c>
      <c r="B66" s="4" t="s">
        <v>258</v>
      </c>
      <c r="C66" s="4">
        <v>8</v>
      </c>
      <c r="D66" s="4" t="s">
        <v>259</v>
      </c>
      <c r="E66" s="4" t="s">
        <v>138</v>
      </c>
      <c r="F66" s="4">
        <v>104.99</v>
      </c>
      <c r="G66" s="4"/>
      <c r="H66" s="4"/>
      <c r="I66" s="4"/>
      <c r="J66" s="4"/>
      <c r="K66" s="4"/>
      <c r="L66" s="4"/>
      <c r="M66" s="4"/>
      <c r="N66" s="4"/>
      <c r="O66" s="4"/>
      <c r="P66" s="4"/>
      <c r="Q66" s="4"/>
      <c r="R66" s="4"/>
      <c r="S66" s="4" t="s">
        <v>225</v>
      </c>
      <c r="T66" s="4"/>
      <c r="U66" s="4"/>
      <c r="V66" s="4"/>
      <c r="W66" s="4"/>
      <c r="X66" s="4"/>
      <c r="Y66" s="4"/>
      <c r="Z66" s="4"/>
      <c r="AA66" s="4"/>
      <c r="AB66" s="4"/>
      <c r="AC66" s="4"/>
      <c r="AD66" s="4"/>
    </row>
    <row r="67" ht="16" customHeight="1" s="4" customFormat="1">
      <c r="A67" s="4">
        <v>66</v>
      </c>
      <c r="B67" s="4" t="s">
        <v>260</v>
      </c>
      <c r="C67" s="4">
        <v>8</v>
      </c>
      <c r="D67" s="4" t="s">
        <v>261</v>
      </c>
      <c r="E67" s="4" t="s">
        <v>138</v>
      </c>
      <c r="F67" s="4">
        <v>9783</v>
      </c>
      <c r="G67" s="4">
        <v>52.5</v>
      </c>
      <c r="H67" s="4"/>
      <c r="I67" s="4" t="s">
        <v>67</v>
      </c>
      <c r="J67" s="4" t="s">
        <v>262</v>
      </c>
      <c r="K67" s="4"/>
      <c r="L67" s="4"/>
      <c r="M67" s="4"/>
      <c r="N67" s="4" t="s">
        <v>130</v>
      </c>
      <c r="O67" s="4"/>
      <c r="P67" s="4"/>
      <c r="Q67" s="4"/>
      <c r="R67" s="4"/>
      <c r="S67" s="4"/>
      <c r="T67" s="4"/>
      <c r="U67" s="4"/>
      <c r="V67" s="4"/>
      <c r="W67" s="4"/>
      <c r="X67" s="4"/>
      <c r="Y67" s="4"/>
      <c r="Z67" s="4"/>
      <c r="AA67" s="4"/>
      <c r="AB67" s="4"/>
      <c r="AC67" s="4"/>
      <c r="AD67" s="4"/>
    </row>
    <row r="68" ht="16" customHeight="1" s="4" customFormat="1">
      <c r="A68" s="4">
        <v>67</v>
      </c>
      <c r="B68" s="4" t="s">
        <v>263</v>
      </c>
      <c r="C68" s="4">
        <v>8</v>
      </c>
      <c r="D68" s="4" t="s">
        <v>264</v>
      </c>
      <c r="E68" s="4" t="s">
        <v>138</v>
      </c>
      <c r="F68" s="4">
        <v>1</v>
      </c>
      <c r="G68" s="4"/>
      <c r="H68" s="4"/>
      <c r="I68" s="4"/>
      <c r="J68" s="4"/>
      <c r="K68" s="4"/>
      <c r="L68" s="4"/>
      <c r="M68" s="4"/>
      <c r="N68" s="4"/>
      <c r="O68" s="4"/>
      <c r="P68" s="4"/>
      <c r="Q68" s="4"/>
      <c r="R68" s="4"/>
      <c r="S68" s="4"/>
      <c r="T68" s="4"/>
      <c r="U68" s="4"/>
      <c r="V68" s="4"/>
      <c r="W68" s="4"/>
      <c r="X68" s="4"/>
      <c r="Y68" s="4"/>
      <c r="Z68" s="4"/>
      <c r="AA68" s="4" t="s">
        <v>129</v>
      </c>
      <c r="AB68" s="4" t="s">
        <v>225</v>
      </c>
      <c r="AC68" s="4"/>
      <c r="AD68" s="4"/>
    </row>
    <row r="69" ht="16" customHeight="1" s="4" customFormat="1">
      <c r="A69" s="4">
        <v>68</v>
      </c>
      <c r="B69" s="4" t="s">
        <v>265</v>
      </c>
      <c r="C69" s="4">
        <v>7</v>
      </c>
      <c r="D69" s="4" t="s">
        <v>266</v>
      </c>
      <c r="E69" s="4" t="s">
        <v>36</v>
      </c>
      <c r="F69" s="4">
        <v>5.04</v>
      </c>
      <c r="G69" s="4">
        <v>0.1</v>
      </c>
      <c r="H69" s="4"/>
      <c r="I69" s="4"/>
      <c r="J69" s="4"/>
      <c r="K69" s="4"/>
      <c r="L69" s="4"/>
      <c r="M69" s="4"/>
      <c r="N69" s="4"/>
      <c r="O69" s="4"/>
      <c r="P69" s="4"/>
      <c r="Q69" s="4"/>
      <c r="R69" s="4"/>
      <c r="S69" s="4"/>
      <c r="T69" s="4"/>
      <c r="U69" s="4"/>
      <c r="V69" s="4"/>
      <c r="W69" s="4"/>
      <c r="X69" s="4"/>
      <c r="Y69" s="4"/>
      <c r="Z69" s="4"/>
      <c r="AA69" s="4" t="s">
        <v>129</v>
      </c>
      <c r="AB69" s="4"/>
      <c r="AC69" s="4"/>
      <c r="AD69" s="4"/>
    </row>
    <row r="70" ht="16" customHeight="1" s="4" customFormat="1">
      <c r="A70" s="4">
        <v>69</v>
      </c>
      <c r="B70" s="4" t="s">
        <v>267</v>
      </c>
      <c r="C70" s="4">
        <v>7</v>
      </c>
      <c r="D70" s="4" t="s">
        <v>268</v>
      </c>
      <c r="E70" s="4" t="s">
        <v>36</v>
      </c>
      <c r="F70" s="4">
        <v>1972.54</v>
      </c>
      <c r="G70" s="4">
        <v>21</v>
      </c>
      <c r="H70" s="4"/>
      <c r="I70" s="4"/>
      <c r="J70" s="4"/>
      <c r="K70" s="4"/>
      <c r="L70" s="4"/>
      <c r="M70" s="4"/>
      <c r="N70" s="4"/>
      <c r="O70" s="4"/>
      <c r="P70" s="4"/>
      <c r="Q70" s="4"/>
      <c r="R70" s="4"/>
      <c r="S70" s="4"/>
      <c r="T70" s="4"/>
      <c r="U70" s="4"/>
      <c r="V70" s="4"/>
      <c r="W70" s="4"/>
      <c r="X70" s="4"/>
      <c r="Y70" s="4"/>
      <c r="Z70" s="4"/>
      <c r="AA70" s="4" t="s">
        <v>225</v>
      </c>
      <c r="AB70" s="4"/>
      <c r="AC70" s="4"/>
      <c r="AD70" s="4"/>
    </row>
    <row r="71" ht="16" customHeight="1" s="4" customFormat="1">
      <c r="A71" s="4">
        <v>70</v>
      </c>
      <c r="B71" s="4" t="s">
        <v>269</v>
      </c>
      <c r="C71" s="4">
        <v>7</v>
      </c>
      <c r="D71" s="4" t="s">
        <v>270</v>
      </c>
      <c r="E71" s="4" t="s">
        <v>271</v>
      </c>
      <c r="F71" s="4">
        <v>1117.35</v>
      </c>
      <c r="G71" s="4"/>
      <c r="H71" s="4"/>
      <c r="I71" s="4"/>
      <c r="J71" s="4"/>
      <c r="K71" s="4"/>
      <c r="L71" s="4"/>
      <c r="M71" s="4"/>
      <c r="N71" s="4"/>
      <c r="O71" s="4"/>
      <c r="P71" s="4"/>
      <c r="Q71" s="4"/>
      <c r="R71" s="4"/>
      <c r="S71" s="4"/>
      <c r="T71" s="4"/>
      <c r="U71" s="4"/>
      <c r="V71" s="4" t="s">
        <v>67</v>
      </c>
      <c r="W71" s="4"/>
      <c r="X71" s="4"/>
      <c r="Y71" s="4"/>
      <c r="Z71" s="4"/>
      <c r="AA71" s="4"/>
      <c r="AB71" s="4"/>
      <c r="AC71" s="4"/>
      <c r="AD71" s="4"/>
    </row>
    <row r="72" ht="16" customHeight="1" s="4" customFormat="1">
      <c r="A72" s="4">
        <v>71</v>
      </c>
      <c r="B72" s="4" t="s">
        <v>272</v>
      </c>
      <c r="C72" s="4">
        <v>7</v>
      </c>
      <c r="D72" s="4" t="s">
        <v>273</v>
      </c>
      <c r="E72" s="4" t="s">
        <v>36</v>
      </c>
      <c r="F72" s="4">
        <v>2.1</v>
      </c>
      <c r="G72" s="4">
        <v>0.1</v>
      </c>
      <c r="H72" s="4"/>
      <c r="I72" s="4"/>
      <c r="J72" s="4"/>
      <c r="K72" s="4"/>
      <c r="L72" s="4"/>
      <c r="M72" s="4"/>
      <c r="N72" s="4"/>
      <c r="O72" s="4"/>
      <c r="P72" s="4"/>
      <c r="Q72" s="4"/>
      <c r="R72" s="4"/>
      <c r="S72" s="4" t="s">
        <v>129</v>
      </c>
      <c r="T72" s="4"/>
      <c r="U72" s="4"/>
      <c r="V72" s="4"/>
      <c r="W72" s="4"/>
      <c r="X72" s="4"/>
      <c r="Y72" s="4"/>
      <c r="Z72" s="4"/>
      <c r="AA72" s="4"/>
      <c r="AB72" s="4"/>
      <c r="AC72" s="4"/>
      <c r="AD72" s="4"/>
    </row>
    <row r="73" ht="16" customHeight="1" s="4" customFormat="1">
      <c r="A73" s="4">
        <v>72</v>
      </c>
      <c r="B73" s="4" t="s">
        <v>274</v>
      </c>
      <c r="C73" s="4">
        <v>7</v>
      </c>
      <c r="D73" s="4" t="s">
        <v>275</v>
      </c>
      <c r="E73" s="4" t="s">
        <v>138</v>
      </c>
      <c r="F73" s="4">
        <v>11.5</v>
      </c>
      <c r="G73" s="4"/>
      <c r="H73" s="4" t="s">
        <v>67</v>
      </c>
      <c r="I73" s="4"/>
      <c r="J73" s="4"/>
      <c r="K73" s="4"/>
      <c r="L73" s="4"/>
      <c r="M73" s="4"/>
      <c r="N73" s="4"/>
      <c r="O73" s="4"/>
      <c r="P73" s="4"/>
      <c r="Q73" s="4"/>
      <c r="R73" s="4"/>
      <c r="S73" s="4"/>
      <c r="T73" s="4"/>
      <c r="U73" s="4"/>
      <c r="V73" s="4"/>
      <c r="W73" s="4"/>
      <c r="X73" s="4"/>
      <c r="Y73" s="4"/>
      <c r="Z73" s="4"/>
      <c r="AA73" s="4"/>
      <c r="AB73" s="4"/>
      <c r="AC73" s="4"/>
      <c r="AD73" s="4"/>
    </row>
    <row r="74" ht="16" customHeight="1" s="4" customFormat="1">
      <c r="A74" s="4">
        <v>73</v>
      </c>
      <c r="B74" s="4" t="s">
        <v>276</v>
      </c>
      <c r="C74" s="4">
        <v>6</v>
      </c>
      <c r="D74" s="4" t="s">
        <v>277</v>
      </c>
      <c r="E74" s="4" t="s">
        <v>138</v>
      </c>
      <c r="F74" s="4">
        <v>1274.78</v>
      </c>
      <c r="G74" s="4"/>
      <c r="H74" s="4" t="s">
        <v>129</v>
      </c>
      <c r="I74" s="4"/>
      <c r="J74" s="4"/>
      <c r="K74" s="4"/>
      <c r="L74" s="4"/>
      <c r="M74" s="4"/>
      <c r="N74" s="4"/>
      <c r="O74" s="4"/>
      <c r="P74" s="4"/>
      <c r="Q74" s="4"/>
      <c r="R74" s="4"/>
      <c r="S74" s="4"/>
      <c r="T74" s="4"/>
      <c r="U74" s="4"/>
      <c r="V74" s="4"/>
      <c r="W74" s="4"/>
      <c r="X74" s="4"/>
      <c r="Y74" s="4"/>
      <c r="Z74" s="4"/>
      <c r="AA74" s="4"/>
      <c r="AB74" s="4"/>
      <c r="AC74" s="4"/>
      <c r="AD74" s="4"/>
    </row>
    <row r="75" ht="16" customHeight="1" s="4" customFormat="1">
      <c r="A75" s="4">
        <v>74</v>
      </c>
      <c r="B75" s="4" t="s">
        <v>278</v>
      </c>
      <c r="C75" s="4">
        <v>6</v>
      </c>
      <c r="D75" s="4" t="s">
        <v>224</v>
      </c>
      <c r="E75" s="4" t="s">
        <v>72</v>
      </c>
      <c r="F75" s="4">
        <v>284.25</v>
      </c>
      <c r="G75" s="4">
        <v>71</v>
      </c>
      <c r="H75" s="4"/>
      <c r="I75" s="4"/>
      <c r="J75" s="4"/>
      <c r="K75" s="4"/>
      <c r="L75" s="4"/>
      <c r="M75" s="4"/>
      <c r="N75" s="4"/>
      <c r="O75" s="4"/>
      <c r="P75" s="4"/>
      <c r="Q75" s="4"/>
      <c r="R75" s="4"/>
      <c r="S75" s="4"/>
      <c r="T75" s="4"/>
      <c r="U75" s="4"/>
      <c r="V75" s="4"/>
      <c r="W75" s="4"/>
      <c r="X75" s="4"/>
      <c r="Y75" s="4"/>
      <c r="Z75" s="4"/>
      <c r="AA75" s="4"/>
      <c r="AB75" s="4" t="s">
        <v>67</v>
      </c>
      <c r="AC75" s="4"/>
      <c r="AD75" s="4"/>
    </row>
    <row r="76" ht="16" customHeight="1" s="4" customFormat="1">
      <c r="A76" s="4">
        <v>75</v>
      </c>
      <c r="B76" s="4" t="s">
        <v>279</v>
      </c>
      <c r="C76" s="4">
        <v>6</v>
      </c>
      <c r="D76" s="4" t="s">
        <v>280</v>
      </c>
      <c r="E76" s="4" t="s">
        <v>36</v>
      </c>
      <c r="F76" s="4">
        <v>2909.17</v>
      </c>
      <c r="G76" s="4"/>
      <c r="H76" s="4"/>
      <c r="I76" s="4"/>
      <c r="J76" s="4"/>
      <c r="K76" s="4"/>
      <c r="L76" s="4"/>
      <c r="M76" s="4"/>
      <c r="N76" s="4"/>
      <c r="O76" s="4"/>
      <c r="P76" s="4"/>
      <c r="Q76" s="4"/>
      <c r="R76" s="4"/>
      <c r="S76" s="4"/>
      <c r="T76" s="4"/>
      <c r="U76" s="4"/>
      <c r="V76" s="4" t="s">
        <v>202</v>
      </c>
      <c r="W76" s="4"/>
      <c r="X76" s="4"/>
      <c r="Y76" s="4"/>
      <c r="Z76" s="4"/>
      <c r="AA76" s="4"/>
      <c r="AB76" s="4"/>
      <c r="AC76" s="4"/>
      <c r="AD76" s="4"/>
    </row>
    <row r="77" ht="16" customHeight="1" s="4" customFormat="1">
      <c r="A77" s="4">
        <v>76</v>
      </c>
      <c r="B77" s="4" t="s">
        <v>281</v>
      </c>
      <c r="C77" s="4">
        <v>6</v>
      </c>
      <c r="D77" s="4" t="s">
        <v>282</v>
      </c>
      <c r="E77" s="4" t="s">
        <v>138</v>
      </c>
      <c r="F77" s="4">
        <v>1436.44</v>
      </c>
      <c r="G77" s="4"/>
      <c r="H77" s="4"/>
      <c r="I77" s="4" t="s">
        <v>67</v>
      </c>
      <c r="J77" s="4" t="s">
        <v>67</v>
      </c>
      <c r="K77" s="4"/>
      <c r="L77" s="4"/>
      <c r="M77" s="4"/>
      <c r="N77" s="4" t="s">
        <v>202</v>
      </c>
      <c r="O77" s="4"/>
      <c r="P77" s="4"/>
      <c r="Q77" s="4"/>
      <c r="R77" s="4"/>
      <c r="S77" s="4"/>
      <c r="T77" s="4"/>
      <c r="U77" s="4"/>
      <c r="V77" s="4"/>
      <c r="W77" s="4"/>
      <c r="X77" s="4"/>
      <c r="Y77" s="4"/>
      <c r="Z77" s="4"/>
      <c r="AA77" s="4"/>
      <c r="AB77" s="4"/>
      <c r="AC77" s="4"/>
      <c r="AD77" s="4"/>
    </row>
    <row r="78" ht="16" customHeight="1" s="4" customFormat="1">
      <c r="A78" s="4">
        <v>77</v>
      </c>
      <c r="B78" s="4" t="s">
        <v>283</v>
      </c>
      <c r="C78" s="4">
        <v>6</v>
      </c>
      <c r="D78" s="4" t="s">
        <v>284</v>
      </c>
      <c r="E78" s="4" t="s">
        <v>72</v>
      </c>
      <c r="F78" s="4">
        <v>171.82</v>
      </c>
      <c r="G78" s="4"/>
      <c r="H78" s="4"/>
      <c r="I78" s="4"/>
      <c r="J78" s="4"/>
      <c r="K78" s="4"/>
      <c r="L78" s="4"/>
      <c r="M78" s="4"/>
      <c r="N78" s="4"/>
      <c r="O78" s="4"/>
      <c r="P78" s="4"/>
      <c r="Q78" s="4"/>
      <c r="R78" s="4"/>
      <c r="S78" s="4"/>
      <c r="T78" s="4"/>
      <c r="U78" s="4"/>
      <c r="V78" s="4"/>
      <c r="W78" s="4"/>
      <c r="X78" s="4"/>
      <c r="Y78" s="4"/>
      <c r="Z78" s="4"/>
      <c r="AA78" s="4"/>
      <c r="AB78" s="4" t="s">
        <v>67</v>
      </c>
      <c r="AC78" s="4"/>
      <c r="AD78" s="4"/>
    </row>
    <row r="79" ht="16" customHeight="1" s="4" customFormat="1">
      <c r="A79" s="4">
        <v>78</v>
      </c>
      <c r="B79" s="4" t="s">
        <v>285</v>
      </c>
      <c r="C79" s="4">
        <v>6</v>
      </c>
      <c r="D79" s="4" t="s">
        <v>286</v>
      </c>
      <c r="E79" s="4" t="s">
        <v>189</v>
      </c>
      <c r="F79" s="4">
        <v>900</v>
      </c>
      <c r="G79" s="4"/>
      <c r="H79" s="4"/>
      <c r="I79" s="4"/>
      <c r="J79" s="4" t="s">
        <v>130</v>
      </c>
      <c r="K79" s="4"/>
      <c r="L79" s="4"/>
      <c r="M79" s="4"/>
      <c r="N79" s="4"/>
      <c r="O79" s="4"/>
      <c r="P79" s="4"/>
      <c r="Q79" s="4"/>
      <c r="R79" s="4"/>
      <c r="S79" s="4"/>
      <c r="T79" s="4"/>
      <c r="U79" s="4"/>
      <c r="V79" s="4"/>
      <c r="W79" s="4"/>
      <c r="X79" s="4"/>
      <c r="Y79" s="4"/>
      <c r="Z79" s="4"/>
      <c r="AA79" s="4"/>
      <c r="AB79" s="4"/>
      <c r="AC79" s="4"/>
      <c r="AD79" s="4"/>
    </row>
    <row r="80" ht="16" customHeight="1" s="4" customFormat="1">
      <c r="A80" s="4">
        <v>79</v>
      </c>
      <c r="B80" s="4" t="s">
        <v>287</v>
      </c>
      <c r="C80" s="4">
        <v>5</v>
      </c>
      <c r="D80" s="4" t="s">
        <v>288</v>
      </c>
      <c r="E80" s="4" t="s">
        <v>36</v>
      </c>
      <c r="F80" s="4">
        <v>1</v>
      </c>
      <c r="G80" s="4"/>
      <c r="H80" s="4"/>
      <c r="I80" s="4"/>
      <c r="J80" s="4"/>
      <c r="K80" s="4"/>
      <c r="L80" s="4"/>
      <c r="M80" s="4"/>
      <c r="N80" s="4"/>
      <c r="O80" s="4"/>
      <c r="P80" s="4"/>
      <c r="Q80" s="4"/>
      <c r="R80" s="4"/>
      <c r="S80" s="4"/>
      <c r="T80" s="4"/>
      <c r="U80" s="4"/>
      <c r="V80" s="4"/>
      <c r="W80" s="4"/>
      <c r="X80" s="4"/>
      <c r="Y80" s="4"/>
      <c r="Z80" s="4"/>
      <c r="AA80" s="4"/>
      <c r="AB80" s="4" t="s">
        <v>225</v>
      </c>
      <c r="AC80" s="4"/>
      <c r="AD80" s="4"/>
    </row>
    <row r="81" ht="16" customHeight="1" s="4" customFormat="1">
      <c r="A81" s="4">
        <v>80</v>
      </c>
      <c r="B81" s="4" t="s">
        <v>289</v>
      </c>
      <c r="C81" s="4">
        <v>5</v>
      </c>
      <c r="D81" s="4" t="s">
        <v>290</v>
      </c>
      <c r="E81" s="4" t="s">
        <v>138</v>
      </c>
      <c r="F81" s="4">
        <v>2600</v>
      </c>
      <c r="G81" s="4">
        <v>10</v>
      </c>
      <c r="H81" s="4"/>
      <c r="I81" s="4"/>
      <c r="J81" s="4"/>
      <c r="K81" s="4"/>
      <c r="L81" s="4"/>
      <c r="M81" s="4"/>
      <c r="N81" s="4"/>
      <c r="O81" s="4"/>
      <c r="P81" s="4"/>
      <c r="Q81" s="4"/>
      <c r="R81" s="4"/>
      <c r="S81" s="4" t="s">
        <v>67</v>
      </c>
      <c r="T81" s="4"/>
      <c r="U81" s="4"/>
      <c r="V81" s="4"/>
      <c r="W81" s="4"/>
      <c r="X81" s="4"/>
      <c r="Y81" s="4"/>
      <c r="Z81" s="4"/>
      <c r="AA81" s="4"/>
      <c r="AB81" s="4"/>
      <c r="AC81" s="4"/>
      <c r="AD81" s="4"/>
    </row>
    <row r="82" ht="16" customHeight="1" s="4" customFormat="1">
      <c r="A82" s="4">
        <v>81</v>
      </c>
      <c r="B82" s="4" t="s">
        <v>291</v>
      </c>
      <c r="C82" s="4">
        <v>5</v>
      </c>
      <c r="D82" s="4" t="s">
        <v>292</v>
      </c>
      <c r="E82" s="4" t="s">
        <v>201</v>
      </c>
      <c r="F82" s="4">
        <v>2180</v>
      </c>
      <c r="G82" s="4"/>
      <c r="H82" s="4"/>
      <c r="I82" s="4"/>
      <c r="J82" s="4"/>
      <c r="K82" s="4"/>
      <c r="L82" s="4"/>
      <c r="M82" s="4"/>
      <c r="N82" s="4"/>
      <c r="O82" s="4"/>
      <c r="P82" s="4"/>
      <c r="Q82" s="4" t="s">
        <v>67</v>
      </c>
      <c r="R82" s="4"/>
      <c r="S82" s="4"/>
      <c r="T82" s="4"/>
      <c r="U82" s="4"/>
      <c r="V82" s="4"/>
      <c r="W82" s="4"/>
      <c r="X82" s="4"/>
      <c r="Y82" s="4"/>
      <c r="Z82" s="4"/>
      <c r="AA82" s="4"/>
      <c r="AB82" s="4"/>
      <c r="AC82" s="4"/>
      <c r="AD82" s="4"/>
    </row>
    <row r="83" ht="16" customHeight="1" s="4" customFormat="1">
      <c r="A83" s="4">
        <v>82</v>
      </c>
      <c r="B83" s="4" t="s">
        <v>293</v>
      </c>
      <c r="C83" s="4">
        <v>5</v>
      </c>
      <c r="D83" s="4" t="s">
        <v>294</v>
      </c>
      <c r="E83" s="4" t="s">
        <v>138</v>
      </c>
      <c r="F83" s="4">
        <v>1</v>
      </c>
      <c r="G83" s="4">
        <v>75</v>
      </c>
      <c r="H83" s="4"/>
      <c r="I83" s="4"/>
      <c r="J83" s="4"/>
      <c r="K83" s="4"/>
      <c r="L83" s="4"/>
      <c r="M83" s="4"/>
      <c r="N83" s="4"/>
      <c r="O83" s="4"/>
      <c r="P83" s="4"/>
      <c r="Q83" s="4"/>
      <c r="R83" s="4"/>
      <c r="S83" s="4"/>
      <c r="T83" s="4"/>
      <c r="U83" s="4"/>
      <c r="V83" s="4"/>
      <c r="W83" s="4"/>
      <c r="X83" s="4"/>
      <c r="Y83" s="4"/>
      <c r="Z83" s="4"/>
      <c r="AA83" s="4"/>
      <c r="AB83" s="4" t="s">
        <v>129</v>
      </c>
      <c r="AC83" s="4"/>
      <c r="AD83" s="4"/>
    </row>
    <row r="84" ht="16" customHeight="1" s="4" customFormat="1">
      <c r="A84" s="4">
        <v>83</v>
      </c>
      <c r="B84" s="4" t="s">
        <v>295</v>
      </c>
      <c r="C84" s="4">
        <v>5</v>
      </c>
      <c r="D84" s="4" t="s">
        <v>150</v>
      </c>
      <c r="E84" s="4" t="s">
        <v>138</v>
      </c>
      <c r="F84" s="4">
        <v>2900</v>
      </c>
      <c r="G84" s="4"/>
      <c r="H84" s="4"/>
      <c r="I84" s="4" t="s">
        <v>67</v>
      </c>
      <c r="J84" s="4" t="s">
        <v>127</v>
      </c>
      <c r="K84" s="4"/>
      <c r="L84" s="4"/>
      <c r="M84" s="4"/>
      <c r="N84" s="4"/>
      <c r="O84" s="4"/>
      <c r="P84" s="4"/>
      <c r="Q84" s="4"/>
      <c r="R84" s="4"/>
      <c r="S84" s="4"/>
      <c r="T84" s="4"/>
      <c r="U84" s="4"/>
      <c r="V84" s="4"/>
      <c r="W84" s="4"/>
      <c r="X84" s="4"/>
      <c r="Y84" s="4"/>
      <c r="Z84" s="4"/>
      <c r="AA84" s="4"/>
      <c r="AB84" s="4"/>
      <c r="AC84" s="4"/>
      <c r="AD84" s="4"/>
    </row>
    <row r="85" ht="16" customHeight="1" s="4" customFormat="1">
      <c r="A85" s="4">
        <v>84</v>
      </c>
      <c r="B85" s="4" t="s">
        <v>296</v>
      </c>
      <c r="C85" s="4">
        <v>5</v>
      </c>
      <c r="D85" s="4" t="s">
        <v>297</v>
      </c>
      <c r="E85" s="4" t="s">
        <v>298</v>
      </c>
      <c r="F85" s="4">
        <v>200</v>
      </c>
      <c r="G85" s="4"/>
      <c r="H85" s="4"/>
      <c r="I85" s="4"/>
      <c r="J85" s="4"/>
      <c r="K85" s="4"/>
      <c r="L85" s="4"/>
      <c r="M85" s="4"/>
      <c r="N85" s="4"/>
      <c r="O85" s="4"/>
      <c r="P85" s="4"/>
      <c r="Q85" s="4"/>
      <c r="R85" s="4"/>
      <c r="S85" s="4"/>
      <c r="T85" s="4"/>
      <c r="U85" s="4"/>
      <c r="V85" s="4"/>
      <c r="W85" s="4"/>
      <c r="X85" s="4"/>
      <c r="Y85" s="4"/>
      <c r="Z85" s="4" t="s">
        <v>129</v>
      </c>
      <c r="AA85" s="4"/>
      <c r="AB85" s="4"/>
      <c r="AC85" s="4"/>
      <c r="AD85" s="4"/>
    </row>
    <row r="86" ht="16" customHeight="1" s="4" customFormat="1">
      <c r="A86" s="4">
        <v>85</v>
      </c>
      <c r="B86" s="4" t="s">
        <v>299</v>
      </c>
      <c r="C86" s="4">
        <v>5</v>
      </c>
      <c r="D86" s="4" t="s">
        <v>300</v>
      </c>
      <c r="E86" s="4" t="s">
        <v>72</v>
      </c>
      <c r="F86" s="4">
        <v>877.64</v>
      </c>
      <c r="G86" s="4">
        <v>20</v>
      </c>
      <c r="H86" s="4"/>
      <c r="I86" s="4"/>
      <c r="J86" s="4" t="s">
        <v>301</v>
      </c>
      <c r="K86" s="4"/>
      <c r="L86" s="4"/>
      <c r="M86" s="4"/>
      <c r="N86" s="4" t="s">
        <v>67</v>
      </c>
      <c r="O86" s="4"/>
      <c r="P86" s="4"/>
      <c r="Q86" s="4"/>
      <c r="R86" s="4"/>
      <c r="S86" s="4"/>
      <c r="T86" s="4"/>
      <c r="U86" s="4"/>
      <c r="V86" s="4"/>
      <c r="W86" s="4"/>
      <c r="X86" s="4"/>
      <c r="Y86" s="4"/>
      <c r="Z86" s="4"/>
      <c r="AA86" s="4"/>
      <c r="AB86" s="4"/>
      <c r="AC86" s="4"/>
      <c r="AD86" s="4"/>
    </row>
    <row r="87" ht="16" customHeight="1" s="4" customFormat="1">
      <c r="A87" s="4">
        <v>86</v>
      </c>
      <c r="B87" s="4" t="s">
        <v>302</v>
      </c>
      <c r="C87" s="4">
        <v>5</v>
      </c>
      <c r="D87" s="4" t="s">
        <v>303</v>
      </c>
      <c r="E87" s="4" t="s">
        <v>138</v>
      </c>
      <c r="F87" s="4">
        <v>475</v>
      </c>
      <c r="G87" s="4"/>
      <c r="H87" s="4"/>
      <c r="I87" s="4"/>
      <c r="J87" s="4"/>
      <c r="K87" s="4"/>
      <c r="L87" s="4"/>
      <c r="M87" s="4"/>
      <c r="N87" s="4"/>
      <c r="O87" s="4"/>
      <c r="P87" s="4"/>
      <c r="Q87" s="4"/>
      <c r="R87" s="4"/>
      <c r="S87" s="4" t="s">
        <v>67</v>
      </c>
      <c r="T87" s="4"/>
      <c r="U87" s="4"/>
      <c r="V87" s="4"/>
      <c r="W87" s="4"/>
      <c r="X87" s="4"/>
      <c r="Y87" s="4"/>
      <c r="Z87" s="4"/>
      <c r="AA87" s="4"/>
      <c r="AB87" s="4"/>
      <c r="AC87" s="4"/>
      <c r="AD87" s="4"/>
    </row>
    <row r="88" ht="16" customHeight="1" s="4" customFormat="1">
      <c r="A88" s="4">
        <v>87</v>
      </c>
      <c r="B88" s="4" t="s">
        <v>304</v>
      </c>
      <c r="C88" s="4">
        <v>5</v>
      </c>
      <c r="D88" s="4" t="s">
        <v>305</v>
      </c>
      <c r="E88" s="4" t="s">
        <v>36</v>
      </c>
      <c r="F88" s="4">
        <v>69.68</v>
      </c>
      <c r="G88" s="4"/>
      <c r="H88" s="4" t="s">
        <v>127</v>
      </c>
      <c r="I88" s="4" t="s">
        <v>67</v>
      </c>
      <c r="J88" s="4" t="s">
        <v>130</v>
      </c>
      <c r="K88" s="4"/>
      <c r="L88" s="4"/>
      <c r="M88" s="4"/>
      <c r="N88" s="4"/>
      <c r="O88" s="4"/>
      <c r="P88" s="4"/>
      <c r="Q88" s="4"/>
      <c r="R88" s="4"/>
      <c r="S88" s="4"/>
      <c r="T88" s="4"/>
      <c r="U88" s="4"/>
      <c r="V88" s="4"/>
      <c r="W88" s="4"/>
      <c r="X88" s="4"/>
      <c r="Y88" s="4"/>
      <c r="Z88" s="4"/>
      <c r="AA88" s="4"/>
      <c r="AB88" s="4"/>
      <c r="AC88" s="4"/>
      <c r="AD88" s="4"/>
    </row>
    <row r="89" ht="16" customHeight="1" s="4" customFormat="1">
      <c r="A89" s="4">
        <v>88</v>
      </c>
      <c r="B89" s="4" t="s">
        <v>306</v>
      </c>
      <c r="C89" s="4">
        <v>5</v>
      </c>
      <c r="D89" s="4" t="s">
        <v>307</v>
      </c>
      <c r="E89" s="4" t="s">
        <v>36</v>
      </c>
      <c r="F89" s="4">
        <v>1100</v>
      </c>
      <c r="G89" s="4"/>
      <c r="H89" s="4"/>
      <c r="I89" s="4"/>
      <c r="J89" s="4"/>
      <c r="K89" s="4"/>
      <c r="L89" s="4"/>
      <c r="M89" s="4"/>
      <c r="N89" s="4"/>
      <c r="O89" s="4"/>
      <c r="P89" s="4"/>
      <c r="Q89" s="4"/>
      <c r="R89" s="4"/>
      <c r="S89" s="4"/>
      <c r="T89" s="4"/>
      <c r="U89" s="4"/>
      <c r="V89" s="4"/>
      <c r="W89" s="4"/>
      <c r="X89" s="4"/>
      <c r="Y89" s="4"/>
      <c r="Z89" s="4" t="s">
        <v>129</v>
      </c>
      <c r="AA89" s="4"/>
      <c r="AB89" s="4"/>
      <c r="AC89" s="4"/>
      <c r="AD89" s="4"/>
    </row>
    <row r="90" ht="16" customHeight="1" s="4" customFormat="1">
      <c r="A90" s="4">
        <v>89</v>
      </c>
      <c r="B90" s="4" t="s">
        <v>308</v>
      </c>
      <c r="C90" s="4">
        <v>5</v>
      </c>
      <c r="D90" s="4" t="s">
        <v>309</v>
      </c>
      <c r="E90" s="4" t="s">
        <v>310</v>
      </c>
      <c r="F90" s="4">
        <v>0.2</v>
      </c>
      <c r="G90" s="4"/>
      <c r="H90" s="4"/>
      <c r="I90" s="4"/>
      <c r="J90" s="4"/>
      <c r="K90" s="4"/>
      <c r="L90" s="4"/>
      <c r="M90" s="4"/>
      <c r="N90" s="4"/>
      <c r="O90" s="4"/>
      <c r="P90" s="4"/>
      <c r="Q90" s="4"/>
      <c r="R90" s="4"/>
      <c r="S90" s="4"/>
      <c r="T90" s="4"/>
      <c r="U90" s="4"/>
      <c r="V90" s="4"/>
      <c r="W90" s="4"/>
      <c r="X90" s="4"/>
      <c r="Y90" s="4"/>
      <c r="Z90" s="4"/>
      <c r="AA90" s="4"/>
      <c r="AB90" s="4" t="s">
        <v>129</v>
      </c>
      <c r="AC90" s="4"/>
      <c r="AD90" s="4"/>
    </row>
    <row r="91" ht="16" customHeight="1" s="4" customFormat="1">
      <c r="A91" s="4">
        <v>90</v>
      </c>
      <c r="B91" s="4" t="s">
        <v>311</v>
      </c>
      <c r="C91" s="4">
        <v>5</v>
      </c>
      <c r="D91" s="4" t="s">
        <v>312</v>
      </c>
      <c r="E91" s="4" t="s">
        <v>138</v>
      </c>
      <c r="F91" s="4">
        <v>300</v>
      </c>
      <c r="G91" s="4">
        <v>19.8</v>
      </c>
      <c r="H91" s="4"/>
      <c r="I91" s="4" t="s">
        <v>67</v>
      </c>
      <c r="J91" s="4"/>
      <c r="K91" s="4"/>
      <c r="L91" s="4"/>
      <c r="M91" s="4"/>
      <c r="N91" s="4" t="s">
        <v>67</v>
      </c>
      <c r="O91" s="4"/>
      <c r="P91" s="4"/>
      <c r="Q91" s="4"/>
      <c r="R91" s="4"/>
      <c r="S91" s="4"/>
      <c r="T91" s="4"/>
      <c r="U91" s="4"/>
      <c r="V91" s="4"/>
      <c r="W91" s="4"/>
      <c r="X91" s="4"/>
      <c r="Y91" s="4"/>
      <c r="Z91" s="4"/>
      <c r="AA91" s="4"/>
      <c r="AB91" s="4"/>
      <c r="AC91" s="4"/>
      <c r="AD91" s="4"/>
    </row>
    <row r="92" ht="16" customHeight="1" s="4" customFormat="1">
      <c r="A92" s="4">
        <v>91</v>
      </c>
      <c r="B92" s="4" t="s">
        <v>313</v>
      </c>
      <c r="C92" s="4">
        <v>4</v>
      </c>
      <c r="D92" s="4" t="s">
        <v>314</v>
      </c>
      <c r="E92" s="4" t="s">
        <v>315</v>
      </c>
      <c r="F92" s="4">
        <v>1</v>
      </c>
      <c r="G92" s="4">
        <v>12.9</v>
      </c>
      <c r="H92" s="4"/>
      <c r="I92" s="4"/>
      <c r="J92" s="4"/>
      <c r="K92" s="4"/>
      <c r="L92" s="4"/>
      <c r="M92" s="4"/>
      <c r="N92" s="4"/>
      <c r="O92" s="4"/>
      <c r="P92" s="4"/>
      <c r="Q92" s="4"/>
      <c r="R92" s="4"/>
      <c r="S92" s="4"/>
      <c r="T92" s="4"/>
      <c r="U92" s="4"/>
      <c r="V92" s="4"/>
      <c r="W92" s="4"/>
      <c r="X92" s="4"/>
      <c r="Y92" s="4"/>
      <c r="Z92" s="4"/>
      <c r="AA92" s="4"/>
      <c r="AB92" s="4" t="s">
        <v>129</v>
      </c>
      <c r="AC92" s="4"/>
      <c r="AD92" s="4"/>
    </row>
    <row r="93" ht="16" customHeight="1" s="4" customFormat="1">
      <c r="A93" s="4">
        <v>92</v>
      </c>
      <c r="B93" s="4" t="s">
        <v>316</v>
      </c>
      <c r="C93" s="4">
        <v>4</v>
      </c>
      <c r="D93" s="4" t="s">
        <v>159</v>
      </c>
      <c r="E93" s="4" t="s">
        <v>138</v>
      </c>
      <c r="F93" s="4">
        <v>2596.23</v>
      </c>
      <c r="G93" s="4">
        <v>23.3</v>
      </c>
      <c r="H93" s="4"/>
      <c r="I93" s="4"/>
      <c r="J93" s="4"/>
      <c r="K93" s="4"/>
      <c r="L93" s="4"/>
      <c r="M93" s="4"/>
      <c r="N93" s="4"/>
      <c r="O93" s="4"/>
      <c r="P93" s="4"/>
      <c r="Q93" s="4"/>
      <c r="R93" s="4"/>
      <c r="S93" s="4"/>
      <c r="T93" s="4"/>
      <c r="U93" s="4"/>
      <c r="V93" s="4"/>
      <c r="W93" s="4"/>
      <c r="X93" s="4"/>
      <c r="Y93" s="4"/>
      <c r="Z93" s="4"/>
      <c r="AA93" s="4" t="s">
        <v>129</v>
      </c>
      <c r="AB93" s="4"/>
      <c r="AC93" s="4"/>
      <c r="AD93" s="4"/>
    </row>
    <row r="94" ht="16" customHeight="1" s="4" customFormat="1">
      <c r="A94" s="4">
        <v>93</v>
      </c>
      <c r="B94" s="4" t="s">
        <v>317</v>
      </c>
      <c r="C94" s="4">
        <v>4</v>
      </c>
      <c r="D94" s="4" t="s">
        <v>318</v>
      </c>
      <c r="E94" s="4" t="s">
        <v>138</v>
      </c>
      <c r="F94" s="4">
        <v>450</v>
      </c>
      <c r="G94" s="4"/>
      <c r="H94" s="4"/>
      <c r="I94" s="4"/>
      <c r="J94" s="4"/>
      <c r="K94" s="4"/>
      <c r="L94" s="4"/>
      <c r="M94" s="4"/>
      <c r="N94" s="4"/>
      <c r="O94" s="4"/>
      <c r="P94" s="4"/>
      <c r="Q94" s="4"/>
      <c r="R94" s="4"/>
      <c r="S94" s="4" t="s">
        <v>67</v>
      </c>
      <c r="T94" s="4"/>
      <c r="U94" s="4"/>
      <c r="V94" s="4"/>
      <c r="W94" s="4"/>
      <c r="X94" s="4"/>
      <c r="Y94" s="4"/>
      <c r="Z94" s="4"/>
      <c r="AA94" s="4"/>
      <c r="AB94" s="4"/>
      <c r="AC94" s="4"/>
      <c r="AD94" s="4"/>
    </row>
    <row r="95" ht="16" customHeight="1" s="4" customFormat="1">
      <c r="A95" s="4">
        <v>94</v>
      </c>
      <c r="B95" s="4" t="s">
        <v>319</v>
      </c>
      <c r="C95" s="4">
        <v>4</v>
      </c>
      <c r="D95" s="4" t="s">
        <v>320</v>
      </c>
      <c r="E95" s="4" t="s">
        <v>189</v>
      </c>
      <c r="F95" s="4">
        <v>1440</v>
      </c>
      <c r="G95" s="4"/>
      <c r="H95" s="4"/>
      <c r="I95" s="4" t="s">
        <v>67</v>
      </c>
      <c r="J95" s="4" t="s">
        <v>127</v>
      </c>
      <c r="K95" s="4"/>
      <c r="L95" s="4"/>
      <c r="M95" s="4"/>
      <c r="N95" s="4"/>
      <c r="O95" s="4"/>
      <c r="P95" s="4"/>
      <c r="Q95" s="4"/>
      <c r="R95" s="4"/>
      <c r="S95" s="4"/>
      <c r="T95" s="4"/>
      <c r="U95" s="4"/>
      <c r="V95" s="4"/>
      <c r="W95" s="4"/>
      <c r="X95" s="4"/>
      <c r="Y95" s="4"/>
      <c r="Z95" s="4"/>
      <c r="AA95" s="4"/>
      <c r="AB95" s="4"/>
      <c r="AC95" s="4"/>
      <c r="AD95" s="4"/>
    </row>
    <row r="96" ht="16" customHeight="1" s="4" customFormat="1">
      <c r="A96" s="4">
        <v>95</v>
      </c>
      <c r="B96" s="4" t="s">
        <v>321</v>
      </c>
      <c r="C96" s="4">
        <v>4</v>
      </c>
      <c r="D96" s="4" t="s">
        <v>150</v>
      </c>
      <c r="E96" s="4" t="s">
        <v>189</v>
      </c>
      <c r="F96" s="4">
        <v>2028.37</v>
      </c>
      <c r="G96" s="4">
        <v>0.9</v>
      </c>
      <c r="H96" s="4"/>
      <c r="I96" s="4"/>
      <c r="J96" s="4" t="s">
        <v>322</v>
      </c>
      <c r="K96" s="4"/>
      <c r="L96" s="4"/>
      <c r="M96" s="4"/>
      <c r="N96" s="4" t="s">
        <v>67</v>
      </c>
      <c r="O96" s="4"/>
      <c r="P96" s="4"/>
      <c r="Q96" s="4"/>
      <c r="R96" s="4"/>
      <c r="S96" s="4"/>
      <c r="T96" s="4"/>
      <c r="U96" s="4"/>
      <c r="V96" s="4"/>
      <c r="W96" s="4"/>
      <c r="X96" s="4"/>
      <c r="Y96" s="4"/>
      <c r="Z96" s="4"/>
      <c r="AA96" s="4"/>
      <c r="AB96" s="4"/>
      <c r="AC96" s="4"/>
      <c r="AD96" s="4"/>
    </row>
    <row r="97" ht="16" customHeight="1" s="4" customFormat="1">
      <c r="A97" s="4">
        <v>96</v>
      </c>
      <c r="B97" s="4" t="s">
        <v>323</v>
      </c>
      <c r="C97" s="4">
        <v>4</v>
      </c>
      <c r="D97" s="4" t="s">
        <v>297</v>
      </c>
      <c r="E97" s="4" t="s">
        <v>201</v>
      </c>
      <c r="F97" s="4">
        <v>20</v>
      </c>
      <c r="G97" s="4"/>
      <c r="H97" s="4" t="s">
        <v>130</v>
      </c>
      <c r="I97" s="4"/>
      <c r="J97" s="4"/>
      <c r="K97" s="4"/>
      <c r="L97" s="4"/>
      <c r="M97" s="4"/>
      <c r="N97" s="4"/>
      <c r="O97" s="4"/>
      <c r="P97" s="4"/>
      <c r="Q97" s="4"/>
      <c r="R97" s="4"/>
      <c r="S97" s="4"/>
      <c r="T97" s="4"/>
      <c r="U97" s="4"/>
      <c r="V97" s="4"/>
      <c r="W97" s="4"/>
      <c r="X97" s="4"/>
      <c r="Y97" s="4"/>
      <c r="Z97" s="4"/>
      <c r="AA97" s="4"/>
      <c r="AB97" s="4"/>
      <c r="AC97" s="4"/>
      <c r="AD97" s="4"/>
    </row>
    <row r="98" ht="16" customHeight="1" s="4" customFormat="1">
      <c r="A98" s="4">
        <v>97</v>
      </c>
      <c r="B98" s="4" t="s">
        <v>324</v>
      </c>
      <c r="C98" s="4">
        <v>4</v>
      </c>
      <c r="D98" s="4" t="s">
        <v>325</v>
      </c>
      <c r="E98" s="4" t="s">
        <v>326</v>
      </c>
      <c r="F98" s="4">
        <v>40065.23</v>
      </c>
      <c r="G98" s="4">
        <v>7800</v>
      </c>
      <c r="H98" s="4" t="s">
        <v>129</v>
      </c>
      <c r="I98" s="4"/>
      <c r="J98" s="4"/>
      <c r="K98" s="4"/>
      <c r="L98" s="4"/>
      <c r="M98" s="4"/>
      <c r="N98" s="4"/>
      <c r="O98" s="4"/>
      <c r="P98" s="4"/>
      <c r="Q98" s="4"/>
      <c r="R98" s="4"/>
      <c r="S98" s="4"/>
      <c r="T98" s="4"/>
      <c r="U98" s="4"/>
      <c r="V98" s="4"/>
      <c r="W98" s="4"/>
      <c r="X98" s="4"/>
      <c r="Y98" s="4"/>
      <c r="Z98" s="4"/>
      <c r="AA98" s="4"/>
      <c r="AB98" s="4"/>
      <c r="AC98" s="4"/>
      <c r="AD98" s="4"/>
    </row>
    <row r="99" ht="16" customHeight="1" s="4" customFormat="1">
      <c r="A99" s="4">
        <v>98</v>
      </c>
      <c r="B99" s="4" t="s">
        <v>327</v>
      </c>
      <c r="C99" s="4">
        <v>4</v>
      </c>
      <c r="D99" s="4" t="s">
        <v>140</v>
      </c>
      <c r="E99" s="4" t="s">
        <v>36</v>
      </c>
      <c r="F99" s="4">
        <v>5</v>
      </c>
      <c r="G99" s="4">
        <v>176.2</v>
      </c>
      <c r="H99" s="4"/>
      <c r="I99" s="4"/>
      <c r="J99" s="4"/>
      <c r="K99" s="4"/>
      <c r="L99" s="4"/>
      <c r="M99" s="4"/>
      <c r="N99" s="4"/>
      <c r="O99" s="4"/>
      <c r="P99" s="4"/>
      <c r="Q99" s="4"/>
      <c r="R99" s="4"/>
      <c r="S99" s="4"/>
      <c r="T99" s="4"/>
      <c r="U99" s="4"/>
      <c r="V99" s="4"/>
      <c r="W99" s="4"/>
      <c r="X99" s="4"/>
      <c r="Y99" s="4"/>
      <c r="Z99" s="4"/>
      <c r="AA99" s="4"/>
      <c r="AB99" s="4" t="s">
        <v>129</v>
      </c>
      <c r="AC99" s="4"/>
      <c r="AD99" s="4"/>
    </row>
    <row r="100" ht="16" customHeight="1" s="4" customFormat="1">
      <c r="A100" s="4">
        <v>99</v>
      </c>
      <c r="B100" s="4" t="s">
        <v>328</v>
      </c>
      <c r="C100" s="4">
        <v>4</v>
      </c>
      <c r="D100" s="4" t="s">
        <v>314</v>
      </c>
      <c r="E100" s="4" t="s">
        <v>326</v>
      </c>
      <c r="F100" s="4">
        <v>1</v>
      </c>
      <c r="G100" s="4"/>
      <c r="H100" s="4"/>
      <c r="I100" s="4"/>
      <c r="J100" s="4"/>
      <c r="K100" s="4"/>
      <c r="L100" s="4"/>
      <c r="M100" s="4"/>
      <c r="N100" s="4"/>
      <c r="O100" s="4"/>
      <c r="P100" s="4"/>
      <c r="Q100" s="4"/>
      <c r="R100" s="4"/>
      <c r="S100" s="4"/>
      <c r="T100" s="4"/>
      <c r="U100" s="4"/>
      <c r="V100" s="4"/>
      <c r="W100" s="4"/>
      <c r="X100" s="4"/>
      <c r="Y100" s="4"/>
      <c r="Z100" s="4"/>
      <c r="AA100" s="4"/>
      <c r="AB100" s="4" t="s">
        <v>129</v>
      </c>
      <c r="AC100" s="4"/>
      <c r="AD100" s="4"/>
    </row>
    <row r="101" ht="16" customHeight="1" s="4" customFormat="1">
      <c r="A101" s="4">
        <v>100</v>
      </c>
      <c r="B101" s="4" t="s">
        <v>329</v>
      </c>
      <c r="C101" s="4">
        <v>4</v>
      </c>
      <c r="D101" s="4" t="s">
        <v>330</v>
      </c>
      <c r="E101" s="4" t="s">
        <v>138</v>
      </c>
      <c r="F101" s="4">
        <v>1139.22</v>
      </c>
      <c r="G101" s="4">
        <v>99.8</v>
      </c>
      <c r="H101" s="4"/>
      <c r="I101" s="4"/>
      <c r="J101" s="4"/>
      <c r="K101" s="4"/>
      <c r="L101" s="4"/>
      <c r="M101" s="4"/>
      <c r="N101" s="4"/>
      <c r="O101" s="4"/>
      <c r="P101" s="4"/>
      <c r="Q101" s="4"/>
      <c r="R101" s="4"/>
      <c r="S101" s="4"/>
      <c r="T101" s="4"/>
      <c r="U101" s="4"/>
      <c r="V101" s="4"/>
      <c r="W101" s="4"/>
      <c r="X101" s="4"/>
      <c r="Y101" s="4"/>
      <c r="Z101" s="4"/>
      <c r="AA101" s="4" t="s">
        <v>225</v>
      </c>
      <c r="AB101" s="4"/>
      <c r="AC101" s="4"/>
      <c r="AD101" s="4"/>
    </row>
    <row r="102" ht="16" customHeight="1" s="4" customFormat="1">
      <c r="A102" s="4">
        <v>101</v>
      </c>
      <c r="B102" s="4" t="s">
        <v>331</v>
      </c>
      <c r="C102" s="4">
        <v>3</v>
      </c>
      <c r="D102" s="4" t="s">
        <v>332</v>
      </c>
      <c r="E102" s="4" t="s">
        <v>189</v>
      </c>
      <c r="F102" s="4">
        <v>16602.77</v>
      </c>
      <c r="G102" s="4">
        <v>40</v>
      </c>
      <c r="H102" s="4"/>
      <c r="I102" s="4"/>
      <c r="J102" s="4" t="s">
        <v>128</v>
      </c>
      <c r="K102" s="4"/>
      <c r="L102" s="4" t="s">
        <v>67</v>
      </c>
      <c r="M102" s="4"/>
      <c r="N102" s="4"/>
      <c r="O102" s="4"/>
      <c r="P102" s="4"/>
      <c r="Q102" s="4"/>
      <c r="R102" s="4"/>
      <c r="S102" s="4"/>
      <c r="T102" s="4"/>
      <c r="U102" s="4"/>
      <c r="V102" s="4"/>
      <c r="W102" s="4"/>
      <c r="X102" s="4"/>
      <c r="Y102" s="4"/>
      <c r="Z102" s="4"/>
      <c r="AA102" s="4"/>
      <c r="AB102" s="4"/>
      <c r="AC102" s="4"/>
      <c r="AD102" s="4"/>
    </row>
    <row r="103" ht="16" customHeight="1" s="4" customFormat="1">
      <c r="A103" s="4">
        <v>102</v>
      </c>
      <c r="B103" s="4" t="s">
        <v>333</v>
      </c>
      <c r="C103" s="4">
        <v>3</v>
      </c>
      <c r="D103" s="4" t="s">
        <v>334</v>
      </c>
      <c r="E103" s="4" t="s">
        <v>36</v>
      </c>
      <c r="F103" s="4">
        <v>195</v>
      </c>
      <c r="G103" s="4">
        <v>101</v>
      </c>
      <c r="H103" s="4"/>
      <c r="I103" s="4"/>
      <c r="J103" s="4" t="s">
        <v>67</v>
      </c>
      <c r="K103" s="4"/>
      <c r="L103" s="4"/>
      <c r="M103" s="4"/>
      <c r="N103" s="4"/>
      <c r="O103" s="4"/>
      <c r="P103" s="4"/>
      <c r="Q103" s="4"/>
      <c r="R103" s="4"/>
      <c r="S103" s="4"/>
      <c r="T103" s="4"/>
      <c r="U103" s="4"/>
      <c r="V103" s="4"/>
      <c r="W103" s="4"/>
      <c r="X103" s="4"/>
      <c r="Y103" s="4"/>
      <c r="Z103" s="4"/>
      <c r="AA103" s="4"/>
      <c r="AB103" s="4"/>
      <c r="AC103" s="4"/>
      <c r="AD103" s="4"/>
    </row>
    <row r="104" ht="16" customHeight="1" s="4" customFormat="1">
      <c r="A104" s="4">
        <v>103</v>
      </c>
      <c r="B104" s="4" t="s">
        <v>335</v>
      </c>
      <c r="C104" s="4">
        <v>3</v>
      </c>
      <c r="D104" s="4" t="s">
        <v>336</v>
      </c>
      <c r="E104" s="4" t="s">
        <v>153</v>
      </c>
      <c r="F104" s="4">
        <v>1229.86</v>
      </c>
      <c r="G104" s="4">
        <v>10</v>
      </c>
      <c r="H104" s="4"/>
      <c r="I104" s="4"/>
      <c r="J104" s="4"/>
      <c r="K104" s="4"/>
      <c r="L104" s="4"/>
      <c r="M104" s="4"/>
      <c r="N104" s="4"/>
      <c r="O104" s="4" t="s">
        <v>67</v>
      </c>
      <c r="P104" s="4"/>
      <c r="Q104" s="4"/>
      <c r="R104" s="4"/>
      <c r="S104" s="4"/>
      <c r="T104" s="4"/>
      <c r="U104" s="4"/>
      <c r="V104" s="4"/>
      <c r="W104" s="4"/>
      <c r="X104" s="4"/>
      <c r="Y104" s="4"/>
      <c r="Z104" s="4"/>
      <c r="AA104" s="4"/>
      <c r="AB104" s="4"/>
      <c r="AC104" s="4"/>
      <c r="AD104" s="4"/>
    </row>
    <row r="105" ht="16" customHeight="1" s="4" customFormat="1">
      <c r="A105" s="4">
        <v>104</v>
      </c>
      <c r="B105" s="4" t="s">
        <v>337</v>
      </c>
      <c r="C105" s="4">
        <v>3</v>
      </c>
      <c r="D105" s="4" t="s">
        <v>200</v>
      </c>
      <c r="E105" s="4" t="s">
        <v>138</v>
      </c>
      <c r="F105" s="4">
        <v>64631.64</v>
      </c>
      <c r="G105" s="4">
        <v>1580.3</v>
      </c>
      <c r="H105" s="4"/>
      <c r="I105" s="4"/>
      <c r="J105" s="4"/>
      <c r="K105" s="4"/>
      <c r="L105" s="4"/>
      <c r="M105" s="4"/>
      <c r="N105" s="4"/>
      <c r="O105" s="4"/>
      <c r="P105" s="4"/>
      <c r="Q105" s="4"/>
      <c r="R105" s="4"/>
      <c r="S105" s="4" t="s">
        <v>67</v>
      </c>
      <c r="T105" s="4"/>
      <c r="U105" s="4"/>
      <c r="V105" s="4"/>
      <c r="W105" s="4"/>
      <c r="X105" s="4"/>
      <c r="Y105" s="4"/>
      <c r="Z105" s="4"/>
      <c r="AA105" s="4"/>
      <c r="AB105" s="4"/>
      <c r="AC105" s="4"/>
      <c r="AD105" s="4"/>
    </row>
    <row r="106" ht="16" customHeight="1" s="4" customFormat="1">
      <c r="A106" s="4">
        <v>105</v>
      </c>
      <c r="B106" s="4" t="s">
        <v>338</v>
      </c>
      <c r="C106" s="4">
        <v>3</v>
      </c>
      <c r="D106" s="4" t="s">
        <v>339</v>
      </c>
      <c r="E106" s="4" t="s">
        <v>36</v>
      </c>
      <c r="F106" s="4">
        <v>1000</v>
      </c>
      <c r="G106" s="4">
        <v>40</v>
      </c>
      <c r="H106" s="4"/>
      <c r="I106" s="4"/>
      <c r="J106" s="4"/>
      <c r="K106" s="4"/>
      <c r="L106" s="4"/>
      <c r="M106" s="4"/>
      <c r="N106" s="4" t="s">
        <v>129</v>
      </c>
      <c r="O106" s="4"/>
      <c r="P106" s="4"/>
      <c r="Q106" s="4"/>
      <c r="R106" s="4"/>
      <c r="S106" s="4"/>
      <c r="T106" s="4"/>
      <c r="U106" s="4"/>
      <c r="V106" s="4"/>
      <c r="W106" s="4"/>
      <c r="X106" s="4"/>
      <c r="Y106" s="4"/>
      <c r="Z106" s="4"/>
      <c r="AA106" s="4"/>
      <c r="AB106" s="4"/>
      <c r="AC106" s="4"/>
      <c r="AD106" s="4"/>
    </row>
    <row r="107" ht="16" customHeight="1" s="4" customFormat="1">
      <c r="A107" s="4">
        <v>106</v>
      </c>
      <c r="B107" s="4" t="s">
        <v>340</v>
      </c>
      <c r="C107" s="4">
        <v>3</v>
      </c>
      <c r="D107" s="4" t="s">
        <v>341</v>
      </c>
      <c r="E107" s="4" t="s">
        <v>138</v>
      </c>
      <c r="F107" s="4">
        <v>2383.13</v>
      </c>
      <c r="G107" s="4">
        <v>2370</v>
      </c>
      <c r="H107" s="4"/>
      <c r="I107" s="4"/>
      <c r="J107" s="4"/>
      <c r="K107" s="4"/>
      <c r="L107" s="4"/>
      <c r="M107" s="4"/>
      <c r="N107" s="4"/>
      <c r="O107" s="4"/>
      <c r="P107" s="4"/>
      <c r="Q107" s="4"/>
      <c r="R107" s="4"/>
      <c r="S107" s="4" t="s">
        <v>67</v>
      </c>
      <c r="T107" s="4"/>
      <c r="U107" s="4"/>
      <c r="V107" s="4"/>
      <c r="W107" s="4"/>
      <c r="X107" s="4"/>
      <c r="Y107" s="4"/>
      <c r="Z107" s="4"/>
      <c r="AA107" s="4"/>
      <c r="AB107" s="4"/>
      <c r="AC107" s="4"/>
      <c r="AD107" s="4"/>
    </row>
    <row r="108" ht="16" customHeight="1" s="4" customFormat="1">
      <c r="A108" s="4">
        <v>107</v>
      </c>
      <c r="B108" s="4" t="s">
        <v>342</v>
      </c>
      <c r="C108" s="4">
        <v>3</v>
      </c>
      <c r="D108" s="4" t="s">
        <v>343</v>
      </c>
      <c r="E108" s="4" t="s">
        <v>201</v>
      </c>
      <c r="F108" s="4">
        <v>8528.42</v>
      </c>
      <c r="G108" s="4">
        <v>66.2</v>
      </c>
      <c r="H108" s="4" t="s">
        <v>129</v>
      </c>
      <c r="I108" s="4"/>
      <c r="J108" s="4"/>
      <c r="K108" s="4"/>
      <c r="L108" s="4"/>
      <c r="M108" s="4"/>
      <c r="N108" s="4"/>
      <c r="O108" s="4"/>
      <c r="P108" s="4"/>
      <c r="Q108" s="4"/>
      <c r="R108" s="4"/>
      <c r="S108" s="4"/>
      <c r="T108" s="4"/>
      <c r="U108" s="4"/>
      <c r="V108" s="4"/>
      <c r="W108" s="4"/>
      <c r="X108" s="4"/>
      <c r="Y108" s="4"/>
      <c r="Z108" s="4"/>
      <c r="AA108" s="4"/>
      <c r="AB108" s="4"/>
      <c r="AC108" s="4"/>
      <c r="AD108" s="4"/>
    </row>
    <row r="109" ht="16" customHeight="1" s="4" customFormat="1">
      <c r="A109" s="4">
        <v>108</v>
      </c>
      <c r="B109" s="4" t="s">
        <v>344</v>
      </c>
      <c r="C109" s="4">
        <v>3</v>
      </c>
      <c r="D109" s="4" t="s">
        <v>345</v>
      </c>
      <c r="E109" s="4" t="s">
        <v>189</v>
      </c>
      <c r="F109" s="4">
        <v>20099.53</v>
      </c>
      <c r="G109" s="4"/>
      <c r="H109" s="4"/>
      <c r="I109" s="4"/>
      <c r="J109" s="4" t="s">
        <v>346</v>
      </c>
      <c r="K109" s="4"/>
      <c r="L109" s="4"/>
      <c r="M109" s="4"/>
      <c r="N109" s="4"/>
      <c r="O109" s="4"/>
      <c r="P109" s="4"/>
      <c r="Q109" s="4"/>
      <c r="R109" s="4"/>
      <c r="S109" s="4"/>
      <c r="T109" s="4"/>
      <c r="U109" s="4"/>
      <c r="V109" s="4"/>
      <c r="W109" s="4"/>
      <c r="X109" s="4"/>
      <c r="Y109" s="4"/>
      <c r="Z109" s="4"/>
      <c r="AA109" s="4"/>
      <c r="AB109" s="4"/>
      <c r="AC109" s="4"/>
      <c r="AD109" s="4"/>
    </row>
    <row r="110" ht="16" customHeight="1" s="4" customFormat="1">
      <c r="A110" s="4">
        <v>109</v>
      </c>
      <c r="B110" s="4" t="s">
        <v>347</v>
      </c>
      <c r="C110" s="4">
        <v>3</v>
      </c>
      <c r="D110" s="4" t="s">
        <v>348</v>
      </c>
      <c r="E110" s="4" t="s">
        <v>138</v>
      </c>
      <c r="F110" s="4">
        <v>62822.25</v>
      </c>
      <c r="G110" s="4">
        <v>1127.5</v>
      </c>
      <c r="H110" s="4"/>
      <c r="I110" s="4"/>
      <c r="J110" s="4"/>
      <c r="K110" s="4"/>
      <c r="L110" s="4"/>
      <c r="M110" s="4"/>
      <c r="N110" s="4"/>
      <c r="O110" s="4"/>
      <c r="P110" s="4"/>
      <c r="Q110" s="4"/>
      <c r="R110" s="4"/>
      <c r="S110" s="4" t="s">
        <v>67</v>
      </c>
      <c r="T110" s="4"/>
      <c r="U110" s="4"/>
      <c r="V110" s="4"/>
      <c r="W110" s="4"/>
      <c r="X110" s="4"/>
      <c r="Y110" s="4"/>
      <c r="Z110" s="4"/>
      <c r="AA110" s="4"/>
      <c r="AB110" s="4"/>
      <c r="AC110" s="4"/>
      <c r="AD110" s="4"/>
    </row>
    <row r="111" ht="16" customHeight="1" s="4" customFormat="1">
      <c r="A111" s="4">
        <v>110</v>
      </c>
      <c r="B111" s="4" t="s">
        <v>349</v>
      </c>
      <c r="C111" s="4">
        <v>3</v>
      </c>
      <c r="D111" s="4" t="s">
        <v>350</v>
      </c>
      <c r="E111" s="4" t="s">
        <v>138</v>
      </c>
      <c r="F111" s="4">
        <v>1</v>
      </c>
      <c r="G111" s="4"/>
      <c r="H111" s="4"/>
      <c r="I111" s="4"/>
      <c r="J111" s="4"/>
      <c r="K111" s="4"/>
      <c r="L111" s="4"/>
      <c r="M111" s="4"/>
      <c r="N111" s="4"/>
      <c r="O111" s="4"/>
      <c r="P111" s="4"/>
      <c r="Q111" s="4"/>
      <c r="R111" s="4"/>
      <c r="S111" s="4" t="s">
        <v>129</v>
      </c>
      <c r="T111" s="4"/>
      <c r="U111" s="4"/>
      <c r="V111" s="4"/>
      <c r="W111" s="4"/>
      <c r="X111" s="4"/>
      <c r="Y111" s="4"/>
      <c r="Z111" s="4"/>
      <c r="AA111" s="4"/>
      <c r="AB111" s="4"/>
      <c r="AC111" s="4"/>
      <c r="AD111" s="4"/>
    </row>
    <row r="112" ht="16" customHeight="1" s="4" customFormat="1">
      <c r="A112" s="4">
        <v>111</v>
      </c>
      <c r="B112" s="4" t="s">
        <v>351</v>
      </c>
      <c r="C112" s="4">
        <v>3</v>
      </c>
      <c r="D112" s="4" t="s">
        <v>352</v>
      </c>
      <c r="E112" s="4" t="s">
        <v>72</v>
      </c>
      <c r="F112" s="4">
        <v>1277.31</v>
      </c>
      <c r="G112" s="4"/>
      <c r="H112" s="4"/>
      <c r="I112" s="4"/>
      <c r="J112" s="4"/>
      <c r="K112" s="4"/>
      <c r="L112" s="4"/>
      <c r="M112" s="4"/>
      <c r="N112" s="4" t="s">
        <v>129</v>
      </c>
      <c r="O112" s="4"/>
      <c r="P112" s="4"/>
      <c r="Q112" s="4"/>
      <c r="R112" s="4"/>
      <c r="S112" s="4"/>
      <c r="T112" s="4"/>
      <c r="U112" s="4"/>
      <c r="V112" s="4"/>
      <c r="W112" s="4"/>
      <c r="X112" s="4"/>
      <c r="Y112" s="4"/>
      <c r="Z112" s="4"/>
      <c r="AA112" s="4"/>
      <c r="AB112" s="4"/>
      <c r="AC112" s="4"/>
      <c r="AD112" s="4"/>
    </row>
    <row r="113" ht="16" customHeight="1" s="4" customFormat="1">
      <c r="A113" s="4">
        <v>112</v>
      </c>
      <c r="B113" s="4" t="s">
        <v>353</v>
      </c>
      <c r="C113" s="4">
        <v>3</v>
      </c>
      <c r="D113" s="4" t="s">
        <v>284</v>
      </c>
      <c r="E113" s="4" t="s">
        <v>36</v>
      </c>
      <c r="F113" s="4">
        <v>1</v>
      </c>
      <c r="G113" s="4">
        <v>61.7</v>
      </c>
      <c r="H113" s="4"/>
      <c r="I113" s="4"/>
      <c r="J113" s="4"/>
      <c r="K113" s="4"/>
      <c r="L113" s="4"/>
      <c r="M113" s="4"/>
      <c r="N113" s="4"/>
      <c r="O113" s="4"/>
      <c r="P113" s="4"/>
      <c r="Q113" s="4"/>
      <c r="R113" s="4"/>
      <c r="S113" s="4"/>
      <c r="T113" s="4"/>
      <c r="U113" s="4"/>
      <c r="V113" s="4"/>
      <c r="W113" s="4"/>
      <c r="X113" s="4"/>
      <c r="Y113" s="4"/>
      <c r="Z113" s="4"/>
      <c r="AA113" s="4" t="s">
        <v>129</v>
      </c>
      <c r="AB113" s="4"/>
      <c r="AC113" s="4"/>
      <c r="AD113" s="4"/>
    </row>
    <row r="114" ht="16" customHeight="1" s="4" customFormat="1">
      <c r="A114" s="4">
        <v>113</v>
      </c>
      <c r="B114" s="4" t="s">
        <v>354</v>
      </c>
      <c r="C114" s="4">
        <v>3</v>
      </c>
      <c r="D114" s="4" t="s">
        <v>355</v>
      </c>
      <c r="E114" s="4" t="s">
        <v>138</v>
      </c>
      <c r="F114" s="4">
        <v>0</v>
      </c>
      <c r="G114" s="4"/>
      <c r="H114" s="4"/>
      <c r="I114" s="4"/>
      <c r="J114" s="4"/>
      <c r="K114" s="4"/>
      <c r="L114" s="4"/>
      <c r="M114" s="4"/>
      <c r="N114" s="4"/>
      <c r="O114" s="4"/>
      <c r="P114" s="4"/>
      <c r="Q114" s="4"/>
      <c r="R114" s="4"/>
      <c r="S114" s="4" t="s">
        <v>67</v>
      </c>
      <c r="T114" s="4"/>
      <c r="U114" s="4"/>
      <c r="V114" s="4"/>
      <c r="W114" s="4"/>
      <c r="X114" s="4"/>
      <c r="Y114" s="4"/>
      <c r="Z114" s="4"/>
      <c r="AA114" s="4"/>
      <c r="AB114" s="4"/>
      <c r="AC114" s="4"/>
      <c r="AD114" s="4"/>
    </row>
    <row r="115" ht="16" customHeight="1" s="4" customFormat="1">
      <c r="A115" s="4">
        <v>114</v>
      </c>
      <c r="B115" s="4" t="s">
        <v>356</v>
      </c>
      <c r="C115" s="4">
        <v>3</v>
      </c>
      <c r="D115" s="4" t="s">
        <v>357</v>
      </c>
      <c r="E115" s="4" t="s">
        <v>138</v>
      </c>
      <c r="F115" s="4">
        <v>1</v>
      </c>
      <c r="G115" s="4"/>
      <c r="H115" s="4"/>
      <c r="I115" s="4"/>
      <c r="J115" s="4"/>
      <c r="K115" s="4"/>
      <c r="L115" s="4"/>
      <c r="M115" s="4"/>
      <c r="N115" s="4"/>
      <c r="O115" s="4"/>
      <c r="P115" s="4"/>
      <c r="Q115" s="4"/>
      <c r="R115" s="4"/>
      <c r="S115" s="4"/>
      <c r="T115" s="4"/>
      <c r="U115" s="4"/>
      <c r="V115" s="4"/>
      <c r="W115" s="4"/>
      <c r="X115" s="4"/>
      <c r="Y115" s="4"/>
      <c r="Z115" s="4"/>
      <c r="AA115" s="4"/>
      <c r="AB115" s="4" t="s">
        <v>129</v>
      </c>
      <c r="AC115" s="4"/>
      <c r="AD115" s="4"/>
    </row>
    <row r="116" ht="16" customHeight="1" s="4" customFormat="1">
      <c r="A116" s="4">
        <v>115</v>
      </c>
      <c r="B116" s="4" t="s">
        <v>358</v>
      </c>
      <c r="C116" s="4">
        <v>3</v>
      </c>
      <c r="D116" s="4" t="s">
        <v>359</v>
      </c>
      <c r="E116" s="4" t="s">
        <v>138</v>
      </c>
      <c r="F116" s="4">
        <v>1</v>
      </c>
      <c r="G116" s="4"/>
      <c r="H116" s="4"/>
      <c r="I116" s="4"/>
      <c r="J116" s="4"/>
      <c r="K116" s="4"/>
      <c r="L116" s="4"/>
      <c r="M116" s="4"/>
      <c r="N116" s="4"/>
      <c r="O116" s="4"/>
      <c r="P116" s="4"/>
      <c r="Q116" s="4"/>
      <c r="R116" s="4"/>
      <c r="S116" s="4"/>
      <c r="T116" s="4"/>
      <c r="U116" s="4"/>
      <c r="V116" s="4"/>
      <c r="W116" s="4"/>
      <c r="X116" s="4"/>
      <c r="Y116" s="4"/>
      <c r="Z116" s="4"/>
      <c r="AA116" s="4"/>
      <c r="AB116" s="4" t="s">
        <v>129</v>
      </c>
      <c r="AC116" s="4"/>
      <c r="AD116" s="4"/>
    </row>
    <row r="117" ht="16" customHeight="1" s="4" customFormat="1">
      <c r="A117" s="4">
        <v>116</v>
      </c>
      <c r="B117" s="4" t="s">
        <v>360</v>
      </c>
      <c r="C117" s="4">
        <v>3</v>
      </c>
      <c r="D117" s="4" t="s">
        <v>206</v>
      </c>
      <c r="E117" s="4" t="s">
        <v>138</v>
      </c>
      <c r="F117" s="4">
        <v>1</v>
      </c>
      <c r="G117" s="4"/>
      <c r="H117" s="4"/>
      <c r="I117" s="4"/>
      <c r="J117" s="4"/>
      <c r="K117" s="4"/>
      <c r="L117" s="4"/>
      <c r="M117" s="4"/>
      <c r="N117" s="4"/>
      <c r="O117" s="4"/>
      <c r="P117" s="4"/>
      <c r="Q117" s="4"/>
      <c r="R117" s="4"/>
      <c r="S117" s="4"/>
      <c r="T117" s="4"/>
      <c r="U117" s="4"/>
      <c r="V117" s="4"/>
      <c r="W117" s="4"/>
      <c r="X117" s="4"/>
      <c r="Y117" s="4"/>
      <c r="Z117" s="4"/>
      <c r="AA117" s="4" t="s">
        <v>228</v>
      </c>
      <c r="AB117" s="4"/>
      <c r="AC117" s="4"/>
      <c r="AD117" s="4"/>
    </row>
    <row r="118" ht="16" customHeight="1" s="4" customFormat="1">
      <c r="A118" s="4">
        <v>117</v>
      </c>
      <c r="B118" s="4" t="s">
        <v>361</v>
      </c>
      <c r="C118" s="4">
        <v>2</v>
      </c>
      <c r="D118" s="4" t="s">
        <v>196</v>
      </c>
      <c r="E118" s="4" t="s">
        <v>36</v>
      </c>
      <c r="F118" s="4">
        <v>0</v>
      </c>
      <c r="G118" s="4"/>
      <c r="H118" s="4"/>
      <c r="I118" s="4"/>
      <c r="J118" s="4"/>
      <c r="K118" s="4"/>
      <c r="L118" s="4"/>
      <c r="M118" s="4"/>
      <c r="N118" s="4"/>
      <c r="O118" s="4"/>
      <c r="P118" s="4"/>
      <c r="Q118" s="4"/>
      <c r="R118" s="4"/>
      <c r="S118" s="4" t="s">
        <v>67</v>
      </c>
      <c r="T118" s="4"/>
      <c r="U118" s="4"/>
      <c r="V118" s="4"/>
      <c r="W118" s="4"/>
      <c r="X118" s="4"/>
      <c r="Y118" s="4"/>
      <c r="Z118" s="4"/>
      <c r="AA118" s="4"/>
      <c r="AB118" s="4"/>
      <c r="AC118" s="4"/>
      <c r="AD118" s="4"/>
    </row>
    <row r="119" ht="16" customHeight="1" s="4" customFormat="1">
      <c r="A119" s="4">
        <v>118</v>
      </c>
      <c r="B119" s="4" t="s">
        <v>362</v>
      </c>
      <c r="C119" s="4">
        <v>2</v>
      </c>
      <c r="D119" s="4" t="s">
        <v>363</v>
      </c>
      <c r="E119" s="4" t="s">
        <v>138</v>
      </c>
      <c r="F119" s="4">
        <v>1700.7</v>
      </c>
      <c r="G119" s="4"/>
      <c r="H119" s="4" t="s">
        <v>129</v>
      </c>
      <c r="I119" s="4"/>
      <c r="J119" s="4"/>
      <c r="K119" s="4"/>
      <c r="L119" s="4"/>
      <c r="M119" s="4"/>
      <c r="N119" s="4"/>
      <c r="O119" s="4"/>
      <c r="P119" s="4"/>
      <c r="Q119" s="4"/>
      <c r="R119" s="4"/>
      <c r="S119" s="4"/>
      <c r="T119" s="4"/>
      <c r="U119" s="4"/>
      <c r="V119" s="4"/>
      <c r="W119" s="4"/>
      <c r="X119" s="4"/>
      <c r="Y119" s="4"/>
      <c r="Z119" s="4"/>
      <c r="AA119" s="4"/>
      <c r="AB119" s="4"/>
      <c r="AC119" s="4"/>
      <c r="AD119" s="4"/>
    </row>
    <row r="120" ht="16" customHeight="1" s="4" customFormat="1">
      <c r="A120" s="4">
        <v>119</v>
      </c>
      <c r="B120" s="4" t="s">
        <v>364</v>
      </c>
      <c r="C120" s="4">
        <v>2</v>
      </c>
      <c r="D120" s="4" t="s">
        <v>365</v>
      </c>
      <c r="E120" s="4" t="s">
        <v>72</v>
      </c>
      <c r="F120" s="4">
        <v>136.81</v>
      </c>
      <c r="G120" s="4"/>
      <c r="H120" s="4"/>
      <c r="I120" s="4"/>
      <c r="J120" s="4" t="s">
        <v>67</v>
      </c>
      <c r="K120" s="4"/>
      <c r="L120" s="4"/>
      <c r="M120" s="4"/>
      <c r="N120" s="4"/>
      <c r="O120" s="4"/>
      <c r="P120" s="4"/>
      <c r="Q120" s="4"/>
      <c r="R120" s="4"/>
      <c r="S120" s="4"/>
      <c r="T120" s="4"/>
      <c r="U120" s="4"/>
      <c r="V120" s="4"/>
      <c r="W120" s="4"/>
      <c r="X120" s="4"/>
      <c r="Y120" s="4"/>
      <c r="Z120" s="4"/>
      <c r="AA120" s="4"/>
      <c r="AB120" s="4"/>
      <c r="AC120" s="4"/>
      <c r="AD120" s="4"/>
    </row>
    <row r="121" ht="16" customHeight="1" s="4" customFormat="1">
      <c r="A121" s="4">
        <v>120</v>
      </c>
      <c r="B121" s="4" t="s">
        <v>366</v>
      </c>
      <c r="C121" s="4">
        <v>2</v>
      </c>
      <c r="D121" s="4" t="s">
        <v>367</v>
      </c>
      <c r="E121" s="4" t="s">
        <v>36</v>
      </c>
      <c r="F121" s="4">
        <v>5563.21</v>
      </c>
      <c r="G121" s="4">
        <v>294.9</v>
      </c>
      <c r="H121" s="4"/>
      <c r="I121" s="4"/>
      <c r="J121" s="4"/>
      <c r="K121" s="4"/>
      <c r="L121" s="4"/>
      <c r="M121" s="4"/>
      <c r="N121" s="4" t="s">
        <v>129</v>
      </c>
      <c r="O121" s="4"/>
      <c r="P121" s="4"/>
      <c r="Q121" s="4"/>
      <c r="R121" s="4"/>
      <c r="S121" s="4"/>
      <c r="T121" s="4"/>
      <c r="U121" s="4"/>
      <c r="V121" s="4"/>
      <c r="W121" s="4"/>
      <c r="X121" s="4"/>
      <c r="Y121" s="4"/>
      <c r="Z121" s="4"/>
      <c r="AA121" s="4"/>
      <c r="AB121" s="4"/>
      <c r="AC121" s="4"/>
      <c r="AD121" s="4"/>
    </row>
    <row r="122" ht="16" customHeight="1" s="4" customFormat="1">
      <c r="A122" s="4">
        <v>121</v>
      </c>
      <c r="B122" s="4" t="s">
        <v>368</v>
      </c>
      <c r="C122" s="4">
        <v>2</v>
      </c>
      <c r="D122" s="4" t="s">
        <v>369</v>
      </c>
      <c r="E122" s="4" t="s">
        <v>138</v>
      </c>
      <c r="F122" s="4">
        <v>31498.29</v>
      </c>
      <c r="G122" s="4">
        <v>4521</v>
      </c>
      <c r="H122" s="4"/>
      <c r="I122" s="4"/>
      <c r="J122" s="4"/>
      <c r="K122" s="4"/>
      <c r="L122" s="4"/>
      <c r="M122" s="4"/>
      <c r="N122" s="4"/>
      <c r="O122" s="4"/>
      <c r="P122" s="4"/>
      <c r="Q122" s="4"/>
      <c r="R122" s="4"/>
      <c r="S122" s="4" t="s">
        <v>67</v>
      </c>
      <c r="T122" s="4"/>
      <c r="U122" s="4"/>
      <c r="V122" s="4"/>
      <c r="W122" s="4"/>
      <c r="X122" s="4"/>
      <c r="Y122" s="4"/>
      <c r="Z122" s="4"/>
      <c r="AA122" s="4"/>
      <c r="AB122" s="4"/>
      <c r="AC122" s="4"/>
      <c r="AD122" s="4"/>
    </row>
    <row r="123" ht="16" customHeight="1" s="4" customFormat="1">
      <c r="A123" s="4">
        <v>122</v>
      </c>
      <c r="B123" s="4" t="s">
        <v>370</v>
      </c>
      <c r="C123" s="4">
        <v>2</v>
      </c>
      <c r="D123" s="4" t="s">
        <v>371</v>
      </c>
      <c r="E123" s="4" t="s">
        <v>138</v>
      </c>
      <c r="F123" s="4">
        <v>2303.06</v>
      </c>
      <c r="G123" s="4">
        <v>170.7</v>
      </c>
      <c r="H123" s="4" t="s">
        <v>67</v>
      </c>
      <c r="I123" s="4"/>
      <c r="J123" s="4"/>
      <c r="K123" s="4"/>
      <c r="L123" s="4"/>
      <c r="M123" s="4"/>
      <c r="N123" s="4"/>
      <c r="O123" s="4"/>
      <c r="P123" s="4"/>
      <c r="Q123" s="4"/>
      <c r="R123" s="4"/>
      <c r="S123" s="4"/>
      <c r="T123" s="4"/>
      <c r="U123" s="4"/>
      <c r="V123" s="4"/>
      <c r="W123" s="4"/>
      <c r="X123" s="4"/>
      <c r="Y123" s="4"/>
      <c r="Z123" s="4"/>
      <c r="AA123" s="4"/>
      <c r="AB123" s="4"/>
      <c r="AC123" s="4"/>
      <c r="AD123" s="4"/>
    </row>
    <row r="124" ht="16" customHeight="1" s="4" customFormat="1">
      <c r="A124" s="4">
        <v>123</v>
      </c>
      <c r="B124" s="4" t="s">
        <v>372</v>
      </c>
      <c r="C124" s="4">
        <v>2</v>
      </c>
      <c r="D124" s="4" t="s">
        <v>373</v>
      </c>
      <c r="E124" s="4" t="s">
        <v>201</v>
      </c>
      <c r="F124" s="4">
        <v>4554.03</v>
      </c>
      <c r="G124" s="4">
        <v>109</v>
      </c>
      <c r="H124" s="4" t="s">
        <v>67</v>
      </c>
      <c r="I124" s="4"/>
      <c r="J124" s="4"/>
      <c r="K124" s="4"/>
      <c r="L124" s="4"/>
      <c r="M124" s="4"/>
      <c r="N124" s="4"/>
      <c r="O124" s="4"/>
      <c r="P124" s="4"/>
      <c r="Q124" s="4"/>
      <c r="R124" s="4"/>
      <c r="S124" s="4"/>
      <c r="T124" s="4"/>
      <c r="U124" s="4"/>
      <c r="V124" s="4"/>
      <c r="W124" s="4"/>
      <c r="X124" s="4"/>
      <c r="Y124" s="4"/>
      <c r="Z124" s="4"/>
      <c r="AA124" s="4"/>
      <c r="AB124" s="4"/>
      <c r="AC124" s="4"/>
      <c r="AD124" s="4"/>
    </row>
    <row r="125" ht="16" customHeight="1" s="4" customFormat="1">
      <c r="A125" s="4">
        <v>124</v>
      </c>
      <c r="B125" s="4" t="s">
        <v>374</v>
      </c>
      <c r="C125" s="4">
        <v>2</v>
      </c>
      <c r="D125" s="4" t="s">
        <v>375</v>
      </c>
      <c r="E125" s="4" t="s">
        <v>138</v>
      </c>
      <c r="F125" s="4">
        <v>23495.91</v>
      </c>
      <c r="G125" s="4"/>
      <c r="H125" s="4" t="s">
        <v>67</v>
      </c>
      <c r="I125" s="4"/>
      <c r="J125" s="4"/>
      <c r="K125" s="4"/>
      <c r="L125" s="4"/>
      <c r="M125" s="4"/>
      <c r="N125" s="4"/>
      <c r="O125" s="4"/>
      <c r="P125" s="4"/>
      <c r="Q125" s="4"/>
      <c r="R125" s="4"/>
      <c r="S125" s="4"/>
      <c r="T125" s="4"/>
      <c r="U125" s="4"/>
      <c r="V125" s="4"/>
      <c r="W125" s="4"/>
      <c r="X125" s="4"/>
      <c r="Y125" s="4"/>
      <c r="Z125" s="4"/>
      <c r="AA125" s="4"/>
      <c r="AB125" s="4"/>
      <c r="AC125" s="4"/>
      <c r="AD125" s="4"/>
    </row>
    <row r="126" ht="16" customHeight="1" s="4" customFormat="1">
      <c r="A126" s="4">
        <v>125</v>
      </c>
      <c r="B126" s="4" t="s">
        <v>376</v>
      </c>
      <c r="C126" s="4">
        <v>2</v>
      </c>
      <c r="D126" s="4" t="s">
        <v>377</v>
      </c>
      <c r="E126" s="4" t="s">
        <v>138</v>
      </c>
      <c r="F126" s="4">
        <v>10177.14</v>
      </c>
      <c r="G126" s="4">
        <v>182</v>
      </c>
      <c r="H126" s="4"/>
      <c r="I126" s="4"/>
      <c r="J126" s="4"/>
      <c r="K126" s="4"/>
      <c r="L126" s="4"/>
      <c r="M126" s="4"/>
      <c r="N126" s="4"/>
      <c r="O126" s="4"/>
      <c r="P126" s="4"/>
      <c r="Q126" s="4"/>
      <c r="R126" s="4"/>
      <c r="S126" s="4" t="s">
        <v>129</v>
      </c>
      <c r="T126" s="4"/>
      <c r="U126" s="4"/>
      <c r="V126" s="4"/>
      <c r="W126" s="4"/>
      <c r="X126" s="4"/>
      <c r="Y126" s="4"/>
      <c r="Z126" s="4"/>
      <c r="AA126" s="4"/>
      <c r="AB126" s="4"/>
      <c r="AC126" s="4"/>
      <c r="AD126" s="4"/>
    </row>
    <row r="127" ht="16" customHeight="1" s="4" customFormat="1">
      <c r="A127" s="4">
        <v>126</v>
      </c>
      <c r="B127" s="4" t="s">
        <v>378</v>
      </c>
      <c r="C127" s="4">
        <v>1</v>
      </c>
      <c r="D127" s="4" t="s">
        <v>379</v>
      </c>
      <c r="E127" s="4" t="s">
        <v>36</v>
      </c>
      <c r="F127" s="4">
        <v>0</v>
      </c>
      <c r="G127" s="4"/>
      <c r="H127" s="4"/>
      <c r="I127" s="4"/>
      <c r="J127" s="4"/>
      <c r="K127" s="4"/>
      <c r="L127" s="4"/>
      <c r="M127" s="4"/>
      <c r="N127" s="4"/>
      <c r="O127" s="4"/>
      <c r="P127" s="4"/>
      <c r="Q127" s="4"/>
      <c r="R127" s="4"/>
      <c r="S127" s="4"/>
      <c r="T127" s="4"/>
      <c r="U127" s="4"/>
      <c r="V127" s="4" t="s">
        <v>67</v>
      </c>
      <c r="W127" s="4"/>
      <c r="X127" s="4"/>
      <c r="Y127" s="4"/>
      <c r="Z127" s="4"/>
      <c r="AA127" s="4"/>
      <c r="AB127" s="4"/>
      <c r="AC127" s="4"/>
      <c r="AD127" s="4"/>
    </row>
    <row r="128" ht="16" customHeight="1">
      <c r="A128" s="3">
        <v>127</v>
      </c>
      <c r="B128" s="3" t="s">
        <v>380</v>
      </c>
      <c r="C128" s="3">
        <v>1</v>
      </c>
      <c r="D128" s="3" t="s">
        <v>381</v>
      </c>
      <c r="E128" s="3" t="s">
        <v>36</v>
      </c>
      <c r="F128" s="3">
        <v>0</v>
      </c>
      <c r="G128" s="3"/>
      <c r="H128" s="3"/>
      <c r="I128" s="3"/>
      <c r="J128" s="3" t="s">
        <v>67</v>
      </c>
      <c r="K128" s="3"/>
      <c r="L128" s="3"/>
      <c r="M128" s="3"/>
      <c r="N128" s="3"/>
      <c r="O128" s="3"/>
      <c r="P128" s="3"/>
      <c r="Q128" s="3"/>
      <c r="R128" s="3"/>
      <c r="S128" s="3"/>
      <c r="T128" s="3"/>
      <c r="U128" s="3"/>
      <c r="V128" s="3"/>
      <c r="W128" s="3"/>
      <c r="X128" s="3"/>
      <c r="Y128" s="3"/>
      <c r="Z128" s="3"/>
      <c r="AA128" s="3"/>
      <c r="AB128" s="3"/>
    </row>
  </sheetData>
  <headerFooter/>
</worksheet>
</file>

<file path=xl/worksheets/sheet8.xml><?xml version="1.0" encoding="utf-8"?>
<worksheet xmlns:r="http://schemas.openxmlformats.org/officeDocument/2006/relationships" xmlns="http://schemas.openxmlformats.org/spreadsheetml/2006/main">
  <dimension ref="A1:E2"/>
  <sheetViews>
    <sheetView workbookViewId="0"/>
  </sheetViews>
  <sheetFormatPr defaultRowHeight="15"/>
  <cols>
    <col min="1" max="1" width="38.6492004394531" customWidth="1" style="3"/>
    <col min="2" max="2" width="42.9726753234863" customWidth="1" style="3"/>
    <col min="3" max="3" width="147.737594604492" customWidth="1" style="3"/>
    <col min="4" max="4" width="9.140625" customWidth="1" style="3"/>
    <col min="5" max="16384" width="14.1395053863525" customWidth="1" style="3"/>
    <col min="6" max="16384" width="9.140625" customWidth="1" style="3"/>
    <col min="7" max="16384" width="9.140625" customWidth="1" style="3"/>
  </cols>
  <sheetData>
    <row r="1" ht="16" customHeight="1" s="1" customFormat="1">
      <c r="A1" s="2" t="s">
        <v>382</v>
      </c>
      <c r="B1" s="2" t="s">
        <v>383</v>
      </c>
      <c r="C1" s="2" t="s">
        <v>384</v>
      </c>
      <c r="D1" s="2" t="s">
        <v>385</v>
      </c>
      <c r="E1" s="2" t="s">
        <v>386</v>
      </c>
    </row>
    <row r="2" ht="16" customHeight="1">
      <c r="A2" s="3" t="s">
        <v>387</v>
      </c>
      <c r="B2" s="3" t="s">
        <v>388</v>
      </c>
      <c r="C2" s="3" t="s">
        <v>389</v>
      </c>
      <c r="D2" s="3" t="s">
        <v>390</v>
      </c>
      <c r="E2" s="3" t="s">
        <v>391</v>
      </c>
    </row>
  </sheetData>
  <headerFooter/>
</worksheet>
</file>

<file path=xl/worksheets/sheet9.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16.1182384490967" customWidth="1" style="3"/>
    <col min="2" max="2" width="9.140625" customWidth="1" style="3"/>
    <col min="3" max="3" width="9.140625" customWidth="1" style="3"/>
    <col min="4" max="4" width="9.140625" customWidth="1" style="3"/>
    <col min="5" max="5" width="9.140625" customWidth="1" style="3"/>
    <col min="6" max="6" width="9.140625" customWidth="1" style="3"/>
    <col min="7" max="7" width="9.140625" customWidth="1" style="3"/>
    <col min="8" max="8" width="9.140625" customWidth="1" style="3"/>
    <col min="9" max="9" width="9.140625" customWidth="1" style="3"/>
    <col min="10" max="10" width="9.140625" customWidth="1" style="3"/>
    <col min="11" max="16384" width="10.2153987884521" customWidth="1" style="3"/>
    <col min="12" max="16384" width="9.140625" customWidth="1" style="3"/>
    <col min="13" max="16384" width="9.140625" customWidth="1" style="3"/>
  </cols>
  <sheetData>
    <row r="1" ht="20" customHeight="1" s="1" customFormat="1">
      <c r="A1" s="2" t="s">
        <v>392</v>
      </c>
      <c r="B1" s="2" t="s">
        <v>393</v>
      </c>
      <c r="C1" s="2" t="s">
        <v>394</v>
      </c>
      <c r="D1" s="2" t="s">
        <v>395</v>
      </c>
      <c r="E1" s="2" t="s">
        <v>396</v>
      </c>
      <c r="F1" s="2" t="s">
        <v>397</v>
      </c>
      <c r="G1" s="2" t="s">
        <v>398</v>
      </c>
      <c r="H1" s="2" t="s">
        <v>399</v>
      </c>
      <c r="I1" s="2" t="s">
        <v>400</v>
      </c>
      <c r="J1" s="2" t="s">
        <v>401</v>
      </c>
      <c r="K1" s="2" t="s">
        <v>402</v>
      </c>
    </row>
    <row r="2" ht="16" customHeight="1" s="4" customFormat="1">
      <c r="A2" s="4" t="s">
        <v>403</v>
      </c>
      <c r="B2" s="4">
        <v>911</v>
      </c>
      <c r="C2" s="4">
        <v>940</v>
      </c>
      <c r="D2" s="4">
        <v>758</v>
      </c>
      <c r="E2" s="4">
        <v>601</v>
      </c>
      <c r="F2" s="4">
        <v>0.01</v>
      </c>
      <c r="G2" s="4">
        <v>483</v>
      </c>
      <c r="H2" s="4">
        <v>393</v>
      </c>
      <c r="I2" s="4">
        <v>407</v>
      </c>
      <c r="J2" s="4">
        <v>317</v>
      </c>
      <c r="K2" s="4" t="s">
        <v>404</v>
      </c>
      <c r="L2" s="4"/>
      <c r="M2" s="4"/>
    </row>
    <row r="3" ht="16" customHeight="1" s="4" customFormat="1">
      <c r="A3" s="4" t="s">
        <v>405</v>
      </c>
      <c r="B3" s="4">
        <v>58.2</v>
      </c>
      <c r="C3" s="4">
        <v>37.5</v>
      </c>
      <c r="D3" s="4">
        <v>28.8</v>
      </c>
      <c r="E3" s="4">
        <v>57</v>
      </c>
      <c r="F3" s="4">
        <v>0.0004</v>
      </c>
      <c r="G3" s="4">
        <v>23.1</v>
      </c>
      <c r="H3" s="4">
        <v>-4.5</v>
      </c>
      <c r="I3" s="4">
        <v>17.3</v>
      </c>
      <c r="J3" s="4">
        <v>21.2</v>
      </c>
      <c r="K3" s="4" t="s">
        <v>404</v>
      </c>
      <c r="L3" s="4"/>
      <c r="M3" s="4"/>
    </row>
    <row r="4" ht="16" customHeight="1" s="4" customFormat="1">
      <c r="A4" s="7" t="s">
        <v>406</v>
      </c>
      <c r="B4" s="7">
        <v>6.4</v>
      </c>
      <c r="C4" s="7">
        <v>4</v>
      </c>
      <c r="D4" s="7">
        <v>3.8</v>
      </c>
      <c r="E4" s="7">
        <v>9.5</v>
      </c>
      <c r="F4" s="7">
        <v>6.8</v>
      </c>
      <c r="G4" s="7">
        <v>4.8</v>
      </c>
      <c r="H4" s="7">
        <v>-1.1</v>
      </c>
      <c r="I4" s="7">
        <v>4.3</v>
      </c>
      <c r="J4" s="7">
        <v>6.7</v>
      </c>
      <c r="K4" s="7" t="s">
        <v>404</v>
      </c>
      <c r="L4" s="4"/>
      <c r="M4" s="4"/>
    </row>
    <row r="5" ht="16" customHeight="1" s="4" customFormat="1">
      <c r="A5" s="4" t="s">
        <v>407</v>
      </c>
      <c r="B5" s="4">
        <v>-8.5</v>
      </c>
      <c r="C5" s="4">
        <v>12.8</v>
      </c>
      <c r="D5" s="4">
        <v>3.2</v>
      </c>
      <c r="E5" s="4">
        <v>31.1</v>
      </c>
      <c r="F5" s="4">
        <v>0.0001</v>
      </c>
      <c r="G5" s="4">
        <v>15.1</v>
      </c>
      <c r="H5" s="4">
        <v>-26.2</v>
      </c>
      <c r="I5" s="4">
        <v>2.8</v>
      </c>
      <c r="J5" s="4">
        <v>22.9</v>
      </c>
      <c r="K5" s="4" t="s">
        <v>404</v>
      </c>
      <c r="L5" s="4"/>
      <c r="M5" s="4"/>
    </row>
    <row r="6" ht="16" customHeight="1">
      <c r="A6" s="8" t="s">
        <v>408</v>
      </c>
      <c r="B6" s="8">
        <v>-0.9</v>
      </c>
      <c r="C6" s="8">
        <v>1.4</v>
      </c>
      <c r="D6" s="8">
        <v>0.4</v>
      </c>
      <c r="E6" s="8">
        <v>5.2</v>
      </c>
      <c r="F6" s="8">
        <v>2.7</v>
      </c>
      <c r="G6" s="8">
        <v>3.1</v>
      </c>
      <c r="H6" s="8">
        <v>-6.7</v>
      </c>
      <c r="I6" s="8">
        <v>0.7</v>
      </c>
      <c r="J6" s="8">
        <v>7.2</v>
      </c>
      <c r="K6" s="8" t="s">
        <v>404</v>
      </c>
    </row>
    <row r="7" ht="16" customHeight="1">
      <c r="A7" s="3" t="s">
        <v>409</v>
      </c>
      <c r="B7" s="3">
        <v>1168</v>
      </c>
      <c r="C7" s="3">
        <v>1043</v>
      </c>
      <c r="D7" s="3">
        <v>672</v>
      </c>
      <c r="E7" s="3">
        <v>535</v>
      </c>
      <c r="F7" s="3">
        <v>0.01</v>
      </c>
      <c r="G7" s="3">
        <v>491</v>
      </c>
      <c r="H7" s="3">
        <v>390</v>
      </c>
      <c r="I7" s="3">
        <v>392</v>
      </c>
      <c r="J7" s="3">
        <v>301</v>
      </c>
      <c r="K7" s="3" t="s">
        <v>404</v>
      </c>
    </row>
  </sheetData>
  <headerFooter/>
</worksheet>
</file>

<file path=xl/worksheets/sheet10.xml><?xml version="1.0" encoding="utf-8"?>
<worksheet xmlns:r="http://schemas.openxmlformats.org/officeDocument/2006/relationships" xmlns="http://schemas.openxmlformats.org/spreadsheetml/2006/main">
  <dimension ref="A1:N7"/>
  <sheetViews>
    <sheetView workbookViewId="0"/>
  </sheetViews>
  <sheetFormatPr defaultRowHeight="15"/>
  <cols>
    <col min="1" max="1" width="16.1182384490967" customWidth="1" style="3"/>
    <col min="2" max="2" width="9.140625" customWidth="1" style="3"/>
    <col min="3" max="3" width="9.140625" customWidth="1" style="3"/>
    <col min="4" max="4" width="9.140625" customWidth="1" style="3"/>
    <col min="5" max="5" width="9.140625" customWidth="1" style="3"/>
    <col min="6" max="6" width="9.140625" customWidth="1" style="3"/>
    <col min="7" max="7" width="9.140625" customWidth="1" style="3"/>
    <col min="8" max="8" width="9.140625" customWidth="1" style="3"/>
    <col min="9" max="9" width="9.140625" customWidth="1" style="3"/>
    <col min="10" max="10" width="9.140625" customWidth="1" style="3"/>
    <col min="11" max="11" width="9.140625" customWidth="1" style="3"/>
    <col min="12" max="16384" width="10.2153987884521" customWidth="1" style="3"/>
    <col min="13" max="16384" width="9.140625" customWidth="1" style="3"/>
    <col min="14" max="16384" width="9.140625" customWidth="1" style="3"/>
  </cols>
  <sheetData>
    <row r="1" ht="20" customHeight="1" s="1" customFormat="1">
      <c r="A1" s="2" t="s">
        <v>392</v>
      </c>
      <c r="B1" s="2" t="s">
        <v>393</v>
      </c>
      <c r="C1" s="2" t="s">
        <v>394</v>
      </c>
      <c r="D1" s="2" t="s">
        <v>395</v>
      </c>
      <c r="E1" s="2" t="s">
        <v>396</v>
      </c>
      <c r="F1" s="2" t="s">
        <v>397</v>
      </c>
      <c r="G1" s="2" t="s">
        <v>398</v>
      </c>
      <c r="H1" s="2" t="s">
        <v>399</v>
      </c>
      <c r="I1" s="2" t="s">
        <v>400</v>
      </c>
      <c r="J1" s="2" t="s">
        <v>401</v>
      </c>
      <c r="K1" s="2" t="s">
        <v>410</v>
      </c>
      <c r="L1" s="2" t="s">
        <v>402</v>
      </c>
    </row>
    <row r="2" ht="16" customHeight="1" s="4" customFormat="1">
      <c r="A2" s="4" t="s">
        <v>403</v>
      </c>
      <c r="B2" s="4">
        <v>861</v>
      </c>
      <c r="C2" s="4">
        <v>906</v>
      </c>
      <c r="D2" s="4">
        <v>752</v>
      </c>
      <c r="E2" s="4">
        <v>601</v>
      </c>
      <c r="F2" s="4">
        <v>513</v>
      </c>
      <c r="G2" s="4">
        <v>476</v>
      </c>
      <c r="H2" s="4">
        <v>375</v>
      </c>
      <c r="I2" s="4">
        <v>372</v>
      </c>
      <c r="J2" s="4">
        <v>308</v>
      </c>
      <c r="K2" s="4">
        <v>335</v>
      </c>
      <c r="L2" s="4" t="s">
        <v>404</v>
      </c>
      <c r="M2" s="4"/>
      <c r="N2" s="4"/>
    </row>
    <row r="3" ht="16" customHeight="1" s="4" customFormat="1">
      <c r="A3" s="4" t="s">
        <v>405</v>
      </c>
      <c r="B3" s="4">
        <v>40.8</v>
      </c>
      <c r="C3" s="4">
        <v>30</v>
      </c>
      <c r="D3" s="4">
        <v>35.9</v>
      </c>
      <c r="E3" s="4">
        <v>57</v>
      </c>
      <c r="F3" s="4">
        <v>35.4</v>
      </c>
      <c r="G3" s="4">
        <v>21.7</v>
      </c>
      <c r="H3" s="4">
        <v>-5.7</v>
      </c>
      <c r="I3" s="4">
        <v>13.4</v>
      </c>
      <c r="J3" s="4">
        <v>19.9</v>
      </c>
      <c r="K3" s="4">
        <v>17.9</v>
      </c>
      <c r="L3" s="4" t="s">
        <v>404</v>
      </c>
      <c r="M3" s="4"/>
      <c r="N3" s="4"/>
    </row>
    <row r="4" ht="16" customHeight="1" s="4" customFormat="1">
      <c r="A4" s="7" t="s">
        <v>406</v>
      </c>
      <c r="B4" s="7">
        <v>4.7</v>
      </c>
      <c r="C4" s="7">
        <v>3.3</v>
      </c>
      <c r="D4" s="7">
        <v>4.8</v>
      </c>
      <c r="E4" s="7">
        <v>9.5</v>
      </c>
      <c r="F4" s="7">
        <v>6.9</v>
      </c>
      <c r="G4" s="7">
        <v>4.6</v>
      </c>
      <c r="H4" s="7">
        <v>-1.5</v>
      </c>
      <c r="I4" s="7">
        <v>3.6</v>
      </c>
      <c r="J4" s="7">
        <v>6.5</v>
      </c>
      <c r="K4" s="7">
        <v>5.4</v>
      </c>
      <c r="L4" s="7" t="s">
        <v>404</v>
      </c>
      <c r="M4" s="4"/>
      <c r="N4" s="4"/>
    </row>
    <row r="5" ht="16" customHeight="1" s="4" customFormat="1">
      <c r="A5" s="4" t="s">
        <v>407</v>
      </c>
      <c r="B5" s="4">
        <v>3.6</v>
      </c>
      <c r="C5" s="4">
        <v>10.7</v>
      </c>
      <c r="D5" s="4">
        <v>10.6</v>
      </c>
      <c r="E5" s="4">
        <v>30.2</v>
      </c>
      <c r="F5" s="4">
        <v>13.8</v>
      </c>
      <c r="G5" s="4">
        <v>15.1</v>
      </c>
      <c r="H5" s="4">
        <v>-26.2</v>
      </c>
      <c r="I5" s="4">
        <v>3.6</v>
      </c>
      <c r="J5" s="4">
        <v>22.1</v>
      </c>
      <c r="K5" s="4">
        <v>21.2</v>
      </c>
      <c r="L5" s="4" t="s">
        <v>404</v>
      </c>
      <c r="M5" s="4"/>
      <c r="N5" s="4"/>
    </row>
    <row r="6" ht="16" customHeight="1">
      <c r="A6" s="8" t="s">
        <v>408</v>
      </c>
      <c r="B6" s="8">
        <v>0.4</v>
      </c>
      <c r="C6" s="8">
        <v>1.2</v>
      </c>
      <c r="D6" s="8">
        <v>1.4</v>
      </c>
      <c r="E6" s="8">
        <v>5</v>
      </c>
      <c r="F6" s="8">
        <v>2.7</v>
      </c>
      <c r="G6" s="8">
        <v>3.2</v>
      </c>
      <c r="H6" s="8">
        <v>-7</v>
      </c>
      <c r="I6" s="8">
        <v>1</v>
      </c>
      <c r="J6" s="8">
        <v>7.2</v>
      </c>
      <c r="K6" s="8">
        <v>6.3</v>
      </c>
      <c r="L6" s="8" t="s">
        <v>404</v>
      </c>
    </row>
    <row r="7" ht="16" customHeight="1">
      <c r="A7" s="3" t="s">
        <v>409</v>
      </c>
      <c r="B7" s="3">
        <v>866</v>
      </c>
      <c r="C7" s="3">
        <v>846</v>
      </c>
      <c r="D7" s="3">
        <v>665</v>
      </c>
      <c r="E7" s="3">
        <v>533</v>
      </c>
      <c r="F7" s="3">
        <v>495</v>
      </c>
      <c r="G7" s="3">
        <v>467</v>
      </c>
      <c r="H7" s="3">
        <v>373</v>
      </c>
      <c r="I7" s="3">
        <v>391</v>
      </c>
      <c r="J7" s="3">
        <v>295</v>
      </c>
      <c r="K7" s="3">
        <v>243</v>
      </c>
      <c r="L7" s="3" t="s">
        <v>404</v>
      </c>
    </row>
  </sheetData>
  <headerFooter/>
</worksheet>
</file>

<file path=xl/worksheets/sheet11.xml><?xml version="1.0" encoding="utf-8"?>
<worksheet xmlns:r="http://schemas.openxmlformats.org/officeDocument/2006/relationships" xmlns="http://schemas.openxmlformats.org/spreadsheetml/2006/main">
  <dimension ref="A1:L7"/>
  <sheetViews>
    <sheetView workbookViewId="0"/>
  </sheetViews>
  <sheetFormatPr defaultRowHeight="15"/>
  <cols>
    <col min="1" max="1" width="57.2260208129883" customWidth="1" style="3"/>
    <col min="2" max="2" width="30.6989650726318" customWidth="1" style="3"/>
    <col min="3" max="3" width="12.3699741363525" customWidth="1" style="3"/>
    <col min="4" max="4" width="9.140625" customWidth="1" style="3"/>
    <col min="5" max="5" width="13.3551864624023" customWidth="1" style="3"/>
    <col min="6" max="6" width="9.140625" customWidth="1" style="3"/>
    <col min="7" max="7" width="15.0209217071533" customWidth="1" style="3"/>
    <col min="8" max="8" width="17.1780090332031" customWidth="1" style="3"/>
    <col min="9" max="9" width="21.9810199737549" customWidth="1" style="3"/>
    <col min="10" max="16384" width="9.140625" customWidth="1" style="3"/>
    <col min="11" max="16384" width="9.140625" customWidth="1" style="3"/>
    <col min="12" max="16384" width="9.140625" customWidth="1" style="3"/>
  </cols>
  <sheetData>
    <row r="1" ht="20" customHeight="1" s="1" customFormat="1">
      <c r="A1" s="2" t="s">
        <v>9</v>
      </c>
      <c r="B1" s="2" t="s">
        <v>411</v>
      </c>
      <c r="C1" s="2" t="s">
        <v>412</v>
      </c>
      <c r="D1" s="2" t="s">
        <v>413</v>
      </c>
      <c r="E1" s="2" t="s">
        <v>414</v>
      </c>
      <c r="F1" s="2" t="s">
        <v>415</v>
      </c>
      <c r="G1" s="2" t="s">
        <v>416</v>
      </c>
      <c r="H1" s="2" t="s">
        <v>417</v>
      </c>
      <c r="I1" s="2" t="s">
        <v>418</v>
      </c>
      <c r="J1" s="2" t="s">
        <v>419</v>
      </c>
    </row>
    <row r="2" ht="16" customHeight="1" s="4" customFormat="1">
      <c r="A2" s="4" t="s">
        <v>420</v>
      </c>
      <c r="B2" s="4" t="s">
        <v>421</v>
      </c>
      <c r="C2" s="4"/>
      <c r="D2" s="4"/>
      <c r="E2" s="4"/>
      <c r="F2" s="4" t="s">
        <v>422</v>
      </c>
      <c r="G2" s="4">
        <v>369</v>
      </c>
      <c r="H2" s="4"/>
      <c r="I2" s="4">
        <v>17.4</v>
      </c>
      <c r="J2" s="4"/>
      <c r="K2" s="4"/>
      <c r="L2" s="4"/>
    </row>
    <row r="3" ht="16" customHeight="1" s="4" customFormat="1">
      <c r="A3" s="4" t="s">
        <v>423</v>
      </c>
      <c r="B3" s="4" t="s">
        <v>424</v>
      </c>
      <c r="C3" s="4"/>
      <c r="D3" s="4"/>
      <c r="E3" s="4">
        <v>10</v>
      </c>
      <c r="F3" s="4" t="s">
        <v>422</v>
      </c>
      <c r="G3" s="4">
        <v>896</v>
      </c>
      <c r="H3" s="4"/>
      <c r="I3" s="4">
        <v>150</v>
      </c>
      <c r="J3" s="4"/>
      <c r="K3" s="4"/>
      <c r="L3" s="4"/>
    </row>
    <row r="4" ht="16" customHeight="1" s="4" customFormat="1">
      <c r="A4" s="4" t="s">
        <v>425</v>
      </c>
      <c r="B4" s="4" t="s">
        <v>426</v>
      </c>
      <c r="C4" s="4"/>
      <c r="D4" s="4"/>
      <c r="E4" s="4"/>
      <c r="F4" s="4"/>
      <c r="G4" s="4"/>
      <c r="H4" s="4"/>
      <c r="I4" s="4"/>
      <c r="J4" s="4"/>
      <c r="K4" s="4"/>
      <c r="L4" s="4"/>
    </row>
    <row r="5" ht="16" customHeight="1" s="4" customFormat="1">
      <c r="A5" s="4" t="s">
        <v>70</v>
      </c>
      <c r="B5" s="4" t="s">
        <v>427</v>
      </c>
      <c r="C5" s="4"/>
      <c r="D5" s="4"/>
      <c r="E5" s="4"/>
      <c r="F5" s="4"/>
      <c r="G5" s="4"/>
      <c r="H5" s="4"/>
      <c r="I5" s="4"/>
      <c r="J5" s="4"/>
      <c r="K5" s="4"/>
      <c r="L5" s="4"/>
    </row>
    <row r="6" ht="16" customHeight="1">
      <c r="A6" s="3" t="s">
        <v>68</v>
      </c>
      <c r="B6" s="3" t="s">
        <v>428</v>
      </c>
      <c r="C6" s="3"/>
      <c r="D6" s="3"/>
      <c r="E6" s="3"/>
      <c r="F6" s="3" t="s">
        <v>422</v>
      </c>
      <c r="G6" s="3">
        <v>234</v>
      </c>
      <c r="H6" s="3">
        <v>263</v>
      </c>
      <c r="I6" s="3">
        <v>-50.5</v>
      </c>
      <c r="J6" s="3"/>
    </row>
    <row r="7" ht="16" customHeight="1">
      <c r="A7" s="3" t="s">
        <v>249</v>
      </c>
      <c r="B7" s="3" t="s">
        <v>429</v>
      </c>
      <c r="C7" s="3"/>
      <c r="D7" s="3"/>
      <c r="E7" s="3"/>
      <c r="F7" s="3" t="s">
        <v>422</v>
      </c>
      <c r="G7" s="3">
        <v>27.8</v>
      </c>
      <c r="H7" s="3">
        <v>0.02</v>
      </c>
      <c r="I7" s="3">
        <v>-0.09</v>
      </c>
      <c r="J7" s="3"/>
    </row>
  </sheetData>
  <headerFooter/>
</worksheet>
</file>

<file path=xl/worksheets/sheet12.xml><?xml version="1.0" encoding="utf-8"?>
<worksheet xmlns:r="http://schemas.openxmlformats.org/officeDocument/2006/relationships" xmlns="http://schemas.openxmlformats.org/spreadsheetml/2006/main">
  <dimension ref="A1:U12"/>
  <sheetViews>
    <sheetView workbookViewId="0"/>
  </sheetViews>
  <sheetFormatPr defaultRowHeight="15"/>
  <cols>
    <col min="1" max="1" width="41.223201751709" customWidth="1" style="3"/>
    <col min="2" max="2" width="9.140625" customWidth="1" style="3"/>
    <col min="3" max="3" width="9.140625" customWidth="1" style="3"/>
    <col min="4" max="4" width="9.140625" customWidth="1" style="3"/>
    <col min="5" max="5" width="39.1699104309082" customWidth="1" style="3"/>
    <col min="6" max="6" width="9.140625" customWidth="1" style="3"/>
    <col min="7" max="7" width="9.140625" customWidth="1" style="3"/>
    <col min="8" max="8" width="9.140625" customWidth="1" style="3"/>
    <col min="9" max="9" width="11.5881662368774" customWidth="1" style="3"/>
    <col min="10" max="10" width="9.140625" customWidth="1" style="3"/>
    <col min="11" max="11" width="9.140625" customWidth="1" style="3"/>
    <col min="12" max="12" width="9.140625" customWidth="1" style="3"/>
    <col min="13" max="13" width="17.3772277832031" customWidth="1" style="3"/>
    <col min="14" max="14" width="18.3624401092529" customWidth="1" style="3"/>
    <col min="15" max="15" width="9.140625" customWidth="1" style="3"/>
    <col min="16" max="16" width="9.140625" customWidth="1" style="3"/>
    <col min="17" max="17" width="26.4081974029541" customWidth="1" style="3"/>
    <col min="18" max="18" width="11.6894502639771" customWidth="1" style="3"/>
    <col min="19" max="16384" width="9.140625" customWidth="1" style="3"/>
  </cols>
  <sheetData>
    <row r="1" ht="16" customHeight="1" s="12" customFormat="1">
      <c r="A1" s="13" t="s">
        <v>411</v>
      </c>
      <c r="B1" s="13"/>
      <c r="C1" s="13"/>
      <c r="D1" s="13"/>
      <c r="E1" s="13"/>
      <c r="F1" s="13"/>
      <c r="G1" s="13"/>
      <c r="H1" s="13"/>
      <c r="I1" s="13"/>
      <c r="J1" s="13"/>
      <c r="K1" s="13"/>
      <c r="L1" s="13"/>
      <c r="M1" s="13"/>
      <c r="N1" s="13"/>
      <c r="O1" s="13"/>
      <c r="P1" s="13"/>
      <c r="Q1" s="13"/>
      <c r="R1" s="13"/>
      <c r="S1" s="13"/>
      <c r="T1" s="13"/>
      <c r="U1" s="13"/>
    </row>
    <row r="2" ht="16" customHeight="1" s="4" customFormat="1">
      <c r="A2" s="4"/>
      <c r="B2" s="4"/>
      <c r="C2" s="4"/>
      <c r="D2" s="4"/>
      <c r="E2" s="4"/>
      <c r="F2" s="4"/>
      <c r="G2" s="4"/>
      <c r="H2" s="4"/>
      <c r="I2" s="4"/>
      <c r="J2" s="4"/>
      <c r="K2" s="4"/>
      <c r="L2" s="4"/>
      <c r="M2" s="4"/>
      <c r="N2" s="4"/>
      <c r="O2" s="4"/>
    </row>
    <row r="3" ht="16" customHeight="1" s="1" customFormat="1">
      <c r="A3" s="9" t="s">
        <v>430</v>
      </c>
      <c r="B3" s="9"/>
      <c r="C3" s="4"/>
      <c r="D3" s="4"/>
      <c r="E3" s="9" t="s">
        <v>431</v>
      </c>
      <c r="F3" s="9"/>
      <c r="G3" s="4"/>
      <c r="H3" s="4"/>
      <c r="I3" s="9" t="s">
        <v>432</v>
      </c>
      <c r="J3" s="9"/>
      <c r="K3" s="4"/>
      <c r="L3" s="4"/>
      <c r="M3" s="9" t="s">
        <v>433</v>
      </c>
      <c r="N3" s="9"/>
      <c r="O3" s="4"/>
      <c r="Q3" s="9" t="s">
        <v>383</v>
      </c>
      <c r="R3" s="9"/>
    </row>
    <row r="4" ht="16" customHeight="1" s="10" customFormat="1">
      <c r="A4" s="10" t="s">
        <v>61</v>
      </c>
      <c r="B4" s="10" t="s">
        <v>434</v>
      </c>
      <c r="C4" s="10"/>
      <c r="D4" s="10"/>
      <c r="E4" s="10" t="s">
        <v>61</v>
      </c>
      <c r="F4" s="10" t="s">
        <v>434</v>
      </c>
      <c r="G4" s="10"/>
      <c r="H4" s="10"/>
      <c r="I4" s="10" t="s">
        <v>61</v>
      </c>
      <c r="J4" s="10" t="s">
        <v>434</v>
      </c>
      <c r="K4" s="10"/>
      <c r="L4" s="10"/>
      <c r="M4" s="10" t="s">
        <v>61</v>
      </c>
      <c r="N4" s="10" t="s">
        <v>435</v>
      </c>
      <c r="O4" s="10"/>
      <c r="P4" s="11"/>
      <c r="Q4" s="11" t="s">
        <v>61</v>
      </c>
      <c r="R4" s="11" t="s">
        <v>436</v>
      </c>
      <c r="S4" s="11"/>
    </row>
    <row r="5" ht="16" customHeight="1" s="4" customFormat="1">
      <c r="A5" s="4" t="s">
        <v>425</v>
      </c>
      <c r="B5" s="4">
        <v>0.0001</v>
      </c>
      <c r="C5" s="4"/>
      <c r="D5" s="4"/>
      <c r="E5" s="4" t="s">
        <v>437</v>
      </c>
      <c r="F5" s="4">
        <v>1E-06</v>
      </c>
      <c r="G5" s="4"/>
      <c r="H5" s="4"/>
      <c r="I5" s="4" t="s">
        <v>438</v>
      </c>
      <c r="J5" s="4">
        <v>74</v>
      </c>
      <c r="K5" s="4"/>
      <c r="L5" s="4"/>
      <c r="M5" s="4" t="s">
        <v>439</v>
      </c>
      <c r="N5" s="4" t="s">
        <v>440</v>
      </c>
      <c r="O5" s="4"/>
      <c r="Q5" s="4" t="s">
        <v>441</v>
      </c>
      <c r="R5" s="4" t="s">
        <v>442</v>
      </c>
    </row>
    <row r="6" ht="16" customHeight="1" s="4" customFormat="1">
      <c r="A6" s="4" t="s">
        <v>443</v>
      </c>
      <c r="B6" s="4">
        <v>99.7</v>
      </c>
      <c r="Q6" s="4" t="s">
        <v>444</v>
      </c>
      <c r="R6" s="4" t="s">
        <v>445</v>
      </c>
    </row>
    <row r="7" ht="16" customHeight="1" s="4" customFormat="1">
      <c r="A7" s="4" t="s">
        <v>446</v>
      </c>
      <c r="B7" s="4">
        <v>0.27</v>
      </c>
      <c r="Q7" s="4" t="s">
        <v>447</v>
      </c>
      <c r="R7" s="4" t="s">
        <v>442</v>
      </c>
    </row>
    <row r="8" ht="16" customHeight="1">
      <c r="A8" s="3" t="s">
        <v>448</v>
      </c>
      <c r="B8" s="3">
        <v>0.0001</v>
      </c>
      <c r="Q8" s="3" t="s">
        <v>449</v>
      </c>
      <c r="R8" s="3" t="s">
        <v>450</v>
      </c>
    </row>
    <row r="9" ht="16" customHeight="1">
      <c r="A9" s="3" t="s">
        <v>451</v>
      </c>
      <c r="B9" s="3">
        <v>0.0001</v>
      </c>
      <c r="Q9" s="3" t="s">
        <v>452</v>
      </c>
      <c r="R9" s="3" t="s">
        <v>442</v>
      </c>
    </row>
    <row r="10">
      <c r="A10" s="3" t="s">
        <v>453</v>
      </c>
      <c r="B10" s="3">
        <v>0.0001</v>
      </c>
      <c r="Q10" s="3" t="s">
        <v>438</v>
      </c>
      <c r="R10" s="3" t="s">
        <v>445</v>
      </c>
    </row>
    <row r="11">
      <c r="A11" s="3" t="s">
        <v>454</v>
      </c>
      <c r="B11" s="3">
        <v>0.0001</v>
      </c>
    </row>
    <row r="12">
      <c r="A12" s="3" t="s">
        <v>455</v>
      </c>
      <c r="B12" s="3">
        <v>0.0001</v>
      </c>
    </row>
  </sheetData>
  <mergeCells>
    <mergeCell ref="A3:B3"/>
    <mergeCell ref="E3:F3"/>
    <mergeCell ref="I3:J3"/>
    <mergeCell ref="M3:N3"/>
    <mergeCell ref="Q3:R3"/>
    <mergeCell ref="A1:U1"/>
  </mergeCells>
  <headerFooter/>
</worksheet>
</file>

<file path=xl/worksheets/sheet13.xml><?xml version="1.0" encoding="utf-8"?>
<worksheet xmlns:r="http://schemas.openxmlformats.org/officeDocument/2006/relationships" xmlns="http://schemas.openxmlformats.org/spreadsheetml/2006/main">
  <dimension ref="A1:K6"/>
  <sheetViews>
    <sheetView workbookViewId="0"/>
  </sheetViews>
  <sheetFormatPr defaultRowHeight="15"/>
  <cols>
    <col min="1" max="1" width="212.766708374023" customWidth="1" style="3"/>
    <col min="2" max="2" width="15.0209217071533" customWidth="1" style="3"/>
    <col min="3" max="3" width="15.904013633728" customWidth="1" style="3"/>
    <col min="4" max="4" width="19.1392250061035" customWidth="1" style="3"/>
    <col min="5" max="5" width="18.7491588592529" customWidth="1" style="3"/>
    <col min="6" max="6" width="9.140625" customWidth="1" style="3"/>
    <col min="7" max="7" width="19.7360420227051" customWidth="1" style="3"/>
    <col min="8" max="8" width="11.2556095123291" customWidth="1" style="3"/>
    <col min="9" max="16384" width="86.7220077514648" customWidth="1" style="3"/>
    <col min="10" max="16384" width="9.140625" customWidth="1" style="3"/>
    <col min="11" max="16384" width="9.140625" customWidth="1" style="3"/>
  </cols>
  <sheetData>
    <row r="1" ht="20" customHeight="1" s="1" customFormat="1">
      <c r="A1" s="2" t="s">
        <v>456</v>
      </c>
      <c r="B1" s="2" t="s">
        <v>457</v>
      </c>
      <c r="C1" s="2" t="s">
        <v>458</v>
      </c>
      <c r="D1" s="2" t="s">
        <v>459</v>
      </c>
      <c r="E1" s="2" t="s">
        <v>460</v>
      </c>
      <c r="F1" s="2" t="s">
        <v>461</v>
      </c>
      <c r="G1" s="2" t="s">
        <v>462</v>
      </c>
      <c r="H1" s="2" t="s">
        <v>463</v>
      </c>
      <c r="I1" s="2" t="s">
        <v>33</v>
      </c>
    </row>
    <row r="2" ht="16" customHeight="1" s="4" customFormat="1">
      <c r="A2" s="4" t="s">
        <v>464</v>
      </c>
      <c r="B2" s="4">
        <v>0.11</v>
      </c>
      <c r="C2" s="5">
        <v>43047</v>
      </c>
      <c r="D2" s="5">
        <v>43502</v>
      </c>
      <c r="E2" s="5">
        <v>45386</v>
      </c>
      <c r="F2" s="4" t="s">
        <v>465</v>
      </c>
      <c r="G2" s="4"/>
      <c r="H2" s="4">
        <v>100146384</v>
      </c>
      <c r="I2" s="4" t="s">
        <v>466</v>
      </c>
      <c r="J2" s="4"/>
      <c r="K2" s="4"/>
    </row>
    <row r="3" ht="16" customHeight="1" s="4" customFormat="1">
      <c r="A3" s="4" t="s">
        <v>467</v>
      </c>
      <c r="B3" s="4">
        <v>0.3</v>
      </c>
      <c r="C3" s="5">
        <v>41992</v>
      </c>
      <c r="D3" s="4"/>
      <c r="E3" s="5">
        <v>42963</v>
      </c>
      <c r="F3" s="4" t="s">
        <v>465</v>
      </c>
      <c r="G3" s="4"/>
      <c r="H3" s="4">
        <v>10540730</v>
      </c>
      <c r="I3" s="4" t="s">
        <v>468</v>
      </c>
      <c r="J3" s="4"/>
      <c r="K3" s="4"/>
    </row>
    <row r="4" ht="16" customHeight="1" s="4" customFormat="1">
      <c r="A4" s="4" t="s">
        <v>469</v>
      </c>
      <c r="B4" s="4">
        <v>20</v>
      </c>
      <c r="C4" s="5">
        <v>40422</v>
      </c>
      <c r="D4" s="4"/>
      <c r="E4" s="5">
        <v>42797</v>
      </c>
      <c r="F4" s="4" t="s">
        <v>465</v>
      </c>
      <c r="G4" s="4"/>
      <c r="H4" s="4">
        <v>10239767</v>
      </c>
      <c r="I4" s="4" t="s">
        <v>470</v>
      </c>
      <c r="J4" s="4"/>
      <c r="K4" s="4"/>
    </row>
    <row r="5" ht="16" customHeight="1" s="4" customFormat="1">
      <c r="A5" s="4" t="s">
        <v>471</v>
      </c>
      <c r="B5" s="4">
        <v>75</v>
      </c>
      <c r="C5" s="5">
        <v>37721</v>
      </c>
      <c r="D5" s="5">
        <v>40059</v>
      </c>
      <c r="E5" s="5">
        <v>42250</v>
      </c>
      <c r="F5" s="4" t="s">
        <v>465</v>
      </c>
      <c r="G5" s="4"/>
      <c r="H5" s="4">
        <v>90043763</v>
      </c>
      <c r="I5" s="4" t="s">
        <v>472</v>
      </c>
      <c r="J5" s="4"/>
      <c r="K5" s="4"/>
    </row>
    <row r="6" ht="16" customHeight="1">
      <c r="A6" s="3" t="s">
        <v>464</v>
      </c>
      <c r="B6" s="3">
        <v>40</v>
      </c>
      <c r="C6" s="6">
        <v>37617</v>
      </c>
      <c r="D6" s="6">
        <v>39209</v>
      </c>
      <c r="E6" s="6">
        <v>42789</v>
      </c>
      <c r="F6" s="3" t="s">
        <v>465</v>
      </c>
      <c r="G6" s="3"/>
      <c r="H6" s="3">
        <v>90043636</v>
      </c>
      <c r="I6" s="3" t="s">
        <v>473</v>
      </c>
    </row>
  </sheetData>
  <headerFooter/>
</worksheet>
</file>

<file path=xl/worksheets/sheet14.xml><?xml version="1.0" encoding="utf-8"?>
<worksheet xmlns:r="http://schemas.openxmlformats.org/officeDocument/2006/relationships" xmlns="http://schemas.openxmlformats.org/spreadsheetml/2006/main">
  <dimension ref="A1:K12"/>
  <sheetViews>
    <sheetView workbookViewId="0"/>
  </sheetViews>
  <sheetFormatPr defaultRowHeight="15"/>
  <cols>
    <col min="1" max="1" width="217.865676879883" customWidth="1" style="3"/>
    <col min="2" max="2" width="15.516676902771" customWidth="1" style="3"/>
    <col min="3" max="3" width="50.5709838867188" customWidth="1" style="3"/>
    <col min="4" max="4" width="9.140625" customWidth="1" style="3"/>
    <col min="5" max="5" width="9.140625" customWidth="1" style="3"/>
    <col min="6" max="6" width="9.140625" customWidth="1" style="3"/>
    <col min="7" max="7" width="14.0382223129272" customWidth="1" style="3"/>
    <col min="8" max="8" width="9.91740894317627" customWidth="1" style="3"/>
    <col min="9" max="16384" width="11.2801637649536" customWidth="1" style="3"/>
    <col min="10" max="16384" width="9.140625" customWidth="1" style="3"/>
    <col min="11" max="16384" width="9.140625" customWidth="1" style="3"/>
  </cols>
  <sheetData>
    <row r="1" ht="20" customHeight="1" s="1" customFormat="1">
      <c r="A1" s="2" t="s">
        <v>474</v>
      </c>
      <c r="B1" s="2" t="s">
        <v>475</v>
      </c>
      <c r="C1" s="2" t="s">
        <v>476</v>
      </c>
      <c r="D1" s="2" t="s">
        <v>477</v>
      </c>
      <c r="E1" s="2" t="s">
        <v>403</v>
      </c>
      <c r="F1" s="2" t="s">
        <v>405</v>
      </c>
      <c r="G1" s="2" t="s">
        <v>407</v>
      </c>
      <c r="H1" s="2" t="s">
        <v>478</v>
      </c>
      <c r="I1" s="2" t="s">
        <v>479</v>
      </c>
    </row>
    <row r="2" ht="16" customHeight="1" s="4" customFormat="1">
      <c r="A2" s="4" t="s">
        <v>10</v>
      </c>
      <c r="B2" s="4" t="s">
        <v>480</v>
      </c>
      <c r="C2" s="4" t="s">
        <v>422</v>
      </c>
      <c r="D2" s="4">
        <v>40</v>
      </c>
      <c r="E2" s="4">
        <v>911</v>
      </c>
      <c r="F2" s="4">
        <v>58.2</v>
      </c>
      <c r="G2" s="4">
        <v>-8.5</v>
      </c>
      <c r="H2" s="4">
        <v>210</v>
      </c>
      <c r="I2" s="4"/>
      <c r="J2" s="4"/>
      <c r="K2" s="4"/>
    </row>
    <row r="3" ht="16" customHeight="1" s="4" customFormat="1">
      <c r="A3" s="4" t="s">
        <v>423</v>
      </c>
      <c r="B3" s="4" t="s">
        <v>480</v>
      </c>
      <c r="C3" s="4" t="s">
        <v>422</v>
      </c>
      <c r="D3" s="4">
        <v>9</v>
      </c>
      <c r="E3" s="4">
        <v>896</v>
      </c>
      <c r="F3" s="4">
        <v>150</v>
      </c>
      <c r="G3" s="4">
        <v>91.2</v>
      </c>
      <c r="H3" s="4"/>
      <c r="I3" s="4"/>
      <c r="J3" s="4"/>
      <c r="K3" s="4"/>
    </row>
    <row r="4" ht="16" customHeight="1" s="4" customFormat="1">
      <c r="A4" s="4" t="s">
        <v>481</v>
      </c>
      <c r="B4" s="4" t="s">
        <v>482</v>
      </c>
      <c r="C4" s="4" t="s">
        <v>422</v>
      </c>
      <c r="D4" s="4">
        <v>15</v>
      </c>
      <c r="E4" s="4">
        <v>886</v>
      </c>
      <c r="F4" s="4">
        <v>105</v>
      </c>
      <c r="G4" s="4">
        <v>46.3</v>
      </c>
      <c r="H4" s="4">
        <v>23.9</v>
      </c>
      <c r="I4" s="4"/>
      <c r="J4" s="4"/>
      <c r="K4" s="4"/>
    </row>
    <row r="5" ht="16" customHeight="1" s="4" customFormat="1">
      <c r="A5" s="4" t="s">
        <v>483</v>
      </c>
      <c r="B5" s="4" t="s">
        <v>484</v>
      </c>
      <c r="C5" s="4" t="s">
        <v>422</v>
      </c>
      <c r="D5" s="4">
        <v>40</v>
      </c>
      <c r="E5" s="4">
        <v>1082</v>
      </c>
      <c r="F5" s="4">
        <v>136</v>
      </c>
      <c r="G5" s="4">
        <v>83.7</v>
      </c>
      <c r="H5" s="4">
        <v>52.9</v>
      </c>
      <c r="I5" s="4" t="s">
        <v>485</v>
      </c>
      <c r="J5" s="4"/>
      <c r="K5" s="4"/>
    </row>
    <row r="6" ht="16" customHeight="1" s="4" customFormat="1">
      <c r="A6" s="4" t="s">
        <v>486</v>
      </c>
      <c r="B6" s="4" t="s">
        <v>36</v>
      </c>
      <c r="C6" s="4" t="s">
        <v>422</v>
      </c>
      <c r="D6" s="4">
        <v>17</v>
      </c>
      <c r="E6" s="4">
        <v>1085</v>
      </c>
      <c r="F6" s="4">
        <v>287</v>
      </c>
      <c r="G6" s="4">
        <v>177</v>
      </c>
      <c r="H6" s="4">
        <v>233</v>
      </c>
      <c r="I6" s="4" t="s">
        <v>487</v>
      </c>
      <c r="J6" s="4"/>
      <c r="K6" s="4"/>
    </row>
    <row r="7" ht="16" customHeight="1" s="4" customFormat="1">
      <c r="A7" s="4" t="s">
        <v>488</v>
      </c>
      <c r="B7" s="4" t="s">
        <v>489</v>
      </c>
      <c r="C7" s="4" t="s">
        <v>422</v>
      </c>
      <c r="D7" s="4">
        <v>27</v>
      </c>
      <c r="E7" s="4">
        <v>599</v>
      </c>
      <c r="F7" s="4">
        <v>97.9</v>
      </c>
      <c r="G7" s="4">
        <v>51.5</v>
      </c>
      <c r="H7" s="4">
        <v>131</v>
      </c>
      <c r="I7" s="4"/>
      <c r="J7" s="4"/>
      <c r="K7" s="4"/>
    </row>
    <row r="8" ht="16" customHeight="1" s="4" customFormat="1">
      <c r="A8" s="4" t="s">
        <v>490</v>
      </c>
      <c r="B8" s="4" t="s">
        <v>491</v>
      </c>
      <c r="C8" s="4" t="s">
        <v>422</v>
      </c>
      <c r="D8" s="4">
        <v>17</v>
      </c>
      <c r="E8" s="4">
        <v>596</v>
      </c>
      <c r="F8" s="4">
        <v>97.9</v>
      </c>
      <c r="G8" s="4">
        <v>43.7</v>
      </c>
      <c r="H8" s="4">
        <v>191</v>
      </c>
      <c r="I8" s="4" t="s">
        <v>492</v>
      </c>
      <c r="J8" s="4"/>
      <c r="K8" s="4"/>
    </row>
    <row r="9" ht="16" customHeight="1" s="4" customFormat="1">
      <c r="A9" s="4" t="s">
        <v>493</v>
      </c>
      <c r="B9" s="4" t="s">
        <v>494</v>
      </c>
      <c r="C9" s="4" t="s">
        <v>422</v>
      </c>
      <c r="D9" s="4">
        <v>42</v>
      </c>
      <c r="E9" s="4">
        <v>594</v>
      </c>
      <c r="F9" s="4">
        <v>26.9</v>
      </c>
      <c r="G9" s="4">
        <v>-7.4</v>
      </c>
      <c r="H9" s="4">
        <v>187</v>
      </c>
      <c r="I9" s="4" t="s">
        <v>495</v>
      </c>
      <c r="J9" s="4"/>
      <c r="K9" s="4"/>
    </row>
    <row r="10" ht="16" customHeight="1" s="4" customFormat="1">
      <c r="A10" s="4" t="s">
        <v>496</v>
      </c>
      <c r="B10" s="4" t="s">
        <v>497</v>
      </c>
      <c r="C10" s="4" t="s">
        <v>422</v>
      </c>
      <c r="D10" s="4">
        <v>11</v>
      </c>
      <c r="E10" s="4">
        <v>513</v>
      </c>
      <c r="F10" s="4">
        <v>0.09</v>
      </c>
      <c r="G10" s="4">
        <v>0.03</v>
      </c>
      <c r="H10" s="4">
        <v>110</v>
      </c>
      <c r="I10" s="4"/>
      <c r="J10" s="4"/>
      <c r="K10" s="4"/>
    </row>
    <row r="11" ht="16" customHeight="1" s="4" customFormat="1">
      <c r="A11" s="4" t="s">
        <v>498</v>
      </c>
      <c r="B11" s="4" t="s">
        <v>480</v>
      </c>
      <c r="C11" s="4" t="s">
        <v>422</v>
      </c>
      <c r="D11" s="4">
        <v>19</v>
      </c>
      <c r="E11" s="4">
        <v>1312</v>
      </c>
      <c r="F11" s="4">
        <v>219</v>
      </c>
      <c r="G11" s="4">
        <v>133</v>
      </c>
      <c r="H11" s="4"/>
      <c r="I11" s="4" t="s">
        <v>495</v>
      </c>
      <c r="J11" s="4"/>
      <c r="K11" s="4"/>
    </row>
    <row r="12" ht="16" customHeight="1">
      <c r="A12" s="3" t="s">
        <v>499</v>
      </c>
      <c r="B12" s="3" t="s">
        <v>500</v>
      </c>
      <c r="C12" s="3" t="s">
        <v>422</v>
      </c>
      <c r="D12" s="3">
        <v>11</v>
      </c>
      <c r="E12" s="3">
        <v>485</v>
      </c>
      <c r="F12" s="3">
        <v>18.7</v>
      </c>
      <c r="G12" s="3">
        <v>3.3</v>
      </c>
      <c r="H12" s="3">
        <v>79.5</v>
      </c>
      <c r="I12" s="3" t="s">
        <v>501</v>
      </c>
    </row>
  </sheetData>
  <headerFooter/>
</worksheet>
</file>

<file path=xl/worksheets/sheet15.xml><?xml version="1.0" encoding="utf-8"?>
<worksheet xmlns:r="http://schemas.openxmlformats.org/officeDocument/2006/relationships" xmlns="http://schemas.openxmlformats.org/spreadsheetml/2006/main">
  <dimension ref="A1:J14"/>
  <sheetViews>
    <sheetView workbookViewId="0"/>
  </sheetViews>
  <sheetFormatPr defaultRowHeight="15"/>
  <cols>
    <col min="1" max="1" width="217.865676879883" customWidth="1" style="3"/>
    <col min="2" max="2" width="9.140625" customWidth="1" style="3"/>
    <col min="3" max="3" width="9.140625" customWidth="1" style="3"/>
    <col min="4" max="4" width="9.140625" customWidth="1" style="3"/>
    <col min="5" max="5" width="12.2712020874023" customWidth="1" style="3"/>
    <col min="6" max="6" width="11.0959787368774" customWidth="1" style="3"/>
    <col min="7" max="7" width="12.5666818618774" customWidth="1" style="3"/>
    <col min="8" max="16384" width="9.140625" customWidth="1" style="3"/>
    <col min="9" max="16384" width="9.140625" customWidth="1" style="3"/>
    <col min="10" max="16384" width="9.140625" customWidth="1" style="3"/>
  </cols>
  <sheetData>
    <row r="1" ht="20" customHeight="1" s="1" customFormat="1">
      <c r="A1" s="2" t="s">
        <v>474</v>
      </c>
      <c r="B1" s="2" t="s">
        <v>476</v>
      </c>
      <c r="C1" s="2" t="s">
        <v>403</v>
      </c>
      <c r="D1" s="2" t="s">
        <v>405</v>
      </c>
      <c r="E1" s="2" t="s">
        <v>502</v>
      </c>
      <c r="F1" s="2" t="s">
        <v>503</v>
      </c>
      <c r="G1" s="2" t="s">
        <v>504</v>
      </c>
      <c r="H1" s="2" t="s">
        <v>505</v>
      </c>
    </row>
    <row r="2" ht="16" customHeight="1" s="4" customFormat="1">
      <c r="A2" s="4" t="s">
        <v>10</v>
      </c>
      <c r="B2" s="4" t="s">
        <v>422</v>
      </c>
      <c r="C2" s="4">
        <v>911</v>
      </c>
      <c r="D2" s="4">
        <v>58.2</v>
      </c>
      <c r="E2" s="4">
        <v>3.6</v>
      </c>
      <c r="F2" s="4">
        <v>-0.94</v>
      </c>
      <c r="G2" s="4">
        <v>1.5</v>
      </c>
      <c r="H2" s="4">
        <v>0.76</v>
      </c>
      <c r="I2" s="4"/>
      <c r="J2" s="4"/>
    </row>
    <row r="3" ht="16" customHeight="1" s="4" customFormat="1">
      <c r="A3" s="4" t="s">
        <v>506</v>
      </c>
      <c r="B3" s="4"/>
      <c r="C3" s="4"/>
      <c r="D3" s="4"/>
      <c r="E3" s="4"/>
      <c r="F3" s="4"/>
      <c r="G3" s="4"/>
      <c r="H3" s="4"/>
      <c r="I3" s="4"/>
      <c r="J3" s="4"/>
    </row>
    <row r="4" ht="16" customHeight="1" s="4" customFormat="1">
      <c r="A4" s="4" t="s">
        <v>498</v>
      </c>
      <c r="B4" s="4" t="s">
        <v>422</v>
      </c>
      <c r="C4" s="4">
        <v>1</v>
      </c>
      <c r="D4" s="4">
        <v>2</v>
      </c>
      <c r="E4" s="4">
        <v>2</v>
      </c>
      <c r="F4" s="4">
        <v>2</v>
      </c>
      <c r="G4" s="4">
        <v>1</v>
      </c>
      <c r="H4" s="4">
        <v>2</v>
      </c>
      <c r="I4" s="4"/>
      <c r="J4" s="4"/>
    </row>
    <row r="5" ht="16" customHeight="1" s="4" customFormat="1">
      <c r="A5" s="4" t="s">
        <v>486</v>
      </c>
      <c r="B5" s="4" t="s">
        <v>422</v>
      </c>
      <c r="C5" s="4">
        <v>2</v>
      </c>
      <c r="D5" s="4">
        <v>1</v>
      </c>
      <c r="E5" s="4">
        <v>5</v>
      </c>
      <c r="F5" s="4">
        <v>1</v>
      </c>
      <c r="G5" s="4">
        <v>2</v>
      </c>
      <c r="H5" s="4">
        <v>5</v>
      </c>
      <c r="I5" s="4"/>
      <c r="J5" s="4"/>
    </row>
    <row r="6" ht="16" customHeight="1" s="4" customFormat="1">
      <c r="A6" s="4" t="s">
        <v>423</v>
      </c>
      <c r="B6" s="4" t="s">
        <v>422</v>
      </c>
      <c r="C6" s="4">
        <v>5</v>
      </c>
      <c r="D6" s="4">
        <v>3</v>
      </c>
      <c r="E6" s="4">
        <v>1</v>
      </c>
      <c r="F6" s="4">
        <v>3</v>
      </c>
      <c r="G6" s="4">
        <v>10</v>
      </c>
      <c r="H6" s="4">
        <v>1</v>
      </c>
      <c r="I6" s="4"/>
      <c r="J6" s="4"/>
    </row>
    <row r="7" ht="16" customHeight="1" s="4" customFormat="1">
      <c r="A7" s="4" t="s">
        <v>483</v>
      </c>
      <c r="B7" s="4" t="s">
        <v>422</v>
      </c>
      <c r="C7" s="4">
        <v>3</v>
      </c>
      <c r="D7" s="4">
        <v>4</v>
      </c>
      <c r="E7" s="4">
        <v>4</v>
      </c>
      <c r="F7" s="4">
        <v>5</v>
      </c>
      <c r="G7" s="4">
        <v>9</v>
      </c>
      <c r="H7" s="4">
        <v>4</v>
      </c>
      <c r="I7" s="4"/>
      <c r="J7" s="4"/>
    </row>
    <row r="8" ht="16" customHeight="1" s="4" customFormat="1">
      <c r="A8" s="4" t="s">
        <v>481</v>
      </c>
      <c r="B8" s="4" t="s">
        <v>422</v>
      </c>
      <c r="C8" s="4">
        <v>6</v>
      </c>
      <c r="D8" s="4">
        <v>5</v>
      </c>
      <c r="E8" s="4">
        <v>3</v>
      </c>
      <c r="F8" s="4">
        <v>7</v>
      </c>
      <c r="G8" s="4">
        <v>7</v>
      </c>
      <c r="H8" s="4">
        <v>3</v>
      </c>
      <c r="I8" s="4"/>
      <c r="J8" s="4"/>
    </row>
    <row r="9" ht="16" customHeight="1" s="4" customFormat="1">
      <c r="A9" s="4" t="s">
        <v>488</v>
      </c>
      <c r="B9" s="4" t="s">
        <v>422</v>
      </c>
      <c r="C9" s="4">
        <v>7</v>
      </c>
      <c r="D9" s="4">
        <v>7</v>
      </c>
      <c r="E9" s="4">
        <v>6</v>
      </c>
      <c r="F9" s="4">
        <v>4</v>
      </c>
      <c r="G9" s="4">
        <v>3</v>
      </c>
      <c r="H9" s="4">
        <v>6</v>
      </c>
      <c r="I9" s="4"/>
      <c r="J9" s="4"/>
    </row>
    <row r="10" ht="16" customHeight="1" s="4" customFormat="1">
      <c r="A10" s="4" t="s">
        <v>490</v>
      </c>
      <c r="B10" s="4" t="s">
        <v>422</v>
      </c>
      <c r="C10" s="4">
        <v>8</v>
      </c>
      <c r="D10" s="4">
        <v>6</v>
      </c>
      <c r="E10" s="4">
        <v>7</v>
      </c>
      <c r="F10" s="4">
        <v>6</v>
      </c>
      <c r="G10" s="4">
        <v>4</v>
      </c>
      <c r="H10" s="4">
        <v>8</v>
      </c>
      <c r="I10" s="4"/>
      <c r="J10" s="4"/>
    </row>
    <row r="11" ht="16" customHeight="1" s="4" customFormat="1">
      <c r="A11" s="4" t="s">
        <v>10</v>
      </c>
      <c r="B11" s="4" t="s">
        <v>422</v>
      </c>
      <c r="C11" s="4">
        <v>4</v>
      </c>
      <c r="D11" s="4">
        <v>8</v>
      </c>
      <c r="E11" s="4">
        <v>8</v>
      </c>
      <c r="F11" s="4">
        <v>10</v>
      </c>
      <c r="G11" s="4">
        <v>6</v>
      </c>
      <c r="H11" s="4">
        <v>7</v>
      </c>
      <c r="I11" s="4"/>
      <c r="J11" s="4"/>
    </row>
    <row r="12" ht="16" customHeight="1" s="4" customFormat="1">
      <c r="A12" s="4" t="s">
        <v>499</v>
      </c>
      <c r="B12" s="4" t="s">
        <v>422</v>
      </c>
      <c r="C12" s="4">
        <v>11</v>
      </c>
      <c r="D12" s="4">
        <v>10</v>
      </c>
      <c r="E12" s="4">
        <v>9</v>
      </c>
      <c r="F12" s="4">
        <v>8</v>
      </c>
      <c r="G12" s="4">
        <v>5</v>
      </c>
      <c r="H12" s="4">
        <v>9</v>
      </c>
      <c r="I12" s="4"/>
      <c r="J12" s="4"/>
    </row>
    <row r="13" ht="16" customHeight="1" s="4" customFormat="1">
      <c r="A13" s="4" t="s">
        <v>493</v>
      </c>
      <c r="B13" s="4" t="s">
        <v>422</v>
      </c>
      <c r="C13" s="4">
        <v>9</v>
      </c>
      <c r="D13" s="4">
        <v>9</v>
      </c>
      <c r="E13" s="4">
        <v>10</v>
      </c>
      <c r="F13" s="4">
        <v>11</v>
      </c>
      <c r="G13" s="4">
        <v>11</v>
      </c>
      <c r="H13" s="4">
        <v>10</v>
      </c>
      <c r="I13" s="4"/>
      <c r="J13" s="4"/>
    </row>
    <row r="14" ht="16" customHeight="1">
      <c r="A14" s="3" t="s">
        <v>496</v>
      </c>
      <c r="B14" s="3" t="s">
        <v>422</v>
      </c>
      <c r="C14" s="3">
        <v>10</v>
      </c>
      <c r="D14" s="3">
        <v>11</v>
      </c>
      <c r="E14" s="3">
        <v>11</v>
      </c>
      <c r="F14" s="3">
        <v>9</v>
      </c>
      <c r="G14" s="3">
        <v>8</v>
      </c>
      <c r="H14" s="3">
        <v>11</v>
      </c>
    </row>
  </sheetData>
  <headerFooter/>
</worksheet>
</file>

<file path=xl/worksheets/sheet16.xml><?xml version="1.0" encoding="utf-8"?>
<worksheet xmlns:r="http://schemas.openxmlformats.org/officeDocument/2006/relationships" xmlns="http://schemas.openxmlformats.org/spreadsheetml/2006/main">
  <dimension ref="A1:F51"/>
  <sheetViews>
    <sheetView workbookViewId="0"/>
  </sheetViews>
  <sheetFormatPr defaultRowHeight="15"/>
  <cols>
    <col min="1" max="1" width="117.756698608398" customWidth="1" style="3"/>
    <col min="2" max="2" width="12.8065767288208" customWidth="1" style="3"/>
    <col min="3" max="3" width="26.8368949890137" customWidth="1" style="3"/>
    <col min="4" max="16384" width="919.857299804688" customWidth="1" style="3"/>
    <col min="5" max="16384" width="9.140625" customWidth="1" style="3"/>
    <col min="6" max="16384" width="9.140625" customWidth="1" style="3"/>
  </cols>
  <sheetData>
    <row r="1" ht="20" customHeight="1" s="1" customFormat="1">
      <c r="A1" s="2" t="s">
        <v>507</v>
      </c>
      <c r="B1" s="2" t="s">
        <v>508</v>
      </c>
      <c r="C1" s="2" t="s">
        <v>3</v>
      </c>
      <c r="D1" s="2" t="s">
        <v>509</v>
      </c>
    </row>
    <row r="2" ht="16" customHeight="1" s="4" customFormat="1">
      <c r="A2" s="4" t="s">
        <v>510</v>
      </c>
      <c r="B2" s="5">
        <v>46044</v>
      </c>
      <c r="C2" s="4" t="s">
        <v>511</v>
      </c>
      <c r="D2" s="4" t="s">
        <v>512</v>
      </c>
      <c r="E2" s="4"/>
      <c r="F2" s="4"/>
    </row>
    <row r="3" ht="16" customHeight="1" s="4" customFormat="1">
      <c r="A3" s="4" t="s">
        <v>513</v>
      </c>
      <c r="B3" s="5">
        <v>45907</v>
      </c>
      <c r="C3" s="4" t="s">
        <v>514</v>
      </c>
      <c r="D3" s="4" t="s">
        <v>515</v>
      </c>
      <c r="E3" s="4"/>
      <c r="F3" s="4"/>
    </row>
    <row r="4" ht="16" customHeight="1" s="4" customFormat="1">
      <c r="A4" s="4" t="s">
        <v>516</v>
      </c>
      <c r="B4" s="5">
        <v>45904</v>
      </c>
      <c r="C4" s="4" t="s">
        <v>517</v>
      </c>
      <c r="D4" s="4" t="s">
        <v>518</v>
      </c>
      <c r="E4" s="4"/>
      <c r="F4" s="4"/>
    </row>
    <row r="5" ht="16" customHeight="1" s="4" customFormat="1">
      <c r="A5" s="4" t="s">
        <v>519</v>
      </c>
      <c r="B5" s="5">
        <v>45855</v>
      </c>
      <c r="C5" s="4" t="s">
        <v>520</v>
      </c>
      <c r="D5" s="4" t="s">
        <v>521</v>
      </c>
      <c r="E5" s="4"/>
      <c r="F5" s="4"/>
    </row>
    <row r="6" ht="16" customHeight="1" s="4" customFormat="1">
      <c r="A6" s="4" t="s">
        <v>522</v>
      </c>
      <c r="B6" s="5">
        <v>45855</v>
      </c>
      <c r="C6" s="4" t="s">
        <v>523</v>
      </c>
      <c r="D6" s="4" t="s">
        <v>524</v>
      </c>
      <c r="E6" s="4"/>
      <c r="F6" s="4"/>
    </row>
    <row r="7" ht="16" customHeight="1" s="4" customFormat="1">
      <c r="A7" s="4" t="s">
        <v>525</v>
      </c>
      <c r="B7" s="5">
        <v>45852</v>
      </c>
      <c r="C7" s="4" t="s">
        <v>520</v>
      </c>
      <c r="D7" s="4" t="s">
        <v>526</v>
      </c>
      <c r="E7" s="4"/>
      <c r="F7" s="4"/>
    </row>
    <row r="8" ht="16" customHeight="1" s="4" customFormat="1">
      <c r="A8" s="4" t="s">
        <v>527</v>
      </c>
      <c r="B8" s="5">
        <v>45840</v>
      </c>
      <c r="C8" s="4" t="s">
        <v>528</v>
      </c>
      <c r="D8" s="4" t="s">
        <v>529</v>
      </c>
      <c r="E8" s="4"/>
      <c r="F8" s="4"/>
    </row>
    <row r="9" ht="16" customHeight="1" s="4" customFormat="1">
      <c r="A9" s="4" t="s">
        <v>530</v>
      </c>
      <c r="B9" s="5">
        <v>45816</v>
      </c>
      <c r="C9" s="4" t="s">
        <v>531</v>
      </c>
      <c r="D9" s="4" t="s">
        <v>532</v>
      </c>
      <c r="E9" s="4"/>
      <c r="F9" s="4"/>
    </row>
    <row r="10" ht="16" customHeight="1" s="4" customFormat="1">
      <c r="A10" s="4" t="s">
        <v>533</v>
      </c>
      <c r="B10" s="5">
        <v>45804</v>
      </c>
      <c r="C10" s="4" t="s">
        <v>534</v>
      </c>
      <c r="D10" s="4" t="s">
        <v>535</v>
      </c>
      <c r="E10" s="4"/>
      <c r="F10" s="4"/>
    </row>
    <row r="11" ht="16" customHeight="1" s="4" customFormat="1">
      <c r="A11" s="4" t="s">
        <v>536</v>
      </c>
      <c r="B11" s="5">
        <v>45800</v>
      </c>
      <c r="C11" s="4" t="s">
        <v>537</v>
      </c>
      <c r="D11" s="4" t="s">
        <v>538</v>
      </c>
      <c r="E11" s="4"/>
      <c r="F11" s="4"/>
    </row>
    <row r="12" ht="16" customHeight="1" s="4" customFormat="1">
      <c r="A12" s="4" t="s">
        <v>539</v>
      </c>
      <c r="B12" s="5">
        <v>45799</v>
      </c>
      <c r="C12" s="4" t="s">
        <v>540</v>
      </c>
      <c r="D12" s="4" t="s">
        <v>541</v>
      </c>
      <c r="E12" s="4"/>
      <c r="F12" s="4"/>
    </row>
    <row r="13" ht="16" customHeight="1" s="4" customFormat="1">
      <c r="A13" s="4" t="s">
        <v>542</v>
      </c>
      <c r="B13" s="5">
        <v>45785</v>
      </c>
      <c r="C13" s="4" t="s">
        <v>543</v>
      </c>
      <c r="D13" s="4" t="s">
        <v>544</v>
      </c>
      <c r="E13" s="4"/>
      <c r="F13" s="4"/>
    </row>
    <row r="14" ht="16" customHeight="1" s="4" customFormat="1">
      <c r="A14" s="4" t="s">
        <v>545</v>
      </c>
      <c r="B14" s="5">
        <v>45781</v>
      </c>
      <c r="C14" s="4" t="s">
        <v>546</v>
      </c>
      <c r="D14" s="4" t="s">
        <v>547</v>
      </c>
      <c r="E14" s="4"/>
      <c r="F14" s="4"/>
    </row>
    <row r="15" ht="16" customHeight="1" s="4" customFormat="1">
      <c r="A15" s="4" t="s">
        <v>548</v>
      </c>
      <c r="B15" s="5">
        <v>45762</v>
      </c>
      <c r="C15" s="4" t="s">
        <v>549</v>
      </c>
      <c r="D15" s="4" t="s">
        <v>550</v>
      </c>
      <c r="E15" s="4"/>
      <c r="F15" s="4"/>
    </row>
    <row r="16" ht="16" customHeight="1" s="4" customFormat="1">
      <c r="A16" s="4" t="s">
        <v>551</v>
      </c>
      <c r="B16" s="5">
        <v>45757</v>
      </c>
      <c r="C16" s="4" t="s">
        <v>546</v>
      </c>
      <c r="D16" s="4" t="s">
        <v>552</v>
      </c>
      <c r="E16" s="4"/>
      <c r="F16" s="4"/>
    </row>
    <row r="17" ht="16" customHeight="1" s="4" customFormat="1">
      <c r="A17" s="4" t="s">
        <v>553</v>
      </c>
      <c r="B17" s="5">
        <v>45751</v>
      </c>
      <c r="C17" s="4" t="s">
        <v>554</v>
      </c>
      <c r="D17" s="4" t="s">
        <v>555</v>
      </c>
      <c r="E17" s="4"/>
      <c r="F17" s="4"/>
    </row>
    <row r="18" ht="16" customHeight="1" s="4" customFormat="1">
      <c r="A18" s="4" t="s">
        <v>556</v>
      </c>
      <c r="B18" s="5">
        <v>45725</v>
      </c>
      <c r="C18" s="4" t="s">
        <v>557</v>
      </c>
      <c r="D18" s="4" t="s">
        <v>558</v>
      </c>
      <c r="E18" s="4"/>
      <c r="F18" s="4"/>
    </row>
    <row r="19" ht="16" customHeight="1" s="4" customFormat="1">
      <c r="A19" s="4" t="s">
        <v>559</v>
      </c>
      <c r="B19" s="5">
        <v>45708</v>
      </c>
      <c r="C19" s="4" t="s">
        <v>557</v>
      </c>
      <c r="D19" s="4" t="s">
        <v>560</v>
      </c>
      <c r="E19" s="4"/>
      <c r="F19" s="4"/>
    </row>
    <row r="20" ht="16" customHeight="1" s="4" customFormat="1">
      <c r="A20" s="4" t="s">
        <v>561</v>
      </c>
      <c r="B20" s="5">
        <v>45695</v>
      </c>
      <c r="C20" s="4" t="s">
        <v>562</v>
      </c>
      <c r="D20" s="4" t="s">
        <v>563</v>
      </c>
      <c r="E20" s="4"/>
      <c r="F20" s="4"/>
    </row>
    <row r="21" ht="16" customHeight="1" s="4" customFormat="1">
      <c r="A21" s="4" t="s">
        <v>564</v>
      </c>
      <c r="B21" s="5">
        <v>45694</v>
      </c>
      <c r="C21" s="4" t="s">
        <v>565</v>
      </c>
      <c r="D21" s="4" t="s">
        <v>566</v>
      </c>
      <c r="E21" s="4"/>
      <c r="F21" s="4"/>
    </row>
    <row r="22" ht="16" customHeight="1" s="4" customFormat="1">
      <c r="A22" s="4" t="s">
        <v>567</v>
      </c>
      <c r="B22" s="5">
        <v>45692</v>
      </c>
      <c r="C22" s="4" t="s">
        <v>568</v>
      </c>
      <c r="D22" s="4" t="s">
        <v>569</v>
      </c>
      <c r="E22" s="4"/>
      <c r="F22" s="4"/>
    </row>
    <row r="23" ht="16" customHeight="1" s="4" customFormat="1">
      <c r="A23" s="4" t="s">
        <v>570</v>
      </c>
      <c r="B23" s="5">
        <v>45692</v>
      </c>
      <c r="C23" s="4" t="s">
        <v>571</v>
      </c>
      <c r="D23" s="4" t="s">
        <v>572</v>
      </c>
      <c r="E23" s="4"/>
      <c r="F23" s="4"/>
    </row>
    <row r="24" ht="16" customHeight="1" s="4" customFormat="1">
      <c r="A24" s="4" t="s">
        <v>573</v>
      </c>
      <c r="B24" s="5">
        <v>45692</v>
      </c>
      <c r="C24" s="4" t="s">
        <v>574</v>
      </c>
      <c r="D24" s="4" t="s">
        <v>575</v>
      </c>
      <c r="E24" s="4"/>
      <c r="F24" s="4"/>
    </row>
    <row r="25" ht="16" customHeight="1" s="4" customFormat="1">
      <c r="A25" s="4" t="s">
        <v>576</v>
      </c>
      <c r="B25" s="5">
        <v>45639</v>
      </c>
      <c r="C25" s="4" t="s">
        <v>537</v>
      </c>
      <c r="D25" s="4" t="s">
        <v>577</v>
      </c>
      <c r="E25" s="4"/>
      <c r="F25" s="4"/>
    </row>
    <row r="26" ht="16" customHeight="1" s="4" customFormat="1">
      <c r="A26" s="4" t="s">
        <v>578</v>
      </c>
      <c r="B26" s="5">
        <v>45635</v>
      </c>
      <c r="C26" s="4" t="s">
        <v>579</v>
      </c>
      <c r="D26" s="4" t="s">
        <v>580</v>
      </c>
      <c r="E26" s="4"/>
      <c r="F26" s="4"/>
    </row>
    <row r="27" ht="16" customHeight="1" s="4" customFormat="1">
      <c r="A27" s="4" t="s">
        <v>581</v>
      </c>
      <c r="B27" s="5">
        <v>45536</v>
      </c>
      <c r="C27" s="4" t="s">
        <v>582</v>
      </c>
      <c r="D27" s="4" t="s">
        <v>583</v>
      </c>
      <c r="E27" s="4"/>
      <c r="F27" s="4"/>
    </row>
    <row r="28" ht="16" customHeight="1" s="4" customFormat="1">
      <c r="A28" s="4" t="s">
        <v>584</v>
      </c>
      <c r="B28" s="5">
        <v>45504</v>
      </c>
      <c r="C28" s="4" t="s">
        <v>554</v>
      </c>
      <c r="D28" s="4" t="s">
        <v>585</v>
      </c>
      <c r="E28" s="4"/>
      <c r="F28" s="4"/>
    </row>
    <row r="29" ht="16" customHeight="1" s="4" customFormat="1">
      <c r="A29" s="4" t="s">
        <v>586</v>
      </c>
      <c r="B29" s="5">
        <v>45433</v>
      </c>
      <c r="C29" s="4" t="s">
        <v>546</v>
      </c>
      <c r="D29" s="4" t="s">
        <v>587</v>
      </c>
      <c r="E29" s="4"/>
      <c r="F29" s="4"/>
    </row>
    <row r="30" ht="16" customHeight="1" s="4" customFormat="1">
      <c r="A30" s="4" t="s">
        <v>588</v>
      </c>
      <c r="B30" s="5">
        <v>45403</v>
      </c>
      <c r="C30" s="4" t="s">
        <v>557</v>
      </c>
      <c r="D30" s="4" t="s">
        <v>589</v>
      </c>
      <c r="E30" s="4"/>
      <c r="F30" s="4"/>
    </row>
    <row r="31" ht="16" customHeight="1" s="4" customFormat="1">
      <c r="A31" s="4" t="s">
        <v>590</v>
      </c>
      <c r="B31" s="5">
        <v>45384</v>
      </c>
      <c r="C31" s="4" t="s">
        <v>554</v>
      </c>
      <c r="D31" s="4" t="s">
        <v>591</v>
      </c>
      <c r="E31" s="4"/>
      <c r="F31" s="4"/>
    </row>
    <row r="32" ht="16" customHeight="1" s="4" customFormat="1">
      <c r="A32" s="4" t="s">
        <v>592</v>
      </c>
      <c r="B32" s="5">
        <v>45356</v>
      </c>
      <c r="C32" s="4" t="s">
        <v>520</v>
      </c>
      <c r="D32" s="4" t="s">
        <v>593</v>
      </c>
      <c r="E32" s="4"/>
      <c r="F32" s="4"/>
    </row>
    <row r="33" ht="16" customHeight="1" s="4" customFormat="1">
      <c r="A33" s="4" t="s">
        <v>594</v>
      </c>
      <c r="B33" s="5">
        <v>45321</v>
      </c>
      <c r="C33" s="4" t="s">
        <v>537</v>
      </c>
      <c r="D33" s="4" t="s">
        <v>595</v>
      </c>
      <c r="E33" s="4"/>
      <c r="F33" s="4"/>
    </row>
    <row r="34" ht="16" customHeight="1" s="4" customFormat="1">
      <c r="A34" s="4" t="s">
        <v>596</v>
      </c>
      <c r="B34" s="5">
        <v>45318</v>
      </c>
      <c r="C34" s="4" t="s">
        <v>537</v>
      </c>
      <c r="D34" s="4" t="s">
        <v>597</v>
      </c>
      <c r="E34" s="4"/>
      <c r="F34" s="4"/>
    </row>
    <row r="35" ht="16" customHeight="1" s="4" customFormat="1">
      <c r="A35" s="4" t="s">
        <v>598</v>
      </c>
      <c r="B35" s="5">
        <v>45283</v>
      </c>
      <c r="C35" s="4" t="s">
        <v>599</v>
      </c>
      <c r="D35" s="4" t="s">
        <v>600</v>
      </c>
      <c r="E35" s="4"/>
      <c r="F35" s="4"/>
    </row>
    <row r="36" ht="16" customHeight="1" s="4" customFormat="1">
      <c r="A36" s="4" t="s">
        <v>601</v>
      </c>
      <c r="B36" s="5">
        <v>45218</v>
      </c>
      <c r="C36" s="4" t="s">
        <v>602</v>
      </c>
      <c r="D36" s="4" t="s">
        <v>603</v>
      </c>
      <c r="E36" s="4"/>
      <c r="F36" s="4"/>
    </row>
    <row r="37" ht="16" customHeight="1" s="4" customFormat="1">
      <c r="A37" s="4" t="s">
        <v>604</v>
      </c>
      <c r="B37" s="5">
        <v>45211</v>
      </c>
      <c r="C37" s="4" t="s">
        <v>554</v>
      </c>
      <c r="D37" s="4" t="s">
        <v>605</v>
      </c>
      <c r="E37" s="4"/>
      <c r="F37" s="4"/>
    </row>
    <row r="38" ht="16" customHeight="1" s="4" customFormat="1">
      <c r="A38" s="4" t="s">
        <v>606</v>
      </c>
      <c r="B38" s="5">
        <v>45187</v>
      </c>
      <c r="C38" s="4" t="s">
        <v>607</v>
      </c>
      <c r="D38" s="4" t="s">
        <v>608</v>
      </c>
      <c r="E38" s="4"/>
      <c r="F38" s="4"/>
    </row>
    <row r="39" ht="16" customHeight="1" s="4" customFormat="1">
      <c r="A39" s="4" t="s">
        <v>609</v>
      </c>
      <c r="B39" s="5">
        <v>45113</v>
      </c>
      <c r="C39" s="4" t="s">
        <v>610</v>
      </c>
      <c r="D39" s="4" t="s">
        <v>611</v>
      </c>
      <c r="E39" s="4"/>
      <c r="F39" s="4"/>
    </row>
    <row r="40" ht="16" customHeight="1" s="4" customFormat="1">
      <c r="A40" s="4" t="s">
        <v>612</v>
      </c>
      <c r="B40" s="5">
        <v>45113</v>
      </c>
      <c r="C40" s="4" t="s">
        <v>610</v>
      </c>
      <c r="D40" s="4" t="s">
        <v>613</v>
      </c>
      <c r="E40" s="4"/>
      <c r="F40" s="4"/>
    </row>
    <row r="41" ht="16" customHeight="1" s="4" customFormat="1">
      <c r="A41" s="4" t="s">
        <v>614</v>
      </c>
      <c r="B41" s="5">
        <v>45083</v>
      </c>
      <c r="C41" s="4" t="s">
        <v>554</v>
      </c>
      <c r="D41" s="4" t="s">
        <v>615</v>
      </c>
      <c r="E41" s="4"/>
      <c r="F41" s="4"/>
    </row>
    <row r="42" ht="16" customHeight="1" s="4" customFormat="1">
      <c r="A42" s="4" t="s">
        <v>616</v>
      </c>
      <c r="B42" s="5">
        <v>45082</v>
      </c>
      <c r="C42" s="4" t="s">
        <v>617</v>
      </c>
      <c r="D42" s="4" t="s">
        <v>618</v>
      </c>
      <c r="E42" s="4"/>
      <c r="F42" s="4"/>
    </row>
    <row r="43" ht="16" customHeight="1" s="4" customFormat="1">
      <c r="A43" s="4" t="s">
        <v>619</v>
      </c>
      <c r="B43" s="5">
        <v>45079</v>
      </c>
      <c r="C43" s="4" t="s">
        <v>617</v>
      </c>
      <c r="D43" s="4" t="s">
        <v>620</v>
      </c>
      <c r="E43" s="4"/>
      <c r="F43" s="4"/>
    </row>
    <row r="44" ht="16" customHeight="1" s="4" customFormat="1">
      <c r="A44" s="4" t="s">
        <v>621</v>
      </c>
      <c r="B44" s="5">
        <v>45062</v>
      </c>
      <c r="C44" s="4" t="s">
        <v>617</v>
      </c>
      <c r="D44" s="4" t="s">
        <v>622</v>
      </c>
      <c r="E44" s="4"/>
      <c r="F44" s="4"/>
    </row>
    <row r="45" ht="16" customHeight="1" s="4" customFormat="1">
      <c r="A45" s="4" t="s">
        <v>623</v>
      </c>
      <c r="B45" s="5">
        <v>45049</v>
      </c>
      <c r="C45" s="4" t="s">
        <v>617</v>
      </c>
      <c r="D45" s="4" t="s">
        <v>624</v>
      </c>
      <c r="E45" s="4"/>
      <c r="F45" s="4"/>
    </row>
    <row r="46" ht="16" customHeight="1" s="4" customFormat="1">
      <c r="A46" s="4" t="s">
        <v>625</v>
      </c>
      <c r="B46" s="5">
        <v>45048</v>
      </c>
      <c r="C46" s="4" t="s">
        <v>626</v>
      </c>
      <c r="D46" s="4" t="s">
        <v>627</v>
      </c>
      <c r="E46" s="4"/>
      <c r="F46" s="4"/>
    </row>
    <row r="47" ht="16" customHeight="1" s="4" customFormat="1">
      <c r="A47" s="4" t="s">
        <v>628</v>
      </c>
      <c r="B47" s="5">
        <v>45043</v>
      </c>
      <c r="C47" s="4" t="s">
        <v>629</v>
      </c>
      <c r="D47" s="4" t="s">
        <v>630</v>
      </c>
      <c r="E47" s="4"/>
      <c r="F47" s="4"/>
    </row>
    <row r="48" ht="16" customHeight="1" s="4" customFormat="1">
      <c r="A48" s="4" t="s">
        <v>631</v>
      </c>
      <c r="B48" s="5">
        <v>45041</v>
      </c>
      <c r="C48" s="4" t="s">
        <v>626</v>
      </c>
      <c r="D48" s="4" t="s">
        <v>632</v>
      </c>
      <c r="E48" s="4"/>
      <c r="F48" s="4"/>
    </row>
    <row r="49" ht="16" customHeight="1" s="4" customFormat="1">
      <c r="A49" s="4" t="s">
        <v>633</v>
      </c>
      <c r="B49" s="5">
        <v>45034</v>
      </c>
      <c r="C49" s="4" t="s">
        <v>617</v>
      </c>
      <c r="D49" s="4" t="s">
        <v>634</v>
      </c>
      <c r="E49" s="4"/>
      <c r="F49" s="4"/>
    </row>
    <row r="50" ht="16" customHeight="1">
      <c r="A50" s="3" t="s">
        <v>635</v>
      </c>
      <c r="B50" s="6">
        <v>45027</v>
      </c>
      <c r="C50" s="3" t="s">
        <v>537</v>
      </c>
      <c r="D50" s="3" t="s">
        <v>636</v>
      </c>
    </row>
    <row r="51" ht="16" customHeight="1">
      <c r="A51" s="3" t="s">
        <v>635</v>
      </c>
      <c r="B51" s="6">
        <v>45027</v>
      </c>
      <c r="C51" s="3" t="s">
        <v>537</v>
      </c>
      <c r="D51" s="3" t="s">
        <v>637</v>
      </c>
    </row>
  </sheetData>
  <headerFooter/>
</worksheet>
</file>

<file path=xl/worksheets/sheet17.xml><?xml version="1.0" encoding="utf-8"?>
<worksheet xmlns:r="http://schemas.openxmlformats.org/officeDocument/2006/relationships" xmlns="http://schemas.openxmlformats.org/spreadsheetml/2006/main">
  <dimension ref="A1:C2"/>
  <sheetViews>
    <sheetView workbookViewId="0"/>
  </sheetViews>
  <sheetFormatPr defaultRowHeight="15"/>
  <cols>
    <col min="1" max="1" width="20.8621940612793" customWidth="1" style="3"/>
    <col min="2" max="2" width="24.6107044219971" customWidth="1" style="3"/>
    <col min="3" max="16384" width="15.7089796066284" customWidth="1" style="3"/>
    <col min="4" max="16384" width="9.140625" customWidth="1" style="3"/>
    <col min="5" max="16384" width="9.140625" customWidth="1" style="3"/>
  </cols>
  <sheetData>
    <row r="1" ht="16" customHeight="1" s="1" customFormat="1">
      <c r="A1" s="2" t="s">
        <v>9</v>
      </c>
      <c r="B1" s="2" t="s">
        <v>638</v>
      </c>
      <c r="C1" s="2" t="s">
        <v>639</v>
      </c>
    </row>
    <row r="2" ht="16" customHeight="1">
      <c r="A2" s="3" t="s">
        <v>640</v>
      </c>
      <c r="B2" s="3" t="s">
        <v>641</v>
      </c>
      <c r="C2" s="3" t="s">
        <v>642</v>
      </c>
    </row>
  </sheetData>
  <headerFooter/>
</worksheet>
</file>

<file path=xl/worksheets/sheet18.xml><?xml version="1.0" encoding="utf-8"?>
<worksheet xmlns:r="http://schemas.openxmlformats.org/officeDocument/2006/relationships" xmlns="http://schemas.openxmlformats.org/spreadsheetml/2006/main">
  <dimension ref="A1:Q5"/>
  <sheetViews>
    <sheetView workbookViewId="0"/>
  </sheetViews>
  <sheetFormatPr defaultRowHeight="15"/>
  <cols>
    <col min="1" max="1" width="15.8060779571533" customWidth="1" style="3"/>
    <col min="2" max="2" width="34.7850875854492" customWidth="1" style="3"/>
    <col min="3" max="3" width="17.4911918640137" customWidth="1" style="3"/>
    <col min="4" max="4" width="10.1445608139038" customWidth="1" style="3"/>
    <col min="5" max="5" width="10.1445608139038" customWidth="1" style="3"/>
    <col min="6" max="6" width="10.1445608139038" customWidth="1" style="3"/>
    <col min="7" max="7" width="10.1445608139038" customWidth="1" style="3"/>
    <col min="8" max="8" width="10.1445608139038" customWidth="1" style="3"/>
    <col min="9" max="9" width="10.1445608139038" customWidth="1" style="3"/>
    <col min="10" max="10" width="10.1445608139038" customWidth="1" style="3"/>
    <col min="11" max="11" width="10.1445608139038" customWidth="1" style="3"/>
    <col min="12" max="12" width="10.1445608139038" customWidth="1" style="3"/>
    <col min="13" max="13" width="10.1445608139038" customWidth="1" style="3"/>
    <col min="14" max="14" width="11.7763500213623" customWidth="1" style="3"/>
    <col min="15" max="16384" width="10.1445608139038" customWidth="1" style="3"/>
    <col min="16" max="16384" width="9.140625" customWidth="1" style="3"/>
    <col min="17" max="16384" width="9.140625" customWidth="1" style="3"/>
  </cols>
  <sheetData>
    <row r="1" ht="20" customHeight="1" s="1" customFormat="1">
      <c r="A1" s="2" t="s">
        <v>643</v>
      </c>
      <c r="B1" s="2" t="s">
        <v>644</v>
      </c>
      <c r="C1" s="2" t="s">
        <v>645</v>
      </c>
      <c r="D1" s="2" t="s">
        <v>646</v>
      </c>
      <c r="E1" s="2" t="s">
        <v>647</v>
      </c>
      <c r="F1" s="2" t="s">
        <v>648</v>
      </c>
      <c r="G1" s="2" t="s">
        <v>649</v>
      </c>
      <c r="H1" s="2" t="s">
        <v>650</v>
      </c>
      <c r="I1" s="2" t="s">
        <v>651</v>
      </c>
      <c r="J1" s="2" t="s">
        <v>652</v>
      </c>
      <c r="K1" s="2" t="s">
        <v>653</v>
      </c>
      <c r="L1" s="2" t="s">
        <v>654</v>
      </c>
      <c r="M1" s="2" t="s">
        <v>655</v>
      </c>
      <c r="N1" s="2" t="s">
        <v>656</v>
      </c>
      <c r="O1" s="2" t="s">
        <v>135</v>
      </c>
    </row>
    <row r="2" ht="16" customHeight="1" s="4" customFormat="1">
      <c r="A2" s="4"/>
      <c r="B2" s="4"/>
      <c r="C2" s="4" t="s">
        <v>657</v>
      </c>
      <c r="D2" s="4">
        <v>9066040</v>
      </c>
      <c r="E2" s="4">
        <v>8970520</v>
      </c>
      <c r="F2" s="4">
        <v>9034480</v>
      </c>
      <c r="G2" s="4">
        <v>9008410</v>
      </c>
      <c r="H2" s="4">
        <v>9058890</v>
      </c>
      <c r="I2" s="4">
        <v>9090040</v>
      </c>
      <c r="J2" s="4">
        <v>9285680</v>
      </c>
      <c r="K2" s="4">
        <v>9266280</v>
      </c>
      <c r="L2" s="4">
        <v>9226410</v>
      </c>
      <c r="M2" s="4">
        <v>9158200</v>
      </c>
      <c r="N2" s="4">
        <v>11214000</v>
      </c>
      <c r="O2" s="4">
        <v>8467930</v>
      </c>
      <c r="P2" s="4"/>
      <c r="Q2" s="4"/>
    </row>
    <row r="3" ht="16" customHeight="1" s="4" customFormat="1">
      <c r="A3" s="4"/>
      <c r="B3" s="4"/>
      <c r="C3" s="4" t="s">
        <v>658</v>
      </c>
      <c r="D3" s="4">
        <v>444</v>
      </c>
      <c r="E3" s="4">
        <v>441</v>
      </c>
      <c r="F3" s="4">
        <v>443</v>
      </c>
      <c r="G3" s="4">
        <v>445</v>
      </c>
      <c r="H3" s="4">
        <v>448</v>
      </c>
      <c r="I3" s="4">
        <v>454</v>
      </c>
      <c r="J3" s="4">
        <v>469</v>
      </c>
      <c r="K3" s="4">
        <v>469</v>
      </c>
      <c r="L3" s="4">
        <v>469</v>
      </c>
      <c r="M3" s="4">
        <v>473</v>
      </c>
      <c r="N3" s="4">
        <v>471</v>
      </c>
      <c r="O3" s="4">
        <v>475</v>
      </c>
      <c r="P3" s="4"/>
      <c r="Q3" s="4"/>
    </row>
    <row r="4" ht="16" customHeight="1">
      <c r="A4" s="3" t="s">
        <v>659</v>
      </c>
      <c r="B4" s="3" t="s">
        <v>660</v>
      </c>
      <c r="C4" s="3" t="s">
        <v>661</v>
      </c>
      <c r="D4" s="3">
        <v>9066040</v>
      </c>
      <c r="E4" s="3">
        <v>8970520</v>
      </c>
      <c r="F4" s="3">
        <v>9034480</v>
      </c>
      <c r="G4" s="3">
        <v>9008410</v>
      </c>
      <c r="H4" s="3">
        <v>9058890</v>
      </c>
      <c r="I4" s="3">
        <v>9090040</v>
      </c>
      <c r="J4" s="3">
        <v>9285680</v>
      </c>
      <c r="K4" s="3">
        <v>9266280</v>
      </c>
      <c r="L4" s="3">
        <v>9226410</v>
      </c>
      <c r="M4" s="3">
        <v>9158200</v>
      </c>
      <c r="N4" s="3">
        <v>11214000</v>
      </c>
      <c r="O4" s="3">
        <v>8467930</v>
      </c>
    </row>
    <row r="5" ht="16" customHeight="1">
      <c r="A5" s="3" t="s">
        <v>659</v>
      </c>
      <c r="B5" s="3" t="s">
        <v>660</v>
      </c>
      <c r="C5" s="3" t="s">
        <v>662</v>
      </c>
      <c r="D5" s="3">
        <v>444</v>
      </c>
      <c r="E5" s="3">
        <v>441</v>
      </c>
      <c r="F5" s="3">
        <v>443</v>
      </c>
      <c r="G5" s="3">
        <v>445</v>
      </c>
      <c r="H5" s="3">
        <v>448</v>
      </c>
      <c r="I5" s="3">
        <v>454</v>
      </c>
      <c r="J5" s="3">
        <v>469</v>
      </c>
      <c r="K5" s="3">
        <v>469</v>
      </c>
      <c r="L5" s="3">
        <v>469</v>
      </c>
      <c r="M5" s="3">
        <v>473</v>
      </c>
      <c r="N5" s="3">
        <v>471</v>
      </c>
      <c r="O5" s="3">
        <v>475</v>
      </c>
    </row>
  </sheetData>
  <headerFooter/>
</worksheet>
</file>

<file path=xl/worksheets/sheet19.xml><?xml version="1.0" encoding="utf-8"?>
<worksheet xmlns:r="http://schemas.openxmlformats.org/officeDocument/2006/relationships" xmlns="http://schemas.openxmlformats.org/spreadsheetml/2006/main">
  <dimension ref="A1:I14"/>
  <sheetViews>
    <sheetView workbookViewId="0"/>
  </sheetViews>
  <sheetFormatPr defaultRowHeight="15"/>
  <cols>
    <col min="1" max="1" width="12.5815019607544" customWidth="1" style="3"/>
    <col min="2" max="2" width="47.4107322692871" customWidth="1" style="3"/>
    <col min="3" max="3" width="9.15321063995361" customWidth="1" style="3"/>
    <col min="4" max="4" width="32.2591400146484" customWidth="1" style="3"/>
    <col min="5" max="5" width="40.6670341491699" customWidth="1" style="3"/>
    <col min="6" max="6" width="18.8429088592529" customWidth="1" style="3"/>
    <col min="7" max="16384" width="23.6367454528809" customWidth="1" style="3"/>
    <col min="8" max="16384" width="9.140625" customWidth="1" style="3"/>
    <col min="9" max="16384" width="9.140625" customWidth="1" style="3"/>
  </cols>
  <sheetData>
    <row r="1" ht="20" customHeight="1" s="1" customFormat="1">
      <c r="A1" s="2" t="s">
        <v>508</v>
      </c>
      <c r="B1" s="2" t="s">
        <v>663</v>
      </c>
      <c r="C1" s="2" t="s">
        <v>664</v>
      </c>
      <c r="D1" s="2" t="s">
        <v>665</v>
      </c>
      <c r="E1" s="2" t="s">
        <v>666</v>
      </c>
      <c r="F1" s="2" t="s">
        <v>667</v>
      </c>
      <c r="G1" s="2" t="s">
        <v>668</v>
      </c>
    </row>
    <row r="2" ht="16" customHeight="1" s="4" customFormat="1">
      <c r="A2" s="4" t="s">
        <v>669</v>
      </c>
      <c r="B2" s="4" t="s">
        <v>670</v>
      </c>
      <c r="C2" s="4" t="s">
        <v>671</v>
      </c>
      <c r="D2" s="4" t="s">
        <v>672</v>
      </c>
      <c r="E2" s="4" t="s">
        <v>673</v>
      </c>
      <c r="F2" s="4">
        <v>9.6</v>
      </c>
      <c r="G2" s="4" t="s">
        <v>674</v>
      </c>
      <c r="H2" s="4"/>
      <c r="I2" s="4"/>
    </row>
    <row r="3" ht="16" customHeight="1" s="4" customFormat="1">
      <c r="A3" s="4" t="s">
        <v>675</v>
      </c>
      <c r="B3" s="4" t="s">
        <v>670</v>
      </c>
      <c r="C3" s="4" t="s">
        <v>671</v>
      </c>
      <c r="D3" s="4" t="s">
        <v>672</v>
      </c>
      <c r="E3" s="4" t="s">
        <v>673</v>
      </c>
      <c r="F3" s="4">
        <v>4.16</v>
      </c>
      <c r="G3" s="4" t="s">
        <v>674</v>
      </c>
      <c r="H3" s="4"/>
      <c r="I3" s="4"/>
    </row>
    <row r="4" ht="16" customHeight="1" s="4" customFormat="1">
      <c r="A4" s="4" t="s">
        <v>676</v>
      </c>
      <c r="B4" s="4" t="s">
        <v>425</v>
      </c>
      <c r="C4" s="4" t="s">
        <v>671</v>
      </c>
      <c r="D4" s="4" t="s">
        <v>677</v>
      </c>
      <c r="E4" s="4" t="s">
        <v>678</v>
      </c>
      <c r="F4" s="4">
        <v>0</v>
      </c>
      <c r="G4" s="4"/>
      <c r="H4" s="4"/>
      <c r="I4" s="4"/>
    </row>
    <row r="5" ht="16" customHeight="1" s="4" customFormat="1">
      <c r="A5" s="4" t="s">
        <v>679</v>
      </c>
      <c r="B5" s="4" t="s">
        <v>425</v>
      </c>
      <c r="C5" s="4" t="s">
        <v>671</v>
      </c>
      <c r="D5" s="4" t="s">
        <v>677</v>
      </c>
      <c r="E5" s="4" t="s">
        <v>680</v>
      </c>
      <c r="F5" s="4">
        <v>0</v>
      </c>
      <c r="G5" s="4"/>
      <c r="H5" s="4"/>
      <c r="I5" s="4"/>
    </row>
    <row r="6" ht="16" customHeight="1" s="4" customFormat="1">
      <c r="A6" s="4" t="s">
        <v>681</v>
      </c>
      <c r="B6" s="4" t="s">
        <v>682</v>
      </c>
      <c r="C6" s="4" t="s">
        <v>671</v>
      </c>
      <c r="D6" s="4" t="s">
        <v>677</v>
      </c>
      <c r="E6" s="4" t="s">
        <v>683</v>
      </c>
      <c r="F6" s="4">
        <v>0</v>
      </c>
      <c r="G6" s="4"/>
      <c r="H6" s="4"/>
      <c r="I6" s="4"/>
    </row>
    <row r="7" ht="16" customHeight="1" s="4" customFormat="1">
      <c r="A7" s="4" t="s">
        <v>681</v>
      </c>
      <c r="B7" s="4" t="s">
        <v>425</v>
      </c>
      <c r="C7" s="4" t="s">
        <v>671</v>
      </c>
      <c r="D7" s="4" t="s">
        <v>677</v>
      </c>
      <c r="E7" s="4" t="s">
        <v>684</v>
      </c>
      <c r="F7" s="4">
        <v>0.01</v>
      </c>
      <c r="G7" s="4"/>
      <c r="H7" s="4"/>
      <c r="I7" s="4"/>
    </row>
    <row r="8" ht="16" customHeight="1" s="4" customFormat="1">
      <c r="A8" s="4" t="s">
        <v>685</v>
      </c>
      <c r="B8" s="4" t="s">
        <v>425</v>
      </c>
      <c r="C8" s="4" t="s">
        <v>671</v>
      </c>
      <c r="D8" s="4" t="s">
        <v>677</v>
      </c>
      <c r="E8" s="4" t="s">
        <v>686</v>
      </c>
      <c r="F8" s="4">
        <v>12.06</v>
      </c>
      <c r="G8" s="4"/>
      <c r="H8" s="4"/>
      <c r="I8" s="4"/>
    </row>
    <row r="9" ht="16" customHeight="1" s="4" customFormat="1">
      <c r="A9" s="4" t="s">
        <v>687</v>
      </c>
      <c r="B9" s="4" t="s">
        <v>688</v>
      </c>
      <c r="C9" s="4" t="s">
        <v>671</v>
      </c>
      <c r="D9" s="4" t="s">
        <v>677</v>
      </c>
      <c r="E9" s="4" t="s">
        <v>689</v>
      </c>
      <c r="F9" s="4">
        <v>0</v>
      </c>
      <c r="G9" s="4"/>
      <c r="H9" s="4"/>
      <c r="I9" s="4"/>
    </row>
    <row r="10" ht="16" customHeight="1" s="4" customFormat="1">
      <c r="A10" s="4" t="s">
        <v>690</v>
      </c>
      <c r="B10" s="4" t="s">
        <v>691</v>
      </c>
      <c r="C10" s="4" t="s">
        <v>671</v>
      </c>
      <c r="D10" s="4" t="s">
        <v>677</v>
      </c>
      <c r="E10" s="4" t="s">
        <v>692</v>
      </c>
      <c r="F10" s="4">
        <v>0.02</v>
      </c>
      <c r="G10" s="4"/>
      <c r="H10" s="4"/>
      <c r="I10" s="4"/>
    </row>
    <row r="11" ht="16" customHeight="1" s="4" customFormat="1">
      <c r="A11" s="4" t="s">
        <v>693</v>
      </c>
      <c r="B11" s="4" t="s">
        <v>425</v>
      </c>
      <c r="C11" s="4" t="s">
        <v>671</v>
      </c>
      <c r="D11" s="4" t="s">
        <v>677</v>
      </c>
      <c r="E11" s="4" t="s">
        <v>694</v>
      </c>
      <c r="F11" s="4">
        <v>0.01</v>
      </c>
      <c r="G11" s="4"/>
      <c r="H11" s="4"/>
      <c r="I11" s="4"/>
    </row>
    <row r="12" ht="16" customHeight="1" s="4" customFormat="1">
      <c r="A12" s="4" t="s">
        <v>695</v>
      </c>
      <c r="B12" s="4" t="s">
        <v>696</v>
      </c>
      <c r="C12" s="4" t="s">
        <v>671</v>
      </c>
      <c r="D12" s="4" t="s">
        <v>677</v>
      </c>
      <c r="E12" s="4" t="s">
        <v>697</v>
      </c>
      <c r="F12" s="4">
        <v>0.01</v>
      </c>
      <c r="G12" s="4"/>
      <c r="H12" s="4"/>
      <c r="I12" s="4"/>
    </row>
    <row r="13" ht="16" customHeight="1" s="4" customFormat="1">
      <c r="A13" s="4" t="s">
        <v>698</v>
      </c>
      <c r="B13" s="4" t="s">
        <v>425</v>
      </c>
      <c r="C13" s="4" t="s">
        <v>699</v>
      </c>
      <c r="D13" s="4" t="s">
        <v>700</v>
      </c>
      <c r="E13" s="4" t="s">
        <v>701</v>
      </c>
      <c r="F13" s="4">
        <v>0</v>
      </c>
      <c r="G13" s="4"/>
      <c r="H13" s="4"/>
      <c r="I13" s="4"/>
    </row>
    <row r="14" ht="16" customHeight="1">
      <c r="A14" s="3" t="s">
        <v>702</v>
      </c>
      <c r="B14" s="3" t="s">
        <v>425</v>
      </c>
      <c r="C14" s="3" t="s">
        <v>671</v>
      </c>
      <c r="D14" s="3" t="s">
        <v>700</v>
      </c>
      <c r="E14" s="3" t="s">
        <v>703</v>
      </c>
      <c r="F14" s="3">
        <v>1</v>
      </c>
      <c r="G14" s="3"/>
    </row>
  </sheetData>
  <headerFooter/>
</worksheet>
</file>

<file path=xl/worksheets/sheet20.xml><?xml version="1.0" encoding="utf-8"?>
<worksheet xmlns:r="http://schemas.openxmlformats.org/officeDocument/2006/relationships" xmlns="http://schemas.openxmlformats.org/spreadsheetml/2006/main">
  <dimension ref="A1:G43"/>
  <sheetViews>
    <sheetView workbookViewId="0"/>
  </sheetViews>
  <sheetFormatPr defaultRowHeight="15"/>
  <cols>
    <col min="1" max="1" width="12.8065767288208" customWidth="1" style="3"/>
    <col min="2" max="2" width="12.1845531463623" customWidth="1" style="3"/>
    <col min="3" max="3" width="28.2067775726318" customWidth="1" style="3"/>
    <col min="4" max="4" width="134.641372680664" customWidth="1" style="3"/>
    <col min="5" max="16384" width="150.12646484375" customWidth="1" style="3"/>
    <col min="6" max="16384" width="9.140625" customWidth="1" style="3"/>
    <col min="7" max="16384" width="9.140625" customWidth="1" style="3"/>
  </cols>
  <sheetData>
    <row r="1" ht="20" customHeight="1" s="1" customFormat="1">
      <c r="A1" s="2" t="s">
        <v>508</v>
      </c>
      <c r="B1" s="2" t="s">
        <v>383</v>
      </c>
      <c r="C1" s="2" t="s">
        <v>385</v>
      </c>
      <c r="D1" s="2" t="s">
        <v>704</v>
      </c>
      <c r="E1" s="2" t="s">
        <v>705</v>
      </c>
    </row>
    <row r="2" ht="16" customHeight="1" s="4" customFormat="1">
      <c r="A2" s="5">
        <v>46114</v>
      </c>
      <c r="B2" s="4" t="s">
        <v>390</v>
      </c>
      <c r="C2" s="4" t="s">
        <v>706</v>
      </c>
      <c r="D2" s="4" t="s">
        <v>707</v>
      </c>
      <c r="E2" s="4" t="s">
        <v>708</v>
      </c>
      <c r="F2" s="4"/>
      <c r="G2" s="4"/>
    </row>
    <row r="3" ht="16" customHeight="1" s="4" customFormat="1">
      <c r="A3" s="5">
        <v>46034</v>
      </c>
      <c r="B3" s="4" t="s">
        <v>390</v>
      </c>
      <c r="C3" s="4" t="s">
        <v>709</v>
      </c>
      <c r="D3" s="4" t="s">
        <v>710</v>
      </c>
      <c r="E3" s="4"/>
      <c r="F3" s="4"/>
      <c r="G3" s="4"/>
    </row>
    <row r="4" ht="16" customHeight="1" s="4" customFormat="1">
      <c r="A4" s="5">
        <v>45909</v>
      </c>
      <c r="B4" s="4" t="s">
        <v>711</v>
      </c>
      <c r="C4" s="4" t="s">
        <v>712</v>
      </c>
      <c r="D4" s="4" t="s">
        <v>713</v>
      </c>
      <c r="E4" s="4" t="s">
        <v>714</v>
      </c>
      <c r="F4" s="4"/>
      <c r="G4" s="4"/>
    </row>
    <row r="5" ht="16" customHeight="1" s="4" customFormat="1">
      <c r="A5" s="5">
        <v>45867</v>
      </c>
      <c r="B5" s="4" t="s">
        <v>390</v>
      </c>
      <c r="C5" s="4" t="s">
        <v>715</v>
      </c>
      <c r="D5" s="4" t="s">
        <v>716</v>
      </c>
      <c r="E5" s="4"/>
      <c r="F5" s="4"/>
      <c r="G5" s="4"/>
    </row>
    <row r="6" ht="16" customHeight="1" s="4" customFormat="1">
      <c r="A6" s="5">
        <v>45635</v>
      </c>
      <c r="B6" s="4" t="s">
        <v>390</v>
      </c>
      <c r="C6" s="4" t="s">
        <v>706</v>
      </c>
      <c r="D6" s="4" t="s">
        <v>717</v>
      </c>
      <c r="E6" s="4" t="s">
        <v>718</v>
      </c>
      <c r="F6" s="4"/>
      <c r="G6" s="4"/>
    </row>
    <row r="7" ht="16" customHeight="1" s="4" customFormat="1">
      <c r="A7" s="5">
        <v>45530</v>
      </c>
      <c r="B7" s="4" t="s">
        <v>390</v>
      </c>
      <c r="C7" s="4" t="s">
        <v>719</v>
      </c>
      <c r="D7" s="4" t="s">
        <v>720</v>
      </c>
      <c r="E7" s="4"/>
      <c r="F7" s="4"/>
      <c r="G7" s="4"/>
    </row>
    <row r="8" ht="16" customHeight="1" s="4" customFormat="1">
      <c r="A8" s="5">
        <v>45530</v>
      </c>
      <c r="B8" s="4" t="s">
        <v>390</v>
      </c>
      <c r="C8" s="4" t="s">
        <v>719</v>
      </c>
      <c r="D8" s="4" t="s">
        <v>721</v>
      </c>
      <c r="E8" s="4"/>
      <c r="F8" s="4"/>
      <c r="G8" s="4"/>
    </row>
    <row r="9" ht="16" customHeight="1" s="4" customFormat="1">
      <c r="A9" s="5">
        <v>45220</v>
      </c>
      <c r="B9" s="4" t="s">
        <v>390</v>
      </c>
      <c r="C9" s="4" t="s">
        <v>706</v>
      </c>
      <c r="D9" s="4" t="s">
        <v>722</v>
      </c>
      <c r="E9" s="4" t="s">
        <v>723</v>
      </c>
      <c r="F9" s="4"/>
      <c r="G9" s="4"/>
    </row>
    <row r="10" ht="16" customHeight="1" s="4" customFormat="1">
      <c r="A10" s="5">
        <v>45146</v>
      </c>
      <c r="B10" s="4" t="s">
        <v>724</v>
      </c>
      <c r="C10" s="4" t="s">
        <v>706</v>
      </c>
      <c r="D10" s="4" t="s">
        <v>725</v>
      </c>
      <c r="E10" s="4" t="s">
        <v>726</v>
      </c>
      <c r="F10" s="4"/>
      <c r="G10" s="4"/>
    </row>
    <row r="11" ht="16" customHeight="1" s="4" customFormat="1">
      <c r="A11" s="5">
        <v>44888</v>
      </c>
      <c r="B11" s="4" t="s">
        <v>724</v>
      </c>
      <c r="C11" s="4" t="s">
        <v>727</v>
      </c>
      <c r="D11" s="4" t="s">
        <v>728</v>
      </c>
      <c r="E11" s="4" t="s">
        <v>729</v>
      </c>
      <c r="F11" s="4"/>
      <c r="G11" s="4"/>
    </row>
    <row r="12" ht="16" customHeight="1" s="4" customFormat="1">
      <c r="A12" s="5">
        <v>44819</v>
      </c>
      <c r="B12" s="4" t="s">
        <v>390</v>
      </c>
      <c r="C12" s="4" t="s">
        <v>706</v>
      </c>
      <c r="D12" s="4" t="s">
        <v>730</v>
      </c>
      <c r="E12" s="4" t="s">
        <v>731</v>
      </c>
      <c r="F12" s="4"/>
      <c r="G12" s="4"/>
    </row>
    <row r="13" ht="16" customHeight="1" s="4" customFormat="1">
      <c r="A13" s="5">
        <v>44701</v>
      </c>
      <c r="B13" s="4" t="s">
        <v>724</v>
      </c>
      <c r="C13" s="4" t="s">
        <v>732</v>
      </c>
      <c r="D13" s="4" t="s">
        <v>733</v>
      </c>
      <c r="E13" s="4" t="s">
        <v>734</v>
      </c>
      <c r="F13" s="4"/>
      <c r="G13" s="4"/>
    </row>
    <row r="14" ht="16" customHeight="1" s="4" customFormat="1">
      <c r="A14" s="5">
        <v>44684</v>
      </c>
      <c r="B14" s="4" t="s">
        <v>724</v>
      </c>
      <c r="C14" s="4" t="s">
        <v>735</v>
      </c>
      <c r="D14" s="4" t="s">
        <v>736</v>
      </c>
      <c r="E14" s="4" t="s">
        <v>737</v>
      </c>
      <c r="F14" s="4"/>
      <c r="G14" s="4"/>
    </row>
    <row r="15" ht="16" customHeight="1" s="4" customFormat="1">
      <c r="A15" s="5">
        <v>44581</v>
      </c>
      <c r="B15" s="4" t="s">
        <v>390</v>
      </c>
      <c r="C15" s="4" t="s">
        <v>706</v>
      </c>
      <c r="D15" s="4" t="s">
        <v>738</v>
      </c>
      <c r="E15" s="4" t="s">
        <v>739</v>
      </c>
      <c r="F15" s="4"/>
      <c r="G15" s="4"/>
    </row>
    <row r="16" ht="16" customHeight="1" s="4" customFormat="1">
      <c r="A16" s="5">
        <v>44553</v>
      </c>
      <c r="B16" s="4" t="s">
        <v>724</v>
      </c>
      <c r="C16" s="4" t="s">
        <v>727</v>
      </c>
      <c r="D16" s="4" t="s">
        <v>740</v>
      </c>
      <c r="E16" s="4" t="s">
        <v>741</v>
      </c>
      <c r="F16" s="4"/>
      <c r="G16" s="4"/>
    </row>
    <row r="17" ht="16" customHeight="1" s="4" customFormat="1">
      <c r="A17" s="5">
        <v>44536</v>
      </c>
      <c r="B17" s="4" t="s">
        <v>390</v>
      </c>
      <c r="C17" s="4" t="s">
        <v>706</v>
      </c>
      <c r="D17" s="4" t="s">
        <v>742</v>
      </c>
      <c r="E17" s="4" t="s">
        <v>743</v>
      </c>
      <c r="F17" s="4"/>
      <c r="G17" s="4"/>
    </row>
    <row r="18" ht="16" customHeight="1" s="4" customFormat="1">
      <c r="A18" s="5">
        <v>44534</v>
      </c>
      <c r="B18" s="4" t="s">
        <v>390</v>
      </c>
      <c r="C18" s="4" t="s">
        <v>706</v>
      </c>
      <c r="D18" s="4" t="s">
        <v>744</v>
      </c>
      <c r="E18" s="4" t="s">
        <v>745</v>
      </c>
      <c r="F18" s="4"/>
      <c r="G18" s="4"/>
    </row>
    <row r="19" ht="16" customHeight="1" s="4" customFormat="1">
      <c r="A19" s="5">
        <v>44476</v>
      </c>
      <c r="B19" s="4" t="s">
        <v>390</v>
      </c>
      <c r="C19" s="4" t="s">
        <v>706</v>
      </c>
      <c r="D19" s="4" t="s">
        <v>746</v>
      </c>
      <c r="E19" s="4" t="s">
        <v>747</v>
      </c>
      <c r="F19" s="4"/>
      <c r="G19" s="4"/>
    </row>
    <row r="20" ht="16" customHeight="1" s="4" customFormat="1">
      <c r="A20" s="5">
        <v>44471</v>
      </c>
      <c r="B20" s="4" t="s">
        <v>724</v>
      </c>
      <c r="C20" s="4" t="s">
        <v>727</v>
      </c>
      <c r="D20" s="4" t="s">
        <v>748</v>
      </c>
      <c r="E20" s="4" t="s">
        <v>749</v>
      </c>
      <c r="F20" s="4"/>
      <c r="G20" s="4"/>
    </row>
    <row r="21" ht="16" customHeight="1" s="4" customFormat="1">
      <c r="A21" s="5">
        <v>44395</v>
      </c>
      <c r="B21" s="4" t="s">
        <v>724</v>
      </c>
      <c r="C21" s="4" t="s">
        <v>727</v>
      </c>
      <c r="D21" s="4" t="s">
        <v>750</v>
      </c>
      <c r="E21" s="4" t="s">
        <v>751</v>
      </c>
      <c r="F21" s="4"/>
      <c r="G21" s="4"/>
    </row>
    <row r="22" ht="16" customHeight="1" s="4" customFormat="1">
      <c r="A22" s="5">
        <v>44392</v>
      </c>
      <c r="B22" s="4" t="s">
        <v>390</v>
      </c>
      <c r="C22" s="4" t="s">
        <v>706</v>
      </c>
      <c r="D22" s="4" t="s">
        <v>752</v>
      </c>
      <c r="E22" s="4" t="s">
        <v>753</v>
      </c>
      <c r="F22" s="4"/>
      <c r="G22" s="4"/>
    </row>
    <row r="23" ht="16" customHeight="1" s="4" customFormat="1">
      <c r="A23" s="5">
        <v>44375</v>
      </c>
      <c r="B23" s="4" t="s">
        <v>390</v>
      </c>
      <c r="C23" s="4" t="s">
        <v>706</v>
      </c>
      <c r="D23" s="4" t="s">
        <v>754</v>
      </c>
      <c r="E23" s="4" t="s">
        <v>755</v>
      </c>
      <c r="F23" s="4"/>
      <c r="G23" s="4"/>
    </row>
    <row r="24" ht="16" customHeight="1" s="4" customFormat="1">
      <c r="A24" s="5">
        <v>44269</v>
      </c>
      <c r="B24" s="4" t="s">
        <v>724</v>
      </c>
      <c r="C24" s="4" t="s">
        <v>756</v>
      </c>
      <c r="D24" s="4" t="s">
        <v>757</v>
      </c>
      <c r="E24" s="4" t="s">
        <v>758</v>
      </c>
      <c r="F24" s="4"/>
      <c r="G24" s="4"/>
    </row>
    <row r="25" ht="16" customHeight="1" s="4" customFormat="1">
      <c r="A25" s="5">
        <v>44188</v>
      </c>
      <c r="B25" s="4" t="s">
        <v>390</v>
      </c>
      <c r="C25" s="4" t="s">
        <v>706</v>
      </c>
      <c r="D25" s="4" t="s">
        <v>759</v>
      </c>
      <c r="E25" s="4" t="s">
        <v>760</v>
      </c>
      <c r="F25" s="4"/>
      <c r="G25" s="4"/>
    </row>
    <row r="26" ht="16" customHeight="1" s="4" customFormat="1">
      <c r="A26" s="5">
        <v>44188</v>
      </c>
      <c r="B26" s="4" t="s">
        <v>390</v>
      </c>
      <c r="C26" s="4" t="s">
        <v>706</v>
      </c>
      <c r="D26" s="4" t="s">
        <v>761</v>
      </c>
      <c r="E26" s="4" t="s">
        <v>762</v>
      </c>
      <c r="F26" s="4"/>
      <c r="G26" s="4"/>
    </row>
    <row r="27" ht="16" customHeight="1" s="4" customFormat="1">
      <c r="A27" s="5">
        <v>44180</v>
      </c>
      <c r="B27" s="4" t="s">
        <v>390</v>
      </c>
      <c r="C27" s="4" t="s">
        <v>706</v>
      </c>
      <c r="D27" s="4" t="s">
        <v>763</v>
      </c>
      <c r="E27" s="4" t="s">
        <v>764</v>
      </c>
      <c r="F27" s="4"/>
      <c r="G27" s="4"/>
    </row>
    <row r="28" ht="16" customHeight="1" s="4" customFormat="1">
      <c r="A28" s="5">
        <v>44146</v>
      </c>
      <c r="B28" s="4" t="s">
        <v>724</v>
      </c>
      <c r="C28" s="4" t="s">
        <v>732</v>
      </c>
      <c r="D28" s="4" t="s">
        <v>765</v>
      </c>
      <c r="E28" s="4" t="s">
        <v>766</v>
      </c>
      <c r="F28" s="4"/>
      <c r="G28" s="4"/>
    </row>
    <row r="29" ht="16" customHeight="1" s="4" customFormat="1">
      <c r="A29" s="5">
        <v>44140</v>
      </c>
      <c r="B29" s="4" t="s">
        <v>724</v>
      </c>
      <c r="C29" s="4" t="s">
        <v>767</v>
      </c>
      <c r="D29" s="4" t="s">
        <v>768</v>
      </c>
      <c r="E29" s="4" t="s">
        <v>769</v>
      </c>
      <c r="F29" s="4"/>
      <c r="G29" s="4"/>
    </row>
    <row r="30" ht="16" customHeight="1" s="4" customFormat="1">
      <c r="A30" s="5">
        <v>44058</v>
      </c>
      <c r="B30" s="4" t="s">
        <v>711</v>
      </c>
      <c r="C30" s="4" t="s">
        <v>770</v>
      </c>
      <c r="D30" s="4" t="s">
        <v>771</v>
      </c>
      <c r="E30" s="4" t="s">
        <v>772</v>
      </c>
      <c r="F30" s="4"/>
      <c r="G30" s="4"/>
    </row>
    <row r="31" ht="16" customHeight="1" s="4" customFormat="1">
      <c r="A31" s="5">
        <v>44055</v>
      </c>
      <c r="B31" s="4" t="s">
        <v>390</v>
      </c>
      <c r="C31" s="4" t="s">
        <v>706</v>
      </c>
      <c r="D31" s="4" t="s">
        <v>773</v>
      </c>
      <c r="E31" s="4" t="s">
        <v>774</v>
      </c>
      <c r="F31" s="4"/>
      <c r="G31" s="4"/>
    </row>
    <row r="32" ht="16" customHeight="1" s="4" customFormat="1">
      <c r="A32" s="5">
        <v>43958</v>
      </c>
      <c r="B32" s="4" t="s">
        <v>390</v>
      </c>
      <c r="C32" s="4" t="s">
        <v>706</v>
      </c>
      <c r="D32" s="4" t="s">
        <v>775</v>
      </c>
      <c r="E32" s="4" t="s">
        <v>776</v>
      </c>
      <c r="F32" s="4"/>
      <c r="G32" s="4"/>
    </row>
    <row r="33" ht="16" customHeight="1" s="4" customFormat="1">
      <c r="A33" s="5">
        <v>43957</v>
      </c>
      <c r="B33" s="4" t="s">
        <v>390</v>
      </c>
      <c r="C33" s="4" t="s">
        <v>706</v>
      </c>
      <c r="D33" s="4" t="s">
        <v>777</v>
      </c>
      <c r="E33" s="4" t="s">
        <v>778</v>
      </c>
      <c r="F33" s="4"/>
      <c r="G33" s="4"/>
    </row>
    <row r="34" ht="16" customHeight="1" s="4" customFormat="1">
      <c r="A34" s="5">
        <v>43880</v>
      </c>
      <c r="B34" s="4" t="s">
        <v>390</v>
      </c>
      <c r="C34" s="4" t="s">
        <v>779</v>
      </c>
      <c r="D34" s="4" t="s">
        <v>780</v>
      </c>
      <c r="E34" s="4" t="s">
        <v>781</v>
      </c>
      <c r="F34" s="4"/>
      <c r="G34" s="4"/>
    </row>
    <row r="35" ht="16" customHeight="1" s="4" customFormat="1">
      <c r="A35" s="5">
        <v>43854</v>
      </c>
      <c r="B35" s="4" t="s">
        <v>390</v>
      </c>
      <c r="C35" s="4" t="s">
        <v>706</v>
      </c>
      <c r="D35" s="4" t="s">
        <v>782</v>
      </c>
      <c r="E35" s="4" t="s">
        <v>783</v>
      </c>
      <c r="F35" s="4"/>
      <c r="G35" s="4"/>
    </row>
    <row r="36" ht="16" customHeight="1" s="4" customFormat="1">
      <c r="A36" s="5">
        <v>43851</v>
      </c>
      <c r="B36" s="4" t="s">
        <v>390</v>
      </c>
      <c r="C36" s="4" t="s">
        <v>706</v>
      </c>
      <c r="D36" s="4" t="s">
        <v>784</v>
      </c>
      <c r="E36" s="4" t="s">
        <v>785</v>
      </c>
      <c r="F36" s="4"/>
      <c r="G36" s="4"/>
    </row>
    <row r="37" ht="16" customHeight="1" s="4" customFormat="1">
      <c r="A37" s="5">
        <v>43844</v>
      </c>
      <c r="B37" s="4" t="s">
        <v>390</v>
      </c>
      <c r="C37" s="4" t="s">
        <v>706</v>
      </c>
      <c r="D37" s="4" t="s">
        <v>786</v>
      </c>
      <c r="E37" s="4" t="s">
        <v>787</v>
      </c>
      <c r="F37" s="4"/>
      <c r="G37" s="4"/>
    </row>
    <row r="38" ht="16" customHeight="1" s="4" customFormat="1">
      <c r="A38" s="5">
        <v>43814</v>
      </c>
      <c r="B38" s="4" t="s">
        <v>724</v>
      </c>
      <c r="C38" s="4" t="s">
        <v>727</v>
      </c>
      <c r="D38" s="4" t="s">
        <v>788</v>
      </c>
      <c r="E38" s="4" t="s">
        <v>789</v>
      </c>
      <c r="F38" s="4"/>
      <c r="G38" s="4"/>
    </row>
    <row r="39" ht="16" customHeight="1" s="4" customFormat="1">
      <c r="A39" s="5">
        <v>43794</v>
      </c>
      <c r="B39" s="4" t="s">
        <v>390</v>
      </c>
      <c r="C39" s="4" t="s">
        <v>706</v>
      </c>
      <c r="D39" s="4" t="s">
        <v>790</v>
      </c>
      <c r="E39" s="4" t="s">
        <v>791</v>
      </c>
      <c r="F39" s="4"/>
      <c r="G39" s="4"/>
    </row>
    <row r="40" ht="16" customHeight="1" s="4" customFormat="1">
      <c r="A40" s="5">
        <v>43777</v>
      </c>
      <c r="B40" s="4" t="s">
        <v>390</v>
      </c>
      <c r="C40" s="4" t="s">
        <v>706</v>
      </c>
      <c r="D40" s="4" t="s">
        <v>792</v>
      </c>
      <c r="E40" s="4" t="s">
        <v>793</v>
      </c>
      <c r="F40" s="4"/>
      <c r="G40" s="4"/>
    </row>
    <row r="41" ht="16" customHeight="1" s="4" customFormat="1">
      <c r="A41" s="5">
        <v>43750</v>
      </c>
      <c r="B41" s="4" t="s">
        <v>390</v>
      </c>
      <c r="C41" s="4" t="s">
        <v>706</v>
      </c>
      <c r="D41" s="4" t="s">
        <v>794</v>
      </c>
      <c r="E41" s="4" t="s">
        <v>795</v>
      </c>
      <c r="F41" s="4"/>
      <c r="G41" s="4"/>
    </row>
    <row r="42" ht="16" customHeight="1">
      <c r="A42" s="6">
        <v>43725</v>
      </c>
      <c r="B42" s="3" t="s">
        <v>390</v>
      </c>
      <c r="C42" s="3" t="s">
        <v>706</v>
      </c>
      <c r="D42" s="3" t="s">
        <v>796</v>
      </c>
      <c r="E42" s="3" t="s">
        <v>797</v>
      </c>
    </row>
    <row r="43" ht="16" customHeight="1">
      <c r="A43" s="6">
        <v>43491</v>
      </c>
      <c r="B43" s="3" t="s">
        <v>724</v>
      </c>
      <c r="C43" s="3" t="s">
        <v>727</v>
      </c>
      <c r="D43" s="3" t="s">
        <v>798</v>
      </c>
      <c r="E43" s="3" t="s">
        <v>799</v>
      </c>
    </row>
  </sheetData>
  <headerFooter/>
</worksheet>
</file>

<file path=xl/worksheets/sheet21.xml><?xml version="1.0" encoding="utf-8"?>
<worksheet xmlns:r="http://schemas.openxmlformats.org/officeDocument/2006/relationships" xmlns="http://schemas.openxmlformats.org/spreadsheetml/2006/main">
  <dimension ref="A1:F5"/>
  <sheetViews>
    <sheetView workbookViewId="0"/>
  </sheetViews>
  <sheetFormatPr defaultRowHeight="15"/>
  <cols>
    <col min="1" max="1" width="26.5934047698975" customWidth="1" style="3"/>
    <col min="2" max="2" width="9.32979679107666" customWidth="1" style="3"/>
    <col min="3" max="3" width="11.4885568618774" customWidth="1" style="3"/>
    <col min="4" max="16384" width="9.140625" customWidth="1" style="3"/>
    <col min="5" max="16384" width="9.140625" customWidth="1" style="3"/>
    <col min="6" max="16384" width="9.140625" customWidth="1" style="3"/>
  </cols>
  <sheetData>
    <row r="1" ht="20" customHeight="1" s="1" customFormat="1">
      <c r="A1" s="2" t="s">
        <v>383</v>
      </c>
      <c r="B1" s="2" t="s">
        <v>800</v>
      </c>
      <c r="C1" s="2" t="s">
        <v>801</v>
      </c>
      <c r="D1" s="2" t="s">
        <v>802</v>
      </c>
    </row>
    <row r="2" ht="16" customHeight="1" s="4" customFormat="1">
      <c r="A2" s="4" t="s">
        <v>803</v>
      </c>
      <c r="B2" s="4"/>
      <c r="C2" s="4"/>
      <c r="D2" s="4">
        <v>0</v>
      </c>
      <c r="E2" s="4"/>
      <c r="F2" s="4"/>
    </row>
    <row r="3" ht="16" customHeight="1" s="4" customFormat="1">
      <c r="A3" s="4" t="s">
        <v>804</v>
      </c>
      <c r="B3" s="4">
        <v>0</v>
      </c>
      <c r="C3" s="4">
        <v>2</v>
      </c>
      <c r="D3" s="4">
        <v>2</v>
      </c>
      <c r="E3" s="4"/>
      <c r="F3" s="4"/>
    </row>
    <row r="4" ht="16" customHeight="1">
      <c r="A4" s="3" t="s">
        <v>805</v>
      </c>
      <c r="B4" s="3">
        <v>16</v>
      </c>
      <c r="C4" s="3">
        <v>26</v>
      </c>
      <c r="D4" s="3">
        <v>42</v>
      </c>
    </row>
    <row r="5" ht="16" customHeight="1">
      <c r="A5" s="3" t="s">
        <v>806</v>
      </c>
      <c r="B5" s="3">
        <v>16</v>
      </c>
      <c r="C5" s="3">
        <v>28</v>
      </c>
      <c r="D5" s="3">
        <v>44</v>
      </c>
    </row>
  </sheetData>
  <headerFooter/>
</worksheet>
</file>

<file path=xl/worksheets/sheet22.xml><?xml version="1.0" encoding="utf-8"?>
<worksheet xmlns:r="http://schemas.openxmlformats.org/officeDocument/2006/relationships" xmlns="http://schemas.openxmlformats.org/spreadsheetml/2006/main">
  <dimension ref="A1:M45"/>
  <sheetViews>
    <sheetView workbookViewId="0"/>
  </sheetViews>
  <sheetFormatPr defaultRowHeight="15"/>
  <cols>
    <col min="1" max="1" width="9.140625" customWidth="1" style="3"/>
    <col min="2" max="2" width="28.0615043640137" customWidth="1" style="3"/>
    <col min="3" max="3" width="25.7493762969971" customWidth="1" style="3"/>
    <col min="4" max="4" width="25.3667488098145" customWidth="1" style="3"/>
    <col min="5" max="5" width="43.787036895752" customWidth="1" style="3"/>
    <col min="6" max="6" width="45.2755966186523" customWidth="1" style="3"/>
    <col min="7" max="7" width="266.697601318359" customWidth="1" style="3"/>
    <col min="8" max="8" width="258.735076904297" customWidth="1" style="3"/>
    <col min="9" max="9" width="25.9126605987549" customWidth="1" style="3"/>
    <col min="10" max="10" width="11.8836460113525" customWidth="1" style="3"/>
    <col min="11" max="16384" width="9.140625" customWidth="1" style="3"/>
    <col min="12" max="16384" width="9.140625" customWidth="1" style="3"/>
    <col min="13" max="16384" width="9.140625" customWidth="1" style="3"/>
  </cols>
  <sheetData>
    <row r="1" ht="20" customHeight="1" s="1" customFormat="1">
      <c r="A1" s="2" t="s">
        <v>807</v>
      </c>
      <c r="B1" s="2" t="s">
        <v>808</v>
      </c>
      <c r="C1" s="2" t="s">
        <v>809</v>
      </c>
      <c r="D1" s="2" t="s">
        <v>810</v>
      </c>
      <c r="E1" s="2" t="s">
        <v>811</v>
      </c>
      <c r="F1" s="2" t="s">
        <v>812</v>
      </c>
      <c r="G1" s="2" t="s">
        <v>800</v>
      </c>
      <c r="H1" s="2" t="s">
        <v>801</v>
      </c>
      <c r="I1" s="2" t="s">
        <v>813</v>
      </c>
      <c r="J1" s="2" t="s">
        <v>814</v>
      </c>
      <c r="K1" s="2" t="s">
        <v>815</v>
      </c>
    </row>
    <row r="2" ht="16" customHeight="1" s="4" customFormat="1">
      <c r="A2" s="4">
        <v>1</v>
      </c>
      <c r="B2" s="4" t="s">
        <v>816</v>
      </c>
      <c r="C2" s="4" t="s">
        <v>817</v>
      </c>
      <c r="D2" s="4" t="s">
        <v>818</v>
      </c>
      <c r="E2" s="4" t="s">
        <v>819</v>
      </c>
      <c r="F2" s="4" t="s">
        <v>820</v>
      </c>
      <c r="G2" s="4" t="s">
        <v>821</v>
      </c>
      <c r="H2" s="4" t="s">
        <v>822</v>
      </c>
      <c r="I2" s="5">
        <v>46122</v>
      </c>
      <c r="J2" s="4" t="s">
        <v>823</v>
      </c>
      <c r="K2" s="4" t="s">
        <v>55</v>
      </c>
      <c r="L2" s="4"/>
      <c r="M2" s="4"/>
    </row>
    <row r="3" ht="16" customHeight="1" s="4" customFormat="1">
      <c r="A3" s="4">
        <v>2</v>
      </c>
      <c r="B3" s="4" t="s">
        <v>824</v>
      </c>
      <c r="C3" s="4" t="s">
        <v>825</v>
      </c>
      <c r="D3" s="4"/>
      <c r="E3" s="4" t="s">
        <v>826</v>
      </c>
      <c r="F3" s="4" t="s">
        <v>827</v>
      </c>
      <c r="G3" s="4" t="s">
        <v>828</v>
      </c>
      <c r="H3" s="4" t="s">
        <v>829</v>
      </c>
      <c r="I3" s="5">
        <v>46105</v>
      </c>
      <c r="J3" s="4" t="s">
        <v>830</v>
      </c>
      <c r="K3" s="4" t="s">
        <v>55</v>
      </c>
      <c r="L3" s="4"/>
      <c r="M3" s="4"/>
    </row>
    <row r="4" ht="16" customHeight="1" s="4" customFormat="1">
      <c r="A4" s="4">
        <v>3</v>
      </c>
      <c r="B4" s="4" t="s">
        <v>824</v>
      </c>
      <c r="C4" s="4" t="s">
        <v>831</v>
      </c>
      <c r="D4" s="4"/>
      <c r="E4" s="4" t="s">
        <v>832</v>
      </c>
      <c r="F4" s="4" t="s">
        <v>833</v>
      </c>
      <c r="G4" s="4" t="s">
        <v>834</v>
      </c>
      <c r="H4" s="4" t="s">
        <v>822</v>
      </c>
      <c r="I4" s="5">
        <v>46025</v>
      </c>
      <c r="J4" s="4" t="s">
        <v>830</v>
      </c>
      <c r="K4" s="4" t="s">
        <v>55</v>
      </c>
      <c r="L4" s="4"/>
      <c r="M4" s="4"/>
    </row>
    <row r="5" ht="16" customHeight="1" s="4" customFormat="1">
      <c r="A5" s="4">
        <v>4</v>
      </c>
      <c r="B5" s="4" t="s">
        <v>816</v>
      </c>
      <c r="C5" s="4" t="s">
        <v>817</v>
      </c>
      <c r="D5" s="4"/>
      <c r="E5" s="4" t="s">
        <v>835</v>
      </c>
      <c r="F5" s="4" t="s">
        <v>836</v>
      </c>
      <c r="G5" s="4" t="s">
        <v>821</v>
      </c>
      <c r="H5" s="4" t="s">
        <v>837</v>
      </c>
      <c r="I5" s="5">
        <v>45911</v>
      </c>
      <c r="J5" s="4" t="s">
        <v>823</v>
      </c>
      <c r="K5" s="4" t="s">
        <v>55</v>
      </c>
      <c r="L5" s="4"/>
      <c r="M5" s="4"/>
    </row>
    <row r="6" ht="16" customHeight="1" s="4" customFormat="1">
      <c r="A6" s="4">
        <v>5</v>
      </c>
      <c r="B6" s="4" t="s">
        <v>816</v>
      </c>
      <c r="C6" s="4" t="s">
        <v>838</v>
      </c>
      <c r="D6" s="4"/>
      <c r="E6" s="4" t="s">
        <v>839</v>
      </c>
      <c r="F6" s="4" t="s">
        <v>840</v>
      </c>
      <c r="G6" s="4" t="s">
        <v>841</v>
      </c>
      <c r="H6" s="4" t="s">
        <v>842</v>
      </c>
      <c r="I6" s="5">
        <v>45883</v>
      </c>
      <c r="J6" s="4" t="s">
        <v>823</v>
      </c>
      <c r="K6" s="4" t="s">
        <v>55</v>
      </c>
      <c r="L6" s="4"/>
      <c r="M6" s="4"/>
    </row>
    <row r="7" ht="16" customHeight="1" s="4" customFormat="1">
      <c r="A7" s="4">
        <v>6</v>
      </c>
      <c r="B7" s="4" t="s">
        <v>816</v>
      </c>
      <c r="C7" s="4" t="s">
        <v>838</v>
      </c>
      <c r="D7" s="4"/>
      <c r="E7" s="4" t="s">
        <v>843</v>
      </c>
      <c r="F7" s="4" t="s">
        <v>844</v>
      </c>
      <c r="G7" s="4" t="s">
        <v>845</v>
      </c>
      <c r="H7" s="4" t="s">
        <v>846</v>
      </c>
      <c r="I7" s="5">
        <v>45695</v>
      </c>
      <c r="J7" s="4" t="s">
        <v>847</v>
      </c>
      <c r="K7" s="4" t="s">
        <v>55</v>
      </c>
      <c r="L7" s="4"/>
      <c r="M7" s="4"/>
    </row>
    <row r="8" ht="16" customHeight="1" s="4" customFormat="1">
      <c r="A8" s="4">
        <v>7</v>
      </c>
      <c r="B8" s="4" t="s">
        <v>824</v>
      </c>
      <c r="C8" s="4" t="s">
        <v>848</v>
      </c>
      <c r="D8" s="4" t="s">
        <v>849</v>
      </c>
      <c r="E8" s="4" t="s">
        <v>850</v>
      </c>
      <c r="F8" s="4" t="s">
        <v>851</v>
      </c>
      <c r="G8" s="4" t="s">
        <v>852</v>
      </c>
      <c r="H8" s="4" t="s">
        <v>853</v>
      </c>
      <c r="I8" s="5">
        <v>45251</v>
      </c>
      <c r="J8" s="4" t="s">
        <v>847</v>
      </c>
      <c r="K8" s="4" t="s">
        <v>55</v>
      </c>
      <c r="L8" s="4"/>
      <c r="M8" s="4"/>
    </row>
    <row r="9" ht="16" customHeight="1" s="4" customFormat="1">
      <c r="A9" s="4">
        <v>8</v>
      </c>
      <c r="B9" s="4" t="s">
        <v>824</v>
      </c>
      <c r="C9" s="4" t="s">
        <v>825</v>
      </c>
      <c r="D9" s="4"/>
      <c r="E9" s="4" t="s">
        <v>854</v>
      </c>
      <c r="F9" s="4" t="s">
        <v>855</v>
      </c>
      <c r="G9" s="4" t="s">
        <v>856</v>
      </c>
      <c r="H9" s="4" t="s">
        <v>857</v>
      </c>
      <c r="I9" s="5">
        <v>45236</v>
      </c>
      <c r="J9" s="4" t="s">
        <v>847</v>
      </c>
      <c r="K9" s="4" t="s">
        <v>55</v>
      </c>
      <c r="L9" s="4"/>
      <c r="M9" s="4"/>
    </row>
    <row r="10" ht="16" customHeight="1" s="4" customFormat="1">
      <c r="A10" s="4">
        <v>9</v>
      </c>
      <c r="B10" s="4" t="s">
        <v>824</v>
      </c>
      <c r="C10" s="4" t="s">
        <v>825</v>
      </c>
      <c r="D10" s="4"/>
      <c r="E10" s="4" t="s">
        <v>858</v>
      </c>
      <c r="F10" s="4" t="s">
        <v>859</v>
      </c>
      <c r="G10" s="4" t="s">
        <v>856</v>
      </c>
      <c r="H10" s="4" t="s">
        <v>857</v>
      </c>
      <c r="I10" s="5">
        <v>45236</v>
      </c>
      <c r="J10" s="4" t="s">
        <v>847</v>
      </c>
      <c r="K10" s="4" t="s">
        <v>55</v>
      </c>
      <c r="L10" s="4"/>
      <c r="M10" s="4"/>
    </row>
    <row r="11" ht="16" customHeight="1" s="4" customFormat="1">
      <c r="A11" s="4">
        <v>10</v>
      </c>
      <c r="B11" s="4" t="s">
        <v>824</v>
      </c>
      <c r="C11" s="4" t="s">
        <v>848</v>
      </c>
      <c r="D11" s="4"/>
      <c r="E11" s="4" t="s">
        <v>860</v>
      </c>
      <c r="F11" s="4" t="s">
        <v>861</v>
      </c>
      <c r="G11" s="4" t="s">
        <v>862</v>
      </c>
      <c r="H11" s="4" t="s">
        <v>863</v>
      </c>
      <c r="I11" s="5">
        <v>45230</v>
      </c>
      <c r="J11" s="4" t="s">
        <v>847</v>
      </c>
      <c r="K11" s="4" t="s">
        <v>55</v>
      </c>
      <c r="L11" s="4"/>
      <c r="M11" s="4"/>
    </row>
    <row r="12" ht="16" customHeight="1" s="4" customFormat="1">
      <c r="A12" s="4">
        <v>11</v>
      </c>
      <c r="B12" s="4" t="s">
        <v>824</v>
      </c>
      <c r="C12" s="4" t="s">
        <v>831</v>
      </c>
      <c r="D12" s="4"/>
      <c r="E12" s="4" t="s">
        <v>832</v>
      </c>
      <c r="F12" s="4" t="s">
        <v>864</v>
      </c>
      <c r="G12" s="4" t="s">
        <v>865</v>
      </c>
      <c r="H12" s="4" t="s">
        <v>866</v>
      </c>
      <c r="I12" s="5">
        <v>45067</v>
      </c>
      <c r="J12" s="4" t="s">
        <v>847</v>
      </c>
      <c r="K12" s="4" t="s">
        <v>55</v>
      </c>
      <c r="L12" s="4"/>
      <c r="M12" s="4"/>
    </row>
    <row r="13" ht="16" customHeight="1" s="4" customFormat="1">
      <c r="A13" s="4">
        <v>12</v>
      </c>
      <c r="B13" s="4" t="s">
        <v>824</v>
      </c>
      <c r="C13" s="4" t="s">
        <v>867</v>
      </c>
      <c r="D13" s="4"/>
      <c r="E13" s="4" t="s">
        <v>868</v>
      </c>
      <c r="F13" s="4" t="s">
        <v>869</v>
      </c>
      <c r="G13" s="4" t="s">
        <v>870</v>
      </c>
      <c r="H13" s="4" t="s">
        <v>871</v>
      </c>
      <c r="I13" s="5">
        <v>44840</v>
      </c>
      <c r="J13" s="4" t="s">
        <v>823</v>
      </c>
      <c r="K13" s="4" t="s">
        <v>55</v>
      </c>
      <c r="L13" s="4"/>
      <c r="M13" s="4"/>
    </row>
    <row r="14" ht="16" customHeight="1" s="4" customFormat="1">
      <c r="A14" s="4">
        <v>13</v>
      </c>
      <c r="B14" s="4" t="s">
        <v>816</v>
      </c>
      <c r="C14" s="4" t="s">
        <v>817</v>
      </c>
      <c r="D14" s="4" t="s">
        <v>818</v>
      </c>
      <c r="E14" s="4" t="s">
        <v>819</v>
      </c>
      <c r="F14" s="4" t="s">
        <v>872</v>
      </c>
      <c r="G14" s="4" t="s">
        <v>873</v>
      </c>
      <c r="H14" s="4" t="s">
        <v>821</v>
      </c>
      <c r="I14" s="5">
        <v>44816</v>
      </c>
      <c r="J14" s="4" t="s">
        <v>847</v>
      </c>
      <c r="K14" s="4" t="s">
        <v>55</v>
      </c>
      <c r="L14" s="4"/>
      <c r="M14" s="4"/>
    </row>
    <row r="15" ht="16" customHeight="1" s="4" customFormat="1">
      <c r="A15" s="4">
        <v>14</v>
      </c>
      <c r="B15" s="4" t="s">
        <v>874</v>
      </c>
      <c r="C15" s="4" t="s">
        <v>875</v>
      </c>
      <c r="D15" s="4"/>
      <c r="E15" s="4"/>
      <c r="F15" s="4" t="s">
        <v>876</v>
      </c>
      <c r="G15" s="4" t="s">
        <v>877</v>
      </c>
      <c r="H15" s="4" t="s">
        <v>878</v>
      </c>
      <c r="I15" s="5">
        <v>44791</v>
      </c>
      <c r="J15" s="4" t="s">
        <v>830</v>
      </c>
      <c r="K15" s="4" t="s">
        <v>55</v>
      </c>
      <c r="L15" s="4"/>
      <c r="M15" s="4"/>
    </row>
    <row r="16" ht="16" customHeight="1" s="4" customFormat="1">
      <c r="A16" s="4">
        <v>15</v>
      </c>
      <c r="B16" s="4" t="s">
        <v>816</v>
      </c>
      <c r="C16" s="4" t="s">
        <v>879</v>
      </c>
      <c r="D16" s="4" t="s">
        <v>880</v>
      </c>
      <c r="E16" s="4" t="s">
        <v>881</v>
      </c>
      <c r="F16" s="4" t="s">
        <v>882</v>
      </c>
      <c r="G16" s="4" t="s">
        <v>883</v>
      </c>
      <c r="H16" s="4" t="s">
        <v>884</v>
      </c>
      <c r="I16" s="5">
        <v>44769</v>
      </c>
      <c r="J16" s="4" t="s">
        <v>847</v>
      </c>
      <c r="K16" s="4" t="s">
        <v>55</v>
      </c>
      <c r="L16" s="4"/>
      <c r="M16" s="4"/>
    </row>
    <row r="17" ht="16" customHeight="1" s="4" customFormat="1">
      <c r="A17" s="4">
        <v>16</v>
      </c>
      <c r="B17" s="4" t="s">
        <v>816</v>
      </c>
      <c r="C17" s="4" t="s">
        <v>817</v>
      </c>
      <c r="D17" s="4" t="s">
        <v>818</v>
      </c>
      <c r="E17" s="4" t="s">
        <v>819</v>
      </c>
      <c r="F17" s="4" t="s">
        <v>885</v>
      </c>
      <c r="G17" s="4" t="s">
        <v>886</v>
      </c>
      <c r="H17" s="4" t="s">
        <v>887</v>
      </c>
      <c r="I17" s="5">
        <v>44650</v>
      </c>
      <c r="J17" s="4" t="s">
        <v>847</v>
      </c>
      <c r="K17" s="4" t="s">
        <v>55</v>
      </c>
      <c r="L17" s="4"/>
      <c r="M17" s="4"/>
    </row>
    <row r="18" ht="16" customHeight="1" s="4" customFormat="1">
      <c r="A18" s="4">
        <v>17</v>
      </c>
      <c r="B18" s="4" t="s">
        <v>824</v>
      </c>
      <c r="C18" s="4" t="s">
        <v>888</v>
      </c>
      <c r="D18" s="4" t="s">
        <v>889</v>
      </c>
      <c r="E18" s="4" t="s">
        <v>890</v>
      </c>
      <c r="F18" s="4" t="s">
        <v>891</v>
      </c>
      <c r="G18" s="4" t="s">
        <v>892</v>
      </c>
      <c r="H18" s="4" t="s">
        <v>893</v>
      </c>
      <c r="I18" s="5">
        <v>44578</v>
      </c>
      <c r="J18" s="4" t="s">
        <v>847</v>
      </c>
      <c r="K18" s="4" t="s">
        <v>55</v>
      </c>
      <c r="L18" s="4"/>
      <c r="M18" s="4"/>
    </row>
    <row r="19" ht="16" customHeight="1" s="4" customFormat="1">
      <c r="A19" s="4">
        <v>18</v>
      </c>
      <c r="B19" s="4" t="s">
        <v>824</v>
      </c>
      <c r="C19" s="4" t="s">
        <v>848</v>
      </c>
      <c r="D19" s="4"/>
      <c r="E19" s="4" t="s">
        <v>894</v>
      </c>
      <c r="F19" s="4" t="s">
        <v>895</v>
      </c>
      <c r="G19" s="4" t="s">
        <v>862</v>
      </c>
      <c r="H19" s="4" t="s">
        <v>822</v>
      </c>
      <c r="I19" s="5">
        <v>44253</v>
      </c>
      <c r="J19" s="4" t="s">
        <v>847</v>
      </c>
      <c r="K19" s="4" t="s">
        <v>55</v>
      </c>
      <c r="L19" s="4"/>
      <c r="M19" s="4"/>
    </row>
    <row r="20" ht="16" customHeight="1" s="4" customFormat="1">
      <c r="A20" s="4">
        <v>19</v>
      </c>
      <c r="B20" s="4" t="s">
        <v>816</v>
      </c>
      <c r="C20" s="4" t="s">
        <v>879</v>
      </c>
      <c r="D20" s="4" t="s">
        <v>880</v>
      </c>
      <c r="E20" s="4" t="s">
        <v>881</v>
      </c>
      <c r="F20" s="4" t="s">
        <v>896</v>
      </c>
      <c r="G20" s="4" t="s">
        <v>897</v>
      </c>
      <c r="H20" s="4" t="s">
        <v>898</v>
      </c>
      <c r="I20" s="5">
        <v>44159</v>
      </c>
      <c r="J20" s="4" t="s">
        <v>847</v>
      </c>
      <c r="K20" s="4" t="s">
        <v>55</v>
      </c>
      <c r="L20" s="4"/>
      <c r="M20" s="4"/>
    </row>
    <row r="21" ht="16" customHeight="1" s="4" customFormat="1">
      <c r="A21" s="4">
        <v>20</v>
      </c>
      <c r="B21" s="4" t="s">
        <v>824</v>
      </c>
      <c r="C21" s="4" t="s">
        <v>899</v>
      </c>
      <c r="D21" s="4" t="s">
        <v>889</v>
      </c>
      <c r="E21" s="4" t="s">
        <v>890</v>
      </c>
      <c r="F21" s="4" t="s">
        <v>900</v>
      </c>
      <c r="G21" s="4" t="s">
        <v>901</v>
      </c>
      <c r="H21" s="4" t="s">
        <v>897</v>
      </c>
      <c r="I21" s="5">
        <v>43844</v>
      </c>
      <c r="J21" s="4" t="s">
        <v>847</v>
      </c>
      <c r="K21" s="4" t="s">
        <v>55</v>
      </c>
      <c r="L21" s="4"/>
      <c r="M21" s="4"/>
    </row>
    <row r="22" ht="16" customHeight="1" s="4" customFormat="1">
      <c r="A22" s="4">
        <v>21</v>
      </c>
      <c r="B22" s="4" t="s">
        <v>816</v>
      </c>
      <c r="C22" s="4" t="s">
        <v>817</v>
      </c>
      <c r="D22" s="4"/>
      <c r="E22" s="4" t="s">
        <v>902</v>
      </c>
      <c r="F22" s="4" t="s">
        <v>903</v>
      </c>
      <c r="G22" s="4" t="s">
        <v>886</v>
      </c>
      <c r="H22" s="4" t="s">
        <v>904</v>
      </c>
      <c r="I22" s="5">
        <v>43732</v>
      </c>
      <c r="J22" s="4" t="s">
        <v>847</v>
      </c>
      <c r="K22" s="4" t="s">
        <v>55</v>
      </c>
      <c r="L22" s="4"/>
      <c r="M22" s="4"/>
    </row>
    <row r="23" ht="16" customHeight="1" s="4" customFormat="1">
      <c r="A23" s="4">
        <v>22</v>
      </c>
      <c r="B23" s="4" t="s">
        <v>816</v>
      </c>
      <c r="C23" s="4" t="s">
        <v>905</v>
      </c>
      <c r="D23" s="4"/>
      <c r="E23" s="4"/>
      <c r="F23" s="4" t="s">
        <v>906</v>
      </c>
      <c r="G23" s="4" t="s">
        <v>907</v>
      </c>
      <c r="H23" s="4" t="s">
        <v>908</v>
      </c>
      <c r="I23" s="5">
        <v>43553</v>
      </c>
      <c r="J23" s="4" t="s">
        <v>847</v>
      </c>
      <c r="K23" s="4" t="s">
        <v>55</v>
      </c>
      <c r="L23" s="4"/>
      <c r="M23" s="4"/>
    </row>
    <row r="24" ht="16" customHeight="1" s="4" customFormat="1">
      <c r="A24" s="4">
        <v>23</v>
      </c>
      <c r="B24" s="4" t="s">
        <v>909</v>
      </c>
      <c r="C24" s="4" t="s">
        <v>910</v>
      </c>
      <c r="D24" s="4"/>
      <c r="E24" s="4"/>
      <c r="F24" s="4" t="s">
        <v>911</v>
      </c>
      <c r="G24" s="4" t="s">
        <v>640</v>
      </c>
      <c r="H24" s="4" t="s">
        <v>912</v>
      </c>
      <c r="I24" s="5">
        <v>43048</v>
      </c>
      <c r="J24" s="4" t="s">
        <v>847</v>
      </c>
      <c r="K24" s="4" t="s">
        <v>55</v>
      </c>
      <c r="L24" s="4"/>
      <c r="M24" s="4"/>
    </row>
    <row r="25" ht="16" customHeight="1" s="4" customFormat="1">
      <c r="A25" s="4">
        <v>24</v>
      </c>
      <c r="B25" s="4" t="s">
        <v>824</v>
      </c>
      <c r="C25" s="4" t="s">
        <v>867</v>
      </c>
      <c r="D25" s="4"/>
      <c r="E25" s="4" t="s">
        <v>868</v>
      </c>
      <c r="F25" s="4" t="s">
        <v>913</v>
      </c>
      <c r="G25" s="4" t="s">
        <v>914</v>
      </c>
      <c r="H25" s="4" t="s">
        <v>915</v>
      </c>
      <c r="I25" s="5">
        <v>42609</v>
      </c>
      <c r="J25" s="4" t="s">
        <v>847</v>
      </c>
      <c r="K25" s="4" t="s">
        <v>55</v>
      </c>
      <c r="L25" s="4"/>
      <c r="M25" s="4"/>
    </row>
    <row r="26" ht="16" customHeight="1" s="4" customFormat="1">
      <c r="A26" s="4">
        <v>25</v>
      </c>
      <c r="B26" s="4" t="s">
        <v>816</v>
      </c>
      <c r="C26" s="4" t="s">
        <v>905</v>
      </c>
      <c r="D26" s="4"/>
      <c r="E26" s="4"/>
      <c r="F26" s="4" t="s">
        <v>916</v>
      </c>
      <c r="G26" s="4" t="s">
        <v>917</v>
      </c>
      <c r="H26" s="4" t="s">
        <v>918</v>
      </c>
      <c r="I26" s="5">
        <v>42311</v>
      </c>
      <c r="J26" s="4" t="s">
        <v>847</v>
      </c>
      <c r="K26" s="4" t="s">
        <v>55</v>
      </c>
      <c r="L26" s="4"/>
      <c r="M26" s="4"/>
    </row>
    <row r="27" ht="16" customHeight="1" s="4" customFormat="1">
      <c r="A27" s="4">
        <v>26</v>
      </c>
      <c r="B27" s="4" t="s">
        <v>816</v>
      </c>
      <c r="C27" s="4" t="s">
        <v>905</v>
      </c>
      <c r="D27" s="4"/>
      <c r="E27" s="4"/>
      <c r="F27" s="4" t="s">
        <v>919</v>
      </c>
      <c r="G27" s="4" t="s">
        <v>920</v>
      </c>
      <c r="H27" s="4" t="s">
        <v>921</v>
      </c>
      <c r="I27" s="5">
        <v>41751</v>
      </c>
      <c r="J27" s="4" t="s">
        <v>847</v>
      </c>
      <c r="K27" s="4" t="s">
        <v>55</v>
      </c>
      <c r="L27" s="4"/>
      <c r="M27" s="4"/>
    </row>
    <row r="28" ht="16" customHeight="1" s="4" customFormat="1">
      <c r="A28" s="4">
        <v>27</v>
      </c>
      <c r="B28" s="4" t="s">
        <v>816</v>
      </c>
      <c r="C28" s="4" t="s">
        <v>905</v>
      </c>
      <c r="D28" s="4"/>
      <c r="E28" s="4"/>
      <c r="F28" s="4" t="s">
        <v>922</v>
      </c>
      <c r="G28" s="4" t="s">
        <v>920</v>
      </c>
      <c r="H28" s="4" t="s">
        <v>921</v>
      </c>
      <c r="I28" s="5">
        <v>41579</v>
      </c>
      <c r="J28" s="4" t="s">
        <v>847</v>
      </c>
      <c r="K28" s="4" t="s">
        <v>55</v>
      </c>
      <c r="L28" s="4"/>
      <c r="M28" s="4"/>
    </row>
    <row r="29" ht="16" customHeight="1" s="4" customFormat="1">
      <c r="A29" s="4">
        <v>28</v>
      </c>
      <c r="B29" s="4" t="s">
        <v>816</v>
      </c>
      <c r="C29" s="4" t="s">
        <v>905</v>
      </c>
      <c r="D29" s="4" t="s">
        <v>880</v>
      </c>
      <c r="E29" s="4" t="s">
        <v>923</v>
      </c>
      <c r="F29" s="4" t="s">
        <v>924</v>
      </c>
      <c r="G29" s="4" t="s">
        <v>925</v>
      </c>
      <c r="H29" s="4" t="s">
        <v>926</v>
      </c>
      <c r="I29" s="5">
        <v>41484</v>
      </c>
      <c r="J29" s="4" t="s">
        <v>823</v>
      </c>
      <c r="K29" s="4" t="s">
        <v>55</v>
      </c>
      <c r="L29" s="4"/>
      <c r="M29" s="4"/>
    </row>
    <row r="30" ht="16" customHeight="1" s="4" customFormat="1">
      <c r="A30" s="4">
        <v>29</v>
      </c>
      <c r="B30" s="4" t="s">
        <v>816</v>
      </c>
      <c r="C30" s="4" t="s">
        <v>905</v>
      </c>
      <c r="D30" s="4"/>
      <c r="E30" s="4"/>
      <c r="F30" s="4" t="s">
        <v>927</v>
      </c>
      <c r="G30" s="4" t="s">
        <v>640</v>
      </c>
      <c r="H30" s="4" t="s">
        <v>928</v>
      </c>
      <c r="I30" s="5">
        <v>41458</v>
      </c>
      <c r="J30" s="4" t="s">
        <v>847</v>
      </c>
      <c r="K30" s="4" t="s">
        <v>55</v>
      </c>
      <c r="L30" s="4"/>
      <c r="M30" s="4"/>
    </row>
    <row r="31" ht="16" customHeight="1" s="4" customFormat="1">
      <c r="A31" s="4">
        <v>30</v>
      </c>
      <c r="B31" s="4" t="s">
        <v>824</v>
      </c>
      <c r="C31" s="4" t="s">
        <v>929</v>
      </c>
      <c r="D31" s="4" t="s">
        <v>930</v>
      </c>
      <c r="E31" s="4" t="s">
        <v>931</v>
      </c>
      <c r="F31" s="4" t="s">
        <v>932</v>
      </c>
      <c r="G31" s="4" t="s">
        <v>933</v>
      </c>
      <c r="H31" s="4" t="s">
        <v>934</v>
      </c>
      <c r="I31" s="5">
        <v>41402</v>
      </c>
      <c r="J31" s="4" t="s">
        <v>847</v>
      </c>
      <c r="K31" s="4" t="s">
        <v>55</v>
      </c>
      <c r="L31" s="4"/>
      <c r="M31" s="4"/>
    </row>
    <row r="32" ht="16" customHeight="1" s="4" customFormat="1">
      <c r="A32" s="4">
        <v>31</v>
      </c>
      <c r="B32" s="4" t="s">
        <v>816</v>
      </c>
      <c r="C32" s="4" t="s">
        <v>905</v>
      </c>
      <c r="D32" s="4"/>
      <c r="E32" s="4"/>
      <c r="F32" s="4" t="s">
        <v>935</v>
      </c>
      <c r="G32" s="4" t="s">
        <v>936</v>
      </c>
      <c r="H32" s="4" t="s">
        <v>937</v>
      </c>
      <c r="I32" s="5">
        <v>41313</v>
      </c>
      <c r="J32" s="4" t="s">
        <v>847</v>
      </c>
      <c r="K32" s="4" t="s">
        <v>55</v>
      </c>
      <c r="L32" s="4"/>
      <c r="M32" s="4"/>
    </row>
    <row r="33" ht="16" customHeight="1" s="4" customFormat="1">
      <c r="A33" s="4">
        <v>32</v>
      </c>
      <c r="B33" s="4" t="s">
        <v>816</v>
      </c>
      <c r="C33" s="4" t="s">
        <v>905</v>
      </c>
      <c r="D33" s="4"/>
      <c r="E33" s="4"/>
      <c r="F33" s="4" t="s">
        <v>938</v>
      </c>
      <c r="G33" s="4" t="s">
        <v>640</v>
      </c>
      <c r="H33" s="4" t="s">
        <v>939</v>
      </c>
      <c r="I33" s="5">
        <v>40912</v>
      </c>
      <c r="J33" s="4" t="s">
        <v>847</v>
      </c>
      <c r="K33" s="4" t="s">
        <v>55</v>
      </c>
      <c r="L33" s="4"/>
      <c r="M33" s="4"/>
    </row>
    <row r="34" ht="16" customHeight="1" s="4" customFormat="1">
      <c r="A34" s="4">
        <v>33</v>
      </c>
      <c r="B34" s="4" t="s">
        <v>816</v>
      </c>
      <c r="C34" s="4" t="s">
        <v>905</v>
      </c>
      <c r="D34" s="4" t="s">
        <v>940</v>
      </c>
      <c r="E34" s="4" t="s">
        <v>941</v>
      </c>
      <c r="F34" s="4" t="s">
        <v>942</v>
      </c>
      <c r="G34" s="4" t="s">
        <v>943</v>
      </c>
      <c r="H34" s="4" t="s">
        <v>944</v>
      </c>
      <c r="I34" s="5">
        <v>40856</v>
      </c>
      <c r="J34" s="4" t="s">
        <v>823</v>
      </c>
      <c r="K34" s="4" t="s">
        <v>55</v>
      </c>
      <c r="L34" s="4"/>
      <c r="M34" s="4"/>
    </row>
    <row r="35" ht="16" customHeight="1" s="4" customFormat="1">
      <c r="A35" s="4">
        <v>34</v>
      </c>
      <c r="B35" s="4" t="s">
        <v>874</v>
      </c>
      <c r="C35" s="4" t="s">
        <v>945</v>
      </c>
      <c r="D35" s="4" t="s">
        <v>946</v>
      </c>
      <c r="E35" s="4" t="s">
        <v>947</v>
      </c>
      <c r="F35" s="4" t="s">
        <v>948</v>
      </c>
      <c r="G35" s="4" t="s">
        <v>949</v>
      </c>
      <c r="H35" s="4" t="s">
        <v>950</v>
      </c>
      <c r="I35" s="5">
        <v>40196</v>
      </c>
      <c r="J35" s="4" t="s">
        <v>823</v>
      </c>
      <c r="K35" s="4" t="s">
        <v>55</v>
      </c>
      <c r="L35" s="4"/>
      <c r="M35" s="4"/>
    </row>
    <row r="36" ht="16" customHeight="1" s="4" customFormat="1">
      <c r="A36" s="4">
        <v>35</v>
      </c>
      <c r="B36" s="4" t="s">
        <v>874</v>
      </c>
      <c r="C36" s="4" t="s">
        <v>875</v>
      </c>
      <c r="D36" s="4"/>
      <c r="E36" s="4"/>
      <c r="F36" s="4" t="s">
        <v>951</v>
      </c>
      <c r="G36" s="4" t="s">
        <v>949</v>
      </c>
      <c r="H36" s="4" t="s">
        <v>952</v>
      </c>
      <c r="I36" s="5">
        <v>40196</v>
      </c>
      <c r="J36" s="4" t="s">
        <v>847</v>
      </c>
      <c r="K36" s="4" t="s">
        <v>55</v>
      </c>
      <c r="L36" s="4"/>
      <c r="M36" s="4"/>
    </row>
    <row r="37" ht="16" customHeight="1" s="4" customFormat="1">
      <c r="A37" s="4">
        <v>36</v>
      </c>
      <c r="B37" s="4" t="s">
        <v>874</v>
      </c>
      <c r="C37" s="4" t="s">
        <v>945</v>
      </c>
      <c r="D37" s="4" t="s">
        <v>946</v>
      </c>
      <c r="E37" s="4" t="s">
        <v>947</v>
      </c>
      <c r="F37" s="4" t="s">
        <v>953</v>
      </c>
      <c r="G37" s="4" t="s">
        <v>954</v>
      </c>
      <c r="H37" s="4" t="s">
        <v>950</v>
      </c>
      <c r="I37" s="5">
        <v>38894</v>
      </c>
      <c r="J37" s="4" t="s">
        <v>823</v>
      </c>
      <c r="K37" s="4" t="s">
        <v>55</v>
      </c>
      <c r="L37" s="4"/>
      <c r="M37" s="4"/>
    </row>
    <row r="38" ht="16" customHeight="1" s="4" customFormat="1">
      <c r="A38" s="4">
        <v>37</v>
      </c>
      <c r="B38" s="4" t="s">
        <v>874</v>
      </c>
      <c r="C38" s="4" t="s">
        <v>875</v>
      </c>
      <c r="D38" s="4"/>
      <c r="E38" s="4"/>
      <c r="F38" s="4" t="s">
        <v>955</v>
      </c>
      <c r="G38" s="4" t="s">
        <v>956</v>
      </c>
      <c r="H38" s="4" t="s">
        <v>950</v>
      </c>
      <c r="I38" s="5">
        <v>38894</v>
      </c>
      <c r="J38" s="4" t="s">
        <v>847</v>
      </c>
      <c r="K38" s="4" t="s">
        <v>55</v>
      </c>
      <c r="L38" s="4"/>
      <c r="M38" s="4"/>
    </row>
    <row r="39" ht="16" customHeight="1" s="4" customFormat="1">
      <c r="A39" s="4">
        <v>38</v>
      </c>
      <c r="B39" s="4" t="s">
        <v>824</v>
      </c>
      <c r="C39" s="4" t="s">
        <v>825</v>
      </c>
      <c r="D39" s="4" t="s">
        <v>957</v>
      </c>
      <c r="E39" s="4" t="s">
        <v>958</v>
      </c>
      <c r="F39" s="4" t="s">
        <v>959</v>
      </c>
      <c r="G39" s="4" t="s">
        <v>950</v>
      </c>
      <c r="H39" s="4" t="s">
        <v>960</v>
      </c>
      <c r="I39" s="4"/>
      <c r="J39" s="4" t="s">
        <v>823</v>
      </c>
      <c r="K39" s="4" t="s">
        <v>55</v>
      </c>
      <c r="L39" s="4"/>
      <c r="M39" s="4"/>
    </row>
    <row r="40" ht="16" customHeight="1" s="4" customFormat="1">
      <c r="A40" s="4">
        <v>39</v>
      </c>
      <c r="B40" s="4" t="s">
        <v>824</v>
      </c>
      <c r="C40" s="4" t="s">
        <v>848</v>
      </c>
      <c r="D40" s="4" t="s">
        <v>880</v>
      </c>
      <c r="E40" s="4" t="s">
        <v>961</v>
      </c>
      <c r="F40" s="4" t="s">
        <v>962</v>
      </c>
      <c r="G40" s="4" t="s">
        <v>963</v>
      </c>
      <c r="H40" s="4" t="s">
        <v>964</v>
      </c>
      <c r="I40" s="4"/>
      <c r="J40" s="4" t="s">
        <v>847</v>
      </c>
      <c r="K40" s="4" t="s">
        <v>55</v>
      </c>
      <c r="L40" s="4"/>
      <c r="M40" s="4"/>
    </row>
    <row r="41" ht="16" customHeight="1" s="4" customFormat="1">
      <c r="A41" s="4">
        <v>40</v>
      </c>
      <c r="B41" s="4" t="s">
        <v>816</v>
      </c>
      <c r="C41" s="4" t="s">
        <v>905</v>
      </c>
      <c r="D41" s="4"/>
      <c r="E41" s="4"/>
      <c r="F41" s="4" t="s">
        <v>965</v>
      </c>
      <c r="G41" s="4" t="s">
        <v>966</v>
      </c>
      <c r="H41" s="4" t="s">
        <v>967</v>
      </c>
      <c r="I41" s="4"/>
      <c r="J41" s="4" t="s">
        <v>847</v>
      </c>
      <c r="K41" s="4" t="s">
        <v>55</v>
      </c>
      <c r="L41" s="4"/>
      <c r="M41" s="4"/>
    </row>
    <row r="42" ht="16" customHeight="1" s="4" customFormat="1">
      <c r="A42" s="4">
        <v>41</v>
      </c>
      <c r="B42" s="4" t="s">
        <v>816</v>
      </c>
      <c r="C42" s="4" t="s">
        <v>817</v>
      </c>
      <c r="D42" s="4"/>
      <c r="E42" s="4" t="s">
        <v>968</v>
      </c>
      <c r="F42" s="4" t="s">
        <v>969</v>
      </c>
      <c r="G42" s="4" t="s">
        <v>822</v>
      </c>
      <c r="H42" s="4" t="s">
        <v>821</v>
      </c>
      <c r="I42" s="4"/>
      <c r="J42" s="4" t="s">
        <v>823</v>
      </c>
      <c r="K42" s="4" t="s">
        <v>55</v>
      </c>
      <c r="L42" s="4"/>
      <c r="M42" s="4"/>
    </row>
    <row r="43" ht="16" customHeight="1" s="4" customFormat="1">
      <c r="A43" s="4">
        <v>42</v>
      </c>
      <c r="B43" s="4" t="s">
        <v>816</v>
      </c>
      <c r="C43" s="4" t="s">
        <v>817</v>
      </c>
      <c r="D43" s="4"/>
      <c r="E43" s="4" t="s">
        <v>835</v>
      </c>
      <c r="F43" s="4" t="s">
        <v>970</v>
      </c>
      <c r="G43" s="4" t="s">
        <v>822</v>
      </c>
      <c r="H43" s="4" t="s">
        <v>821</v>
      </c>
      <c r="I43" s="4"/>
      <c r="J43" s="4" t="s">
        <v>823</v>
      </c>
      <c r="K43" s="4" t="s">
        <v>55</v>
      </c>
      <c r="L43" s="4"/>
      <c r="M43" s="4"/>
    </row>
    <row r="44" ht="16" customHeight="1">
      <c r="A44" s="3">
        <v>43</v>
      </c>
      <c r="B44" s="3" t="s">
        <v>816</v>
      </c>
      <c r="C44" s="3" t="s">
        <v>971</v>
      </c>
      <c r="D44" s="3"/>
      <c r="E44" s="3" t="s">
        <v>972</v>
      </c>
      <c r="F44" s="3" t="s">
        <v>973</v>
      </c>
      <c r="G44" s="3" t="s">
        <v>974</v>
      </c>
      <c r="H44" s="3" t="s">
        <v>975</v>
      </c>
      <c r="I44" s="3"/>
      <c r="J44" s="3" t="s">
        <v>823</v>
      </c>
      <c r="K44" s="3" t="s">
        <v>55</v>
      </c>
    </row>
    <row r="45" ht="16" customHeight="1">
      <c r="A45" s="3">
        <v>44</v>
      </c>
      <c r="B45" s="3" t="s">
        <v>816</v>
      </c>
      <c r="C45" s="3" t="s">
        <v>976</v>
      </c>
      <c r="D45" s="3"/>
      <c r="E45" s="3" t="s">
        <v>977</v>
      </c>
      <c r="F45" s="3" t="s">
        <v>978</v>
      </c>
      <c r="G45" s="3" t="s">
        <v>979</v>
      </c>
      <c r="H45" s="3" t="s">
        <v>866</v>
      </c>
      <c r="I45" s="3"/>
      <c r="J45" s="3" t="s">
        <v>830</v>
      </c>
      <c r="K45" s="3" t="s">
        <v>55</v>
      </c>
    </row>
  </sheetData>
  <headerFooter/>
</worksheet>
</file>